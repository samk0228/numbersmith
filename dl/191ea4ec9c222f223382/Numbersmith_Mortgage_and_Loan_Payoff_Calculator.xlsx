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culator" sheetId="1" state="visible" r:id="rId3"/>
    <sheet name="Schedule" sheetId="2" state="visible" r:id="rId4"/>
    <sheet name="Baseline" sheetId="3" state="visible" r:id="rId5"/>
    <sheet name="Refinance" sheetId="4" state="visible" r:id="rId6"/>
    <sheet name="Biweekly" sheetId="5" state="visible" r:id="rId7"/>
    <sheet name="Char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<sst xmlns="http://schemas.openxmlformats.org/spreadsheetml/2006/main" count="111" uniqueCount="92">
  <si>
    <t xml:space="preserve">Numbersmith - Mortgage and Loan Payoff Calculator</t>
  </si>
  <si>
    <t xml:space="preserve">Sample loaded: $420,000 at 6.5% for 30 years, plus $200 extra every month. Change any blue cell to model your own loan.</t>
  </si>
  <si>
    <t xml:space="preserve">For education and planning only, not financial advice.</t>
  </si>
  <si>
    <t xml:space="preserve">LOAN</t>
  </si>
  <si>
    <t xml:space="preserve">EXTRA PAYMENTS</t>
  </si>
  <si>
    <t xml:space="preserve">KEY OUTPUTS</t>
  </si>
  <si>
    <t xml:space="preserve">Loan amount</t>
  </si>
  <si>
    <t xml:space="preserve">Extra monthly payment</t>
  </si>
  <si>
    <t xml:space="preserve">Monthly P&amp;I payment</t>
  </si>
  <si>
    <t xml:space="preserve">Annual interest rate</t>
  </si>
  <si>
    <t xml:space="preserve">One-time extra payment amount</t>
  </si>
  <si>
    <t xml:space="preserve">Total interest, no extras (baseline)</t>
  </si>
  <si>
    <t xml:space="preserve">Loan term (years)</t>
  </si>
  <si>
    <t xml:space="preserve">One-time extra: which payment # (1-480)</t>
  </si>
  <si>
    <t xml:space="preserve">Total interest, with extras</t>
  </si>
  <si>
    <t xml:space="preserve">Start date (first payment)</t>
  </si>
  <si>
    <t xml:space="preserve">Annual lump sum amount</t>
  </si>
  <si>
    <t xml:space="preserve">Interest saved</t>
  </si>
  <si>
    <t xml:space="preserve">Annual lump sum month (1=Jan, 12=Dec)</t>
  </si>
  <si>
    <t xml:space="preserve">Months saved</t>
  </si>
  <si>
    <t xml:space="preserve">Extra monthly starts at payment # (1=now)</t>
  </si>
  <si>
    <t xml:space="preserve">New payoff date</t>
  </si>
  <si>
    <t xml:space="preserve">SUMMARY: BASELINE VS. YOUR PLAN</t>
  </si>
  <si>
    <t xml:space="preserve">Payoff Date</t>
  </si>
  <si>
    <t xml:space="preserve">Months</t>
  </si>
  <si>
    <t xml:space="preserve">Total Interest</t>
  </si>
  <si>
    <t xml:space="preserve">Total Paid</t>
  </si>
  <si>
    <t xml:space="preserve">Original schedule (no extras)</t>
  </si>
  <si>
    <t xml:space="preserve">Your plan (with extras)</t>
  </si>
  <si>
    <t xml:space="preserve">COLOR LEGEND</t>
  </si>
  <si>
    <t xml:space="preserve">Blue text = you type this (an input).</t>
  </si>
  <si>
    <t xml:space="preserve">Black text = calculated automatically by formula. Do not overwrite, it will break the calculation.</t>
  </si>
  <si>
    <t xml:space="preserve">Built by Numbersmith with AI assistance. Formulas are open; nothing is hidden or locked.</t>
  </si>
  <si>
    <t xml:space="preserve">See the Schedule, Baseline, Refinance, and Biweekly tabs for full detail, and Charts for the visuals.</t>
  </si>
  <si>
    <t xml:space="preserve">Schedule - Full Amortization With Extra Payments</t>
  </si>
  <si>
    <t xml:space="preserve">Formula-driven month-by-month schedule using the Calculator inputs. Extra payments are capped with MIN so the loan never overshoots a zero balance. The monthly extra begins at the start payment number on the Calculator tab.</t>
  </si>
  <si>
    <t xml:space="preserve">Rows run up to 480 months (40 years). Once the balance reaches zero, every later row shows zero.</t>
  </si>
  <si>
    <t xml:space="preserve">Payment #</t>
  </si>
  <si>
    <t xml:space="preserve">Payment Date</t>
  </si>
  <si>
    <t xml:space="preserve">Loan Year</t>
  </si>
  <si>
    <t xml:space="preserve">Beginning Balance</t>
  </si>
  <si>
    <t xml:space="preserve">Interest</t>
  </si>
  <si>
    <t xml:space="preserve">Scheduled Principal</t>
  </si>
  <si>
    <t xml:space="preserve">Extra Requested</t>
  </si>
  <si>
    <t xml:space="preserve">Extra Applied</t>
  </si>
  <si>
    <t xml:space="preserve">Total Payment</t>
  </si>
  <si>
    <t xml:space="preserve">Ending Balance</t>
  </si>
  <si>
    <t xml:space="preserve">Cumulative Interest</t>
  </si>
  <si>
    <t xml:space="preserve">1</t>
  </si>
  <si>
    <t xml:space="preserve">Baseline - Original Schedule, No Extra Payments</t>
  </si>
  <si>
    <t xml:space="preserve">The same loan on the Calculator tab with none of the extra payments applied. Used to measure interest saved and months saved.</t>
  </si>
  <si>
    <t xml:space="preserve">Principal</t>
  </si>
  <si>
    <t xml:space="preserve">Refinance - Break-Even Comparison</t>
  </si>
  <si>
    <t xml:space="preserve">Compares staying on the current loan against a proposed refinance. No lender, rate, or product is suggested; enter your own quote.</t>
  </si>
  <si>
    <t xml:space="preserve">CURRENT LOAN (from Calculator)</t>
  </si>
  <si>
    <t xml:space="preserve">YOUR REFINANCE INPUTS</t>
  </si>
  <si>
    <t xml:space="preserve">Original loan amount</t>
  </si>
  <si>
    <t xml:space="preserve">Months already paid on current loan</t>
  </si>
  <si>
    <t xml:space="preserve">Original interest rate</t>
  </si>
  <si>
    <t xml:space="preserve">Proposed new interest rate</t>
  </si>
  <si>
    <t xml:space="preserve">Original term (years)</t>
  </si>
  <si>
    <t xml:space="preserve">Proposed new term (years)</t>
  </si>
  <si>
    <t xml:space="preserve">Current monthly P&amp;I payment</t>
  </si>
  <si>
    <t xml:space="preserve">Estimated closing costs</t>
  </si>
  <si>
    <t xml:space="preserve">RESULTS</t>
  </si>
  <si>
    <t xml:space="preserve">Remaining balance when you refinance</t>
  </si>
  <si>
    <t xml:space="preserve">Remaining interest if you keep the current loan</t>
  </si>
  <si>
    <t xml:space="preserve">New monthly P&amp;I payment</t>
  </si>
  <si>
    <t xml:space="preserve">Monthly payment change (new minus current)</t>
  </si>
  <si>
    <t xml:space="preserve">Total interest on the new loan, full new term</t>
  </si>
  <si>
    <t xml:space="preserve">Total cost to refinance (new interest plus closing costs)</t>
  </si>
  <si>
    <t xml:space="preserve">Monthly savings if you refinance</t>
  </si>
  <si>
    <t xml:space="preserve">Break-even month on closing costs</t>
  </si>
  <si>
    <t xml:space="preserve">Verdict</t>
  </si>
  <si>
    <t xml:space="preserve">Note: this tab compares total dollars over the remaining loan horizon. It assumes the current loan continues with no extra payments; it does not model the extra-payment plan from the Calculator tab.</t>
  </si>
  <si>
    <t xml:space="preserve">Biweekly - Half-Payments Every Two Weeks</t>
  </si>
  <si>
    <t xml:space="preserve">Models paying half the monthly P&amp;I every two weeks. 26 half-payments a year equal 13 full monthly payments instead of 12.</t>
  </si>
  <si>
    <t xml:space="preserve">LOAN (from Calculator, not editable here)</t>
  </si>
  <si>
    <t xml:space="preserve">Standard monthly P&amp;I payment</t>
  </si>
  <si>
    <t xml:space="preserve">BIWEEKLY EQUIVALENT</t>
  </si>
  <si>
    <t xml:space="preserve">Effective monthly payment (13 payments per year)</t>
  </si>
  <si>
    <t xml:space="preserve">Months to payoff (NPER)</t>
  </si>
  <si>
    <t xml:space="preserve">Years to payoff</t>
  </si>
  <si>
    <t xml:space="preserve">Original term (months)</t>
  </si>
  <si>
    <t xml:space="preserve">Total interest paid (biweekly approximation)</t>
  </si>
  <si>
    <t xml:space="preserve">Total interest paid (standard baseline)</t>
  </si>
  <si>
    <t xml:space="preserve">NOTE ON THE SIMPLIFICATION</t>
  </si>
  <si>
    <t xml:space="preserve">This tab approximates 26 biweekly half-payments a year as 12 monthly payments of 13/12 times the standard payment, then solves for the new payoff term with NPER. It does not compound every 14 days. The extra cash is the same either way, one additional monthly payment per year, so the true biweekly result is very close to this estimate, usually slightly better since the extra money arrives sooner.</t>
  </si>
  <si>
    <t xml:space="preserve">Charts - Balance Over Time and Annual Interest vs. Principal</t>
  </si>
  <si>
    <t xml:space="preserve">Built automatically from the Schedule and Baseline tabs. Change any blue input on the Calculator tab and both charts update.</t>
  </si>
  <si>
    <t xml:space="preserve">CHART 1: LOAN BALANCE OVER TIME (BASELINE VS. WITH EXTRAS)</t>
  </si>
  <si>
    <t xml:space="preserve">CHART 2: ANNUAL INTEREST VS. PRINCIPAL, WITH EXTRAS (FROM SCHEDULE, YEAR HELPER + SUMIFS)</t>
  </si>
</sst>
</file>

<file path=xl/styles.xml><?xml version="1.0" encoding="utf-8"?>
<styleSheet xmlns="http://schemas.openxmlformats.org/spreadsheetml/2006/main">
  <numFmts count="8">
    <numFmt numFmtId="164" formatCode="General"/>
    <numFmt numFmtId="165" formatCode="\$#,##0;&quot;($&quot;#,##0\);\-"/>
    <numFmt numFmtId="166" formatCode="\$#,##0.00;&quot;($&quot;#,##0.00\);\-"/>
    <numFmt numFmtId="167" formatCode="0.000%"/>
    <numFmt numFmtId="168" formatCode="0"/>
    <numFmt numFmtId="169" formatCode="mm/dd/yyyy"/>
    <numFmt numFmtId="170" formatCode="0.0"/>
    <numFmt numFmtId="171" formatCode="0.00"/>
  </numFmts>
  <fonts count="1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0"/>
      <color rgb="FF595959"/>
      <name val="Arial"/>
      <family val="0"/>
      <charset val="1"/>
    </font>
    <font>
      <b val="true"/>
      <i val="true"/>
      <sz val="10"/>
      <color rgb="FF000000"/>
      <name val="Arial"/>
      <family val="0"/>
      <charset val="1"/>
    </font>
    <font>
      <b val="true"/>
      <sz val="10"/>
      <color rgb="FF1F3864"/>
      <name val="Arial"/>
      <family val="0"/>
      <charset val="1"/>
    </font>
    <font>
      <sz val="10"/>
      <color rgb="FF000000"/>
      <name val="Arial"/>
      <family val="0"/>
      <charset val="1"/>
    </font>
    <font>
      <sz val="10"/>
      <color rgb="FF0000FF"/>
      <name val="Arial"/>
      <family val="0"/>
      <charset val="1"/>
    </font>
    <font>
      <b val="true"/>
      <sz val="10"/>
      <color rgb="FF000000"/>
      <name val="Arial"/>
      <family val="0"/>
      <charset val="1"/>
    </font>
    <font>
      <b val="true"/>
      <sz val="9"/>
      <color rgb="FF1F3864"/>
      <name val="Arial"/>
      <family val="0"/>
      <charset val="1"/>
    </font>
    <font>
      <sz val="9"/>
      <color rgb="FF0000FF"/>
      <name val="Arial"/>
      <family val="0"/>
      <charset val="1"/>
    </font>
    <font>
      <sz val="9"/>
      <color rgb="FF000000"/>
      <name val="Arial"/>
      <family val="0"/>
      <charset val="1"/>
    </font>
    <font>
      <i val="true"/>
      <sz val="9"/>
      <color rgb="FF595959"/>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864"/>
        <bgColor rgb="FF333333"/>
      </patternFill>
    </fill>
    <fill>
      <patternFill patternType="solid">
        <fgColor rgb="FFD9E2F3"/>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false" indent="1" shrinkToFit="false"/>
      <protection locked="true" hidden="false"/>
    </xf>
    <xf numFmtId="164" fontId="6" fillId="0" borderId="0" xfId="0" applyFont="true" applyBorder="true" applyAlignment="true" applyProtection="false">
      <alignment horizontal="general" vertical="center" textRotation="0" wrapText="false" indent="1" shrinkToFit="false"/>
      <protection locked="true" hidden="false"/>
    </xf>
    <xf numFmtId="164" fontId="7" fillId="3" borderId="0" xfId="0" applyFont="true" applyBorder="true" applyAlignment="true" applyProtection="false">
      <alignment horizontal="general" vertical="center" textRotation="0" wrapText="false" indent="1"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false" indent="1" shrinkToFit="false"/>
      <protection locked="true" hidden="false"/>
    </xf>
    <xf numFmtId="164" fontId="15" fillId="2" borderId="0" xfId="0" applyFont="true" applyBorder="false" applyAlignment="true" applyProtection="false">
      <alignment horizontal="left" vertical="center" textRotation="0" wrapText="false" indent="1" shrinkToFit="false"/>
      <protection locked="true" hidden="false"/>
    </xf>
    <xf numFmtId="164" fontId="15" fillId="2" borderId="0" xfId="0" applyFont="true" applyBorder="false" applyAlignment="true" applyProtection="false">
      <alignment horizontal="center" vertical="center"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595959"/>
      <rgbColor rgb="FF969696"/>
      <rgbColor rgb="FF1F3864"/>
      <rgbColor rgb="FF4F81BD"/>
      <rgbColor rgb="FF0033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Loan Balance Over Time</a:t>
            </a:r>
          </a:p>
        </c:rich>
      </c:tx>
      <c:overlay val="0"/>
      <c:spPr>
        <a:noFill/>
        <a:ln w="0">
          <a:noFill/>
        </a:ln>
      </c:spPr>
    </c:title>
    <c:autoTitleDeleted val="0"/>
    <c:plotArea>
      <c:lineChart>
        <c:grouping val="standard"/>
        <c:varyColors val="0"/>
        <c:ser>
          <c:idx val="0"/>
          <c:order val="0"/>
          <c:tx>
            <c:strRef>
              <c:f>"Baseline (no extras)"</c:f>
              <c:strCache>
                <c:ptCount val="1"/>
                <c:pt idx="0">
                  <c:v>Baseline (no extras)</c:v>
                </c:pt>
              </c:strCache>
            </c:strRef>
          </c:tx>
          <c:spPr>
            <a:solidFill>
              <a:srgbClr val="4A7EBB"/>
            </a:solidFill>
            <a:ln w="20160">
              <a:solidFill>
                <a:srgbClr val="4A7EBB"/>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0160">
                  <a:solidFill>
                    <a:srgbClr val="000000"/>
                  </a:solidFill>
                </a:ln>
              </c:spPr>
            </c:leaderLines>
            <c:extLst>
              <c:ext xmlns:c15="http://schemas.microsoft.com/office/drawing/2012/chart" uri="{CE6537A1-D6FC-4f65-9D91-7224C49458BB}">
                <c15:showLeaderLines val="1"/>
              </c:ext>
            </c:extLst>
          </c:dLbls>
          <c:cat>
            <c:strRef>
              <c:f>Baseline!$B$6:$B$485</c:f>
              <c:strCache>
                <c:ptCount val="480"/>
                <c:pt idx="0">
                  <c:v>10/01/2026</c:v>
                </c:pt>
                <c:pt idx="1">
                  <c:v>11/01/2026</c:v>
                </c:pt>
                <c:pt idx="2">
                  <c:v>12/01/2026</c:v>
                </c:pt>
                <c:pt idx="3">
                  <c:v>01/01/2027</c:v>
                </c:pt>
                <c:pt idx="4">
                  <c:v>02/01/2027</c:v>
                </c:pt>
                <c:pt idx="5">
                  <c:v>03/01/2027</c:v>
                </c:pt>
                <c:pt idx="6">
                  <c:v>04/01/2027</c:v>
                </c:pt>
                <c:pt idx="7">
                  <c:v>05/01/2027</c:v>
                </c:pt>
                <c:pt idx="8">
                  <c:v>06/01/2027</c:v>
                </c:pt>
                <c:pt idx="9">
                  <c:v>07/01/2027</c:v>
                </c:pt>
                <c:pt idx="10">
                  <c:v>08/01/2027</c:v>
                </c:pt>
                <c:pt idx="11">
                  <c:v>09/01/2027</c:v>
                </c:pt>
                <c:pt idx="12">
                  <c:v>10/01/2027</c:v>
                </c:pt>
                <c:pt idx="13">
                  <c:v>11/01/2027</c:v>
                </c:pt>
                <c:pt idx="14">
                  <c:v>12/01/2027</c:v>
                </c:pt>
                <c:pt idx="15">
                  <c:v>01/01/2028</c:v>
                </c:pt>
                <c:pt idx="16">
                  <c:v>02/01/2028</c:v>
                </c:pt>
                <c:pt idx="17">
                  <c:v>03/01/2028</c:v>
                </c:pt>
                <c:pt idx="18">
                  <c:v>04/01/2028</c:v>
                </c:pt>
                <c:pt idx="19">
                  <c:v>05/01/2028</c:v>
                </c:pt>
                <c:pt idx="20">
                  <c:v>06/01/2028</c:v>
                </c:pt>
                <c:pt idx="21">
                  <c:v>07/01/2028</c:v>
                </c:pt>
                <c:pt idx="22">
                  <c:v>08/01/2028</c:v>
                </c:pt>
                <c:pt idx="23">
                  <c:v>09/01/2028</c:v>
                </c:pt>
                <c:pt idx="24">
                  <c:v>10/01/2028</c:v>
                </c:pt>
                <c:pt idx="25">
                  <c:v>11/01/2028</c:v>
                </c:pt>
                <c:pt idx="26">
                  <c:v>12/01/2028</c:v>
                </c:pt>
                <c:pt idx="27">
                  <c:v>01/01/2029</c:v>
                </c:pt>
                <c:pt idx="28">
                  <c:v>02/01/2029</c:v>
                </c:pt>
                <c:pt idx="29">
                  <c:v>03/01/2029</c:v>
                </c:pt>
                <c:pt idx="30">
                  <c:v>04/01/2029</c:v>
                </c:pt>
                <c:pt idx="31">
                  <c:v>05/01/2029</c:v>
                </c:pt>
                <c:pt idx="32">
                  <c:v>06/01/2029</c:v>
                </c:pt>
                <c:pt idx="33">
                  <c:v>07/01/2029</c:v>
                </c:pt>
                <c:pt idx="34">
                  <c:v>08/01/2029</c:v>
                </c:pt>
                <c:pt idx="35">
                  <c:v>09/01/2029</c:v>
                </c:pt>
                <c:pt idx="36">
                  <c:v>10/01/2029</c:v>
                </c:pt>
                <c:pt idx="37">
                  <c:v>11/01/2029</c:v>
                </c:pt>
                <c:pt idx="38">
                  <c:v>12/01/2029</c:v>
                </c:pt>
                <c:pt idx="39">
                  <c:v>01/01/2030</c:v>
                </c:pt>
                <c:pt idx="40">
                  <c:v>02/01/2030</c:v>
                </c:pt>
                <c:pt idx="41">
                  <c:v>03/01/2030</c:v>
                </c:pt>
                <c:pt idx="42">
                  <c:v>04/01/2030</c:v>
                </c:pt>
                <c:pt idx="43">
                  <c:v>05/01/2030</c:v>
                </c:pt>
                <c:pt idx="44">
                  <c:v>06/01/2030</c:v>
                </c:pt>
                <c:pt idx="45">
                  <c:v>07/01/2030</c:v>
                </c:pt>
                <c:pt idx="46">
                  <c:v>08/01/2030</c:v>
                </c:pt>
                <c:pt idx="47">
                  <c:v>09/01/2030</c:v>
                </c:pt>
                <c:pt idx="48">
                  <c:v>10/01/2030</c:v>
                </c:pt>
                <c:pt idx="49">
                  <c:v>11/01/2030</c:v>
                </c:pt>
                <c:pt idx="50">
                  <c:v>12/01/2030</c:v>
                </c:pt>
                <c:pt idx="51">
                  <c:v>01/01/2031</c:v>
                </c:pt>
                <c:pt idx="52">
                  <c:v>02/01/2031</c:v>
                </c:pt>
                <c:pt idx="53">
                  <c:v>03/01/2031</c:v>
                </c:pt>
                <c:pt idx="54">
                  <c:v>04/01/2031</c:v>
                </c:pt>
                <c:pt idx="55">
                  <c:v>05/01/2031</c:v>
                </c:pt>
                <c:pt idx="56">
                  <c:v>06/01/2031</c:v>
                </c:pt>
                <c:pt idx="57">
                  <c:v>07/01/2031</c:v>
                </c:pt>
                <c:pt idx="58">
                  <c:v>08/01/2031</c:v>
                </c:pt>
                <c:pt idx="59">
                  <c:v>09/01/2031</c:v>
                </c:pt>
                <c:pt idx="60">
                  <c:v>10/01/2031</c:v>
                </c:pt>
                <c:pt idx="61">
                  <c:v>11/01/2031</c:v>
                </c:pt>
                <c:pt idx="62">
                  <c:v>12/01/2031</c:v>
                </c:pt>
                <c:pt idx="63">
                  <c:v>01/01/2032</c:v>
                </c:pt>
                <c:pt idx="64">
                  <c:v>02/01/2032</c:v>
                </c:pt>
                <c:pt idx="65">
                  <c:v>03/01/2032</c:v>
                </c:pt>
                <c:pt idx="66">
                  <c:v>04/01/2032</c:v>
                </c:pt>
                <c:pt idx="67">
                  <c:v>05/01/2032</c:v>
                </c:pt>
                <c:pt idx="68">
                  <c:v>06/01/2032</c:v>
                </c:pt>
                <c:pt idx="69">
                  <c:v>07/01/2032</c:v>
                </c:pt>
                <c:pt idx="70">
                  <c:v>08/01/2032</c:v>
                </c:pt>
                <c:pt idx="71">
                  <c:v>09/01/2032</c:v>
                </c:pt>
                <c:pt idx="72">
                  <c:v>10/01/2032</c:v>
                </c:pt>
                <c:pt idx="73">
                  <c:v>11/01/2032</c:v>
                </c:pt>
                <c:pt idx="74">
                  <c:v>12/01/2032</c:v>
                </c:pt>
                <c:pt idx="75">
                  <c:v>01/01/2033</c:v>
                </c:pt>
                <c:pt idx="76">
                  <c:v>02/01/2033</c:v>
                </c:pt>
                <c:pt idx="77">
                  <c:v>03/01/2033</c:v>
                </c:pt>
                <c:pt idx="78">
                  <c:v>04/01/2033</c:v>
                </c:pt>
                <c:pt idx="79">
                  <c:v>05/01/2033</c:v>
                </c:pt>
                <c:pt idx="80">
                  <c:v>06/01/2033</c:v>
                </c:pt>
                <c:pt idx="81">
                  <c:v>07/01/2033</c:v>
                </c:pt>
                <c:pt idx="82">
                  <c:v>08/01/2033</c:v>
                </c:pt>
                <c:pt idx="83">
                  <c:v>09/01/2033</c:v>
                </c:pt>
                <c:pt idx="84">
                  <c:v>10/01/2033</c:v>
                </c:pt>
                <c:pt idx="85">
                  <c:v>11/01/2033</c:v>
                </c:pt>
                <c:pt idx="86">
                  <c:v>12/01/2033</c:v>
                </c:pt>
                <c:pt idx="87">
                  <c:v>01/01/2034</c:v>
                </c:pt>
                <c:pt idx="88">
                  <c:v>02/01/2034</c:v>
                </c:pt>
                <c:pt idx="89">
                  <c:v>03/01/2034</c:v>
                </c:pt>
                <c:pt idx="90">
                  <c:v>04/01/2034</c:v>
                </c:pt>
                <c:pt idx="91">
                  <c:v>05/01/2034</c:v>
                </c:pt>
                <c:pt idx="92">
                  <c:v>06/01/2034</c:v>
                </c:pt>
                <c:pt idx="93">
                  <c:v>07/01/2034</c:v>
                </c:pt>
                <c:pt idx="94">
                  <c:v>08/01/2034</c:v>
                </c:pt>
                <c:pt idx="95">
                  <c:v>09/01/2034</c:v>
                </c:pt>
                <c:pt idx="96">
                  <c:v>10/01/2034</c:v>
                </c:pt>
                <c:pt idx="97">
                  <c:v>11/01/2034</c:v>
                </c:pt>
                <c:pt idx="98">
                  <c:v>12/01/2034</c:v>
                </c:pt>
                <c:pt idx="99">
                  <c:v>01/01/2035</c:v>
                </c:pt>
                <c:pt idx="100">
                  <c:v>02/01/2035</c:v>
                </c:pt>
                <c:pt idx="101">
                  <c:v>03/01/2035</c:v>
                </c:pt>
                <c:pt idx="102">
                  <c:v>04/01/2035</c:v>
                </c:pt>
                <c:pt idx="103">
                  <c:v>05/01/2035</c:v>
                </c:pt>
                <c:pt idx="104">
                  <c:v>06/01/2035</c:v>
                </c:pt>
                <c:pt idx="105">
                  <c:v>07/01/2035</c:v>
                </c:pt>
                <c:pt idx="106">
                  <c:v>08/01/2035</c:v>
                </c:pt>
                <c:pt idx="107">
                  <c:v>09/01/2035</c:v>
                </c:pt>
                <c:pt idx="108">
                  <c:v>10/01/2035</c:v>
                </c:pt>
                <c:pt idx="109">
                  <c:v>11/01/2035</c:v>
                </c:pt>
                <c:pt idx="110">
                  <c:v>12/01/2035</c:v>
                </c:pt>
                <c:pt idx="111">
                  <c:v>01/01/2036</c:v>
                </c:pt>
                <c:pt idx="112">
                  <c:v>02/01/2036</c:v>
                </c:pt>
                <c:pt idx="113">
                  <c:v>03/01/2036</c:v>
                </c:pt>
                <c:pt idx="114">
                  <c:v>04/01/2036</c:v>
                </c:pt>
                <c:pt idx="115">
                  <c:v>05/01/2036</c:v>
                </c:pt>
                <c:pt idx="116">
                  <c:v>06/01/2036</c:v>
                </c:pt>
                <c:pt idx="117">
                  <c:v>07/01/2036</c:v>
                </c:pt>
                <c:pt idx="118">
                  <c:v>08/01/2036</c:v>
                </c:pt>
                <c:pt idx="119">
                  <c:v>09/01/2036</c:v>
                </c:pt>
                <c:pt idx="120">
                  <c:v>10/01/2036</c:v>
                </c:pt>
                <c:pt idx="121">
                  <c:v>11/01/2036</c:v>
                </c:pt>
                <c:pt idx="122">
                  <c:v>12/01/2036</c:v>
                </c:pt>
                <c:pt idx="123">
                  <c:v>01/01/2037</c:v>
                </c:pt>
                <c:pt idx="124">
                  <c:v>02/01/2037</c:v>
                </c:pt>
                <c:pt idx="125">
                  <c:v>03/01/2037</c:v>
                </c:pt>
                <c:pt idx="126">
                  <c:v>04/01/2037</c:v>
                </c:pt>
                <c:pt idx="127">
                  <c:v>05/01/2037</c:v>
                </c:pt>
                <c:pt idx="128">
                  <c:v>06/01/2037</c:v>
                </c:pt>
                <c:pt idx="129">
                  <c:v>07/01/2037</c:v>
                </c:pt>
                <c:pt idx="130">
                  <c:v>08/01/2037</c:v>
                </c:pt>
                <c:pt idx="131">
                  <c:v>09/01/2037</c:v>
                </c:pt>
                <c:pt idx="132">
                  <c:v>10/01/2037</c:v>
                </c:pt>
                <c:pt idx="133">
                  <c:v>11/01/2037</c:v>
                </c:pt>
                <c:pt idx="134">
                  <c:v>12/01/2037</c:v>
                </c:pt>
                <c:pt idx="135">
                  <c:v>01/01/2038</c:v>
                </c:pt>
                <c:pt idx="136">
                  <c:v>02/01/2038</c:v>
                </c:pt>
                <c:pt idx="137">
                  <c:v>03/01/2038</c:v>
                </c:pt>
                <c:pt idx="138">
                  <c:v>04/01/2038</c:v>
                </c:pt>
                <c:pt idx="139">
                  <c:v>05/01/2038</c:v>
                </c:pt>
                <c:pt idx="140">
                  <c:v>06/01/2038</c:v>
                </c:pt>
                <c:pt idx="141">
                  <c:v>07/01/2038</c:v>
                </c:pt>
                <c:pt idx="142">
                  <c:v>08/01/2038</c:v>
                </c:pt>
                <c:pt idx="143">
                  <c:v>09/01/2038</c:v>
                </c:pt>
                <c:pt idx="144">
                  <c:v>10/01/2038</c:v>
                </c:pt>
                <c:pt idx="145">
                  <c:v>11/01/2038</c:v>
                </c:pt>
                <c:pt idx="146">
                  <c:v>12/01/2038</c:v>
                </c:pt>
                <c:pt idx="147">
                  <c:v>01/01/2039</c:v>
                </c:pt>
                <c:pt idx="148">
                  <c:v>02/01/2039</c:v>
                </c:pt>
                <c:pt idx="149">
                  <c:v>03/01/2039</c:v>
                </c:pt>
                <c:pt idx="150">
                  <c:v>04/01/2039</c:v>
                </c:pt>
                <c:pt idx="151">
                  <c:v>05/01/2039</c:v>
                </c:pt>
                <c:pt idx="152">
                  <c:v>06/01/2039</c:v>
                </c:pt>
                <c:pt idx="153">
                  <c:v>07/01/2039</c:v>
                </c:pt>
                <c:pt idx="154">
                  <c:v>08/01/2039</c:v>
                </c:pt>
                <c:pt idx="155">
                  <c:v>09/01/2039</c:v>
                </c:pt>
                <c:pt idx="156">
                  <c:v>10/01/2039</c:v>
                </c:pt>
                <c:pt idx="157">
                  <c:v>11/01/2039</c:v>
                </c:pt>
                <c:pt idx="158">
                  <c:v>12/01/2039</c:v>
                </c:pt>
                <c:pt idx="159">
                  <c:v>01/01/2040</c:v>
                </c:pt>
                <c:pt idx="160">
                  <c:v>02/01/2040</c:v>
                </c:pt>
                <c:pt idx="161">
                  <c:v>03/01/2040</c:v>
                </c:pt>
                <c:pt idx="162">
                  <c:v>04/01/2040</c:v>
                </c:pt>
                <c:pt idx="163">
                  <c:v>05/01/2040</c:v>
                </c:pt>
                <c:pt idx="164">
                  <c:v>06/01/2040</c:v>
                </c:pt>
                <c:pt idx="165">
                  <c:v>07/01/2040</c:v>
                </c:pt>
                <c:pt idx="166">
                  <c:v>08/01/2040</c:v>
                </c:pt>
                <c:pt idx="167">
                  <c:v>09/01/2040</c:v>
                </c:pt>
                <c:pt idx="168">
                  <c:v>10/01/2040</c:v>
                </c:pt>
                <c:pt idx="169">
                  <c:v>11/01/2040</c:v>
                </c:pt>
                <c:pt idx="170">
                  <c:v>12/01/2040</c:v>
                </c:pt>
                <c:pt idx="171">
                  <c:v>01/01/2041</c:v>
                </c:pt>
                <c:pt idx="172">
                  <c:v>02/01/2041</c:v>
                </c:pt>
                <c:pt idx="173">
                  <c:v>03/01/2041</c:v>
                </c:pt>
                <c:pt idx="174">
                  <c:v>04/01/2041</c:v>
                </c:pt>
                <c:pt idx="175">
                  <c:v>05/01/2041</c:v>
                </c:pt>
                <c:pt idx="176">
                  <c:v>06/01/2041</c:v>
                </c:pt>
                <c:pt idx="177">
                  <c:v>07/01/2041</c:v>
                </c:pt>
                <c:pt idx="178">
                  <c:v>08/01/2041</c:v>
                </c:pt>
                <c:pt idx="179">
                  <c:v>09/01/2041</c:v>
                </c:pt>
                <c:pt idx="180">
                  <c:v>10/01/2041</c:v>
                </c:pt>
                <c:pt idx="181">
                  <c:v>11/01/2041</c:v>
                </c:pt>
                <c:pt idx="182">
                  <c:v>12/01/2041</c:v>
                </c:pt>
                <c:pt idx="183">
                  <c:v>01/01/2042</c:v>
                </c:pt>
                <c:pt idx="184">
                  <c:v>02/01/2042</c:v>
                </c:pt>
                <c:pt idx="185">
                  <c:v>03/01/2042</c:v>
                </c:pt>
                <c:pt idx="186">
                  <c:v>04/01/2042</c:v>
                </c:pt>
                <c:pt idx="187">
                  <c:v>05/01/2042</c:v>
                </c:pt>
                <c:pt idx="188">
                  <c:v>06/01/2042</c:v>
                </c:pt>
                <c:pt idx="189">
                  <c:v>07/01/2042</c:v>
                </c:pt>
                <c:pt idx="190">
                  <c:v>08/01/2042</c:v>
                </c:pt>
                <c:pt idx="191">
                  <c:v>09/01/2042</c:v>
                </c:pt>
                <c:pt idx="192">
                  <c:v>10/01/2042</c:v>
                </c:pt>
                <c:pt idx="193">
                  <c:v>11/01/2042</c:v>
                </c:pt>
                <c:pt idx="194">
                  <c:v>12/01/2042</c:v>
                </c:pt>
                <c:pt idx="195">
                  <c:v>01/01/2043</c:v>
                </c:pt>
                <c:pt idx="196">
                  <c:v>02/01/2043</c:v>
                </c:pt>
                <c:pt idx="197">
                  <c:v>03/01/2043</c:v>
                </c:pt>
                <c:pt idx="198">
                  <c:v>04/01/2043</c:v>
                </c:pt>
                <c:pt idx="199">
                  <c:v>05/01/2043</c:v>
                </c:pt>
                <c:pt idx="200">
                  <c:v>06/01/2043</c:v>
                </c:pt>
                <c:pt idx="201">
                  <c:v>07/01/2043</c:v>
                </c:pt>
                <c:pt idx="202">
                  <c:v>08/01/2043</c:v>
                </c:pt>
                <c:pt idx="203">
                  <c:v>09/01/2043</c:v>
                </c:pt>
                <c:pt idx="204">
                  <c:v>10/01/2043</c:v>
                </c:pt>
                <c:pt idx="205">
                  <c:v>11/01/2043</c:v>
                </c:pt>
                <c:pt idx="206">
                  <c:v>12/01/2043</c:v>
                </c:pt>
                <c:pt idx="207">
                  <c:v>01/01/2044</c:v>
                </c:pt>
                <c:pt idx="208">
                  <c:v>02/01/2044</c:v>
                </c:pt>
                <c:pt idx="209">
                  <c:v>03/01/2044</c:v>
                </c:pt>
                <c:pt idx="210">
                  <c:v>04/01/2044</c:v>
                </c:pt>
                <c:pt idx="211">
                  <c:v>05/01/2044</c:v>
                </c:pt>
                <c:pt idx="212">
                  <c:v>06/01/2044</c:v>
                </c:pt>
                <c:pt idx="213">
                  <c:v>07/01/2044</c:v>
                </c:pt>
                <c:pt idx="214">
                  <c:v>08/01/2044</c:v>
                </c:pt>
                <c:pt idx="215">
                  <c:v>09/01/2044</c:v>
                </c:pt>
                <c:pt idx="216">
                  <c:v>10/01/2044</c:v>
                </c:pt>
                <c:pt idx="217">
                  <c:v>11/01/2044</c:v>
                </c:pt>
                <c:pt idx="218">
                  <c:v>12/01/2044</c:v>
                </c:pt>
                <c:pt idx="219">
                  <c:v>01/01/2045</c:v>
                </c:pt>
                <c:pt idx="220">
                  <c:v>02/01/2045</c:v>
                </c:pt>
                <c:pt idx="221">
                  <c:v>03/01/2045</c:v>
                </c:pt>
                <c:pt idx="222">
                  <c:v>04/01/2045</c:v>
                </c:pt>
                <c:pt idx="223">
                  <c:v>05/01/2045</c:v>
                </c:pt>
                <c:pt idx="224">
                  <c:v>06/01/2045</c:v>
                </c:pt>
                <c:pt idx="225">
                  <c:v>07/01/2045</c:v>
                </c:pt>
                <c:pt idx="226">
                  <c:v>08/01/2045</c:v>
                </c:pt>
                <c:pt idx="227">
                  <c:v>09/01/2045</c:v>
                </c:pt>
                <c:pt idx="228">
                  <c:v>10/01/2045</c:v>
                </c:pt>
                <c:pt idx="229">
                  <c:v>11/01/2045</c:v>
                </c:pt>
                <c:pt idx="230">
                  <c:v>12/01/2045</c:v>
                </c:pt>
                <c:pt idx="231">
                  <c:v>01/01/2046</c:v>
                </c:pt>
                <c:pt idx="232">
                  <c:v>02/01/2046</c:v>
                </c:pt>
                <c:pt idx="233">
                  <c:v>03/01/2046</c:v>
                </c:pt>
                <c:pt idx="234">
                  <c:v>04/01/2046</c:v>
                </c:pt>
                <c:pt idx="235">
                  <c:v>05/01/2046</c:v>
                </c:pt>
                <c:pt idx="236">
                  <c:v>06/01/2046</c:v>
                </c:pt>
                <c:pt idx="237">
                  <c:v>07/01/2046</c:v>
                </c:pt>
                <c:pt idx="238">
                  <c:v>08/01/2046</c:v>
                </c:pt>
                <c:pt idx="239">
                  <c:v>09/01/2046</c:v>
                </c:pt>
                <c:pt idx="240">
                  <c:v>10/01/2046</c:v>
                </c:pt>
                <c:pt idx="241">
                  <c:v>11/01/2046</c:v>
                </c:pt>
                <c:pt idx="242">
                  <c:v>12/01/2046</c:v>
                </c:pt>
                <c:pt idx="243">
                  <c:v>01/01/2047</c:v>
                </c:pt>
                <c:pt idx="244">
                  <c:v>02/01/2047</c:v>
                </c:pt>
                <c:pt idx="245">
                  <c:v>03/01/2047</c:v>
                </c:pt>
                <c:pt idx="246">
                  <c:v>04/01/2047</c:v>
                </c:pt>
                <c:pt idx="247">
                  <c:v>05/01/2047</c:v>
                </c:pt>
                <c:pt idx="248">
                  <c:v>06/01/2047</c:v>
                </c:pt>
                <c:pt idx="249">
                  <c:v>07/01/2047</c:v>
                </c:pt>
                <c:pt idx="250">
                  <c:v>08/01/2047</c:v>
                </c:pt>
                <c:pt idx="251">
                  <c:v>09/01/2047</c:v>
                </c:pt>
                <c:pt idx="252">
                  <c:v>10/01/2047</c:v>
                </c:pt>
                <c:pt idx="253">
                  <c:v>11/01/2047</c:v>
                </c:pt>
                <c:pt idx="254">
                  <c:v>12/01/2047</c:v>
                </c:pt>
                <c:pt idx="255">
                  <c:v>01/01/2048</c:v>
                </c:pt>
                <c:pt idx="256">
                  <c:v>02/01/2048</c:v>
                </c:pt>
                <c:pt idx="257">
                  <c:v>03/01/2048</c:v>
                </c:pt>
                <c:pt idx="258">
                  <c:v>04/01/2048</c:v>
                </c:pt>
                <c:pt idx="259">
                  <c:v>05/01/2048</c:v>
                </c:pt>
                <c:pt idx="260">
                  <c:v>06/01/2048</c:v>
                </c:pt>
                <c:pt idx="261">
                  <c:v>07/01/2048</c:v>
                </c:pt>
                <c:pt idx="262">
                  <c:v>08/01/2048</c:v>
                </c:pt>
                <c:pt idx="263">
                  <c:v>09/01/2048</c:v>
                </c:pt>
                <c:pt idx="264">
                  <c:v>10/01/2048</c:v>
                </c:pt>
                <c:pt idx="265">
                  <c:v>11/01/2048</c:v>
                </c:pt>
                <c:pt idx="266">
                  <c:v>12/01/2048</c:v>
                </c:pt>
                <c:pt idx="267">
                  <c:v>01/01/2049</c:v>
                </c:pt>
                <c:pt idx="268">
                  <c:v>02/01/2049</c:v>
                </c:pt>
                <c:pt idx="269">
                  <c:v>03/01/2049</c:v>
                </c:pt>
                <c:pt idx="270">
                  <c:v>04/01/2049</c:v>
                </c:pt>
                <c:pt idx="271">
                  <c:v>05/01/2049</c:v>
                </c:pt>
                <c:pt idx="272">
                  <c:v>06/01/2049</c:v>
                </c:pt>
                <c:pt idx="273">
                  <c:v>07/01/2049</c:v>
                </c:pt>
                <c:pt idx="274">
                  <c:v>08/01/2049</c:v>
                </c:pt>
                <c:pt idx="275">
                  <c:v>09/01/2049</c:v>
                </c:pt>
                <c:pt idx="276">
                  <c:v>10/01/2049</c:v>
                </c:pt>
                <c:pt idx="277">
                  <c:v>11/01/2049</c:v>
                </c:pt>
                <c:pt idx="278">
                  <c:v>12/01/2049</c:v>
                </c:pt>
                <c:pt idx="279">
                  <c:v>01/01/2050</c:v>
                </c:pt>
                <c:pt idx="280">
                  <c:v>02/01/2050</c:v>
                </c:pt>
                <c:pt idx="281">
                  <c:v>03/01/2050</c:v>
                </c:pt>
                <c:pt idx="282">
                  <c:v>04/01/2050</c:v>
                </c:pt>
                <c:pt idx="283">
                  <c:v>05/01/2050</c:v>
                </c:pt>
                <c:pt idx="284">
                  <c:v>06/01/2050</c:v>
                </c:pt>
                <c:pt idx="285">
                  <c:v>07/01/2050</c:v>
                </c:pt>
                <c:pt idx="286">
                  <c:v>08/01/2050</c:v>
                </c:pt>
                <c:pt idx="287">
                  <c:v>09/01/2050</c:v>
                </c:pt>
                <c:pt idx="288">
                  <c:v>10/01/2050</c:v>
                </c:pt>
                <c:pt idx="289">
                  <c:v>11/01/2050</c:v>
                </c:pt>
                <c:pt idx="290">
                  <c:v>12/01/2050</c:v>
                </c:pt>
                <c:pt idx="291">
                  <c:v>01/01/2051</c:v>
                </c:pt>
                <c:pt idx="292">
                  <c:v>02/01/2051</c:v>
                </c:pt>
                <c:pt idx="293">
                  <c:v>03/01/2051</c:v>
                </c:pt>
                <c:pt idx="294">
                  <c:v>04/01/2051</c:v>
                </c:pt>
                <c:pt idx="295">
                  <c:v>05/01/2051</c:v>
                </c:pt>
                <c:pt idx="296">
                  <c:v>06/01/2051</c:v>
                </c:pt>
                <c:pt idx="297">
                  <c:v>07/01/2051</c:v>
                </c:pt>
                <c:pt idx="298">
                  <c:v>08/01/2051</c:v>
                </c:pt>
                <c:pt idx="299">
                  <c:v>09/01/2051</c:v>
                </c:pt>
                <c:pt idx="300">
                  <c:v>10/01/2051</c:v>
                </c:pt>
                <c:pt idx="301">
                  <c:v>11/01/2051</c:v>
                </c:pt>
                <c:pt idx="302">
                  <c:v>12/01/2051</c:v>
                </c:pt>
                <c:pt idx="303">
                  <c:v>01/01/2052</c:v>
                </c:pt>
                <c:pt idx="304">
                  <c:v>02/01/2052</c:v>
                </c:pt>
                <c:pt idx="305">
                  <c:v>03/01/2052</c:v>
                </c:pt>
                <c:pt idx="306">
                  <c:v>04/01/2052</c:v>
                </c:pt>
                <c:pt idx="307">
                  <c:v>05/01/2052</c:v>
                </c:pt>
                <c:pt idx="308">
                  <c:v>06/01/2052</c:v>
                </c:pt>
                <c:pt idx="309">
                  <c:v>07/01/2052</c:v>
                </c:pt>
                <c:pt idx="310">
                  <c:v>08/01/2052</c:v>
                </c:pt>
                <c:pt idx="311">
                  <c:v>09/01/2052</c:v>
                </c:pt>
                <c:pt idx="312">
                  <c:v>10/01/2052</c:v>
                </c:pt>
                <c:pt idx="313">
                  <c:v>11/01/2052</c:v>
                </c:pt>
                <c:pt idx="314">
                  <c:v>12/01/2052</c:v>
                </c:pt>
                <c:pt idx="315">
                  <c:v>01/01/2053</c:v>
                </c:pt>
                <c:pt idx="316">
                  <c:v>02/01/2053</c:v>
                </c:pt>
                <c:pt idx="317">
                  <c:v>03/01/2053</c:v>
                </c:pt>
                <c:pt idx="318">
                  <c:v>04/01/2053</c:v>
                </c:pt>
                <c:pt idx="319">
                  <c:v>05/01/2053</c:v>
                </c:pt>
                <c:pt idx="320">
                  <c:v>06/01/2053</c:v>
                </c:pt>
                <c:pt idx="321">
                  <c:v>07/01/2053</c:v>
                </c:pt>
                <c:pt idx="322">
                  <c:v>08/01/2053</c:v>
                </c:pt>
                <c:pt idx="323">
                  <c:v>09/01/2053</c:v>
                </c:pt>
                <c:pt idx="324">
                  <c:v>10/01/2053</c:v>
                </c:pt>
                <c:pt idx="325">
                  <c:v>11/01/2053</c:v>
                </c:pt>
                <c:pt idx="326">
                  <c:v>12/01/2053</c:v>
                </c:pt>
                <c:pt idx="327">
                  <c:v>01/01/2054</c:v>
                </c:pt>
                <c:pt idx="328">
                  <c:v>02/01/2054</c:v>
                </c:pt>
                <c:pt idx="329">
                  <c:v>03/01/2054</c:v>
                </c:pt>
                <c:pt idx="330">
                  <c:v>04/01/2054</c:v>
                </c:pt>
                <c:pt idx="331">
                  <c:v>05/01/2054</c:v>
                </c:pt>
                <c:pt idx="332">
                  <c:v>06/01/2054</c:v>
                </c:pt>
                <c:pt idx="333">
                  <c:v>07/01/2054</c:v>
                </c:pt>
                <c:pt idx="334">
                  <c:v>08/01/2054</c:v>
                </c:pt>
                <c:pt idx="335">
                  <c:v>09/01/2054</c:v>
                </c:pt>
                <c:pt idx="336">
                  <c:v>10/01/2054</c:v>
                </c:pt>
                <c:pt idx="337">
                  <c:v>11/01/2054</c:v>
                </c:pt>
                <c:pt idx="338">
                  <c:v>12/01/2054</c:v>
                </c:pt>
                <c:pt idx="339">
                  <c:v>01/01/2055</c:v>
                </c:pt>
                <c:pt idx="340">
                  <c:v>02/01/2055</c:v>
                </c:pt>
                <c:pt idx="341">
                  <c:v>03/01/2055</c:v>
                </c:pt>
                <c:pt idx="342">
                  <c:v>04/01/2055</c:v>
                </c:pt>
                <c:pt idx="343">
                  <c:v>05/01/2055</c:v>
                </c:pt>
                <c:pt idx="344">
                  <c:v>06/01/2055</c:v>
                </c:pt>
                <c:pt idx="345">
                  <c:v>07/01/2055</c:v>
                </c:pt>
                <c:pt idx="346">
                  <c:v>08/01/2055</c:v>
                </c:pt>
                <c:pt idx="347">
                  <c:v>09/01/2055</c:v>
                </c:pt>
                <c:pt idx="348">
                  <c:v>10/01/2055</c:v>
                </c:pt>
                <c:pt idx="349">
                  <c:v>11/01/2055</c:v>
                </c:pt>
                <c:pt idx="350">
                  <c:v>12/01/2055</c:v>
                </c:pt>
                <c:pt idx="351">
                  <c:v>01/01/2056</c:v>
                </c:pt>
                <c:pt idx="352">
                  <c:v>02/01/2056</c:v>
                </c:pt>
                <c:pt idx="353">
                  <c:v>03/01/2056</c:v>
                </c:pt>
                <c:pt idx="354">
                  <c:v>04/01/2056</c:v>
                </c:pt>
                <c:pt idx="355">
                  <c:v>05/01/2056</c:v>
                </c:pt>
                <c:pt idx="356">
                  <c:v>06/01/2056</c:v>
                </c:pt>
                <c:pt idx="357">
                  <c:v>07/01/2056</c:v>
                </c:pt>
                <c:pt idx="358">
                  <c:v>08/01/2056</c:v>
                </c:pt>
                <c:pt idx="359">
                  <c:v>09/01/2056</c:v>
                </c:pt>
                <c:pt idx="360">
                  <c:v>10/01/2056</c:v>
                </c:pt>
                <c:pt idx="361">
                  <c:v>11/01/2056</c:v>
                </c:pt>
                <c:pt idx="362">
                  <c:v>12/01/2056</c:v>
                </c:pt>
                <c:pt idx="363">
                  <c:v>01/01/2057</c:v>
                </c:pt>
                <c:pt idx="364">
                  <c:v>02/01/2057</c:v>
                </c:pt>
                <c:pt idx="365">
                  <c:v>03/01/2057</c:v>
                </c:pt>
                <c:pt idx="366">
                  <c:v>04/01/2057</c:v>
                </c:pt>
                <c:pt idx="367">
                  <c:v>05/01/2057</c:v>
                </c:pt>
                <c:pt idx="368">
                  <c:v>06/01/2057</c:v>
                </c:pt>
                <c:pt idx="369">
                  <c:v>07/01/2057</c:v>
                </c:pt>
                <c:pt idx="370">
                  <c:v>08/01/2057</c:v>
                </c:pt>
                <c:pt idx="371">
                  <c:v>09/01/2057</c:v>
                </c:pt>
                <c:pt idx="372">
                  <c:v>10/01/2057</c:v>
                </c:pt>
                <c:pt idx="373">
                  <c:v>11/01/2057</c:v>
                </c:pt>
                <c:pt idx="374">
                  <c:v>12/01/2057</c:v>
                </c:pt>
                <c:pt idx="375">
                  <c:v>01/01/2058</c:v>
                </c:pt>
                <c:pt idx="376">
                  <c:v>02/01/2058</c:v>
                </c:pt>
                <c:pt idx="377">
                  <c:v>03/01/2058</c:v>
                </c:pt>
                <c:pt idx="378">
                  <c:v>04/01/2058</c:v>
                </c:pt>
                <c:pt idx="379">
                  <c:v>05/01/2058</c:v>
                </c:pt>
                <c:pt idx="380">
                  <c:v>06/01/2058</c:v>
                </c:pt>
                <c:pt idx="381">
                  <c:v>07/01/2058</c:v>
                </c:pt>
                <c:pt idx="382">
                  <c:v>08/01/2058</c:v>
                </c:pt>
                <c:pt idx="383">
                  <c:v>09/01/2058</c:v>
                </c:pt>
                <c:pt idx="384">
                  <c:v>10/01/2058</c:v>
                </c:pt>
                <c:pt idx="385">
                  <c:v>11/01/2058</c:v>
                </c:pt>
                <c:pt idx="386">
                  <c:v>12/01/2058</c:v>
                </c:pt>
                <c:pt idx="387">
                  <c:v>01/01/2059</c:v>
                </c:pt>
                <c:pt idx="388">
                  <c:v>02/01/2059</c:v>
                </c:pt>
                <c:pt idx="389">
                  <c:v>03/01/2059</c:v>
                </c:pt>
                <c:pt idx="390">
                  <c:v>04/01/2059</c:v>
                </c:pt>
                <c:pt idx="391">
                  <c:v>05/01/2059</c:v>
                </c:pt>
                <c:pt idx="392">
                  <c:v>06/01/2059</c:v>
                </c:pt>
                <c:pt idx="393">
                  <c:v>07/01/2059</c:v>
                </c:pt>
                <c:pt idx="394">
                  <c:v>08/01/2059</c:v>
                </c:pt>
                <c:pt idx="395">
                  <c:v>09/01/2059</c:v>
                </c:pt>
                <c:pt idx="396">
                  <c:v>10/01/2059</c:v>
                </c:pt>
                <c:pt idx="397">
                  <c:v>11/01/2059</c:v>
                </c:pt>
                <c:pt idx="398">
                  <c:v>12/01/2059</c:v>
                </c:pt>
                <c:pt idx="399">
                  <c:v>01/01/2060</c:v>
                </c:pt>
                <c:pt idx="400">
                  <c:v>02/01/2060</c:v>
                </c:pt>
                <c:pt idx="401">
                  <c:v>03/01/2060</c:v>
                </c:pt>
                <c:pt idx="402">
                  <c:v>04/01/2060</c:v>
                </c:pt>
                <c:pt idx="403">
                  <c:v>05/01/2060</c:v>
                </c:pt>
                <c:pt idx="404">
                  <c:v>06/01/2060</c:v>
                </c:pt>
                <c:pt idx="405">
                  <c:v>07/01/2060</c:v>
                </c:pt>
                <c:pt idx="406">
                  <c:v>08/01/2060</c:v>
                </c:pt>
                <c:pt idx="407">
                  <c:v>09/01/2060</c:v>
                </c:pt>
                <c:pt idx="408">
                  <c:v>10/01/2060</c:v>
                </c:pt>
                <c:pt idx="409">
                  <c:v>11/01/2060</c:v>
                </c:pt>
                <c:pt idx="410">
                  <c:v>12/01/2060</c:v>
                </c:pt>
                <c:pt idx="411">
                  <c:v>01/01/2061</c:v>
                </c:pt>
                <c:pt idx="412">
                  <c:v>02/01/2061</c:v>
                </c:pt>
                <c:pt idx="413">
                  <c:v>03/01/2061</c:v>
                </c:pt>
                <c:pt idx="414">
                  <c:v>04/01/2061</c:v>
                </c:pt>
                <c:pt idx="415">
                  <c:v>05/01/2061</c:v>
                </c:pt>
                <c:pt idx="416">
                  <c:v>06/01/2061</c:v>
                </c:pt>
                <c:pt idx="417">
                  <c:v>07/01/2061</c:v>
                </c:pt>
                <c:pt idx="418">
                  <c:v>08/01/2061</c:v>
                </c:pt>
                <c:pt idx="419">
                  <c:v>09/01/2061</c:v>
                </c:pt>
                <c:pt idx="420">
                  <c:v>10/01/2061</c:v>
                </c:pt>
                <c:pt idx="421">
                  <c:v>11/01/2061</c:v>
                </c:pt>
                <c:pt idx="422">
                  <c:v>12/01/2061</c:v>
                </c:pt>
                <c:pt idx="423">
                  <c:v>01/01/2062</c:v>
                </c:pt>
                <c:pt idx="424">
                  <c:v>02/01/2062</c:v>
                </c:pt>
                <c:pt idx="425">
                  <c:v>03/01/2062</c:v>
                </c:pt>
                <c:pt idx="426">
                  <c:v>04/01/2062</c:v>
                </c:pt>
                <c:pt idx="427">
                  <c:v>05/01/2062</c:v>
                </c:pt>
                <c:pt idx="428">
                  <c:v>06/01/2062</c:v>
                </c:pt>
                <c:pt idx="429">
                  <c:v>07/01/2062</c:v>
                </c:pt>
                <c:pt idx="430">
                  <c:v>08/01/2062</c:v>
                </c:pt>
                <c:pt idx="431">
                  <c:v>09/01/2062</c:v>
                </c:pt>
                <c:pt idx="432">
                  <c:v>10/01/2062</c:v>
                </c:pt>
                <c:pt idx="433">
                  <c:v>11/01/2062</c:v>
                </c:pt>
                <c:pt idx="434">
                  <c:v>12/01/2062</c:v>
                </c:pt>
                <c:pt idx="435">
                  <c:v>01/01/2063</c:v>
                </c:pt>
                <c:pt idx="436">
                  <c:v>02/01/2063</c:v>
                </c:pt>
                <c:pt idx="437">
                  <c:v>03/01/2063</c:v>
                </c:pt>
                <c:pt idx="438">
                  <c:v>04/01/2063</c:v>
                </c:pt>
                <c:pt idx="439">
                  <c:v>05/01/2063</c:v>
                </c:pt>
                <c:pt idx="440">
                  <c:v>06/01/2063</c:v>
                </c:pt>
                <c:pt idx="441">
                  <c:v>07/01/2063</c:v>
                </c:pt>
                <c:pt idx="442">
                  <c:v>08/01/2063</c:v>
                </c:pt>
                <c:pt idx="443">
                  <c:v>09/01/2063</c:v>
                </c:pt>
                <c:pt idx="444">
                  <c:v>10/01/2063</c:v>
                </c:pt>
                <c:pt idx="445">
                  <c:v>11/01/2063</c:v>
                </c:pt>
                <c:pt idx="446">
                  <c:v>12/01/2063</c:v>
                </c:pt>
                <c:pt idx="447">
                  <c:v>01/01/2064</c:v>
                </c:pt>
                <c:pt idx="448">
                  <c:v>02/01/2064</c:v>
                </c:pt>
                <c:pt idx="449">
                  <c:v>03/01/2064</c:v>
                </c:pt>
                <c:pt idx="450">
                  <c:v>04/01/2064</c:v>
                </c:pt>
                <c:pt idx="451">
                  <c:v>05/01/2064</c:v>
                </c:pt>
                <c:pt idx="452">
                  <c:v>06/01/2064</c:v>
                </c:pt>
                <c:pt idx="453">
                  <c:v>07/01/2064</c:v>
                </c:pt>
                <c:pt idx="454">
                  <c:v>08/01/2064</c:v>
                </c:pt>
                <c:pt idx="455">
                  <c:v>09/01/2064</c:v>
                </c:pt>
                <c:pt idx="456">
                  <c:v>10/01/2064</c:v>
                </c:pt>
                <c:pt idx="457">
                  <c:v>11/01/2064</c:v>
                </c:pt>
                <c:pt idx="458">
                  <c:v>12/01/2064</c:v>
                </c:pt>
                <c:pt idx="459">
                  <c:v>01/01/2065</c:v>
                </c:pt>
                <c:pt idx="460">
                  <c:v>02/01/2065</c:v>
                </c:pt>
                <c:pt idx="461">
                  <c:v>03/01/2065</c:v>
                </c:pt>
                <c:pt idx="462">
                  <c:v>04/01/2065</c:v>
                </c:pt>
                <c:pt idx="463">
                  <c:v>05/01/2065</c:v>
                </c:pt>
                <c:pt idx="464">
                  <c:v>06/01/2065</c:v>
                </c:pt>
                <c:pt idx="465">
                  <c:v>07/01/2065</c:v>
                </c:pt>
                <c:pt idx="466">
                  <c:v>08/01/2065</c:v>
                </c:pt>
                <c:pt idx="467">
                  <c:v>09/01/2065</c:v>
                </c:pt>
                <c:pt idx="468">
                  <c:v>10/01/2065</c:v>
                </c:pt>
                <c:pt idx="469">
                  <c:v>11/01/2065</c:v>
                </c:pt>
                <c:pt idx="470">
                  <c:v>12/01/2065</c:v>
                </c:pt>
                <c:pt idx="471">
                  <c:v>01/01/2066</c:v>
                </c:pt>
                <c:pt idx="472">
                  <c:v>02/01/2066</c:v>
                </c:pt>
                <c:pt idx="473">
                  <c:v>03/01/2066</c:v>
                </c:pt>
                <c:pt idx="474">
                  <c:v>04/01/2066</c:v>
                </c:pt>
                <c:pt idx="475">
                  <c:v>05/01/2066</c:v>
                </c:pt>
                <c:pt idx="476">
                  <c:v>06/01/2066</c:v>
                </c:pt>
                <c:pt idx="477">
                  <c:v>07/01/2066</c:v>
                </c:pt>
                <c:pt idx="478">
                  <c:v>08/01/2066</c:v>
                </c:pt>
                <c:pt idx="479">
                  <c:v>09/01/2066</c:v>
                </c:pt>
              </c:strCache>
            </c:strRef>
          </c:cat>
          <c:val>
            <c:numRef>
              <c:f>Baseline!$H$6:$H$485</c:f>
              <c:numCache>
                <c:formatCode>\$#,##0.00;"($"#,##0.00\);\-</c:formatCode>
                <c:ptCount val="480"/>
                <c:pt idx="0">
                  <c:v>419620.31</c:v>
                </c:pt>
                <c:pt idx="1">
                  <c:v>419238.56</c:v>
                </c:pt>
                <c:pt idx="2">
                  <c:v>418854.75</c:v>
                </c:pt>
                <c:pt idx="3">
                  <c:v>418468.86</c:v>
                </c:pt>
                <c:pt idx="4">
                  <c:v>418080.88</c:v>
                </c:pt>
                <c:pt idx="5">
                  <c:v>417690.79</c:v>
                </c:pt>
                <c:pt idx="6">
                  <c:v>417298.59</c:v>
                </c:pt>
                <c:pt idx="7">
                  <c:v>416904.27</c:v>
                </c:pt>
                <c:pt idx="8">
                  <c:v>416507.81</c:v>
                </c:pt>
                <c:pt idx="9">
                  <c:v>416109.2</c:v>
                </c:pt>
                <c:pt idx="10">
                  <c:v>415708.43</c:v>
                </c:pt>
                <c:pt idx="11">
                  <c:v>415305.49</c:v>
                </c:pt>
                <c:pt idx="12">
                  <c:v>414900.37</c:v>
                </c:pt>
                <c:pt idx="13">
                  <c:v>414493.06</c:v>
                </c:pt>
                <c:pt idx="14">
                  <c:v>414083.54</c:v>
                </c:pt>
                <c:pt idx="15">
                  <c:v>413671.8</c:v>
                </c:pt>
                <c:pt idx="16">
                  <c:v>413257.83</c:v>
                </c:pt>
                <c:pt idx="17">
                  <c:v>412841.62</c:v>
                </c:pt>
                <c:pt idx="18">
                  <c:v>412423.16</c:v>
                </c:pt>
                <c:pt idx="19">
                  <c:v>412002.43</c:v>
                </c:pt>
                <c:pt idx="20">
                  <c:v>411579.42</c:v>
                </c:pt>
                <c:pt idx="21">
                  <c:v>411154.12</c:v>
                </c:pt>
                <c:pt idx="22">
                  <c:v>410726.51</c:v>
                </c:pt>
                <c:pt idx="23">
                  <c:v>410296.59</c:v>
                </c:pt>
                <c:pt idx="24">
                  <c:v>409864.34</c:v>
                </c:pt>
                <c:pt idx="25">
                  <c:v>409429.75</c:v>
                </c:pt>
                <c:pt idx="26">
                  <c:v>408992.8</c:v>
                </c:pt>
                <c:pt idx="27">
                  <c:v>408553.49</c:v>
                </c:pt>
                <c:pt idx="28">
                  <c:v>408111.8</c:v>
                </c:pt>
                <c:pt idx="29">
                  <c:v>407667.72</c:v>
                </c:pt>
                <c:pt idx="30">
                  <c:v>407221.23</c:v>
                </c:pt>
                <c:pt idx="31">
                  <c:v>406772.32</c:v>
                </c:pt>
                <c:pt idx="32">
                  <c:v>406320.98</c:v>
                </c:pt>
                <c:pt idx="33">
                  <c:v>405867.2</c:v>
                </c:pt>
                <c:pt idx="34">
                  <c:v>405410.96</c:v>
                </c:pt>
                <c:pt idx="35">
                  <c:v>404952.25</c:v>
                </c:pt>
                <c:pt idx="36">
                  <c:v>404491.05</c:v>
                </c:pt>
                <c:pt idx="37">
                  <c:v>404027.35</c:v>
                </c:pt>
                <c:pt idx="38">
                  <c:v>403561.14</c:v>
                </c:pt>
                <c:pt idx="39">
                  <c:v>403092.41</c:v>
                </c:pt>
                <c:pt idx="40">
                  <c:v>402621.14</c:v>
                </c:pt>
                <c:pt idx="41">
                  <c:v>402147.31</c:v>
                </c:pt>
                <c:pt idx="42">
                  <c:v>401670.92</c:v>
                </c:pt>
                <c:pt idx="43">
                  <c:v>401191.95</c:v>
                </c:pt>
                <c:pt idx="44">
                  <c:v>400710.38</c:v>
                </c:pt>
                <c:pt idx="45">
                  <c:v>400226.2</c:v>
                </c:pt>
                <c:pt idx="46">
                  <c:v>399739.4</c:v>
                </c:pt>
                <c:pt idx="47">
                  <c:v>399249.97</c:v>
                </c:pt>
                <c:pt idx="48">
                  <c:v>398757.88</c:v>
                </c:pt>
                <c:pt idx="49">
                  <c:v>398263.13</c:v>
                </c:pt>
                <c:pt idx="50">
                  <c:v>397765.7</c:v>
                </c:pt>
                <c:pt idx="51">
                  <c:v>397265.57</c:v>
                </c:pt>
                <c:pt idx="52">
                  <c:v>396762.74</c:v>
                </c:pt>
                <c:pt idx="53">
                  <c:v>396257.18</c:v>
                </c:pt>
                <c:pt idx="54">
                  <c:v>395748.88</c:v>
                </c:pt>
                <c:pt idx="55">
                  <c:v>395237.83</c:v>
                </c:pt>
                <c:pt idx="56">
                  <c:v>394724.01</c:v>
                </c:pt>
                <c:pt idx="57">
                  <c:v>394207.41</c:v>
                </c:pt>
                <c:pt idx="58">
                  <c:v>393688.01</c:v>
                </c:pt>
                <c:pt idx="59">
                  <c:v>393165.8</c:v>
                </c:pt>
                <c:pt idx="60">
                  <c:v>392640.76</c:v>
                </c:pt>
                <c:pt idx="61">
                  <c:v>392112.87</c:v>
                </c:pt>
                <c:pt idx="62">
                  <c:v>391582.12</c:v>
                </c:pt>
                <c:pt idx="63">
                  <c:v>391048.5</c:v>
                </c:pt>
                <c:pt idx="64">
                  <c:v>390511.99</c:v>
                </c:pt>
                <c:pt idx="65">
                  <c:v>389972.57</c:v>
                </c:pt>
                <c:pt idx="66">
                  <c:v>389430.23</c:v>
                </c:pt>
                <c:pt idx="67">
                  <c:v>388884.95</c:v>
                </c:pt>
                <c:pt idx="68">
                  <c:v>388336.72</c:v>
                </c:pt>
                <c:pt idx="69">
                  <c:v>387785.52</c:v>
                </c:pt>
                <c:pt idx="70">
                  <c:v>387231.33</c:v>
                </c:pt>
                <c:pt idx="71">
                  <c:v>386674.14</c:v>
                </c:pt>
                <c:pt idx="72">
                  <c:v>386113.93</c:v>
                </c:pt>
                <c:pt idx="73">
                  <c:v>385550.69</c:v>
                </c:pt>
                <c:pt idx="74">
                  <c:v>384984.4</c:v>
                </c:pt>
                <c:pt idx="75">
                  <c:v>384415.04</c:v>
                </c:pt>
                <c:pt idx="76">
                  <c:v>383842.6</c:v>
                </c:pt>
                <c:pt idx="77">
                  <c:v>383267.06</c:v>
                </c:pt>
                <c:pt idx="78">
                  <c:v>382688.4</c:v>
                </c:pt>
                <c:pt idx="79">
                  <c:v>382106.61</c:v>
                </c:pt>
                <c:pt idx="80">
                  <c:v>381521.66</c:v>
                </c:pt>
                <c:pt idx="81">
                  <c:v>380933.55</c:v>
                </c:pt>
                <c:pt idx="82">
                  <c:v>380342.25</c:v>
                </c:pt>
                <c:pt idx="83">
                  <c:v>379747.75</c:v>
                </c:pt>
                <c:pt idx="84">
                  <c:v>379150.03</c:v>
                </c:pt>
                <c:pt idx="85">
                  <c:v>378549.07</c:v>
                </c:pt>
                <c:pt idx="86">
                  <c:v>377944.85</c:v>
                </c:pt>
                <c:pt idx="87">
                  <c:v>377337.36</c:v>
                </c:pt>
                <c:pt idx="88">
                  <c:v>376726.58</c:v>
                </c:pt>
                <c:pt idx="89">
                  <c:v>376112.49</c:v>
                </c:pt>
                <c:pt idx="90">
                  <c:v>375495.08</c:v>
                </c:pt>
                <c:pt idx="91">
                  <c:v>374874.32</c:v>
                </c:pt>
                <c:pt idx="92">
                  <c:v>374250.2</c:v>
                </c:pt>
                <c:pt idx="93">
                  <c:v>373622.7</c:v>
                </c:pt>
                <c:pt idx="94">
                  <c:v>372991.8</c:v>
                </c:pt>
                <c:pt idx="95">
                  <c:v>372357.48</c:v>
                </c:pt>
                <c:pt idx="96">
                  <c:v>371719.73</c:v>
                </c:pt>
                <c:pt idx="97">
                  <c:v>371078.52</c:v>
                </c:pt>
                <c:pt idx="98">
                  <c:v>370433.84</c:v>
                </c:pt>
                <c:pt idx="99">
                  <c:v>369785.67</c:v>
                </c:pt>
                <c:pt idx="100">
                  <c:v>369133.99</c:v>
                </c:pt>
                <c:pt idx="101">
                  <c:v>368478.78</c:v>
                </c:pt>
                <c:pt idx="102">
                  <c:v>367820.02</c:v>
                </c:pt>
                <c:pt idx="103">
                  <c:v>367157.69</c:v>
                </c:pt>
                <c:pt idx="104">
                  <c:v>366491.77</c:v>
                </c:pt>
                <c:pt idx="105">
                  <c:v>365822.24</c:v>
                </c:pt>
                <c:pt idx="106">
                  <c:v>365149.09</c:v>
                </c:pt>
                <c:pt idx="107">
                  <c:v>364472.29</c:v>
                </c:pt>
                <c:pt idx="108">
                  <c:v>363791.82</c:v>
                </c:pt>
                <c:pt idx="109">
                  <c:v>363107.67</c:v>
                </c:pt>
                <c:pt idx="110">
                  <c:v>362419.81</c:v>
                </c:pt>
                <c:pt idx="111">
                  <c:v>361728.23</c:v>
                </c:pt>
                <c:pt idx="112">
                  <c:v>361032.9</c:v>
                </c:pt>
                <c:pt idx="113">
                  <c:v>360333.8</c:v>
                </c:pt>
                <c:pt idx="114">
                  <c:v>359630.92</c:v>
                </c:pt>
                <c:pt idx="115">
                  <c:v>358924.23</c:v>
                </c:pt>
                <c:pt idx="116">
                  <c:v>358213.71</c:v>
                </c:pt>
                <c:pt idx="117">
                  <c:v>357499.34</c:v>
                </c:pt>
                <c:pt idx="118">
                  <c:v>356781.1</c:v>
                </c:pt>
                <c:pt idx="119">
                  <c:v>356058.97</c:v>
                </c:pt>
                <c:pt idx="120">
                  <c:v>355332.93</c:v>
                </c:pt>
                <c:pt idx="121">
                  <c:v>354602.96</c:v>
                </c:pt>
                <c:pt idx="122">
                  <c:v>353869.04</c:v>
                </c:pt>
                <c:pt idx="123">
                  <c:v>353131.14</c:v>
                </c:pt>
                <c:pt idx="124">
                  <c:v>352389.24</c:v>
                </c:pt>
                <c:pt idx="125">
                  <c:v>351643.33</c:v>
                </c:pt>
                <c:pt idx="126">
                  <c:v>350893.37</c:v>
                </c:pt>
                <c:pt idx="127">
                  <c:v>350139.35</c:v>
                </c:pt>
                <c:pt idx="128">
                  <c:v>349381.25</c:v>
                </c:pt>
                <c:pt idx="129">
                  <c:v>348619.04</c:v>
                </c:pt>
                <c:pt idx="130">
                  <c:v>347852.7</c:v>
                </c:pt>
                <c:pt idx="131">
                  <c:v>347082.21</c:v>
                </c:pt>
                <c:pt idx="132">
                  <c:v>346307.55</c:v>
                </c:pt>
                <c:pt idx="133">
                  <c:v>345528.69</c:v>
                </c:pt>
                <c:pt idx="134">
                  <c:v>344745.61</c:v>
                </c:pt>
                <c:pt idx="135">
                  <c:v>343958.29</c:v>
                </c:pt>
                <c:pt idx="136">
                  <c:v>343166.71</c:v>
                </c:pt>
                <c:pt idx="137">
                  <c:v>342370.84</c:v>
                </c:pt>
                <c:pt idx="138">
                  <c:v>341570.66</c:v>
                </c:pt>
                <c:pt idx="139">
                  <c:v>340766.14</c:v>
                </c:pt>
                <c:pt idx="140">
                  <c:v>339957.27</c:v>
                </c:pt>
                <c:pt idx="141">
                  <c:v>339144.02</c:v>
                </c:pt>
                <c:pt idx="142">
                  <c:v>338326.36</c:v>
                </c:pt>
                <c:pt idx="143">
                  <c:v>337504.27</c:v>
                </c:pt>
                <c:pt idx="144">
                  <c:v>336677.73</c:v>
                </c:pt>
                <c:pt idx="145">
                  <c:v>335846.71</c:v>
                </c:pt>
                <c:pt idx="146">
                  <c:v>335011.19</c:v>
                </c:pt>
                <c:pt idx="147">
                  <c:v>334171.14</c:v>
                </c:pt>
                <c:pt idx="148">
                  <c:v>333326.54</c:v>
                </c:pt>
                <c:pt idx="149">
                  <c:v>332477.37</c:v>
                </c:pt>
                <c:pt idx="150">
                  <c:v>331623.6</c:v>
                </c:pt>
                <c:pt idx="151">
                  <c:v>330765.2</c:v>
                </c:pt>
                <c:pt idx="152">
                  <c:v>329902.15</c:v>
                </c:pt>
                <c:pt idx="153">
                  <c:v>329034.43</c:v>
                </c:pt>
                <c:pt idx="154">
                  <c:v>328162.01</c:v>
                </c:pt>
                <c:pt idx="155">
                  <c:v>327284.86</c:v>
                </c:pt>
                <c:pt idx="156">
                  <c:v>326402.96</c:v>
                </c:pt>
                <c:pt idx="157">
                  <c:v>325516.29</c:v>
                </c:pt>
                <c:pt idx="158">
                  <c:v>324624.81</c:v>
                </c:pt>
                <c:pt idx="159">
                  <c:v>323728.5</c:v>
                </c:pt>
                <c:pt idx="160">
                  <c:v>322827.34</c:v>
                </c:pt>
                <c:pt idx="161">
                  <c:v>321921.3</c:v>
                </c:pt>
                <c:pt idx="162">
                  <c:v>321010.35</c:v>
                </c:pt>
                <c:pt idx="163">
                  <c:v>320094.47</c:v>
                </c:pt>
                <c:pt idx="164">
                  <c:v>319173.63</c:v>
                </c:pt>
                <c:pt idx="165">
                  <c:v>318247.8</c:v>
                </c:pt>
                <c:pt idx="166">
                  <c:v>317316.95</c:v>
                </c:pt>
                <c:pt idx="167">
                  <c:v>316381.06</c:v>
                </c:pt>
                <c:pt idx="168">
                  <c:v>315440.1</c:v>
                </c:pt>
                <c:pt idx="169">
                  <c:v>314494.04</c:v>
                </c:pt>
                <c:pt idx="170">
                  <c:v>313542.86</c:v>
                </c:pt>
                <c:pt idx="171">
                  <c:v>312586.53</c:v>
                </c:pt>
                <c:pt idx="172">
                  <c:v>311625.02</c:v>
                </c:pt>
                <c:pt idx="173">
                  <c:v>310658.3</c:v>
                </c:pt>
                <c:pt idx="174">
                  <c:v>309686.34</c:v>
                </c:pt>
                <c:pt idx="175">
                  <c:v>308709.12</c:v>
                </c:pt>
                <c:pt idx="176">
                  <c:v>307726.6</c:v>
                </c:pt>
                <c:pt idx="177">
                  <c:v>306738.76</c:v>
                </c:pt>
                <c:pt idx="178">
                  <c:v>305745.57</c:v>
                </c:pt>
                <c:pt idx="179">
                  <c:v>304747</c:v>
                </c:pt>
                <c:pt idx="180">
                  <c:v>303743.02</c:v>
                </c:pt>
                <c:pt idx="181">
                  <c:v>302733.6</c:v>
                </c:pt>
                <c:pt idx="182">
                  <c:v>301718.72</c:v>
                </c:pt>
                <c:pt idx="183">
                  <c:v>300698.34</c:v>
                </c:pt>
                <c:pt idx="184">
                  <c:v>299672.43</c:v>
                </c:pt>
                <c:pt idx="185">
                  <c:v>298640.97</c:v>
                </c:pt>
                <c:pt idx="186">
                  <c:v>297603.92</c:v>
                </c:pt>
                <c:pt idx="187">
                  <c:v>296561.25</c:v>
                </c:pt>
                <c:pt idx="188">
                  <c:v>295512.93</c:v>
                </c:pt>
                <c:pt idx="189">
                  <c:v>294458.94</c:v>
                </c:pt>
                <c:pt idx="190">
                  <c:v>293399.24</c:v>
                </c:pt>
                <c:pt idx="191">
                  <c:v>292333.8</c:v>
                </c:pt>
                <c:pt idx="192">
                  <c:v>291262.58</c:v>
                </c:pt>
                <c:pt idx="193">
                  <c:v>290185.56</c:v>
                </c:pt>
                <c:pt idx="194">
                  <c:v>289102.71</c:v>
                </c:pt>
                <c:pt idx="195">
                  <c:v>288013.99</c:v>
                </c:pt>
                <c:pt idx="196">
                  <c:v>286919.38</c:v>
                </c:pt>
                <c:pt idx="197">
                  <c:v>285818.84</c:v>
                </c:pt>
                <c:pt idx="198">
                  <c:v>284712.34</c:v>
                </c:pt>
                <c:pt idx="199">
                  <c:v>283599.84</c:v>
                </c:pt>
                <c:pt idx="200">
                  <c:v>282481.32</c:v>
                </c:pt>
                <c:pt idx="201">
                  <c:v>281356.74</c:v>
                </c:pt>
                <c:pt idx="202">
                  <c:v>280226.07</c:v>
                </c:pt>
                <c:pt idx="203">
                  <c:v>279089.27</c:v>
                </c:pt>
                <c:pt idx="204">
                  <c:v>277946.31</c:v>
                </c:pt>
                <c:pt idx="205">
                  <c:v>276797.16</c:v>
                </c:pt>
                <c:pt idx="206">
                  <c:v>275641.79</c:v>
                </c:pt>
                <c:pt idx="207">
                  <c:v>274480.16</c:v>
                </c:pt>
                <c:pt idx="208">
                  <c:v>273312.24</c:v>
                </c:pt>
                <c:pt idx="209">
                  <c:v>272137.99</c:v>
                </c:pt>
                <c:pt idx="210">
                  <c:v>270957.38</c:v>
                </c:pt>
                <c:pt idx="211">
                  <c:v>269770.38</c:v>
                </c:pt>
                <c:pt idx="212">
                  <c:v>268576.95</c:v>
                </c:pt>
                <c:pt idx="213">
                  <c:v>267377.05</c:v>
                </c:pt>
                <c:pt idx="214">
                  <c:v>266170.65</c:v>
                </c:pt>
                <c:pt idx="215">
                  <c:v>264957.72</c:v>
                </c:pt>
                <c:pt idx="216">
                  <c:v>263738.22</c:v>
                </c:pt>
                <c:pt idx="217">
                  <c:v>262512.11</c:v>
                </c:pt>
                <c:pt idx="218">
                  <c:v>261279.36</c:v>
                </c:pt>
                <c:pt idx="219">
                  <c:v>260039.93</c:v>
                </c:pt>
                <c:pt idx="220">
                  <c:v>258793.79</c:v>
                </c:pt>
                <c:pt idx="221">
                  <c:v>257540.9</c:v>
                </c:pt>
                <c:pt idx="222">
                  <c:v>256281.22</c:v>
                </c:pt>
                <c:pt idx="223">
                  <c:v>255014.72</c:v>
                </c:pt>
                <c:pt idx="224">
                  <c:v>253741.36</c:v>
                </c:pt>
                <c:pt idx="225">
                  <c:v>252461.1</c:v>
                </c:pt>
                <c:pt idx="226">
                  <c:v>251173.91</c:v>
                </c:pt>
                <c:pt idx="227">
                  <c:v>249879.75</c:v>
                </c:pt>
                <c:pt idx="228">
                  <c:v>248578.58</c:v>
                </c:pt>
                <c:pt idx="229">
                  <c:v>247270.36</c:v>
                </c:pt>
                <c:pt idx="230">
                  <c:v>245955.05</c:v>
                </c:pt>
                <c:pt idx="231">
                  <c:v>244632.62</c:v>
                </c:pt>
                <c:pt idx="232">
                  <c:v>243303.02</c:v>
                </c:pt>
                <c:pt idx="233">
                  <c:v>241966.22</c:v>
                </c:pt>
                <c:pt idx="234">
                  <c:v>240622.18</c:v>
                </c:pt>
                <c:pt idx="235">
                  <c:v>239270.86</c:v>
                </c:pt>
                <c:pt idx="236">
                  <c:v>237912.22</c:v>
                </c:pt>
                <c:pt idx="237">
                  <c:v>236546.22</c:v>
                </c:pt>
                <c:pt idx="238">
                  <c:v>235172.82</c:v>
                </c:pt>
                <c:pt idx="239">
                  <c:v>233791.98</c:v>
                </c:pt>
                <c:pt idx="240">
                  <c:v>232403.66</c:v>
                </c:pt>
                <c:pt idx="241">
                  <c:v>231007.82</c:v>
                </c:pt>
                <c:pt idx="242">
                  <c:v>229604.42</c:v>
                </c:pt>
                <c:pt idx="243">
                  <c:v>228193.42</c:v>
                </c:pt>
                <c:pt idx="244">
                  <c:v>226774.78</c:v>
                </c:pt>
                <c:pt idx="245">
                  <c:v>225348.45</c:v>
                </c:pt>
                <c:pt idx="246">
                  <c:v>223914.4</c:v>
                </c:pt>
                <c:pt idx="247">
                  <c:v>222472.58</c:v>
                </c:pt>
                <c:pt idx="248">
                  <c:v>221022.95</c:v>
                </c:pt>
                <c:pt idx="249">
                  <c:v>219565.47</c:v>
                </c:pt>
                <c:pt idx="250">
                  <c:v>218100.09</c:v>
                </c:pt>
                <c:pt idx="251">
                  <c:v>216626.78</c:v>
                </c:pt>
                <c:pt idx="252">
                  <c:v>215145.49</c:v>
                </c:pt>
                <c:pt idx="253">
                  <c:v>213656.17</c:v>
                </c:pt>
                <c:pt idx="254">
                  <c:v>212158.78</c:v>
                </c:pt>
                <c:pt idx="255">
                  <c:v>210653.28</c:v>
                </c:pt>
                <c:pt idx="256">
                  <c:v>209139.63</c:v>
                </c:pt>
                <c:pt idx="257">
                  <c:v>207617.78</c:v>
                </c:pt>
                <c:pt idx="258">
                  <c:v>206087.69</c:v>
                </c:pt>
                <c:pt idx="259">
                  <c:v>204549.31</c:v>
                </c:pt>
                <c:pt idx="260">
                  <c:v>203002.6</c:v>
                </c:pt>
                <c:pt idx="261">
                  <c:v>201447.51</c:v>
                </c:pt>
                <c:pt idx="262">
                  <c:v>199883.99</c:v>
                </c:pt>
                <c:pt idx="263">
                  <c:v>198312</c:v>
                </c:pt>
                <c:pt idx="264">
                  <c:v>196731.5</c:v>
                </c:pt>
                <c:pt idx="265">
                  <c:v>195142.44</c:v>
                </c:pt>
                <c:pt idx="266">
                  <c:v>193544.77</c:v>
                </c:pt>
                <c:pt idx="267">
                  <c:v>191938.45</c:v>
                </c:pt>
                <c:pt idx="268">
                  <c:v>190323.43</c:v>
                </c:pt>
                <c:pt idx="269">
                  <c:v>188699.66</c:v>
                </c:pt>
                <c:pt idx="270">
                  <c:v>187067.09</c:v>
                </c:pt>
                <c:pt idx="271">
                  <c:v>185425.68</c:v>
                </c:pt>
                <c:pt idx="272">
                  <c:v>183775.38</c:v>
                </c:pt>
                <c:pt idx="273">
                  <c:v>182116.14</c:v>
                </c:pt>
                <c:pt idx="274">
                  <c:v>180447.91</c:v>
                </c:pt>
                <c:pt idx="275">
                  <c:v>178770.65</c:v>
                </c:pt>
                <c:pt idx="276">
                  <c:v>177084.3</c:v>
                </c:pt>
                <c:pt idx="277">
                  <c:v>175388.82</c:v>
                </c:pt>
                <c:pt idx="278">
                  <c:v>173684.15</c:v>
                </c:pt>
                <c:pt idx="279">
                  <c:v>171970.25</c:v>
                </c:pt>
                <c:pt idx="280">
                  <c:v>170247.07</c:v>
                </c:pt>
                <c:pt idx="281">
                  <c:v>168514.55</c:v>
                </c:pt>
                <c:pt idx="282">
                  <c:v>166772.65</c:v>
                </c:pt>
                <c:pt idx="283">
                  <c:v>165021.31</c:v>
                </c:pt>
                <c:pt idx="284">
                  <c:v>163260.49</c:v>
                </c:pt>
                <c:pt idx="285">
                  <c:v>161490.13</c:v>
                </c:pt>
                <c:pt idx="286">
                  <c:v>159710.18</c:v>
                </c:pt>
                <c:pt idx="287">
                  <c:v>157920.59</c:v>
                </c:pt>
                <c:pt idx="288">
                  <c:v>156121.3</c:v>
                </c:pt>
                <c:pt idx="289">
                  <c:v>154312.27</c:v>
                </c:pt>
                <c:pt idx="290">
                  <c:v>152493.44</c:v>
                </c:pt>
                <c:pt idx="291">
                  <c:v>150664.76</c:v>
                </c:pt>
                <c:pt idx="292">
                  <c:v>148826.17</c:v>
                </c:pt>
                <c:pt idx="293">
                  <c:v>146977.62</c:v>
                </c:pt>
                <c:pt idx="294">
                  <c:v>145119.06</c:v>
                </c:pt>
                <c:pt idx="295">
                  <c:v>143250.43</c:v>
                </c:pt>
                <c:pt idx="296">
                  <c:v>141371.68</c:v>
                </c:pt>
                <c:pt idx="297">
                  <c:v>139482.75</c:v>
                </c:pt>
                <c:pt idx="298">
                  <c:v>137583.59</c:v>
                </c:pt>
                <c:pt idx="299">
                  <c:v>135674.14</c:v>
                </c:pt>
                <c:pt idx="300">
                  <c:v>133754.35</c:v>
                </c:pt>
                <c:pt idx="301">
                  <c:v>131824.16</c:v>
                </c:pt>
                <c:pt idx="302">
                  <c:v>129883.52</c:v>
                </c:pt>
                <c:pt idx="303">
                  <c:v>127932.37</c:v>
                </c:pt>
                <c:pt idx="304">
                  <c:v>125970.65</c:v>
                </c:pt>
                <c:pt idx="305">
                  <c:v>123998.3</c:v>
                </c:pt>
                <c:pt idx="306">
                  <c:v>122015.27</c:v>
                </c:pt>
                <c:pt idx="307">
                  <c:v>120021.5</c:v>
                </c:pt>
                <c:pt idx="308">
                  <c:v>118016.93</c:v>
                </c:pt>
                <c:pt idx="309">
                  <c:v>116001.5</c:v>
                </c:pt>
                <c:pt idx="310">
                  <c:v>113975.15</c:v>
                </c:pt>
                <c:pt idx="311">
                  <c:v>111937.83</c:v>
                </c:pt>
                <c:pt idx="312">
                  <c:v>109889.47</c:v>
                </c:pt>
                <c:pt idx="313">
                  <c:v>107830.01</c:v>
                </c:pt>
                <c:pt idx="314">
                  <c:v>105759.4</c:v>
                </c:pt>
                <c:pt idx="315">
                  <c:v>103677.57</c:v>
                </c:pt>
                <c:pt idx="316">
                  <c:v>101584.47</c:v>
                </c:pt>
                <c:pt idx="317">
                  <c:v>99480.03</c:v>
                </c:pt>
                <c:pt idx="318">
                  <c:v>97364.19</c:v>
                </c:pt>
                <c:pt idx="319">
                  <c:v>95236.89</c:v>
                </c:pt>
                <c:pt idx="320">
                  <c:v>93098.07</c:v>
                </c:pt>
                <c:pt idx="321">
                  <c:v>90947.66</c:v>
                </c:pt>
                <c:pt idx="322">
                  <c:v>88785.6</c:v>
                </c:pt>
                <c:pt idx="323">
                  <c:v>86611.83</c:v>
                </c:pt>
                <c:pt idx="324">
                  <c:v>84426.29</c:v>
                </c:pt>
                <c:pt idx="325">
                  <c:v>82228.91</c:v>
                </c:pt>
                <c:pt idx="326">
                  <c:v>80019.63</c:v>
                </c:pt>
                <c:pt idx="327">
                  <c:v>77798.38</c:v>
                </c:pt>
                <c:pt idx="328">
                  <c:v>75565.1</c:v>
                </c:pt>
                <c:pt idx="329">
                  <c:v>73319.72</c:v>
                </c:pt>
                <c:pt idx="330">
                  <c:v>71062.18</c:v>
                </c:pt>
                <c:pt idx="331">
                  <c:v>68792.41</c:v>
                </c:pt>
                <c:pt idx="332">
                  <c:v>66510.35</c:v>
                </c:pt>
                <c:pt idx="333">
                  <c:v>64215.92</c:v>
                </c:pt>
                <c:pt idx="334">
                  <c:v>61909.07</c:v>
                </c:pt>
                <c:pt idx="335">
                  <c:v>59589.72</c:v>
                </c:pt>
                <c:pt idx="336">
                  <c:v>57257.81</c:v>
                </c:pt>
                <c:pt idx="337">
                  <c:v>54913.27</c:v>
                </c:pt>
                <c:pt idx="338">
                  <c:v>52556.03</c:v>
                </c:pt>
                <c:pt idx="339">
                  <c:v>50186.02</c:v>
                </c:pt>
                <c:pt idx="340">
                  <c:v>47803.17</c:v>
                </c:pt>
                <c:pt idx="341">
                  <c:v>45407.41</c:v>
                </c:pt>
                <c:pt idx="342">
                  <c:v>42998.68</c:v>
                </c:pt>
                <c:pt idx="343">
                  <c:v>40576.9</c:v>
                </c:pt>
                <c:pt idx="344">
                  <c:v>38142</c:v>
                </c:pt>
                <c:pt idx="345">
                  <c:v>35693.91</c:v>
                </c:pt>
                <c:pt idx="346">
                  <c:v>33232.56</c:v>
                </c:pt>
                <c:pt idx="347">
                  <c:v>30757.88</c:v>
                </c:pt>
                <c:pt idx="348">
                  <c:v>28269.8</c:v>
                </c:pt>
                <c:pt idx="349">
                  <c:v>25768.24</c:v>
                </c:pt>
                <c:pt idx="350">
                  <c:v>23253.13</c:v>
                </c:pt>
                <c:pt idx="351">
                  <c:v>20724.39</c:v>
                </c:pt>
                <c:pt idx="352">
                  <c:v>18181.96</c:v>
                </c:pt>
                <c:pt idx="353">
                  <c:v>15625.76</c:v>
                </c:pt>
                <c:pt idx="354">
                  <c:v>13055.71</c:v>
                </c:pt>
                <c:pt idx="355">
                  <c:v>10471.74</c:v>
                </c:pt>
                <c:pt idx="356">
                  <c:v>7873.77</c:v>
                </c:pt>
                <c:pt idx="357">
                  <c:v>5261.73</c:v>
                </c:pt>
                <c:pt idx="358">
                  <c:v>2635.54</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numCache>
            </c:numRef>
          </c:val>
          <c:smooth val="1"/>
        </c:ser>
        <c:ser>
          <c:idx val="1"/>
          <c:order val="1"/>
          <c:tx>
            <c:strRef>
              <c:f>"With extras"</c:f>
              <c:strCache>
                <c:ptCount val="1"/>
                <c:pt idx="0">
                  <c:v>With extras</c:v>
                </c:pt>
              </c:strCache>
            </c:strRef>
          </c:tx>
          <c:spPr>
            <a:solidFill>
              <a:srgbClr val="BE4B48"/>
            </a:solidFill>
            <a:ln w="20160">
              <a:solidFill>
                <a:srgbClr val="BE4B48"/>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showLeaderLines val="1"/>
            <c:leaderLines>
              <c:spPr>
                <a:ln w="20160">
                  <a:solidFill>
                    <a:srgbClr val="000000"/>
                  </a:solidFill>
                </a:ln>
              </c:spPr>
            </c:leaderLines>
            <c:extLst>
              <c:ext xmlns:c15="http://schemas.microsoft.com/office/drawing/2012/chart" uri="{CE6537A1-D6FC-4f65-9D91-7224C49458BB}">
                <c15:showLeaderLines val="1"/>
              </c:ext>
            </c:extLst>
          </c:dLbls>
          <c:cat>
            <c:strRef>
              <c:f>Baseline!$B$6:$B$485</c:f>
              <c:strCache>
                <c:ptCount val="480"/>
                <c:pt idx="0">
                  <c:v>10/01/2026</c:v>
                </c:pt>
                <c:pt idx="1">
                  <c:v>11/01/2026</c:v>
                </c:pt>
                <c:pt idx="2">
                  <c:v>12/01/2026</c:v>
                </c:pt>
                <c:pt idx="3">
                  <c:v>01/01/2027</c:v>
                </c:pt>
                <c:pt idx="4">
                  <c:v>02/01/2027</c:v>
                </c:pt>
                <c:pt idx="5">
                  <c:v>03/01/2027</c:v>
                </c:pt>
                <c:pt idx="6">
                  <c:v>04/01/2027</c:v>
                </c:pt>
                <c:pt idx="7">
                  <c:v>05/01/2027</c:v>
                </c:pt>
                <c:pt idx="8">
                  <c:v>06/01/2027</c:v>
                </c:pt>
                <c:pt idx="9">
                  <c:v>07/01/2027</c:v>
                </c:pt>
                <c:pt idx="10">
                  <c:v>08/01/2027</c:v>
                </c:pt>
                <c:pt idx="11">
                  <c:v>09/01/2027</c:v>
                </c:pt>
                <c:pt idx="12">
                  <c:v>10/01/2027</c:v>
                </c:pt>
                <c:pt idx="13">
                  <c:v>11/01/2027</c:v>
                </c:pt>
                <c:pt idx="14">
                  <c:v>12/01/2027</c:v>
                </c:pt>
                <c:pt idx="15">
                  <c:v>01/01/2028</c:v>
                </c:pt>
                <c:pt idx="16">
                  <c:v>02/01/2028</c:v>
                </c:pt>
                <c:pt idx="17">
                  <c:v>03/01/2028</c:v>
                </c:pt>
                <c:pt idx="18">
                  <c:v>04/01/2028</c:v>
                </c:pt>
                <c:pt idx="19">
                  <c:v>05/01/2028</c:v>
                </c:pt>
                <c:pt idx="20">
                  <c:v>06/01/2028</c:v>
                </c:pt>
                <c:pt idx="21">
                  <c:v>07/01/2028</c:v>
                </c:pt>
                <c:pt idx="22">
                  <c:v>08/01/2028</c:v>
                </c:pt>
                <c:pt idx="23">
                  <c:v>09/01/2028</c:v>
                </c:pt>
                <c:pt idx="24">
                  <c:v>10/01/2028</c:v>
                </c:pt>
                <c:pt idx="25">
                  <c:v>11/01/2028</c:v>
                </c:pt>
                <c:pt idx="26">
                  <c:v>12/01/2028</c:v>
                </c:pt>
                <c:pt idx="27">
                  <c:v>01/01/2029</c:v>
                </c:pt>
                <c:pt idx="28">
                  <c:v>02/01/2029</c:v>
                </c:pt>
                <c:pt idx="29">
                  <c:v>03/01/2029</c:v>
                </c:pt>
                <c:pt idx="30">
                  <c:v>04/01/2029</c:v>
                </c:pt>
                <c:pt idx="31">
                  <c:v>05/01/2029</c:v>
                </c:pt>
                <c:pt idx="32">
                  <c:v>06/01/2029</c:v>
                </c:pt>
                <c:pt idx="33">
                  <c:v>07/01/2029</c:v>
                </c:pt>
                <c:pt idx="34">
                  <c:v>08/01/2029</c:v>
                </c:pt>
                <c:pt idx="35">
                  <c:v>09/01/2029</c:v>
                </c:pt>
                <c:pt idx="36">
                  <c:v>10/01/2029</c:v>
                </c:pt>
                <c:pt idx="37">
                  <c:v>11/01/2029</c:v>
                </c:pt>
                <c:pt idx="38">
                  <c:v>12/01/2029</c:v>
                </c:pt>
                <c:pt idx="39">
                  <c:v>01/01/2030</c:v>
                </c:pt>
                <c:pt idx="40">
                  <c:v>02/01/2030</c:v>
                </c:pt>
                <c:pt idx="41">
                  <c:v>03/01/2030</c:v>
                </c:pt>
                <c:pt idx="42">
                  <c:v>04/01/2030</c:v>
                </c:pt>
                <c:pt idx="43">
                  <c:v>05/01/2030</c:v>
                </c:pt>
                <c:pt idx="44">
                  <c:v>06/01/2030</c:v>
                </c:pt>
                <c:pt idx="45">
                  <c:v>07/01/2030</c:v>
                </c:pt>
                <c:pt idx="46">
                  <c:v>08/01/2030</c:v>
                </c:pt>
                <c:pt idx="47">
                  <c:v>09/01/2030</c:v>
                </c:pt>
                <c:pt idx="48">
                  <c:v>10/01/2030</c:v>
                </c:pt>
                <c:pt idx="49">
                  <c:v>11/01/2030</c:v>
                </c:pt>
                <c:pt idx="50">
                  <c:v>12/01/2030</c:v>
                </c:pt>
                <c:pt idx="51">
                  <c:v>01/01/2031</c:v>
                </c:pt>
                <c:pt idx="52">
                  <c:v>02/01/2031</c:v>
                </c:pt>
                <c:pt idx="53">
                  <c:v>03/01/2031</c:v>
                </c:pt>
                <c:pt idx="54">
                  <c:v>04/01/2031</c:v>
                </c:pt>
                <c:pt idx="55">
                  <c:v>05/01/2031</c:v>
                </c:pt>
                <c:pt idx="56">
                  <c:v>06/01/2031</c:v>
                </c:pt>
                <c:pt idx="57">
                  <c:v>07/01/2031</c:v>
                </c:pt>
                <c:pt idx="58">
                  <c:v>08/01/2031</c:v>
                </c:pt>
                <c:pt idx="59">
                  <c:v>09/01/2031</c:v>
                </c:pt>
                <c:pt idx="60">
                  <c:v>10/01/2031</c:v>
                </c:pt>
                <c:pt idx="61">
                  <c:v>11/01/2031</c:v>
                </c:pt>
                <c:pt idx="62">
                  <c:v>12/01/2031</c:v>
                </c:pt>
                <c:pt idx="63">
                  <c:v>01/01/2032</c:v>
                </c:pt>
                <c:pt idx="64">
                  <c:v>02/01/2032</c:v>
                </c:pt>
                <c:pt idx="65">
                  <c:v>03/01/2032</c:v>
                </c:pt>
                <c:pt idx="66">
                  <c:v>04/01/2032</c:v>
                </c:pt>
                <c:pt idx="67">
                  <c:v>05/01/2032</c:v>
                </c:pt>
                <c:pt idx="68">
                  <c:v>06/01/2032</c:v>
                </c:pt>
                <c:pt idx="69">
                  <c:v>07/01/2032</c:v>
                </c:pt>
                <c:pt idx="70">
                  <c:v>08/01/2032</c:v>
                </c:pt>
                <c:pt idx="71">
                  <c:v>09/01/2032</c:v>
                </c:pt>
                <c:pt idx="72">
                  <c:v>10/01/2032</c:v>
                </c:pt>
                <c:pt idx="73">
                  <c:v>11/01/2032</c:v>
                </c:pt>
                <c:pt idx="74">
                  <c:v>12/01/2032</c:v>
                </c:pt>
                <c:pt idx="75">
                  <c:v>01/01/2033</c:v>
                </c:pt>
                <c:pt idx="76">
                  <c:v>02/01/2033</c:v>
                </c:pt>
                <c:pt idx="77">
                  <c:v>03/01/2033</c:v>
                </c:pt>
                <c:pt idx="78">
                  <c:v>04/01/2033</c:v>
                </c:pt>
                <c:pt idx="79">
                  <c:v>05/01/2033</c:v>
                </c:pt>
                <c:pt idx="80">
                  <c:v>06/01/2033</c:v>
                </c:pt>
                <c:pt idx="81">
                  <c:v>07/01/2033</c:v>
                </c:pt>
                <c:pt idx="82">
                  <c:v>08/01/2033</c:v>
                </c:pt>
                <c:pt idx="83">
                  <c:v>09/01/2033</c:v>
                </c:pt>
                <c:pt idx="84">
                  <c:v>10/01/2033</c:v>
                </c:pt>
                <c:pt idx="85">
                  <c:v>11/01/2033</c:v>
                </c:pt>
                <c:pt idx="86">
                  <c:v>12/01/2033</c:v>
                </c:pt>
                <c:pt idx="87">
                  <c:v>01/01/2034</c:v>
                </c:pt>
                <c:pt idx="88">
                  <c:v>02/01/2034</c:v>
                </c:pt>
                <c:pt idx="89">
                  <c:v>03/01/2034</c:v>
                </c:pt>
                <c:pt idx="90">
                  <c:v>04/01/2034</c:v>
                </c:pt>
                <c:pt idx="91">
                  <c:v>05/01/2034</c:v>
                </c:pt>
                <c:pt idx="92">
                  <c:v>06/01/2034</c:v>
                </c:pt>
                <c:pt idx="93">
                  <c:v>07/01/2034</c:v>
                </c:pt>
                <c:pt idx="94">
                  <c:v>08/01/2034</c:v>
                </c:pt>
                <c:pt idx="95">
                  <c:v>09/01/2034</c:v>
                </c:pt>
                <c:pt idx="96">
                  <c:v>10/01/2034</c:v>
                </c:pt>
                <c:pt idx="97">
                  <c:v>11/01/2034</c:v>
                </c:pt>
                <c:pt idx="98">
                  <c:v>12/01/2034</c:v>
                </c:pt>
                <c:pt idx="99">
                  <c:v>01/01/2035</c:v>
                </c:pt>
                <c:pt idx="100">
                  <c:v>02/01/2035</c:v>
                </c:pt>
                <c:pt idx="101">
                  <c:v>03/01/2035</c:v>
                </c:pt>
                <c:pt idx="102">
                  <c:v>04/01/2035</c:v>
                </c:pt>
                <c:pt idx="103">
                  <c:v>05/01/2035</c:v>
                </c:pt>
                <c:pt idx="104">
                  <c:v>06/01/2035</c:v>
                </c:pt>
                <c:pt idx="105">
                  <c:v>07/01/2035</c:v>
                </c:pt>
                <c:pt idx="106">
                  <c:v>08/01/2035</c:v>
                </c:pt>
                <c:pt idx="107">
                  <c:v>09/01/2035</c:v>
                </c:pt>
                <c:pt idx="108">
                  <c:v>10/01/2035</c:v>
                </c:pt>
                <c:pt idx="109">
                  <c:v>11/01/2035</c:v>
                </c:pt>
                <c:pt idx="110">
                  <c:v>12/01/2035</c:v>
                </c:pt>
                <c:pt idx="111">
                  <c:v>01/01/2036</c:v>
                </c:pt>
                <c:pt idx="112">
                  <c:v>02/01/2036</c:v>
                </c:pt>
                <c:pt idx="113">
                  <c:v>03/01/2036</c:v>
                </c:pt>
                <c:pt idx="114">
                  <c:v>04/01/2036</c:v>
                </c:pt>
                <c:pt idx="115">
                  <c:v>05/01/2036</c:v>
                </c:pt>
                <c:pt idx="116">
                  <c:v>06/01/2036</c:v>
                </c:pt>
                <c:pt idx="117">
                  <c:v>07/01/2036</c:v>
                </c:pt>
                <c:pt idx="118">
                  <c:v>08/01/2036</c:v>
                </c:pt>
                <c:pt idx="119">
                  <c:v>09/01/2036</c:v>
                </c:pt>
                <c:pt idx="120">
                  <c:v>10/01/2036</c:v>
                </c:pt>
                <c:pt idx="121">
                  <c:v>11/01/2036</c:v>
                </c:pt>
                <c:pt idx="122">
                  <c:v>12/01/2036</c:v>
                </c:pt>
                <c:pt idx="123">
                  <c:v>01/01/2037</c:v>
                </c:pt>
                <c:pt idx="124">
                  <c:v>02/01/2037</c:v>
                </c:pt>
                <c:pt idx="125">
                  <c:v>03/01/2037</c:v>
                </c:pt>
                <c:pt idx="126">
                  <c:v>04/01/2037</c:v>
                </c:pt>
                <c:pt idx="127">
                  <c:v>05/01/2037</c:v>
                </c:pt>
                <c:pt idx="128">
                  <c:v>06/01/2037</c:v>
                </c:pt>
                <c:pt idx="129">
                  <c:v>07/01/2037</c:v>
                </c:pt>
                <c:pt idx="130">
                  <c:v>08/01/2037</c:v>
                </c:pt>
                <c:pt idx="131">
                  <c:v>09/01/2037</c:v>
                </c:pt>
                <c:pt idx="132">
                  <c:v>10/01/2037</c:v>
                </c:pt>
                <c:pt idx="133">
                  <c:v>11/01/2037</c:v>
                </c:pt>
                <c:pt idx="134">
                  <c:v>12/01/2037</c:v>
                </c:pt>
                <c:pt idx="135">
                  <c:v>01/01/2038</c:v>
                </c:pt>
                <c:pt idx="136">
                  <c:v>02/01/2038</c:v>
                </c:pt>
                <c:pt idx="137">
                  <c:v>03/01/2038</c:v>
                </c:pt>
                <c:pt idx="138">
                  <c:v>04/01/2038</c:v>
                </c:pt>
                <c:pt idx="139">
                  <c:v>05/01/2038</c:v>
                </c:pt>
                <c:pt idx="140">
                  <c:v>06/01/2038</c:v>
                </c:pt>
                <c:pt idx="141">
                  <c:v>07/01/2038</c:v>
                </c:pt>
                <c:pt idx="142">
                  <c:v>08/01/2038</c:v>
                </c:pt>
                <c:pt idx="143">
                  <c:v>09/01/2038</c:v>
                </c:pt>
                <c:pt idx="144">
                  <c:v>10/01/2038</c:v>
                </c:pt>
                <c:pt idx="145">
                  <c:v>11/01/2038</c:v>
                </c:pt>
                <c:pt idx="146">
                  <c:v>12/01/2038</c:v>
                </c:pt>
                <c:pt idx="147">
                  <c:v>01/01/2039</c:v>
                </c:pt>
                <c:pt idx="148">
                  <c:v>02/01/2039</c:v>
                </c:pt>
                <c:pt idx="149">
                  <c:v>03/01/2039</c:v>
                </c:pt>
                <c:pt idx="150">
                  <c:v>04/01/2039</c:v>
                </c:pt>
                <c:pt idx="151">
                  <c:v>05/01/2039</c:v>
                </c:pt>
                <c:pt idx="152">
                  <c:v>06/01/2039</c:v>
                </c:pt>
                <c:pt idx="153">
                  <c:v>07/01/2039</c:v>
                </c:pt>
                <c:pt idx="154">
                  <c:v>08/01/2039</c:v>
                </c:pt>
                <c:pt idx="155">
                  <c:v>09/01/2039</c:v>
                </c:pt>
                <c:pt idx="156">
                  <c:v>10/01/2039</c:v>
                </c:pt>
                <c:pt idx="157">
                  <c:v>11/01/2039</c:v>
                </c:pt>
                <c:pt idx="158">
                  <c:v>12/01/2039</c:v>
                </c:pt>
                <c:pt idx="159">
                  <c:v>01/01/2040</c:v>
                </c:pt>
                <c:pt idx="160">
                  <c:v>02/01/2040</c:v>
                </c:pt>
                <c:pt idx="161">
                  <c:v>03/01/2040</c:v>
                </c:pt>
                <c:pt idx="162">
                  <c:v>04/01/2040</c:v>
                </c:pt>
                <c:pt idx="163">
                  <c:v>05/01/2040</c:v>
                </c:pt>
                <c:pt idx="164">
                  <c:v>06/01/2040</c:v>
                </c:pt>
                <c:pt idx="165">
                  <c:v>07/01/2040</c:v>
                </c:pt>
                <c:pt idx="166">
                  <c:v>08/01/2040</c:v>
                </c:pt>
                <c:pt idx="167">
                  <c:v>09/01/2040</c:v>
                </c:pt>
                <c:pt idx="168">
                  <c:v>10/01/2040</c:v>
                </c:pt>
                <c:pt idx="169">
                  <c:v>11/01/2040</c:v>
                </c:pt>
                <c:pt idx="170">
                  <c:v>12/01/2040</c:v>
                </c:pt>
                <c:pt idx="171">
                  <c:v>01/01/2041</c:v>
                </c:pt>
                <c:pt idx="172">
                  <c:v>02/01/2041</c:v>
                </c:pt>
                <c:pt idx="173">
                  <c:v>03/01/2041</c:v>
                </c:pt>
                <c:pt idx="174">
                  <c:v>04/01/2041</c:v>
                </c:pt>
                <c:pt idx="175">
                  <c:v>05/01/2041</c:v>
                </c:pt>
                <c:pt idx="176">
                  <c:v>06/01/2041</c:v>
                </c:pt>
                <c:pt idx="177">
                  <c:v>07/01/2041</c:v>
                </c:pt>
                <c:pt idx="178">
                  <c:v>08/01/2041</c:v>
                </c:pt>
                <c:pt idx="179">
                  <c:v>09/01/2041</c:v>
                </c:pt>
                <c:pt idx="180">
                  <c:v>10/01/2041</c:v>
                </c:pt>
                <c:pt idx="181">
                  <c:v>11/01/2041</c:v>
                </c:pt>
                <c:pt idx="182">
                  <c:v>12/01/2041</c:v>
                </c:pt>
                <c:pt idx="183">
                  <c:v>01/01/2042</c:v>
                </c:pt>
                <c:pt idx="184">
                  <c:v>02/01/2042</c:v>
                </c:pt>
                <c:pt idx="185">
                  <c:v>03/01/2042</c:v>
                </c:pt>
                <c:pt idx="186">
                  <c:v>04/01/2042</c:v>
                </c:pt>
                <c:pt idx="187">
                  <c:v>05/01/2042</c:v>
                </c:pt>
                <c:pt idx="188">
                  <c:v>06/01/2042</c:v>
                </c:pt>
                <c:pt idx="189">
                  <c:v>07/01/2042</c:v>
                </c:pt>
                <c:pt idx="190">
                  <c:v>08/01/2042</c:v>
                </c:pt>
                <c:pt idx="191">
                  <c:v>09/01/2042</c:v>
                </c:pt>
                <c:pt idx="192">
                  <c:v>10/01/2042</c:v>
                </c:pt>
                <c:pt idx="193">
                  <c:v>11/01/2042</c:v>
                </c:pt>
                <c:pt idx="194">
                  <c:v>12/01/2042</c:v>
                </c:pt>
                <c:pt idx="195">
                  <c:v>01/01/2043</c:v>
                </c:pt>
                <c:pt idx="196">
                  <c:v>02/01/2043</c:v>
                </c:pt>
                <c:pt idx="197">
                  <c:v>03/01/2043</c:v>
                </c:pt>
                <c:pt idx="198">
                  <c:v>04/01/2043</c:v>
                </c:pt>
                <c:pt idx="199">
                  <c:v>05/01/2043</c:v>
                </c:pt>
                <c:pt idx="200">
                  <c:v>06/01/2043</c:v>
                </c:pt>
                <c:pt idx="201">
                  <c:v>07/01/2043</c:v>
                </c:pt>
                <c:pt idx="202">
                  <c:v>08/01/2043</c:v>
                </c:pt>
                <c:pt idx="203">
                  <c:v>09/01/2043</c:v>
                </c:pt>
                <c:pt idx="204">
                  <c:v>10/01/2043</c:v>
                </c:pt>
                <c:pt idx="205">
                  <c:v>11/01/2043</c:v>
                </c:pt>
                <c:pt idx="206">
                  <c:v>12/01/2043</c:v>
                </c:pt>
                <c:pt idx="207">
                  <c:v>01/01/2044</c:v>
                </c:pt>
                <c:pt idx="208">
                  <c:v>02/01/2044</c:v>
                </c:pt>
                <c:pt idx="209">
                  <c:v>03/01/2044</c:v>
                </c:pt>
                <c:pt idx="210">
                  <c:v>04/01/2044</c:v>
                </c:pt>
                <c:pt idx="211">
                  <c:v>05/01/2044</c:v>
                </c:pt>
                <c:pt idx="212">
                  <c:v>06/01/2044</c:v>
                </c:pt>
                <c:pt idx="213">
                  <c:v>07/01/2044</c:v>
                </c:pt>
                <c:pt idx="214">
                  <c:v>08/01/2044</c:v>
                </c:pt>
                <c:pt idx="215">
                  <c:v>09/01/2044</c:v>
                </c:pt>
                <c:pt idx="216">
                  <c:v>10/01/2044</c:v>
                </c:pt>
                <c:pt idx="217">
                  <c:v>11/01/2044</c:v>
                </c:pt>
                <c:pt idx="218">
                  <c:v>12/01/2044</c:v>
                </c:pt>
                <c:pt idx="219">
                  <c:v>01/01/2045</c:v>
                </c:pt>
                <c:pt idx="220">
                  <c:v>02/01/2045</c:v>
                </c:pt>
                <c:pt idx="221">
                  <c:v>03/01/2045</c:v>
                </c:pt>
                <c:pt idx="222">
                  <c:v>04/01/2045</c:v>
                </c:pt>
                <c:pt idx="223">
                  <c:v>05/01/2045</c:v>
                </c:pt>
                <c:pt idx="224">
                  <c:v>06/01/2045</c:v>
                </c:pt>
                <c:pt idx="225">
                  <c:v>07/01/2045</c:v>
                </c:pt>
                <c:pt idx="226">
                  <c:v>08/01/2045</c:v>
                </c:pt>
                <c:pt idx="227">
                  <c:v>09/01/2045</c:v>
                </c:pt>
                <c:pt idx="228">
                  <c:v>10/01/2045</c:v>
                </c:pt>
                <c:pt idx="229">
                  <c:v>11/01/2045</c:v>
                </c:pt>
                <c:pt idx="230">
                  <c:v>12/01/2045</c:v>
                </c:pt>
                <c:pt idx="231">
                  <c:v>01/01/2046</c:v>
                </c:pt>
                <c:pt idx="232">
                  <c:v>02/01/2046</c:v>
                </c:pt>
                <c:pt idx="233">
                  <c:v>03/01/2046</c:v>
                </c:pt>
                <c:pt idx="234">
                  <c:v>04/01/2046</c:v>
                </c:pt>
                <c:pt idx="235">
                  <c:v>05/01/2046</c:v>
                </c:pt>
                <c:pt idx="236">
                  <c:v>06/01/2046</c:v>
                </c:pt>
                <c:pt idx="237">
                  <c:v>07/01/2046</c:v>
                </c:pt>
                <c:pt idx="238">
                  <c:v>08/01/2046</c:v>
                </c:pt>
                <c:pt idx="239">
                  <c:v>09/01/2046</c:v>
                </c:pt>
                <c:pt idx="240">
                  <c:v>10/01/2046</c:v>
                </c:pt>
                <c:pt idx="241">
                  <c:v>11/01/2046</c:v>
                </c:pt>
                <c:pt idx="242">
                  <c:v>12/01/2046</c:v>
                </c:pt>
                <c:pt idx="243">
                  <c:v>01/01/2047</c:v>
                </c:pt>
                <c:pt idx="244">
                  <c:v>02/01/2047</c:v>
                </c:pt>
                <c:pt idx="245">
                  <c:v>03/01/2047</c:v>
                </c:pt>
                <c:pt idx="246">
                  <c:v>04/01/2047</c:v>
                </c:pt>
                <c:pt idx="247">
                  <c:v>05/01/2047</c:v>
                </c:pt>
                <c:pt idx="248">
                  <c:v>06/01/2047</c:v>
                </c:pt>
                <c:pt idx="249">
                  <c:v>07/01/2047</c:v>
                </c:pt>
                <c:pt idx="250">
                  <c:v>08/01/2047</c:v>
                </c:pt>
                <c:pt idx="251">
                  <c:v>09/01/2047</c:v>
                </c:pt>
                <c:pt idx="252">
                  <c:v>10/01/2047</c:v>
                </c:pt>
                <c:pt idx="253">
                  <c:v>11/01/2047</c:v>
                </c:pt>
                <c:pt idx="254">
                  <c:v>12/01/2047</c:v>
                </c:pt>
                <c:pt idx="255">
                  <c:v>01/01/2048</c:v>
                </c:pt>
                <c:pt idx="256">
                  <c:v>02/01/2048</c:v>
                </c:pt>
                <c:pt idx="257">
                  <c:v>03/01/2048</c:v>
                </c:pt>
                <c:pt idx="258">
                  <c:v>04/01/2048</c:v>
                </c:pt>
                <c:pt idx="259">
                  <c:v>05/01/2048</c:v>
                </c:pt>
                <c:pt idx="260">
                  <c:v>06/01/2048</c:v>
                </c:pt>
                <c:pt idx="261">
                  <c:v>07/01/2048</c:v>
                </c:pt>
                <c:pt idx="262">
                  <c:v>08/01/2048</c:v>
                </c:pt>
                <c:pt idx="263">
                  <c:v>09/01/2048</c:v>
                </c:pt>
                <c:pt idx="264">
                  <c:v>10/01/2048</c:v>
                </c:pt>
                <c:pt idx="265">
                  <c:v>11/01/2048</c:v>
                </c:pt>
                <c:pt idx="266">
                  <c:v>12/01/2048</c:v>
                </c:pt>
                <c:pt idx="267">
                  <c:v>01/01/2049</c:v>
                </c:pt>
                <c:pt idx="268">
                  <c:v>02/01/2049</c:v>
                </c:pt>
                <c:pt idx="269">
                  <c:v>03/01/2049</c:v>
                </c:pt>
                <c:pt idx="270">
                  <c:v>04/01/2049</c:v>
                </c:pt>
                <c:pt idx="271">
                  <c:v>05/01/2049</c:v>
                </c:pt>
                <c:pt idx="272">
                  <c:v>06/01/2049</c:v>
                </c:pt>
                <c:pt idx="273">
                  <c:v>07/01/2049</c:v>
                </c:pt>
                <c:pt idx="274">
                  <c:v>08/01/2049</c:v>
                </c:pt>
                <c:pt idx="275">
                  <c:v>09/01/2049</c:v>
                </c:pt>
                <c:pt idx="276">
                  <c:v>10/01/2049</c:v>
                </c:pt>
                <c:pt idx="277">
                  <c:v>11/01/2049</c:v>
                </c:pt>
                <c:pt idx="278">
                  <c:v>12/01/2049</c:v>
                </c:pt>
                <c:pt idx="279">
                  <c:v>01/01/2050</c:v>
                </c:pt>
                <c:pt idx="280">
                  <c:v>02/01/2050</c:v>
                </c:pt>
                <c:pt idx="281">
                  <c:v>03/01/2050</c:v>
                </c:pt>
                <c:pt idx="282">
                  <c:v>04/01/2050</c:v>
                </c:pt>
                <c:pt idx="283">
                  <c:v>05/01/2050</c:v>
                </c:pt>
                <c:pt idx="284">
                  <c:v>06/01/2050</c:v>
                </c:pt>
                <c:pt idx="285">
                  <c:v>07/01/2050</c:v>
                </c:pt>
                <c:pt idx="286">
                  <c:v>08/01/2050</c:v>
                </c:pt>
                <c:pt idx="287">
                  <c:v>09/01/2050</c:v>
                </c:pt>
                <c:pt idx="288">
                  <c:v>10/01/2050</c:v>
                </c:pt>
                <c:pt idx="289">
                  <c:v>11/01/2050</c:v>
                </c:pt>
                <c:pt idx="290">
                  <c:v>12/01/2050</c:v>
                </c:pt>
                <c:pt idx="291">
                  <c:v>01/01/2051</c:v>
                </c:pt>
                <c:pt idx="292">
                  <c:v>02/01/2051</c:v>
                </c:pt>
                <c:pt idx="293">
                  <c:v>03/01/2051</c:v>
                </c:pt>
                <c:pt idx="294">
                  <c:v>04/01/2051</c:v>
                </c:pt>
                <c:pt idx="295">
                  <c:v>05/01/2051</c:v>
                </c:pt>
                <c:pt idx="296">
                  <c:v>06/01/2051</c:v>
                </c:pt>
                <c:pt idx="297">
                  <c:v>07/01/2051</c:v>
                </c:pt>
                <c:pt idx="298">
                  <c:v>08/01/2051</c:v>
                </c:pt>
                <c:pt idx="299">
                  <c:v>09/01/2051</c:v>
                </c:pt>
                <c:pt idx="300">
                  <c:v>10/01/2051</c:v>
                </c:pt>
                <c:pt idx="301">
                  <c:v>11/01/2051</c:v>
                </c:pt>
                <c:pt idx="302">
                  <c:v>12/01/2051</c:v>
                </c:pt>
                <c:pt idx="303">
                  <c:v>01/01/2052</c:v>
                </c:pt>
                <c:pt idx="304">
                  <c:v>02/01/2052</c:v>
                </c:pt>
                <c:pt idx="305">
                  <c:v>03/01/2052</c:v>
                </c:pt>
                <c:pt idx="306">
                  <c:v>04/01/2052</c:v>
                </c:pt>
                <c:pt idx="307">
                  <c:v>05/01/2052</c:v>
                </c:pt>
                <c:pt idx="308">
                  <c:v>06/01/2052</c:v>
                </c:pt>
                <c:pt idx="309">
                  <c:v>07/01/2052</c:v>
                </c:pt>
                <c:pt idx="310">
                  <c:v>08/01/2052</c:v>
                </c:pt>
                <c:pt idx="311">
                  <c:v>09/01/2052</c:v>
                </c:pt>
                <c:pt idx="312">
                  <c:v>10/01/2052</c:v>
                </c:pt>
                <c:pt idx="313">
                  <c:v>11/01/2052</c:v>
                </c:pt>
                <c:pt idx="314">
                  <c:v>12/01/2052</c:v>
                </c:pt>
                <c:pt idx="315">
                  <c:v>01/01/2053</c:v>
                </c:pt>
                <c:pt idx="316">
                  <c:v>02/01/2053</c:v>
                </c:pt>
                <c:pt idx="317">
                  <c:v>03/01/2053</c:v>
                </c:pt>
                <c:pt idx="318">
                  <c:v>04/01/2053</c:v>
                </c:pt>
                <c:pt idx="319">
                  <c:v>05/01/2053</c:v>
                </c:pt>
                <c:pt idx="320">
                  <c:v>06/01/2053</c:v>
                </c:pt>
                <c:pt idx="321">
                  <c:v>07/01/2053</c:v>
                </c:pt>
                <c:pt idx="322">
                  <c:v>08/01/2053</c:v>
                </c:pt>
                <c:pt idx="323">
                  <c:v>09/01/2053</c:v>
                </c:pt>
                <c:pt idx="324">
                  <c:v>10/01/2053</c:v>
                </c:pt>
                <c:pt idx="325">
                  <c:v>11/01/2053</c:v>
                </c:pt>
                <c:pt idx="326">
                  <c:v>12/01/2053</c:v>
                </c:pt>
                <c:pt idx="327">
                  <c:v>01/01/2054</c:v>
                </c:pt>
                <c:pt idx="328">
                  <c:v>02/01/2054</c:v>
                </c:pt>
                <c:pt idx="329">
                  <c:v>03/01/2054</c:v>
                </c:pt>
                <c:pt idx="330">
                  <c:v>04/01/2054</c:v>
                </c:pt>
                <c:pt idx="331">
                  <c:v>05/01/2054</c:v>
                </c:pt>
                <c:pt idx="332">
                  <c:v>06/01/2054</c:v>
                </c:pt>
                <c:pt idx="333">
                  <c:v>07/01/2054</c:v>
                </c:pt>
                <c:pt idx="334">
                  <c:v>08/01/2054</c:v>
                </c:pt>
                <c:pt idx="335">
                  <c:v>09/01/2054</c:v>
                </c:pt>
                <c:pt idx="336">
                  <c:v>10/01/2054</c:v>
                </c:pt>
                <c:pt idx="337">
                  <c:v>11/01/2054</c:v>
                </c:pt>
                <c:pt idx="338">
                  <c:v>12/01/2054</c:v>
                </c:pt>
                <c:pt idx="339">
                  <c:v>01/01/2055</c:v>
                </c:pt>
                <c:pt idx="340">
                  <c:v>02/01/2055</c:v>
                </c:pt>
                <c:pt idx="341">
                  <c:v>03/01/2055</c:v>
                </c:pt>
                <c:pt idx="342">
                  <c:v>04/01/2055</c:v>
                </c:pt>
                <c:pt idx="343">
                  <c:v>05/01/2055</c:v>
                </c:pt>
                <c:pt idx="344">
                  <c:v>06/01/2055</c:v>
                </c:pt>
                <c:pt idx="345">
                  <c:v>07/01/2055</c:v>
                </c:pt>
                <c:pt idx="346">
                  <c:v>08/01/2055</c:v>
                </c:pt>
                <c:pt idx="347">
                  <c:v>09/01/2055</c:v>
                </c:pt>
                <c:pt idx="348">
                  <c:v>10/01/2055</c:v>
                </c:pt>
                <c:pt idx="349">
                  <c:v>11/01/2055</c:v>
                </c:pt>
                <c:pt idx="350">
                  <c:v>12/01/2055</c:v>
                </c:pt>
                <c:pt idx="351">
                  <c:v>01/01/2056</c:v>
                </c:pt>
                <c:pt idx="352">
                  <c:v>02/01/2056</c:v>
                </c:pt>
                <c:pt idx="353">
                  <c:v>03/01/2056</c:v>
                </c:pt>
                <c:pt idx="354">
                  <c:v>04/01/2056</c:v>
                </c:pt>
                <c:pt idx="355">
                  <c:v>05/01/2056</c:v>
                </c:pt>
                <c:pt idx="356">
                  <c:v>06/01/2056</c:v>
                </c:pt>
                <c:pt idx="357">
                  <c:v>07/01/2056</c:v>
                </c:pt>
                <c:pt idx="358">
                  <c:v>08/01/2056</c:v>
                </c:pt>
                <c:pt idx="359">
                  <c:v>09/01/2056</c:v>
                </c:pt>
                <c:pt idx="360">
                  <c:v>10/01/2056</c:v>
                </c:pt>
                <c:pt idx="361">
                  <c:v>11/01/2056</c:v>
                </c:pt>
                <c:pt idx="362">
                  <c:v>12/01/2056</c:v>
                </c:pt>
                <c:pt idx="363">
                  <c:v>01/01/2057</c:v>
                </c:pt>
                <c:pt idx="364">
                  <c:v>02/01/2057</c:v>
                </c:pt>
                <c:pt idx="365">
                  <c:v>03/01/2057</c:v>
                </c:pt>
                <c:pt idx="366">
                  <c:v>04/01/2057</c:v>
                </c:pt>
                <c:pt idx="367">
                  <c:v>05/01/2057</c:v>
                </c:pt>
                <c:pt idx="368">
                  <c:v>06/01/2057</c:v>
                </c:pt>
                <c:pt idx="369">
                  <c:v>07/01/2057</c:v>
                </c:pt>
                <c:pt idx="370">
                  <c:v>08/01/2057</c:v>
                </c:pt>
                <c:pt idx="371">
                  <c:v>09/01/2057</c:v>
                </c:pt>
                <c:pt idx="372">
                  <c:v>10/01/2057</c:v>
                </c:pt>
                <c:pt idx="373">
                  <c:v>11/01/2057</c:v>
                </c:pt>
                <c:pt idx="374">
                  <c:v>12/01/2057</c:v>
                </c:pt>
                <c:pt idx="375">
                  <c:v>01/01/2058</c:v>
                </c:pt>
                <c:pt idx="376">
                  <c:v>02/01/2058</c:v>
                </c:pt>
                <c:pt idx="377">
                  <c:v>03/01/2058</c:v>
                </c:pt>
                <c:pt idx="378">
                  <c:v>04/01/2058</c:v>
                </c:pt>
                <c:pt idx="379">
                  <c:v>05/01/2058</c:v>
                </c:pt>
                <c:pt idx="380">
                  <c:v>06/01/2058</c:v>
                </c:pt>
                <c:pt idx="381">
                  <c:v>07/01/2058</c:v>
                </c:pt>
                <c:pt idx="382">
                  <c:v>08/01/2058</c:v>
                </c:pt>
                <c:pt idx="383">
                  <c:v>09/01/2058</c:v>
                </c:pt>
                <c:pt idx="384">
                  <c:v>10/01/2058</c:v>
                </c:pt>
                <c:pt idx="385">
                  <c:v>11/01/2058</c:v>
                </c:pt>
                <c:pt idx="386">
                  <c:v>12/01/2058</c:v>
                </c:pt>
                <c:pt idx="387">
                  <c:v>01/01/2059</c:v>
                </c:pt>
                <c:pt idx="388">
                  <c:v>02/01/2059</c:v>
                </c:pt>
                <c:pt idx="389">
                  <c:v>03/01/2059</c:v>
                </c:pt>
                <c:pt idx="390">
                  <c:v>04/01/2059</c:v>
                </c:pt>
                <c:pt idx="391">
                  <c:v>05/01/2059</c:v>
                </c:pt>
                <c:pt idx="392">
                  <c:v>06/01/2059</c:v>
                </c:pt>
                <c:pt idx="393">
                  <c:v>07/01/2059</c:v>
                </c:pt>
                <c:pt idx="394">
                  <c:v>08/01/2059</c:v>
                </c:pt>
                <c:pt idx="395">
                  <c:v>09/01/2059</c:v>
                </c:pt>
                <c:pt idx="396">
                  <c:v>10/01/2059</c:v>
                </c:pt>
                <c:pt idx="397">
                  <c:v>11/01/2059</c:v>
                </c:pt>
                <c:pt idx="398">
                  <c:v>12/01/2059</c:v>
                </c:pt>
                <c:pt idx="399">
                  <c:v>01/01/2060</c:v>
                </c:pt>
                <c:pt idx="400">
                  <c:v>02/01/2060</c:v>
                </c:pt>
                <c:pt idx="401">
                  <c:v>03/01/2060</c:v>
                </c:pt>
                <c:pt idx="402">
                  <c:v>04/01/2060</c:v>
                </c:pt>
                <c:pt idx="403">
                  <c:v>05/01/2060</c:v>
                </c:pt>
                <c:pt idx="404">
                  <c:v>06/01/2060</c:v>
                </c:pt>
                <c:pt idx="405">
                  <c:v>07/01/2060</c:v>
                </c:pt>
                <c:pt idx="406">
                  <c:v>08/01/2060</c:v>
                </c:pt>
                <c:pt idx="407">
                  <c:v>09/01/2060</c:v>
                </c:pt>
                <c:pt idx="408">
                  <c:v>10/01/2060</c:v>
                </c:pt>
                <c:pt idx="409">
                  <c:v>11/01/2060</c:v>
                </c:pt>
                <c:pt idx="410">
                  <c:v>12/01/2060</c:v>
                </c:pt>
                <c:pt idx="411">
                  <c:v>01/01/2061</c:v>
                </c:pt>
                <c:pt idx="412">
                  <c:v>02/01/2061</c:v>
                </c:pt>
                <c:pt idx="413">
                  <c:v>03/01/2061</c:v>
                </c:pt>
                <c:pt idx="414">
                  <c:v>04/01/2061</c:v>
                </c:pt>
                <c:pt idx="415">
                  <c:v>05/01/2061</c:v>
                </c:pt>
                <c:pt idx="416">
                  <c:v>06/01/2061</c:v>
                </c:pt>
                <c:pt idx="417">
                  <c:v>07/01/2061</c:v>
                </c:pt>
                <c:pt idx="418">
                  <c:v>08/01/2061</c:v>
                </c:pt>
                <c:pt idx="419">
                  <c:v>09/01/2061</c:v>
                </c:pt>
                <c:pt idx="420">
                  <c:v>10/01/2061</c:v>
                </c:pt>
                <c:pt idx="421">
                  <c:v>11/01/2061</c:v>
                </c:pt>
                <c:pt idx="422">
                  <c:v>12/01/2061</c:v>
                </c:pt>
                <c:pt idx="423">
                  <c:v>01/01/2062</c:v>
                </c:pt>
                <c:pt idx="424">
                  <c:v>02/01/2062</c:v>
                </c:pt>
                <c:pt idx="425">
                  <c:v>03/01/2062</c:v>
                </c:pt>
                <c:pt idx="426">
                  <c:v>04/01/2062</c:v>
                </c:pt>
                <c:pt idx="427">
                  <c:v>05/01/2062</c:v>
                </c:pt>
                <c:pt idx="428">
                  <c:v>06/01/2062</c:v>
                </c:pt>
                <c:pt idx="429">
                  <c:v>07/01/2062</c:v>
                </c:pt>
                <c:pt idx="430">
                  <c:v>08/01/2062</c:v>
                </c:pt>
                <c:pt idx="431">
                  <c:v>09/01/2062</c:v>
                </c:pt>
                <c:pt idx="432">
                  <c:v>10/01/2062</c:v>
                </c:pt>
                <c:pt idx="433">
                  <c:v>11/01/2062</c:v>
                </c:pt>
                <c:pt idx="434">
                  <c:v>12/01/2062</c:v>
                </c:pt>
                <c:pt idx="435">
                  <c:v>01/01/2063</c:v>
                </c:pt>
                <c:pt idx="436">
                  <c:v>02/01/2063</c:v>
                </c:pt>
                <c:pt idx="437">
                  <c:v>03/01/2063</c:v>
                </c:pt>
                <c:pt idx="438">
                  <c:v>04/01/2063</c:v>
                </c:pt>
                <c:pt idx="439">
                  <c:v>05/01/2063</c:v>
                </c:pt>
                <c:pt idx="440">
                  <c:v>06/01/2063</c:v>
                </c:pt>
                <c:pt idx="441">
                  <c:v>07/01/2063</c:v>
                </c:pt>
                <c:pt idx="442">
                  <c:v>08/01/2063</c:v>
                </c:pt>
                <c:pt idx="443">
                  <c:v>09/01/2063</c:v>
                </c:pt>
                <c:pt idx="444">
                  <c:v>10/01/2063</c:v>
                </c:pt>
                <c:pt idx="445">
                  <c:v>11/01/2063</c:v>
                </c:pt>
                <c:pt idx="446">
                  <c:v>12/01/2063</c:v>
                </c:pt>
                <c:pt idx="447">
                  <c:v>01/01/2064</c:v>
                </c:pt>
                <c:pt idx="448">
                  <c:v>02/01/2064</c:v>
                </c:pt>
                <c:pt idx="449">
                  <c:v>03/01/2064</c:v>
                </c:pt>
                <c:pt idx="450">
                  <c:v>04/01/2064</c:v>
                </c:pt>
                <c:pt idx="451">
                  <c:v>05/01/2064</c:v>
                </c:pt>
                <c:pt idx="452">
                  <c:v>06/01/2064</c:v>
                </c:pt>
                <c:pt idx="453">
                  <c:v>07/01/2064</c:v>
                </c:pt>
                <c:pt idx="454">
                  <c:v>08/01/2064</c:v>
                </c:pt>
                <c:pt idx="455">
                  <c:v>09/01/2064</c:v>
                </c:pt>
                <c:pt idx="456">
                  <c:v>10/01/2064</c:v>
                </c:pt>
                <c:pt idx="457">
                  <c:v>11/01/2064</c:v>
                </c:pt>
                <c:pt idx="458">
                  <c:v>12/01/2064</c:v>
                </c:pt>
                <c:pt idx="459">
                  <c:v>01/01/2065</c:v>
                </c:pt>
                <c:pt idx="460">
                  <c:v>02/01/2065</c:v>
                </c:pt>
                <c:pt idx="461">
                  <c:v>03/01/2065</c:v>
                </c:pt>
                <c:pt idx="462">
                  <c:v>04/01/2065</c:v>
                </c:pt>
                <c:pt idx="463">
                  <c:v>05/01/2065</c:v>
                </c:pt>
                <c:pt idx="464">
                  <c:v>06/01/2065</c:v>
                </c:pt>
                <c:pt idx="465">
                  <c:v>07/01/2065</c:v>
                </c:pt>
                <c:pt idx="466">
                  <c:v>08/01/2065</c:v>
                </c:pt>
                <c:pt idx="467">
                  <c:v>09/01/2065</c:v>
                </c:pt>
                <c:pt idx="468">
                  <c:v>10/01/2065</c:v>
                </c:pt>
                <c:pt idx="469">
                  <c:v>11/01/2065</c:v>
                </c:pt>
                <c:pt idx="470">
                  <c:v>12/01/2065</c:v>
                </c:pt>
                <c:pt idx="471">
                  <c:v>01/01/2066</c:v>
                </c:pt>
                <c:pt idx="472">
                  <c:v>02/01/2066</c:v>
                </c:pt>
                <c:pt idx="473">
                  <c:v>03/01/2066</c:v>
                </c:pt>
                <c:pt idx="474">
                  <c:v>04/01/2066</c:v>
                </c:pt>
                <c:pt idx="475">
                  <c:v>05/01/2066</c:v>
                </c:pt>
                <c:pt idx="476">
                  <c:v>06/01/2066</c:v>
                </c:pt>
                <c:pt idx="477">
                  <c:v>07/01/2066</c:v>
                </c:pt>
                <c:pt idx="478">
                  <c:v>08/01/2066</c:v>
                </c:pt>
                <c:pt idx="479">
                  <c:v>09/01/2066</c:v>
                </c:pt>
              </c:strCache>
            </c:strRef>
          </c:cat>
          <c:val>
            <c:numRef>
              <c:f>Schedule!$J$6:$J$485</c:f>
              <c:numCache>
                <c:formatCode>\$#,##0.00;"($"#,##0.00\);\-</c:formatCode>
                <c:ptCount val="480"/>
                <c:pt idx="0">
                  <c:v>419420.31</c:v>
                </c:pt>
                <c:pt idx="1">
                  <c:v>418837.48</c:v>
                </c:pt>
                <c:pt idx="2">
                  <c:v>417251.49</c:v>
                </c:pt>
                <c:pt idx="3">
                  <c:v>416656.91</c:v>
                </c:pt>
                <c:pt idx="4">
                  <c:v>416059.11</c:v>
                </c:pt>
                <c:pt idx="5">
                  <c:v>415458.07</c:v>
                </c:pt>
                <c:pt idx="6">
                  <c:v>414853.78</c:v>
                </c:pt>
                <c:pt idx="7">
                  <c:v>414246.21</c:v>
                </c:pt>
                <c:pt idx="8">
                  <c:v>413635.35</c:v>
                </c:pt>
                <c:pt idx="9">
                  <c:v>413021.18</c:v>
                </c:pt>
                <c:pt idx="10">
                  <c:v>412403.69</c:v>
                </c:pt>
                <c:pt idx="11">
                  <c:v>408782.85</c:v>
                </c:pt>
                <c:pt idx="12">
                  <c:v>408142.4</c:v>
                </c:pt>
                <c:pt idx="13">
                  <c:v>407498.48</c:v>
                </c:pt>
                <c:pt idx="14">
                  <c:v>405851.07</c:v>
                </c:pt>
                <c:pt idx="15">
                  <c:v>405194.74</c:v>
                </c:pt>
                <c:pt idx="16">
                  <c:v>404534.85</c:v>
                </c:pt>
                <c:pt idx="17">
                  <c:v>403871.39</c:v>
                </c:pt>
                <c:pt idx="18">
                  <c:v>403204.34</c:v>
                </c:pt>
                <c:pt idx="19">
                  <c:v>402533.67</c:v>
                </c:pt>
                <c:pt idx="20">
                  <c:v>401859.37</c:v>
                </c:pt>
                <c:pt idx="21">
                  <c:v>401181.42</c:v>
                </c:pt>
                <c:pt idx="22">
                  <c:v>400499.8</c:v>
                </c:pt>
                <c:pt idx="23">
                  <c:v>399814.48</c:v>
                </c:pt>
                <c:pt idx="24">
                  <c:v>399125.45</c:v>
                </c:pt>
                <c:pt idx="25">
                  <c:v>398432.69</c:v>
                </c:pt>
                <c:pt idx="26">
                  <c:v>396736.18</c:v>
                </c:pt>
                <c:pt idx="27">
                  <c:v>396030.48</c:v>
                </c:pt>
                <c:pt idx="28">
                  <c:v>395320.96</c:v>
                </c:pt>
                <c:pt idx="29">
                  <c:v>394607.59</c:v>
                </c:pt>
                <c:pt idx="30">
                  <c:v>393890.36</c:v>
                </c:pt>
                <c:pt idx="31">
                  <c:v>393169.24</c:v>
                </c:pt>
                <c:pt idx="32">
                  <c:v>392444.22</c:v>
                </c:pt>
                <c:pt idx="33">
                  <c:v>391715.27</c:v>
                </c:pt>
                <c:pt idx="34">
                  <c:v>390982.37</c:v>
                </c:pt>
                <c:pt idx="35">
                  <c:v>390245.5</c:v>
                </c:pt>
                <c:pt idx="36">
                  <c:v>389504.64</c:v>
                </c:pt>
                <c:pt idx="37">
                  <c:v>388759.77</c:v>
                </c:pt>
                <c:pt idx="38">
                  <c:v>387010.86</c:v>
                </c:pt>
                <c:pt idx="39">
                  <c:v>386252.48</c:v>
                </c:pt>
                <c:pt idx="40">
                  <c:v>385489.99</c:v>
                </c:pt>
                <c:pt idx="41">
                  <c:v>384723.37</c:v>
                </c:pt>
                <c:pt idx="42">
                  <c:v>383952.6</c:v>
                </c:pt>
                <c:pt idx="43">
                  <c:v>383177.65</c:v>
                </c:pt>
                <c:pt idx="44">
                  <c:v>382398.51</c:v>
                </c:pt>
                <c:pt idx="45">
                  <c:v>381615.15</c:v>
                </c:pt>
                <c:pt idx="46">
                  <c:v>380827.54</c:v>
                </c:pt>
                <c:pt idx="47">
                  <c:v>380035.67</c:v>
                </c:pt>
                <c:pt idx="48">
                  <c:v>379239.51</c:v>
                </c:pt>
                <c:pt idx="49">
                  <c:v>378439.03</c:v>
                </c:pt>
                <c:pt idx="50">
                  <c:v>376634.22</c:v>
                </c:pt>
                <c:pt idx="51">
                  <c:v>375819.63</c:v>
                </c:pt>
                <c:pt idx="52">
                  <c:v>375000.63</c:v>
                </c:pt>
                <c:pt idx="53">
                  <c:v>374177.19</c:v>
                </c:pt>
                <c:pt idx="54">
                  <c:v>373349.29</c:v>
                </c:pt>
                <c:pt idx="55">
                  <c:v>372516.91</c:v>
                </c:pt>
                <c:pt idx="56">
                  <c:v>371680.02</c:v>
                </c:pt>
                <c:pt idx="57">
                  <c:v>370838.6</c:v>
                </c:pt>
                <c:pt idx="58">
                  <c:v>369992.62</c:v>
                </c:pt>
                <c:pt idx="59">
                  <c:v>369142.06</c:v>
                </c:pt>
                <c:pt idx="60">
                  <c:v>368286.89</c:v>
                </c:pt>
                <c:pt idx="61">
                  <c:v>367427.09</c:v>
                </c:pt>
                <c:pt idx="62">
                  <c:v>365562.63</c:v>
                </c:pt>
                <c:pt idx="63">
                  <c:v>364688.07</c:v>
                </c:pt>
                <c:pt idx="64">
                  <c:v>363808.77</c:v>
                </c:pt>
                <c:pt idx="65">
                  <c:v>362924.71</c:v>
                </c:pt>
                <c:pt idx="66">
                  <c:v>362035.86</c:v>
                </c:pt>
                <c:pt idx="67">
                  <c:v>361142.2</c:v>
                </c:pt>
                <c:pt idx="68">
                  <c:v>360243.7</c:v>
                </c:pt>
                <c:pt idx="69">
                  <c:v>359340.33</c:v>
                </c:pt>
                <c:pt idx="70">
                  <c:v>358432.07</c:v>
                </c:pt>
                <c:pt idx="71">
                  <c:v>357518.89</c:v>
                </c:pt>
                <c:pt idx="72">
                  <c:v>356600.76</c:v>
                </c:pt>
                <c:pt idx="73">
                  <c:v>355677.66</c:v>
                </c:pt>
                <c:pt idx="74">
                  <c:v>353749.56</c:v>
                </c:pt>
                <c:pt idx="75">
                  <c:v>352811.01</c:v>
                </c:pt>
                <c:pt idx="76">
                  <c:v>351867.38</c:v>
                </c:pt>
                <c:pt idx="77">
                  <c:v>350918.64</c:v>
                </c:pt>
                <c:pt idx="78">
                  <c:v>349964.76</c:v>
                </c:pt>
                <c:pt idx="79">
                  <c:v>349005.71</c:v>
                </c:pt>
                <c:pt idx="80">
                  <c:v>348041.47</c:v>
                </c:pt>
                <c:pt idx="81">
                  <c:v>347072</c:v>
                </c:pt>
                <c:pt idx="82">
                  <c:v>346097.28</c:v>
                </c:pt>
                <c:pt idx="83">
                  <c:v>345117.28</c:v>
                </c:pt>
                <c:pt idx="84">
                  <c:v>344131.98</c:v>
                </c:pt>
                <c:pt idx="85">
                  <c:v>343141.34</c:v>
                </c:pt>
                <c:pt idx="86">
                  <c:v>341145.33</c:v>
                </c:pt>
                <c:pt idx="87">
                  <c:v>340138.51</c:v>
                </c:pt>
                <c:pt idx="88">
                  <c:v>339126.24</c:v>
                </c:pt>
                <c:pt idx="89">
                  <c:v>338108.48</c:v>
                </c:pt>
                <c:pt idx="90">
                  <c:v>337085.21</c:v>
                </c:pt>
                <c:pt idx="91">
                  <c:v>336056.4</c:v>
                </c:pt>
                <c:pt idx="92">
                  <c:v>335022.02</c:v>
                </c:pt>
                <c:pt idx="93">
                  <c:v>333982.03</c:v>
                </c:pt>
                <c:pt idx="94">
                  <c:v>332936.41</c:v>
                </c:pt>
                <c:pt idx="95">
                  <c:v>331885.13</c:v>
                </c:pt>
                <c:pt idx="96">
                  <c:v>330828.15</c:v>
                </c:pt>
                <c:pt idx="97">
                  <c:v>329765.45</c:v>
                </c:pt>
                <c:pt idx="98">
                  <c:v>327696.99</c:v>
                </c:pt>
                <c:pt idx="99">
                  <c:v>326617.33</c:v>
                </c:pt>
                <c:pt idx="100">
                  <c:v>325531.82</c:v>
                </c:pt>
                <c:pt idx="101">
                  <c:v>324440.43</c:v>
                </c:pt>
                <c:pt idx="102">
                  <c:v>323343.13</c:v>
                </c:pt>
                <c:pt idx="103">
                  <c:v>322239.88</c:v>
                </c:pt>
                <c:pt idx="104">
                  <c:v>321130.66</c:v>
                </c:pt>
                <c:pt idx="105">
                  <c:v>320015.43</c:v>
                </c:pt>
                <c:pt idx="106">
                  <c:v>318894.16</c:v>
                </c:pt>
                <c:pt idx="107">
                  <c:v>317766.81</c:v>
                </c:pt>
                <c:pt idx="108">
                  <c:v>316633.36</c:v>
                </c:pt>
                <c:pt idx="109">
                  <c:v>315493.77</c:v>
                </c:pt>
                <c:pt idx="110">
                  <c:v>313348</c:v>
                </c:pt>
                <c:pt idx="111">
                  <c:v>312190.61</c:v>
                </c:pt>
                <c:pt idx="112">
                  <c:v>311026.95</c:v>
                </c:pt>
                <c:pt idx="113">
                  <c:v>309856.99</c:v>
                </c:pt>
                <c:pt idx="114">
                  <c:v>308680.69</c:v>
                </c:pt>
                <c:pt idx="115">
                  <c:v>307498.02</c:v>
                </c:pt>
                <c:pt idx="116">
                  <c:v>306308.94</c:v>
                </c:pt>
                <c:pt idx="117">
                  <c:v>305113.42</c:v>
                </c:pt>
                <c:pt idx="118">
                  <c:v>303911.43</c:v>
                </c:pt>
                <c:pt idx="119">
                  <c:v>302702.93</c:v>
                </c:pt>
                <c:pt idx="120">
                  <c:v>301487.88</c:v>
                </c:pt>
                <c:pt idx="121">
                  <c:v>300266.25</c:v>
                </c:pt>
                <c:pt idx="122">
                  <c:v>298038</c:v>
                </c:pt>
                <c:pt idx="123">
                  <c:v>296797.68</c:v>
                </c:pt>
                <c:pt idx="124">
                  <c:v>295550.64</c:v>
                </c:pt>
                <c:pt idx="125">
                  <c:v>294296.85</c:v>
                </c:pt>
                <c:pt idx="126">
                  <c:v>293036.27</c:v>
                </c:pt>
                <c:pt idx="127">
                  <c:v>291768.86</c:v>
                </c:pt>
                <c:pt idx="128">
                  <c:v>290494.58</c:v>
                </c:pt>
                <c:pt idx="129">
                  <c:v>289213.4</c:v>
                </c:pt>
                <c:pt idx="130">
                  <c:v>287925.28</c:v>
                </c:pt>
                <c:pt idx="131">
                  <c:v>286630.19</c:v>
                </c:pt>
                <c:pt idx="132">
                  <c:v>285328.08</c:v>
                </c:pt>
                <c:pt idx="133">
                  <c:v>284018.92</c:v>
                </c:pt>
                <c:pt idx="134">
                  <c:v>281702.67</c:v>
                </c:pt>
                <c:pt idx="135">
                  <c:v>280373.87</c:v>
                </c:pt>
                <c:pt idx="136">
                  <c:v>279037.87</c:v>
                </c:pt>
                <c:pt idx="137">
                  <c:v>277694.64</c:v>
                </c:pt>
                <c:pt idx="138">
                  <c:v>276344.13</c:v>
                </c:pt>
                <c:pt idx="139">
                  <c:v>274986.3</c:v>
                </c:pt>
                <c:pt idx="140">
                  <c:v>273621.12</c:v>
                </c:pt>
                <c:pt idx="141">
                  <c:v>272248.54</c:v>
                </c:pt>
                <c:pt idx="142">
                  <c:v>270868.53</c:v>
                </c:pt>
                <c:pt idx="143">
                  <c:v>269481.04</c:v>
                </c:pt>
                <c:pt idx="144">
                  <c:v>268086.04</c:v>
                </c:pt>
                <c:pt idx="145">
                  <c:v>266683.48</c:v>
                </c:pt>
                <c:pt idx="146">
                  <c:v>264273.33</c:v>
                </c:pt>
                <c:pt idx="147">
                  <c:v>262850.12</c:v>
                </c:pt>
                <c:pt idx="148">
                  <c:v>261419.2</c:v>
                </c:pt>
                <c:pt idx="149">
                  <c:v>259980.53</c:v>
                </c:pt>
                <c:pt idx="150">
                  <c:v>258534.07</c:v>
                </c:pt>
                <c:pt idx="151">
                  <c:v>257079.77</c:v>
                </c:pt>
                <c:pt idx="152">
                  <c:v>255617.6</c:v>
                </c:pt>
                <c:pt idx="153">
                  <c:v>254147.51</c:v>
                </c:pt>
                <c:pt idx="154">
                  <c:v>252669.45</c:v>
                </c:pt>
                <c:pt idx="155">
                  <c:v>251183.39</c:v>
                </c:pt>
                <c:pt idx="156">
                  <c:v>249689.28</c:v>
                </c:pt>
                <c:pt idx="157">
                  <c:v>248187.07</c:v>
                </c:pt>
                <c:pt idx="158">
                  <c:v>245676.73</c:v>
                </c:pt>
                <c:pt idx="159">
                  <c:v>244152.79</c:v>
                </c:pt>
                <c:pt idx="160">
                  <c:v>242620.59</c:v>
                </c:pt>
                <c:pt idx="161">
                  <c:v>241080.09</c:v>
                </c:pt>
                <c:pt idx="162">
                  <c:v>239531.25</c:v>
                </c:pt>
                <c:pt idx="163">
                  <c:v>237974.02</c:v>
                </c:pt>
                <c:pt idx="164">
                  <c:v>236408.36</c:v>
                </c:pt>
                <c:pt idx="165">
                  <c:v>234834.22</c:v>
                </c:pt>
                <c:pt idx="166">
                  <c:v>233251.55</c:v>
                </c:pt>
                <c:pt idx="167">
                  <c:v>231660.31</c:v>
                </c:pt>
                <c:pt idx="168">
                  <c:v>230060.45</c:v>
                </c:pt>
                <c:pt idx="169">
                  <c:v>228451.92</c:v>
                </c:pt>
                <c:pt idx="170">
                  <c:v>225834.68</c:v>
                </c:pt>
                <c:pt idx="171">
                  <c:v>224203.26</c:v>
                </c:pt>
                <c:pt idx="172">
                  <c:v>222563</c:v>
                </c:pt>
                <c:pt idx="173">
                  <c:v>220913.86</c:v>
                </c:pt>
                <c:pt idx="174">
                  <c:v>219255.79</c:v>
                </c:pt>
                <c:pt idx="175">
                  <c:v>217588.74</c:v>
                </c:pt>
                <c:pt idx="176">
                  <c:v>215912.66</c:v>
                </c:pt>
                <c:pt idx="177">
                  <c:v>214227.5</c:v>
                </c:pt>
                <c:pt idx="178">
                  <c:v>212533.21</c:v>
                </c:pt>
                <c:pt idx="179">
                  <c:v>210829.74</c:v>
                </c:pt>
                <c:pt idx="180">
                  <c:v>209117.04</c:v>
                </c:pt>
                <c:pt idx="181">
                  <c:v>207395.07</c:v>
                </c:pt>
                <c:pt idx="182">
                  <c:v>204663.77</c:v>
                </c:pt>
                <c:pt idx="183">
                  <c:v>202917.68</c:v>
                </c:pt>
                <c:pt idx="184">
                  <c:v>201162.13</c:v>
                </c:pt>
                <c:pt idx="185">
                  <c:v>199397.07</c:v>
                </c:pt>
                <c:pt idx="186">
                  <c:v>197622.45</c:v>
                </c:pt>
                <c:pt idx="187">
                  <c:v>195838.21</c:v>
                </c:pt>
                <c:pt idx="188">
                  <c:v>194044.31</c:v>
                </c:pt>
                <c:pt idx="189">
                  <c:v>192240.69</c:v>
                </c:pt>
                <c:pt idx="190">
                  <c:v>190427.3</c:v>
                </c:pt>
                <c:pt idx="191">
                  <c:v>188604.09</c:v>
                </c:pt>
                <c:pt idx="192">
                  <c:v>186771.01</c:v>
                </c:pt>
                <c:pt idx="193">
                  <c:v>184928</c:v>
                </c:pt>
                <c:pt idx="194">
                  <c:v>182075</c:v>
                </c:pt>
                <c:pt idx="195">
                  <c:v>180206.55</c:v>
                </c:pt>
                <c:pt idx="196">
                  <c:v>178327.98</c:v>
                </c:pt>
                <c:pt idx="197">
                  <c:v>176439.23</c:v>
                </c:pt>
                <c:pt idx="198">
                  <c:v>174540.25</c:v>
                </c:pt>
                <c:pt idx="199">
                  <c:v>172630.99</c:v>
                </c:pt>
                <c:pt idx="200">
                  <c:v>170711.38</c:v>
                </c:pt>
                <c:pt idx="201">
                  <c:v>168781.38</c:v>
                </c:pt>
                <c:pt idx="202">
                  <c:v>166840.92</c:v>
                </c:pt>
                <c:pt idx="203">
                  <c:v>164889.95</c:v>
                </c:pt>
                <c:pt idx="204">
                  <c:v>162928.41</c:v>
                </c:pt>
                <c:pt idx="205">
                  <c:v>160956.25</c:v>
                </c:pt>
                <c:pt idx="206">
                  <c:v>157973.41</c:v>
                </c:pt>
                <c:pt idx="207">
                  <c:v>155974.41</c:v>
                </c:pt>
                <c:pt idx="208">
                  <c:v>153964.58</c:v>
                </c:pt>
                <c:pt idx="209">
                  <c:v>151943.86</c:v>
                </c:pt>
                <c:pt idx="210">
                  <c:v>149912.2</c:v>
                </c:pt>
                <c:pt idx="211">
                  <c:v>147869.53</c:v>
                </c:pt>
                <c:pt idx="212">
                  <c:v>145815.8</c:v>
                </c:pt>
                <c:pt idx="213">
                  <c:v>143750.95</c:v>
                </c:pt>
                <c:pt idx="214">
                  <c:v>141674.91</c:v>
                </c:pt>
                <c:pt idx="215">
                  <c:v>139587.63</c:v>
                </c:pt>
                <c:pt idx="216">
                  <c:v>137489.04</c:v>
                </c:pt>
                <c:pt idx="217">
                  <c:v>135379.08</c:v>
                </c:pt>
                <c:pt idx="218">
                  <c:v>132257.69</c:v>
                </c:pt>
                <c:pt idx="219">
                  <c:v>130119.4</c:v>
                </c:pt>
                <c:pt idx="220">
                  <c:v>127969.52</c:v>
                </c:pt>
                <c:pt idx="221">
                  <c:v>125808</c:v>
                </c:pt>
                <c:pt idx="222">
                  <c:v>123634.77</c:v>
                </c:pt>
                <c:pt idx="223">
                  <c:v>121449.77</c:v>
                </c:pt>
                <c:pt idx="224">
                  <c:v>119252.93</c:v>
                </c:pt>
                <c:pt idx="225">
                  <c:v>117044.19</c:v>
                </c:pt>
                <c:pt idx="226">
                  <c:v>114823.49</c:v>
                </c:pt>
                <c:pt idx="227">
                  <c:v>112590.76</c:v>
                </c:pt>
                <c:pt idx="228">
                  <c:v>110345.94</c:v>
                </c:pt>
                <c:pt idx="229">
                  <c:v>108088.96</c:v>
                </c:pt>
                <c:pt idx="230">
                  <c:v>104819.75</c:v>
                </c:pt>
                <c:pt idx="231">
                  <c:v>102532.83</c:v>
                </c:pt>
                <c:pt idx="232">
                  <c:v>100233.53</c:v>
                </c:pt>
                <c:pt idx="233">
                  <c:v>97921.77</c:v>
                </c:pt>
                <c:pt idx="234">
                  <c:v>95597.49</c:v>
                </c:pt>
                <c:pt idx="235">
                  <c:v>93260.62</c:v>
                </c:pt>
                <c:pt idx="236">
                  <c:v>90911.09</c:v>
                </c:pt>
                <c:pt idx="237">
                  <c:v>88548.84</c:v>
                </c:pt>
                <c:pt idx="238">
                  <c:v>86173.79</c:v>
                </c:pt>
                <c:pt idx="239">
                  <c:v>83785.87</c:v>
                </c:pt>
                <c:pt idx="240">
                  <c:v>81385.02</c:v>
                </c:pt>
                <c:pt idx="241">
                  <c:v>78971.17</c:v>
                </c:pt>
                <c:pt idx="242">
                  <c:v>75544.24</c:v>
                </c:pt>
                <c:pt idx="243">
                  <c:v>73098.75</c:v>
                </c:pt>
                <c:pt idx="244">
                  <c:v>70640.01</c:v>
                </c:pt>
                <c:pt idx="245">
                  <c:v>68167.95</c:v>
                </c:pt>
                <c:pt idx="246">
                  <c:v>65682.5</c:v>
                </c:pt>
                <c:pt idx="247">
                  <c:v>63183.59</c:v>
                </c:pt>
                <c:pt idx="248">
                  <c:v>60671.14</c:v>
                </c:pt>
                <c:pt idx="249">
                  <c:v>58145.09</c:v>
                </c:pt>
                <c:pt idx="250">
                  <c:v>55605.35</c:v>
                </c:pt>
                <c:pt idx="251">
                  <c:v>53051.86</c:v>
                </c:pt>
                <c:pt idx="252">
                  <c:v>50484.53</c:v>
                </c:pt>
                <c:pt idx="253">
                  <c:v>47903.3</c:v>
                </c:pt>
                <c:pt idx="254">
                  <c:v>44308.09</c:v>
                </c:pt>
                <c:pt idx="255">
                  <c:v>41693.4</c:v>
                </c:pt>
                <c:pt idx="256">
                  <c:v>39064.55</c:v>
                </c:pt>
                <c:pt idx="257">
                  <c:v>36421.46</c:v>
                </c:pt>
                <c:pt idx="258">
                  <c:v>33764.05</c:v>
                </c:pt>
                <c:pt idx="259">
                  <c:v>31092.25</c:v>
                </c:pt>
                <c:pt idx="260">
                  <c:v>28405.98</c:v>
                </c:pt>
                <c:pt idx="261">
                  <c:v>25705.16</c:v>
                </c:pt>
                <c:pt idx="262">
                  <c:v>22989.71</c:v>
                </c:pt>
                <c:pt idx="263">
                  <c:v>20259.55</c:v>
                </c:pt>
                <c:pt idx="264">
                  <c:v>17514.6</c:v>
                </c:pt>
                <c:pt idx="265">
                  <c:v>14754.78</c:v>
                </c:pt>
                <c:pt idx="266">
                  <c:v>10980.01</c:v>
                </c:pt>
                <c:pt idx="267">
                  <c:v>8184.8</c:v>
                </c:pt>
                <c:pt idx="268">
                  <c:v>5374.44</c:v>
                </c:pt>
                <c:pt idx="269">
                  <c:v>2548.86</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numCache>
            </c:numRef>
          </c:val>
          <c:smooth val="1"/>
        </c:ser>
        <c:hiLowLines>
          <c:spPr>
            <a:ln w="0">
              <a:noFill/>
            </a:ln>
          </c:spPr>
        </c:hiLowLines>
        <c:marker val="0"/>
        <c:axId val="13238680"/>
        <c:axId val="74771503"/>
      </c:lineChart>
      <c:catAx>
        <c:axId val="13238680"/>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Payment date</a:t>
                </a:r>
              </a:p>
            </c:rich>
          </c:tx>
          <c:overlay val="0"/>
          <c:spPr>
            <a:noFill/>
            <a:ln w="0">
              <a:noFill/>
            </a:ln>
          </c:spPr>
        </c:title>
        <c:numFmt formatCode="mm/dd/yyyy"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771503"/>
        <c:crosses val="autoZero"/>
        <c:auto val="1"/>
        <c:lblAlgn val="ctr"/>
        <c:lblOffset val="100"/>
        <c:noMultiLvlLbl val="0"/>
      </c:catAx>
      <c:valAx>
        <c:axId val="74771503"/>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Remaining balance ($)</a:t>
                </a:r>
              </a:p>
            </c:rich>
          </c:tx>
          <c:overlay val="0"/>
          <c:spPr>
            <a:noFill/>
            <a:ln w="0">
              <a:noFill/>
            </a:ln>
          </c:spPr>
        </c:title>
        <c:numFmt formatCode="\$#,##0.00;&quot;($&quot;#,##0.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23868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Annual Interest vs. Principal (With Extras)</a:t>
            </a:r>
          </a:p>
        </c:rich>
      </c:tx>
      <c:overlay val="0"/>
      <c:spPr>
        <a:noFill/>
        <a:ln w="0">
          <a:noFill/>
        </a:ln>
      </c:spPr>
    </c:title>
    <c:autoTitleDeleted val="0"/>
    <c:plotArea>
      <c:barChart>
        <c:barDir val="col"/>
        <c:grouping val="stacked"/>
        <c:varyColors val="0"/>
        <c:ser>
          <c:idx val="0"/>
          <c:order val="0"/>
          <c:tx>
            <c:strRef>
              <c:f>Charts!B30</c:f>
              <c:strCache>
                <c:ptCount val="1"/>
                <c:pt idx="0">
                  <c:v>Interest</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Charts!$A$31:$A$70</c:f>
              <c:strCach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strCache>
            </c:strRef>
          </c:cat>
          <c:val>
            <c:numRef>
              <c:f>Charts!$B$31:$B$70</c:f>
              <c:numCache>
                <c:formatCode>\$#,##0;"($"#,##0\);\-</c:formatCode>
                <c:ptCount val="40"/>
                <c:pt idx="0">
                  <c:v>27039.13</c:v>
                </c:pt>
                <c:pt idx="1">
                  <c:v>26287.91</c:v>
                </c:pt>
                <c:pt idx="2">
                  <c:v>25687.3</c:v>
                </c:pt>
                <c:pt idx="3">
                  <c:v>25046.45</c:v>
                </c:pt>
                <c:pt idx="4">
                  <c:v>24362.67</c:v>
                </c:pt>
                <c:pt idx="5">
                  <c:v>23633.11</c:v>
                </c:pt>
                <c:pt idx="6">
                  <c:v>22854.67</c:v>
                </c:pt>
                <c:pt idx="7">
                  <c:v>22024.13</c:v>
                </c:pt>
                <c:pt idx="8">
                  <c:v>21137.96</c:v>
                </c:pt>
                <c:pt idx="9">
                  <c:v>20192.4</c:v>
                </c:pt>
                <c:pt idx="10">
                  <c:v>19183.54</c:v>
                </c:pt>
                <c:pt idx="11">
                  <c:v>18107.13</c:v>
                </c:pt>
                <c:pt idx="12">
                  <c:v>16958.63</c:v>
                </c:pt>
                <c:pt idx="13">
                  <c:v>15733.2</c:v>
                </c:pt>
                <c:pt idx="14">
                  <c:v>14425.71</c:v>
                </c:pt>
                <c:pt idx="15">
                  <c:v>13030.63</c:v>
                </c:pt>
                <c:pt idx="16">
                  <c:v>11542.14</c:v>
                </c:pt>
                <c:pt idx="17">
                  <c:v>9953.96</c:v>
                </c:pt>
                <c:pt idx="18">
                  <c:v>8259.41</c:v>
                </c:pt>
                <c:pt idx="19">
                  <c:v>6451.39</c:v>
                </c:pt>
                <c:pt idx="20">
                  <c:v>4522.27</c:v>
                </c:pt>
                <c:pt idx="21">
                  <c:v>2463.97</c:v>
                </c:pt>
                <c:pt idx="22">
                  <c:v>431.26</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ser>
          <c:idx val="1"/>
          <c:order val="1"/>
          <c:tx>
            <c:strRef>
              <c:f>Charts!C30</c:f>
              <c:strCache>
                <c:ptCount val="1"/>
                <c:pt idx="0">
                  <c:v>Principal</c:v>
                </c:pt>
              </c:strCache>
            </c:strRef>
          </c:tx>
          <c:spPr>
            <a:solidFill>
              <a:srgbClr val="C0504D"/>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Charts!$A$31:$A$70</c:f>
              <c:strCache>
                <c:ptCount val="4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strCache>
            </c:strRef>
          </c:cat>
          <c:val>
            <c:numRef>
              <c:f>Charts!$C$31:$C$70</c:f>
              <c:numCache>
                <c:formatCode>\$#,##0;"($"#,##0\);\-</c:formatCode>
                <c:ptCount val="40"/>
                <c:pt idx="0">
                  <c:v>11217.15</c:v>
                </c:pt>
                <c:pt idx="1">
                  <c:v>8968.37</c:v>
                </c:pt>
                <c:pt idx="2">
                  <c:v>9568.98</c:v>
                </c:pt>
                <c:pt idx="3">
                  <c:v>10209.83</c:v>
                </c:pt>
                <c:pt idx="4">
                  <c:v>10893.61</c:v>
                </c:pt>
                <c:pt idx="5">
                  <c:v>11623.17</c:v>
                </c:pt>
                <c:pt idx="6">
                  <c:v>12401.61</c:v>
                </c:pt>
                <c:pt idx="7">
                  <c:v>13232.15</c:v>
                </c:pt>
                <c:pt idx="8">
                  <c:v>14118.32</c:v>
                </c:pt>
                <c:pt idx="9">
                  <c:v>15063.88</c:v>
                </c:pt>
                <c:pt idx="10">
                  <c:v>16072.74</c:v>
                </c:pt>
                <c:pt idx="11">
                  <c:v>17149.15</c:v>
                </c:pt>
                <c:pt idx="12">
                  <c:v>18297.65</c:v>
                </c:pt>
                <c:pt idx="13">
                  <c:v>19523.08</c:v>
                </c:pt>
                <c:pt idx="14">
                  <c:v>20830.57</c:v>
                </c:pt>
                <c:pt idx="15">
                  <c:v>22225.65</c:v>
                </c:pt>
                <c:pt idx="16">
                  <c:v>23714.14</c:v>
                </c:pt>
                <c:pt idx="17">
                  <c:v>25302.32</c:v>
                </c:pt>
                <c:pt idx="18">
                  <c:v>26996.87</c:v>
                </c:pt>
                <c:pt idx="19">
                  <c:v>28804.89</c:v>
                </c:pt>
                <c:pt idx="20">
                  <c:v>30734.01</c:v>
                </c:pt>
                <c:pt idx="21">
                  <c:v>32792.31</c:v>
                </c:pt>
                <c:pt idx="22">
                  <c:v>20259.55</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150"/>
        <c:overlap val="100"/>
        <c:axId val="21424876"/>
        <c:axId val="64649282"/>
      </c:barChart>
      <c:catAx>
        <c:axId val="21424876"/>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Loan year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4649282"/>
        <c:crosses val="autoZero"/>
        <c:auto val="1"/>
        <c:lblAlgn val="ctr"/>
        <c:lblOffset val="100"/>
        <c:noMultiLvlLbl val="0"/>
      </c:catAx>
      <c:valAx>
        <c:axId val="6464928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Annual amount ($)</a:t>
                </a:r>
              </a:p>
            </c:rich>
          </c:tx>
          <c:overlay val="0"/>
          <c:spPr>
            <a:noFill/>
            <a:ln w="0">
              <a:noFill/>
            </a:ln>
          </c:spPr>
        </c:title>
        <c:numFmt formatCode="\$#,##0;&quot;($&quot;#,##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142487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xdr:row>
      <xdr:rowOff>0</xdr:rowOff>
    </xdr:from>
    <xdr:to>
      <xdr:col>10</xdr:col>
      <xdr:colOff>180720</xdr:colOff>
      <xdr:row>24</xdr:row>
      <xdr:rowOff>159480</xdr:rowOff>
    </xdr:to>
    <xdr:graphicFrame>
      <xdr:nvGraphicFramePr>
        <xdr:cNvPr id="1" name="Chart 1"/>
        <xdr:cNvGraphicFramePr/>
      </xdr:nvGraphicFramePr>
      <xdr:xfrm>
        <a:off x="0" y="1085760"/>
        <a:ext cx="8638920" cy="37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28</xdr:row>
      <xdr:rowOff>0</xdr:rowOff>
    </xdr:from>
    <xdr:to>
      <xdr:col>14</xdr:col>
      <xdr:colOff>180720</xdr:colOff>
      <xdr:row>47</xdr:row>
      <xdr:rowOff>159480</xdr:rowOff>
    </xdr:to>
    <xdr:graphicFrame>
      <xdr:nvGraphicFramePr>
        <xdr:cNvPr id="2" name="Chart 2"/>
        <xdr:cNvGraphicFramePr/>
      </xdr:nvGraphicFramePr>
      <xdr:xfrm>
        <a:off x="3383280" y="5467320"/>
        <a:ext cx="8638920" cy="377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15"/>
    <col collapsed="false" customWidth="true" hidden="false" outlineLevel="0" max="3" min="3" style="1" width="11"/>
    <col collapsed="false" customWidth="true" hidden="false" outlineLevel="0" max="4" min="4" style="1" width="34"/>
    <col collapsed="false" customWidth="true" hidden="false" outlineLevel="0" max="5" min="5" style="1" width="15"/>
    <col collapsed="false" customWidth="true" hidden="false" outlineLevel="0" max="6" min="6" style="1" width="11"/>
    <col collapsed="false" customWidth="true" hidden="false" outlineLevel="0" max="7" min="7" style="1" width="34"/>
    <col collapsed="false" customWidth="true" hidden="false" outlineLevel="0" max="8" min="8" style="1" width="16"/>
  </cols>
  <sheetData>
    <row r="1" customFormat="false" ht="25.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3" customFormat="false" ht="15" hidden="false" customHeight="true" outlineLevel="0" collapsed="false">
      <c r="A3" s="4" t="s">
        <v>2</v>
      </c>
      <c r="B3" s="4"/>
      <c r="C3" s="4"/>
      <c r="D3" s="4"/>
      <c r="E3" s="4"/>
      <c r="F3" s="4"/>
      <c r="G3" s="4"/>
      <c r="H3" s="4"/>
    </row>
    <row r="5" customFormat="false" ht="15" hidden="false" customHeight="true" outlineLevel="0" collapsed="false">
      <c r="A5" s="5" t="s">
        <v>3</v>
      </c>
      <c r="B5" s="5"/>
      <c r="D5" s="5" t="s">
        <v>4</v>
      </c>
      <c r="E5" s="5"/>
      <c r="G5" s="5" t="s">
        <v>5</v>
      </c>
      <c r="H5" s="5"/>
    </row>
    <row r="6" customFormat="false" ht="15" hidden="false" customHeight="true" outlineLevel="0" collapsed="false">
      <c r="A6" s="6" t="s">
        <v>6</v>
      </c>
      <c r="B6" s="7" t="n">
        <v>420000</v>
      </c>
      <c r="D6" s="6" t="s">
        <v>7</v>
      </c>
      <c r="E6" s="7" t="n">
        <v>200</v>
      </c>
      <c r="G6" s="8" t="s">
        <v>8</v>
      </c>
      <c r="H6" s="9" t="n">
        <f aca="false">ROUND(PMT(B7/12,B8*12,-B6),2)</f>
        <v>2654.69</v>
      </c>
    </row>
    <row r="7" customFormat="false" ht="15" hidden="false" customHeight="true" outlineLevel="0" collapsed="false">
      <c r="A7" s="6" t="s">
        <v>9</v>
      </c>
      <c r="B7" s="10" t="n">
        <v>0.065</v>
      </c>
      <c r="D7" s="6" t="s">
        <v>10</v>
      </c>
      <c r="E7" s="7" t="n">
        <v>3000</v>
      </c>
      <c r="G7" s="6" t="s">
        <v>11</v>
      </c>
      <c r="H7" s="11" t="n">
        <f aca="false">Baseline!I485</f>
        <v>535683.53</v>
      </c>
    </row>
    <row r="8" customFormat="false" ht="15" hidden="false" customHeight="true" outlineLevel="0" collapsed="false">
      <c r="A8" s="6" t="s">
        <v>12</v>
      </c>
      <c r="B8" s="12" t="n">
        <v>30</v>
      </c>
      <c r="D8" s="6" t="s">
        <v>13</v>
      </c>
      <c r="E8" s="12" t="n">
        <v>12</v>
      </c>
      <c r="G8" s="6" t="s">
        <v>14</v>
      </c>
      <c r="H8" s="11" t="n">
        <f aca="false">Schedule!K485</f>
        <v>379328.97</v>
      </c>
    </row>
    <row r="9" customFormat="false" ht="15" hidden="false" customHeight="true" outlineLevel="0" collapsed="false">
      <c r="A9" s="6" t="s">
        <v>15</v>
      </c>
      <c r="B9" s="13" t="n">
        <v>46296</v>
      </c>
      <c r="D9" s="6" t="s">
        <v>16</v>
      </c>
      <c r="E9" s="7" t="n">
        <v>1000</v>
      </c>
      <c r="G9" s="8" t="s">
        <v>17</v>
      </c>
      <c r="H9" s="14" t="n">
        <f aca="false">H7-H8</f>
        <v>156354.56</v>
      </c>
    </row>
    <row r="10" customFormat="false" ht="15" hidden="false" customHeight="true" outlineLevel="0" collapsed="false">
      <c r="D10" s="6" t="s">
        <v>18</v>
      </c>
      <c r="E10" s="12" t="n">
        <v>12</v>
      </c>
      <c r="G10" s="8" t="s">
        <v>19</v>
      </c>
      <c r="H10" s="15" t="n">
        <f aca="false">COUNTIF(Baseline!D6:D485,"&gt;0")-COUNTIF(Schedule!D6:D485,"&gt;0")</f>
        <v>89</v>
      </c>
    </row>
    <row r="11" customFormat="false" ht="15" hidden="false" customHeight="true" outlineLevel="0" collapsed="false">
      <c r="D11" s="6" t="s">
        <v>20</v>
      </c>
      <c r="E11" s="12" t="n">
        <v>1</v>
      </c>
      <c r="G11" s="8" t="s">
        <v>21</v>
      </c>
      <c r="H11" s="16" t="n">
        <f aca="false">INDEX(Schedule!B6:B485,COUNTIF(Schedule!D6:D485,"&gt;0"))</f>
        <v>54514</v>
      </c>
    </row>
    <row r="13" customFormat="false" ht="15" hidden="false" customHeight="true" outlineLevel="0" collapsed="false">
      <c r="A13" s="5" t="s">
        <v>22</v>
      </c>
      <c r="B13" s="5"/>
      <c r="C13" s="5"/>
      <c r="D13" s="5"/>
      <c r="E13" s="5"/>
    </row>
    <row r="14" customFormat="false" ht="15" hidden="false" customHeight="true" outlineLevel="0" collapsed="false">
      <c r="A14" s="6"/>
      <c r="B14" s="17" t="s">
        <v>23</v>
      </c>
      <c r="C14" s="17" t="s">
        <v>24</v>
      </c>
      <c r="D14" s="17" t="s">
        <v>25</v>
      </c>
      <c r="E14" s="17" t="s">
        <v>26</v>
      </c>
    </row>
    <row r="15" customFormat="false" ht="15" hidden="false" customHeight="true" outlineLevel="0" collapsed="false">
      <c r="A15" s="6" t="s">
        <v>27</v>
      </c>
      <c r="B15" s="18" t="n">
        <f aca="false">INDEX(Baseline!B6:B485,COUNTIF(Baseline!D6:D485,"&gt;0"))</f>
        <v>57224</v>
      </c>
      <c r="C15" s="19" t="n">
        <f aca="false">COUNTIF(Baseline!D6:D485,"&gt;0")</f>
        <v>360</v>
      </c>
      <c r="D15" s="11" t="n">
        <f aca="false">H7</f>
        <v>535683.53</v>
      </c>
      <c r="E15" s="11" t="n">
        <f aca="false">B6+D15</f>
        <v>955683.53</v>
      </c>
    </row>
    <row r="16" customFormat="false" ht="15" hidden="false" customHeight="true" outlineLevel="0" collapsed="false">
      <c r="A16" s="8" t="s">
        <v>28</v>
      </c>
      <c r="B16" s="16" t="n">
        <f aca="false">H11</f>
        <v>54514</v>
      </c>
      <c r="C16" s="15" t="n">
        <f aca="false">COUNTIF(Schedule!D6:D485,"&gt;0")</f>
        <v>271</v>
      </c>
      <c r="D16" s="14" t="n">
        <f aca="false">H8</f>
        <v>379328.97</v>
      </c>
      <c r="E16" s="14" t="n">
        <f aca="false">B6+D16</f>
        <v>799328.97</v>
      </c>
    </row>
    <row r="19" customFormat="false" ht="15" hidden="false" customHeight="true" outlineLevel="0" collapsed="false">
      <c r="A19" s="5" t="s">
        <v>29</v>
      </c>
      <c r="B19" s="5"/>
      <c r="C19" s="5"/>
      <c r="D19" s="5"/>
      <c r="E19" s="5"/>
      <c r="F19" s="5"/>
      <c r="G19" s="5"/>
      <c r="H19" s="5"/>
    </row>
    <row r="20" customFormat="false" ht="15" hidden="false" customHeight="true" outlineLevel="0" collapsed="false">
      <c r="B20" s="20" t="s">
        <v>30</v>
      </c>
    </row>
    <row r="21" customFormat="false" ht="15" hidden="false" customHeight="true" outlineLevel="0" collapsed="false">
      <c r="B21" s="21" t="s">
        <v>31</v>
      </c>
    </row>
    <row r="23" customFormat="false" ht="15" hidden="false" customHeight="true" outlineLevel="0" collapsed="false">
      <c r="A23" s="22" t="s">
        <v>32</v>
      </c>
      <c r="B23" s="22"/>
      <c r="C23" s="22"/>
      <c r="D23" s="22"/>
      <c r="E23" s="22"/>
      <c r="F23" s="22"/>
      <c r="G23" s="22"/>
      <c r="H23" s="22"/>
    </row>
    <row r="24" customFormat="false" ht="15" hidden="false" customHeight="true" outlineLevel="0" collapsed="false">
      <c r="A24" s="22" t="s">
        <v>33</v>
      </c>
      <c r="B24" s="22"/>
      <c r="C24" s="22"/>
      <c r="D24" s="22"/>
      <c r="E24" s="22"/>
      <c r="F24" s="22"/>
      <c r="G24" s="22"/>
      <c r="H24" s="22"/>
    </row>
  </sheetData>
  <mergeCells count="10">
    <mergeCell ref="A1:H1"/>
    <mergeCell ref="A2:H2"/>
    <mergeCell ref="A3:H3"/>
    <mergeCell ref="A5:B5"/>
    <mergeCell ref="D5:E5"/>
    <mergeCell ref="G5:H5"/>
    <mergeCell ref="A13:E13"/>
    <mergeCell ref="A19:H19"/>
    <mergeCell ref="A23:H23"/>
    <mergeCell ref="A24:H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11"/>
    <col collapsed="false" customWidth="true" hidden="false" outlineLevel="0" max="4" min="4" style="1" width="19"/>
    <col collapsed="false" customWidth="true" hidden="false" outlineLevel="0" max="5" min="5" style="1" width="12"/>
    <col collapsed="false" customWidth="true" hidden="false" outlineLevel="0" max="6" min="6" style="1" width="21"/>
    <col collapsed="false" customWidth="true" hidden="false" outlineLevel="0" max="7" min="7" style="1" width="17"/>
    <col collapsed="false" customWidth="true" hidden="false" outlineLevel="0" max="9" min="8" style="1" width="15"/>
    <col collapsed="false" customWidth="true" hidden="false" outlineLevel="0" max="10" min="10" style="1" width="16"/>
    <col collapsed="false" customWidth="true" hidden="false" outlineLevel="0" max="11" min="11" style="1" width="21"/>
  </cols>
  <sheetData>
    <row r="1" customFormat="false" ht="25.5" hidden="false" customHeight="true" outlineLevel="0" collapsed="false">
      <c r="A1" s="2" t="s">
        <v>34</v>
      </c>
      <c r="B1" s="2"/>
      <c r="C1" s="2"/>
      <c r="D1" s="2"/>
      <c r="E1" s="2"/>
      <c r="F1" s="2"/>
      <c r="G1" s="2"/>
      <c r="H1" s="2"/>
      <c r="I1" s="2"/>
      <c r="J1" s="2"/>
      <c r="K1" s="2"/>
    </row>
    <row r="2" customFormat="false" ht="15" hidden="false" customHeight="true" outlineLevel="0" collapsed="false">
      <c r="A2" s="3" t="s">
        <v>35</v>
      </c>
      <c r="B2" s="3"/>
      <c r="C2" s="3"/>
      <c r="D2" s="3"/>
      <c r="E2" s="3"/>
      <c r="F2" s="3"/>
      <c r="G2" s="3"/>
      <c r="H2" s="3"/>
      <c r="I2" s="3"/>
      <c r="J2" s="3"/>
      <c r="K2" s="3"/>
    </row>
    <row r="3" customFormat="false" ht="15" hidden="false" customHeight="true" outlineLevel="0" collapsed="false">
      <c r="A3" s="23" t="s">
        <v>36</v>
      </c>
      <c r="B3" s="23"/>
      <c r="C3" s="23"/>
      <c r="D3" s="23"/>
      <c r="E3" s="23"/>
      <c r="F3" s="23"/>
      <c r="G3" s="23"/>
      <c r="H3" s="23"/>
      <c r="I3" s="23"/>
      <c r="J3" s="23"/>
      <c r="K3" s="23"/>
    </row>
    <row r="5" customFormat="false" ht="15" hidden="false" customHeight="true" outlineLevel="0" collapsed="false">
      <c r="A5" s="24" t="s">
        <v>37</v>
      </c>
      <c r="B5" s="25" t="s">
        <v>38</v>
      </c>
      <c r="C5" s="25" t="s">
        <v>39</v>
      </c>
      <c r="D5" s="25" t="s">
        <v>40</v>
      </c>
      <c r="E5" s="25" t="s">
        <v>41</v>
      </c>
      <c r="F5" s="25" t="s">
        <v>42</v>
      </c>
      <c r="G5" s="25" t="s">
        <v>43</v>
      </c>
      <c r="H5" s="25" t="s">
        <v>44</v>
      </c>
      <c r="I5" s="25" t="s">
        <v>45</v>
      </c>
      <c r="J5" s="25" t="s">
        <v>46</v>
      </c>
      <c r="K5" s="25" t="s">
        <v>47</v>
      </c>
    </row>
    <row r="6" customFormat="false" ht="15" hidden="false" customHeight="true" outlineLevel="0" collapsed="false">
      <c r="A6" s="19" t="s">
        <v>48</v>
      </c>
      <c r="B6" s="18" t="n">
        <f aca="false">Calculator!$B$9</f>
        <v>46296</v>
      </c>
      <c r="C6" s="19" t="n">
        <f aca="false">ROUNDUP(A6/12,0)</f>
        <v>1</v>
      </c>
      <c r="D6" s="26" t="n">
        <f aca="false">Calculator!$B$6</f>
        <v>420000</v>
      </c>
      <c r="E6" s="26" t="n">
        <f aca="false">IF(D6&lt;=0,0,ROUND(D6*Calculator!$B$7/12,2))</f>
        <v>2275</v>
      </c>
      <c r="F6" s="26" t="n">
        <f aca="false">IF(D6&lt;=0,0,ROUND(MIN(D6,Calculator!$H$6-E6),2))</f>
        <v>379.69</v>
      </c>
      <c r="G6" s="26" t="n">
        <f aca="false">ROUND(IF(A6&gt;=Calculator!$E$11,Calculator!$E$6,0)+IF(A6=Calculator!$E$8,Calculator!$E$7,0)+IF(MONTH(B6)=Calculator!$E$10,Calculator!$E$9,0),2)</f>
        <v>200</v>
      </c>
      <c r="H6" s="26" t="n">
        <f aca="false">IF(D6&lt;=0,0,ROUND(MIN(D6-F6,G6),2))</f>
        <v>200</v>
      </c>
      <c r="I6" s="26" t="n">
        <f aca="false">ROUND(E6+F6+H6,2)</f>
        <v>2854.69</v>
      </c>
      <c r="J6" s="26" t="n">
        <f aca="false">ROUND(MAX(0,D6-F6-H6),2)</f>
        <v>419420.31</v>
      </c>
      <c r="K6" s="26" t="n">
        <f aca="false">ROUND(E6,2)</f>
        <v>2275</v>
      </c>
    </row>
    <row r="7" customFormat="false" ht="15" hidden="false" customHeight="true" outlineLevel="0" collapsed="false">
      <c r="A7" s="19" t="n">
        <f aca="false">A6+1</f>
        <v>2</v>
      </c>
      <c r="B7" s="18" t="n">
        <f aca="false">EDATE(B6,1)</f>
        <v>46327</v>
      </c>
      <c r="C7" s="19" t="n">
        <f aca="false">ROUNDUP(A7/12,0)</f>
        <v>1</v>
      </c>
      <c r="D7" s="26" t="n">
        <f aca="false">J6</f>
        <v>419420.31</v>
      </c>
      <c r="E7" s="26" t="n">
        <f aca="false">IF(D7&lt;=0,0,ROUND(D7*Calculator!$B$7/12,2))</f>
        <v>2271.86</v>
      </c>
      <c r="F7" s="26" t="n">
        <f aca="false">IF(D7&lt;=0,0,ROUND(MIN(D7,Calculator!$H$6-E7),2))</f>
        <v>382.83</v>
      </c>
      <c r="G7" s="26" t="n">
        <f aca="false">ROUND(IF(A7&gt;=Calculator!$E$11,Calculator!$E$6,0)+IF(A7=Calculator!$E$8,Calculator!$E$7,0)+IF(MONTH(B7)=Calculator!$E$10,Calculator!$E$9,0),2)</f>
        <v>200</v>
      </c>
      <c r="H7" s="26" t="n">
        <f aca="false">IF(D7&lt;=0,0,ROUND(MIN(D7-F7,G7),2))</f>
        <v>200</v>
      </c>
      <c r="I7" s="26" t="n">
        <f aca="false">ROUND(E7+F7+H7,2)</f>
        <v>2854.69</v>
      </c>
      <c r="J7" s="26" t="n">
        <f aca="false">ROUND(MAX(0,D7-F7-H7),2)</f>
        <v>418837.48</v>
      </c>
      <c r="K7" s="26" t="n">
        <f aca="false">ROUND(E7+K6,2)</f>
        <v>4546.86</v>
      </c>
    </row>
    <row r="8" customFormat="false" ht="15" hidden="false" customHeight="true" outlineLevel="0" collapsed="false">
      <c r="A8" s="19" t="n">
        <f aca="false">A7+1</f>
        <v>3</v>
      </c>
      <c r="B8" s="18" t="n">
        <f aca="false">EDATE(B7,1)</f>
        <v>46357</v>
      </c>
      <c r="C8" s="19" t="n">
        <f aca="false">ROUNDUP(A8/12,0)</f>
        <v>1</v>
      </c>
      <c r="D8" s="26" t="n">
        <f aca="false">J7</f>
        <v>418837.48</v>
      </c>
      <c r="E8" s="26" t="n">
        <f aca="false">IF(D8&lt;=0,0,ROUND(D8*Calculator!$B$7/12,2))</f>
        <v>2268.7</v>
      </c>
      <c r="F8" s="26" t="n">
        <f aca="false">IF(D8&lt;=0,0,ROUND(MIN(D8,Calculator!$H$6-E8),2))</f>
        <v>385.99</v>
      </c>
      <c r="G8" s="26" t="n">
        <f aca="false">ROUND(IF(A8&gt;=Calculator!$E$11,Calculator!$E$6,0)+IF(A8=Calculator!$E$8,Calculator!$E$7,0)+IF(MONTH(B8)=Calculator!$E$10,Calculator!$E$9,0),2)</f>
        <v>1200</v>
      </c>
      <c r="H8" s="26" t="n">
        <f aca="false">IF(D8&lt;=0,0,ROUND(MIN(D8-F8,G8),2))</f>
        <v>1200</v>
      </c>
      <c r="I8" s="26" t="n">
        <f aca="false">ROUND(E8+F8+H8,2)</f>
        <v>3854.69</v>
      </c>
      <c r="J8" s="26" t="n">
        <f aca="false">ROUND(MAX(0,D8-F8-H8),2)</f>
        <v>417251.49</v>
      </c>
      <c r="K8" s="26" t="n">
        <f aca="false">ROUND(E8+K7,2)</f>
        <v>6815.56</v>
      </c>
    </row>
    <row r="9" customFormat="false" ht="15" hidden="false" customHeight="true" outlineLevel="0" collapsed="false">
      <c r="A9" s="19" t="n">
        <f aca="false">A8+1</f>
        <v>4</v>
      </c>
      <c r="B9" s="18" t="n">
        <f aca="false">EDATE(B8,1)</f>
        <v>46388</v>
      </c>
      <c r="C9" s="19" t="n">
        <f aca="false">ROUNDUP(A9/12,0)</f>
        <v>1</v>
      </c>
      <c r="D9" s="26" t="n">
        <f aca="false">J8</f>
        <v>417251.49</v>
      </c>
      <c r="E9" s="26" t="n">
        <f aca="false">IF(D9&lt;=0,0,ROUND(D9*Calculator!$B$7/12,2))</f>
        <v>2260.11</v>
      </c>
      <c r="F9" s="26" t="n">
        <f aca="false">IF(D9&lt;=0,0,ROUND(MIN(D9,Calculator!$H$6-E9),2))</f>
        <v>394.58</v>
      </c>
      <c r="G9" s="26" t="n">
        <f aca="false">ROUND(IF(A9&gt;=Calculator!$E$11,Calculator!$E$6,0)+IF(A9=Calculator!$E$8,Calculator!$E$7,0)+IF(MONTH(B9)=Calculator!$E$10,Calculator!$E$9,0),2)</f>
        <v>200</v>
      </c>
      <c r="H9" s="26" t="n">
        <f aca="false">IF(D9&lt;=0,0,ROUND(MIN(D9-F9,G9),2))</f>
        <v>200</v>
      </c>
      <c r="I9" s="26" t="n">
        <f aca="false">ROUND(E9+F9+H9,2)</f>
        <v>2854.69</v>
      </c>
      <c r="J9" s="26" t="n">
        <f aca="false">ROUND(MAX(0,D9-F9-H9),2)</f>
        <v>416656.91</v>
      </c>
      <c r="K9" s="26" t="n">
        <f aca="false">ROUND(E9+K8,2)</f>
        <v>9075.67</v>
      </c>
    </row>
    <row r="10" customFormat="false" ht="15" hidden="false" customHeight="true" outlineLevel="0" collapsed="false">
      <c r="A10" s="19" t="n">
        <f aca="false">A9+1</f>
        <v>5</v>
      </c>
      <c r="B10" s="18" t="n">
        <f aca="false">EDATE(B9,1)</f>
        <v>46419</v>
      </c>
      <c r="C10" s="19" t="n">
        <f aca="false">ROUNDUP(A10/12,0)</f>
        <v>1</v>
      </c>
      <c r="D10" s="26" t="n">
        <f aca="false">J9</f>
        <v>416656.91</v>
      </c>
      <c r="E10" s="26" t="n">
        <f aca="false">IF(D10&lt;=0,0,ROUND(D10*Calculator!$B$7/12,2))</f>
        <v>2256.89</v>
      </c>
      <c r="F10" s="26" t="n">
        <f aca="false">IF(D10&lt;=0,0,ROUND(MIN(D10,Calculator!$H$6-E10),2))</f>
        <v>397.8</v>
      </c>
      <c r="G10" s="26" t="n">
        <f aca="false">ROUND(IF(A10&gt;=Calculator!$E$11,Calculator!$E$6,0)+IF(A10=Calculator!$E$8,Calculator!$E$7,0)+IF(MONTH(B10)=Calculator!$E$10,Calculator!$E$9,0),2)</f>
        <v>200</v>
      </c>
      <c r="H10" s="26" t="n">
        <f aca="false">IF(D10&lt;=0,0,ROUND(MIN(D10-F10,G10),2))</f>
        <v>200</v>
      </c>
      <c r="I10" s="26" t="n">
        <f aca="false">ROUND(E10+F10+H10,2)</f>
        <v>2854.69</v>
      </c>
      <c r="J10" s="26" t="n">
        <f aca="false">ROUND(MAX(0,D10-F10-H10),2)</f>
        <v>416059.11</v>
      </c>
      <c r="K10" s="26" t="n">
        <f aca="false">ROUND(E10+K9,2)</f>
        <v>11332.56</v>
      </c>
    </row>
    <row r="11" customFormat="false" ht="15" hidden="false" customHeight="true" outlineLevel="0" collapsed="false">
      <c r="A11" s="19" t="n">
        <f aca="false">A10+1</f>
        <v>6</v>
      </c>
      <c r="B11" s="18" t="n">
        <f aca="false">EDATE(B10,1)</f>
        <v>46447</v>
      </c>
      <c r="C11" s="19" t="n">
        <f aca="false">ROUNDUP(A11/12,0)</f>
        <v>1</v>
      </c>
      <c r="D11" s="26" t="n">
        <f aca="false">J10</f>
        <v>416059.11</v>
      </c>
      <c r="E11" s="26" t="n">
        <f aca="false">IF(D11&lt;=0,0,ROUND(D11*Calculator!$B$7/12,2))</f>
        <v>2253.65</v>
      </c>
      <c r="F11" s="26" t="n">
        <f aca="false">IF(D11&lt;=0,0,ROUND(MIN(D11,Calculator!$H$6-E11),2))</f>
        <v>401.04</v>
      </c>
      <c r="G11" s="26" t="n">
        <f aca="false">ROUND(IF(A11&gt;=Calculator!$E$11,Calculator!$E$6,0)+IF(A11=Calculator!$E$8,Calculator!$E$7,0)+IF(MONTH(B11)=Calculator!$E$10,Calculator!$E$9,0),2)</f>
        <v>200</v>
      </c>
      <c r="H11" s="26" t="n">
        <f aca="false">IF(D11&lt;=0,0,ROUND(MIN(D11-F11,G11),2))</f>
        <v>200</v>
      </c>
      <c r="I11" s="26" t="n">
        <f aca="false">ROUND(E11+F11+H11,2)</f>
        <v>2854.69</v>
      </c>
      <c r="J11" s="26" t="n">
        <f aca="false">ROUND(MAX(0,D11-F11-H11),2)</f>
        <v>415458.07</v>
      </c>
      <c r="K11" s="26" t="n">
        <f aca="false">ROUND(E11+K10,2)</f>
        <v>13586.21</v>
      </c>
    </row>
    <row r="12" customFormat="false" ht="15" hidden="false" customHeight="true" outlineLevel="0" collapsed="false">
      <c r="A12" s="19" t="n">
        <f aca="false">A11+1</f>
        <v>7</v>
      </c>
      <c r="B12" s="18" t="n">
        <f aca="false">EDATE(B11,1)</f>
        <v>46478</v>
      </c>
      <c r="C12" s="19" t="n">
        <f aca="false">ROUNDUP(A12/12,0)</f>
        <v>1</v>
      </c>
      <c r="D12" s="26" t="n">
        <f aca="false">J11</f>
        <v>415458.07</v>
      </c>
      <c r="E12" s="26" t="n">
        <f aca="false">IF(D12&lt;=0,0,ROUND(D12*Calculator!$B$7/12,2))</f>
        <v>2250.4</v>
      </c>
      <c r="F12" s="26" t="n">
        <f aca="false">IF(D12&lt;=0,0,ROUND(MIN(D12,Calculator!$H$6-E12),2))</f>
        <v>404.29</v>
      </c>
      <c r="G12" s="26" t="n">
        <f aca="false">ROUND(IF(A12&gt;=Calculator!$E$11,Calculator!$E$6,0)+IF(A12=Calculator!$E$8,Calculator!$E$7,0)+IF(MONTH(B12)=Calculator!$E$10,Calculator!$E$9,0),2)</f>
        <v>200</v>
      </c>
      <c r="H12" s="26" t="n">
        <f aca="false">IF(D12&lt;=0,0,ROUND(MIN(D12-F12,G12),2))</f>
        <v>200</v>
      </c>
      <c r="I12" s="26" t="n">
        <f aca="false">ROUND(E12+F12+H12,2)</f>
        <v>2854.69</v>
      </c>
      <c r="J12" s="26" t="n">
        <f aca="false">ROUND(MAX(0,D12-F12-H12),2)</f>
        <v>414853.78</v>
      </c>
      <c r="K12" s="26" t="n">
        <f aca="false">ROUND(E12+K11,2)</f>
        <v>15836.61</v>
      </c>
    </row>
    <row r="13" customFormat="false" ht="15" hidden="false" customHeight="true" outlineLevel="0" collapsed="false">
      <c r="A13" s="19" t="n">
        <f aca="false">A12+1</f>
        <v>8</v>
      </c>
      <c r="B13" s="18" t="n">
        <f aca="false">EDATE(B12,1)</f>
        <v>46508</v>
      </c>
      <c r="C13" s="19" t="n">
        <f aca="false">ROUNDUP(A13/12,0)</f>
        <v>1</v>
      </c>
      <c r="D13" s="26" t="n">
        <f aca="false">J12</f>
        <v>414853.78</v>
      </c>
      <c r="E13" s="26" t="n">
        <f aca="false">IF(D13&lt;=0,0,ROUND(D13*Calculator!$B$7/12,2))</f>
        <v>2247.12</v>
      </c>
      <c r="F13" s="26" t="n">
        <f aca="false">IF(D13&lt;=0,0,ROUND(MIN(D13,Calculator!$H$6-E13),2))</f>
        <v>407.57</v>
      </c>
      <c r="G13" s="26" t="n">
        <f aca="false">ROUND(IF(A13&gt;=Calculator!$E$11,Calculator!$E$6,0)+IF(A13=Calculator!$E$8,Calculator!$E$7,0)+IF(MONTH(B13)=Calculator!$E$10,Calculator!$E$9,0),2)</f>
        <v>200</v>
      </c>
      <c r="H13" s="26" t="n">
        <f aca="false">IF(D13&lt;=0,0,ROUND(MIN(D13-F13,G13),2))</f>
        <v>200</v>
      </c>
      <c r="I13" s="26" t="n">
        <f aca="false">ROUND(E13+F13+H13,2)</f>
        <v>2854.69</v>
      </c>
      <c r="J13" s="26" t="n">
        <f aca="false">ROUND(MAX(0,D13-F13-H13),2)</f>
        <v>414246.21</v>
      </c>
      <c r="K13" s="26" t="n">
        <f aca="false">ROUND(E13+K12,2)</f>
        <v>18083.73</v>
      </c>
    </row>
    <row r="14" customFormat="false" ht="15" hidden="false" customHeight="true" outlineLevel="0" collapsed="false">
      <c r="A14" s="19" t="n">
        <f aca="false">A13+1</f>
        <v>9</v>
      </c>
      <c r="B14" s="18" t="n">
        <f aca="false">EDATE(B13,1)</f>
        <v>46539</v>
      </c>
      <c r="C14" s="19" t="n">
        <f aca="false">ROUNDUP(A14/12,0)</f>
        <v>1</v>
      </c>
      <c r="D14" s="26" t="n">
        <f aca="false">J13</f>
        <v>414246.21</v>
      </c>
      <c r="E14" s="26" t="n">
        <f aca="false">IF(D14&lt;=0,0,ROUND(D14*Calculator!$B$7/12,2))</f>
        <v>2243.83</v>
      </c>
      <c r="F14" s="26" t="n">
        <f aca="false">IF(D14&lt;=0,0,ROUND(MIN(D14,Calculator!$H$6-E14),2))</f>
        <v>410.86</v>
      </c>
      <c r="G14" s="26" t="n">
        <f aca="false">ROUND(IF(A14&gt;=Calculator!$E$11,Calculator!$E$6,0)+IF(A14=Calculator!$E$8,Calculator!$E$7,0)+IF(MONTH(B14)=Calculator!$E$10,Calculator!$E$9,0),2)</f>
        <v>200</v>
      </c>
      <c r="H14" s="26" t="n">
        <f aca="false">IF(D14&lt;=0,0,ROUND(MIN(D14-F14,G14),2))</f>
        <v>200</v>
      </c>
      <c r="I14" s="26" t="n">
        <f aca="false">ROUND(E14+F14+H14,2)</f>
        <v>2854.69</v>
      </c>
      <c r="J14" s="26" t="n">
        <f aca="false">ROUND(MAX(0,D14-F14-H14),2)</f>
        <v>413635.35</v>
      </c>
      <c r="K14" s="26" t="n">
        <f aca="false">ROUND(E14+K13,2)</f>
        <v>20327.56</v>
      </c>
    </row>
    <row r="15" customFormat="false" ht="15" hidden="false" customHeight="true" outlineLevel="0" collapsed="false">
      <c r="A15" s="19" t="n">
        <f aca="false">A14+1</f>
        <v>10</v>
      </c>
      <c r="B15" s="18" t="n">
        <f aca="false">EDATE(B14,1)</f>
        <v>46569</v>
      </c>
      <c r="C15" s="19" t="n">
        <f aca="false">ROUNDUP(A15/12,0)</f>
        <v>1</v>
      </c>
      <c r="D15" s="26" t="n">
        <f aca="false">J14</f>
        <v>413635.35</v>
      </c>
      <c r="E15" s="26" t="n">
        <f aca="false">IF(D15&lt;=0,0,ROUND(D15*Calculator!$B$7/12,2))</f>
        <v>2240.52</v>
      </c>
      <c r="F15" s="26" t="n">
        <f aca="false">IF(D15&lt;=0,0,ROUND(MIN(D15,Calculator!$H$6-E15),2))</f>
        <v>414.17</v>
      </c>
      <c r="G15" s="26" t="n">
        <f aca="false">ROUND(IF(A15&gt;=Calculator!$E$11,Calculator!$E$6,0)+IF(A15=Calculator!$E$8,Calculator!$E$7,0)+IF(MONTH(B15)=Calculator!$E$10,Calculator!$E$9,0),2)</f>
        <v>200</v>
      </c>
      <c r="H15" s="26" t="n">
        <f aca="false">IF(D15&lt;=0,0,ROUND(MIN(D15-F15,G15),2))</f>
        <v>200</v>
      </c>
      <c r="I15" s="26" t="n">
        <f aca="false">ROUND(E15+F15+H15,2)</f>
        <v>2854.69</v>
      </c>
      <c r="J15" s="26" t="n">
        <f aca="false">ROUND(MAX(0,D15-F15-H15),2)</f>
        <v>413021.18</v>
      </c>
      <c r="K15" s="26" t="n">
        <f aca="false">ROUND(E15+K14,2)</f>
        <v>22568.08</v>
      </c>
    </row>
    <row r="16" customFormat="false" ht="15" hidden="false" customHeight="true" outlineLevel="0" collapsed="false">
      <c r="A16" s="19" t="n">
        <f aca="false">A15+1</f>
        <v>11</v>
      </c>
      <c r="B16" s="18" t="n">
        <f aca="false">EDATE(B15,1)</f>
        <v>46600</v>
      </c>
      <c r="C16" s="19" t="n">
        <f aca="false">ROUNDUP(A16/12,0)</f>
        <v>1</v>
      </c>
      <c r="D16" s="26" t="n">
        <f aca="false">J15</f>
        <v>413021.18</v>
      </c>
      <c r="E16" s="26" t="n">
        <f aca="false">IF(D16&lt;=0,0,ROUND(D16*Calculator!$B$7/12,2))</f>
        <v>2237.2</v>
      </c>
      <c r="F16" s="26" t="n">
        <f aca="false">IF(D16&lt;=0,0,ROUND(MIN(D16,Calculator!$H$6-E16),2))</f>
        <v>417.49</v>
      </c>
      <c r="G16" s="26" t="n">
        <f aca="false">ROUND(IF(A16&gt;=Calculator!$E$11,Calculator!$E$6,0)+IF(A16=Calculator!$E$8,Calculator!$E$7,0)+IF(MONTH(B16)=Calculator!$E$10,Calculator!$E$9,0),2)</f>
        <v>200</v>
      </c>
      <c r="H16" s="26" t="n">
        <f aca="false">IF(D16&lt;=0,0,ROUND(MIN(D16-F16,G16),2))</f>
        <v>200</v>
      </c>
      <c r="I16" s="26" t="n">
        <f aca="false">ROUND(E16+F16+H16,2)</f>
        <v>2854.69</v>
      </c>
      <c r="J16" s="26" t="n">
        <f aca="false">ROUND(MAX(0,D16-F16-H16),2)</f>
        <v>412403.69</v>
      </c>
      <c r="K16" s="26" t="n">
        <f aca="false">ROUND(E16+K15,2)</f>
        <v>24805.28</v>
      </c>
    </row>
    <row r="17" customFormat="false" ht="15" hidden="false" customHeight="true" outlineLevel="0" collapsed="false">
      <c r="A17" s="19" t="n">
        <f aca="false">A16+1</f>
        <v>12</v>
      </c>
      <c r="B17" s="18" t="n">
        <f aca="false">EDATE(B16,1)</f>
        <v>46631</v>
      </c>
      <c r="C17" s="19" t="n">
        <f aca="false">ROUNDUP(A17/12,0)</f>
        <v>1</v>
      </c>
      <c r="D17" s="26" t="n">
        <f aca="false">J16</f>
        <v>412403.69</v>
      </c>
      <c r="E17" s="26" t="n">
        <f aca="false">IF(D17&lt;=0,0,ROUND(D17*Calculator!$B$7/12,2))</f>
        <v>2233.85</v>
      </c>
      <c r="F17" s="26" t="n">
        <f aca="false">IF(D17&lt;=0,0,ROUND(MIN(D17,Calculator!$H$6-E17),2))</f>
        <v>420.84</v>
      </c>
      <c r="G17" s="26" t="n">
        <f aca="false">ROUND(IF(A17&gt;=Calculator!$E$11,Calculator!$E$6,0)+IF(A17=Calculator!$E$8,Calculator!$E$7,0)+IF(MONTH(B17)=Calculator!$E$10,Calculator!$E$9,0),2)</f>
        <v>3200</v>
      </c>
      <c r="H17" s="26" t="n">
        <f aca="false">IF(D17&lt;=0,0,ROUND(MIN(D17-F17,G17),2))</f>
        <v>3200</v>
      </c>
      <c r="I17" s="26" t="n">
        <f aca="false">ROUND(E17+F17+H17,2)</f>
        <v>5854.69</v>
      </c>
      <c r="J17" s="26" t="n">
        <f aca="false">ROUND(MAX(0,D17-F17-H17),2)</f>
        <v>408782.85</v>
      </c>
      <c r="K17" s="26" t="n">
        <f aca="false">ROUND(E17+K16,2)</f>
        <v>27039.13</v>
      </c>
    </row>
    <row r="18" customFormat="false" ht="15" hidden="false" customHeight="true" outlineLevel="0" collapsed="false">
      <c r="A18" s="19" t="n">
        <f aca="false">A17+1</f>
        <v>13</v>
      </c>
      <c r="B18" s="18" t="n">
        <f aca="false">EDATE(B17,1)</f>
        <v>46661</v>
      </c>
      <c r="C18" s="19" t="n">
        <f aca="false">ROUNDUP(A18/12,0)</f>
        <v>2</v>
      </c>
      <c r="D18" s="26" t="n">
        <f aca="false">J17</f>
        <v>408782.85</v>
      </c>
      <c r="E18" s="26" t="n">
        <f aca="false">IF(D18&lt;=0,0,ROUND(D18*Calculator!$B$7/12,2))</f>
        <v>2214.24</v>
      </c>
      <c r="F18" s="26" t="n">
        <f aca="false">IF(D18&lt;=0,0,ROUND(MIN(D18,Calculator!$H$6-E18),2))</f>
        <v>440.45</v>
      </c>
      <c r="G18" s="26" t="n">
        <f aca="false">ROUND(IF(A18&gt;=Calculator!$E$11,Calculator!$E$6,0)+IF(A18=Calculator!$E$8,Calculator!$E$7,0)+IF(MONTH(B18)=Calculator!$E$10,Calculator!$E$9,0),2)</f>
        <v>200</v>
      </c>
      <c r="H18" s="26" t="n">
        <f aca="false">IF(D18&lt;=0,0,ROUND(MIN(D18-F18,G18),2))</f>
        <v>200</v>
      </c>
      <c r="I18" s="26" t="n">
        <f aca="false">ROUND(E18+F18+H18,2)</f>
        <v>2854.69</v>
      </c>
      <c r="J18" s="26" t="n">
        <f aca="false">ROUND(MAX(0,D18-F18-H18),2)</f>
        <v>408142.4</v>
      </c>
      <c r="K18" s="26" t="n">
        <f aca="false">ROUND(E18+K17,2)</f>
        <v>29253.37</v>
      </c>
    </row>
    <row r="19" customFormat="false" ht="15" hidden="false" customHeight="true" outlineLevel="0" collapsed="false">
      <c r="A19" s="19" t="n">
        <f aca="false">A18+1</f>
        <v>14</v>
      </c>
      <c r="B19" s="18" t="n">
        <f aca="false">EDATE(B18,1)</f>
        <v>46692</v>
      </c>
      <c r="C19" s="19" t="n">
        <f aca="false">ROUNDUP(A19/12,0)</f>
        <v>2</v>
      </c>
      <c r="D19" s="26" t="n">
        <f aca="false">J18</f>
        <v>408142.4</v>
      </c>
      <c r="E19" s="26" t="n">
        <f aca="false">IF(D19&lt;=0,0,ROUND(D19*Calculator!$B$7/12,2))</f>
        <v>2210.77</v>
      </c>
      <c r="F19" s="26" t="n">
        <f aca="false">IF(D19&lt;=0,0,ROUND(MIN(D19,Calculator!$H$6-E19),2))</f>
        <v>443.92</v>
      </c>
      <c r="G19" s="26" t="n">
        <f aca="false">ROUND(IF(A19&gt;=Calculator!$E$11,Calculator!$E$6,0)+IF(A19=Calculator!$E$8,Calculator!$E$7,0)+IF(MONTH(B19)=Calculator!$E$10,Calculator!$E$9,0),2)</f>
        <v>200</v>
      </c>
      <c r="H19" s="26" t="n">
        <f aca="false">IF(D19&lt;=0,0,ROUND(MIN(D19-F19,G19),2))</f>
        <v>200</v>
      </c>
      <c r="I19" s="26" t="n">
        <f aca="false">ROUND(E19+F19+H19,2)</f>
        <v>2854.69</v>
      </c>
      <c r="J19" s="26" t="n">
        <f aca="false">ROUND(MAX(0,D19-F19-H19),2)</f>
        <v>407498.48</v>
      </c>
      <c r="K19" s="26" t="n">
        <f aca="false">ROUND(E19+K18,2)</f>
        <v>31464.14</v>
      </c>
    </row>
    <row r="20" customFormat="false" ht="15" hidden="false" customHeight="true" outlineLevel="0" collapsed="false">
      <c r="A20" s="19" t="n">
        <f aca="false">A19+1</f>
        <v>15</v>
      </c>
      <c r="B20" s="18" t="n">
        <f aca="false">EDATE(B19,1)</f>
        <v>46722</v>
      </c>
      <c r="C20" s="19" t="n">
        <f aca="false">ROUNDUP(A20/12,0)</f>
        <v>2</v>
      </c>
      <c r="D20" s="26" t="n">
        <f aca="false">J19</f>
        <v>407498.48</v>
      </c>
      <c r="E20" s="26" t="n">
        <f aca="false">IF(D20&lt;=0,0,ROUND(D20*Calculator!$B$7/12,2))</f>
        <v>2207.28</v>
      </c>
      <c r="F20" s="26" t="n">
        <f aca="false">IF(D20&lt;=0,0,ROUND(MIN(D20,Calculator!$H$6-E20),2))</f>
        <v>447.41</v>
      </c>
      <c r="G20" s="26" t="n">
        <f aca="false">ROUND(IF(A20&gt;=Calculator!$E$11,Calculator!$E$6,0)+IF(A20=Calculator!$E$8,Calculator!$E$7,0)+IF(MONTH(B20)=Calculator!$E$10,Calculator!$E$9,0),2)</f>
        <v>1200</v>
      </c>
      <c r="H20" s="26" t="n">
        <f aca="false">IF(D20&lt;=0,0,ROUND(MIN(D20-F20,G20),2))</f>
        <v>1200</v>
      </c>
      <c r="I20" s="26" t="n">
        <f aca="false">ROUND(E20+F20+H20,2)</f>
        <v>3854.69</v>
      </c>
      <c r="J20" s="26" t="n">
        <f aca="false">ROUND(MAX(0,D20-F20-H20),2)</f>
        <v>405851.07</v>
      </c>
      <c r="K20" s="26" t="n">
        <f aca="false">ROUND(E20+K19,2)</f>
        <v>33671.42</v>
      </c>
    </row>
    <row r="21" customFormat="false" ht="15" hidden="false" customHeight="true" outlineLevel="0" collapsed="false">
      <c r="A21" s="19" t="n">
        <f aca="false">A20+1</f>
        <v>16</v>
      </c>
      <c r="B21" s="18" t="n">
        <f aca="false">EDATE(B20,1)</f>
        <v>46753</v>
      </c>
      <c r="C21" s="19" t="n">
        <f aca="false">ROUNDUP(A21/12,0)</f>
        <v>2</v>
      </c>
      <c r="D21" s="26" t="n">
        <f aca="false">J20</f>
        <v>405851.07</v>
      </c>
      <c r="E21" s="26" t="n">
        <f aca="false">IF(D21&lt;=0,0,ROUND(D21*Calculator!$B$7/12,2))</f>
        <v>2198.36</v>
      </c>
      <c r="F21" s="26" t="n">
        <f aca="false">IF(D21&lt;=0,0,ROUND(MIN(D21,Calculator!$H$6-E21),2))</f>
        <v>456.33</v>
      </c>
      <c r="G21" s="26" t="n">
        <f aca="false">ROUND(IF(A21&gt;=Calculator!$E$11,Calculator!$E$6,0)+IF(A21=Calculator!$E$8,Calculator!$E$7,0)+IF(MONTH(B21)=Calculator!$E$10,Calculator!$E$9,0),2)</f>
        <v>200</v>
      </c>
      <c r="H21" s="26" t="n">
        <f aca="false">IF(D21&lt;=0,0,ROUND(MIN(D21-F21,G21),2))</f>
        <v>200</v>
      </c>
      <c r="I21" s="26" t="n">
        <f aca="false">ROUND(E21+F21+H21,2)</f>
        <v>2854.69</v>
      </c>
      <c r="J21" s="26" t="n">
        <f aca="false">ROUND(MAX(0,D21-F21-H21),2)</f>
        <v>405194.74</v>
      </c>
      <c r="K21" s="26" t="n">
        <f aca="false">ROUND(E21+K20,2)</f>
        <v>35869.78</v>
      </c>
    </row>
    <row r="22" customFormat="false" ht="15" hidden="false" customHeight="true" outlineLevel="0" collapsed="false">
      <c r="A22" s="19" t="n">
        <f aca="false">A21+1</f>
        <v>17</v>
      </c>
      <c r="B22" s="18" t="n">
        <f aca="false">EDATE(B21,1)</f>
        <v>46784</v>
      </c>
      <c r="C22" s="19" t="n">
        <f aca="false">ROUNDUP(A22/12,0)</f>
        <v>2</v>
      </c>
      <c r="D22" s="26" t="n">
        <f aca="false">J21</f>
        <v>405194.74</v>
      </c>
      <c r="E22" s="26" t="n">
        <f aca="false">IF(D22&lt;=0,0,ROUND(D22*Calculator!$B$7/12,2))</f>
        <v>2194.8</v>
      </c>
      <c r="F22" s="26" t="n">
        <f aca="false">IF(D22&lt;=0,0,ROUND(MIN(D22,Calculator!$H$6-E22),2))</f>
        <v>459.89</v>
      </c>
      <c r="G22" s="26" t="n">
        <f aca="false">ROUND(IF(A22&gt;=Calculator!$E$11,Calculator!$E$6,0)+IF(A22=Calculator!$E$8,Calculator!$E$7,0)+IF(MONTH(B22)=Calculator!$E$10,Calculator!$E$9,0),2)</f>
        <v>200</v>
      </c>
      <c r="H22" s="26" t="n">
        <f aca="false">IF(D22&lt;=0,0,ROUND(MIN(D22-F22,G22),2))</f>
        <v>200</v>
      </c>
      <c r="I22" s="26" t="n">
        <f aca="false">ROUND(E22+F22+H22,2)</f>
        <v>2854.69</v>
      </c>
      <c r="J22" s="26" t="n">
        <f aca="false">ROUND(MAX(0,D22-F22-H22),2)</f>
        <v>404534.85</v>
      </c>
      <c r="K22" s="26" t="n">
        <f aca="false">ROUND(E22+K21,2)</f>
        <v>38064.58</v>
      </c>
    </row>
    <row r="23" customFormat="false" ht="15" hidden="false" customHeight="true" outlineLevel="0" collapsed="false">
      <c r="A23" s="19" t="n">
        <f aca="false">A22+1</f>
        <v>18</v>
      </c>
      <c r="B23" s="18" t="n">
        <f aca="false">EDATE(B22,1)</f>
        <v>46813</v>
      </c>
      <c r="C23" s="19" t="n">
        <f aca="false">ROUNDUP(A23/12,0)</f>
        <v>2</v>
      </c>
      <c r="D23" s="26" t="n">
        <f aca="false">J22</f>
        <v>404534.85</v>
      </c>
      <c r="E23" s="26" t="n">
        <f aca="false">IF(D23&lt;=0,0,ROUND(D23*Calculator!$B$7/12,2))</f>
        <v>2191.23</v>
      </c>
      <c r="F23" s="26" t="n">
        <f aca="false">IF(D23&lt;=0,0,ROUND(MIN(D23,Calculator!$H$6-E23),2))</f>
        <v>463.46</v>
      </c>
      <c r="G23" s="26" t="n">
        <f aca="false">ROUND(IF(A23&gt;=Calculator!$E$11,Calculator!$E$6,0)+IF(A23=Calculator!$E$8,Calculator!$E$7,0)+IF(MONTH(B23)=Calculator!$E$10,Calculator!$E$9,0),2)</f>
        <v>200</v>
      </c>
      <c r="H23" s="26" t="n">
        <f aca="false">IF(D23&lt;=0,0,ROUND(MIN(D23-F23,G23),2))</f>
        <v>200</v>
      </c>
      <c r="I23" s="26" t="n">
        <f aca="false">ROUND(E23+F23+H23,2)</f>
        <v>2854.69</v>
      </c>
      <c r="J23" s="26" t="n">
        <f aca="false">ROUND(MAX(0,D23-F23-H23),2)</f>
        <v>403871.39</v>
      </c>
      <c r="K23" s="26" t="n">
        <f aca="false">ROUND(E23+K22,2)</f>
        <v>40255.81</v>
      </c>
    </row>
    <row r="24" customFormat="false" ht="15" hidden="false" customHeight="true" outlineLevel="0" collapsed="false">
      <c r="A24" s="19" t="n">
        <f aca="false">A23+1</f>
        <v>19</v>
      </c>
      <c r="B24" s="18" t="n">
        <f aca="false">EDATE(B23,1)</f>
        <v>46844</v>
      </c>
      <c r="C24" s="19" t="n">
        <f aca="false">ROUNDUP(A24/12,0)</f>
        <v>2</v>
      </c>
      <c r="D24" s="26" t="n">
        <f aca="false">J23</f>
        <v>403871.39</v>
      </c>
      <c r="E24" s="26" t="n">
        <f aca="false">IF(D24&lt;=0,0,ROUND(D24*Calculator!$B$7/12,2))</f>
        <v>2187.64</v>
      </c>
      <c r="F24" s="26" t="n">
        <f aca="false">IF(D24&lt;=0,0,ROUND(MIN(D24,Calculator!$H$6-E24),2))</f>
        <v>467.05</v>
      </c>
      <c r="G24" s="26" t="n">
        <f aca="false">ROUND(IF(A24&gt;=Calculator!$E$11,Calculator!$E$6,0)+IF(A24=Calculator!$E$8,Calculator!$E$7,0)+IF(MONTH(B24)=Calculator!$E$10,Calculator!$E$9,0),2)</f>
        <v>200</v>
      </c>
      <c r="H24" s="26" t="n">
        <f aca="false">IF(D24&lt;=0,0,ROUND(MIN(D24-F24,G24),2))</f>
        <v>200</v>
      </c>
      <c r="I24" s="26" t="n">
        <f aca="false">ROUND(E24+F24+H24,2)</f>
        <v>2854.69</v>
      </c>
      <c r="J24" s="26" t="n">
        <f aca="false">ROUND(MAX(0,D24-F24-H24),2)</f>
        <v>403204.34</v>
      </c>
      <c r="K24" s="26" t="n">
        <f aca="false">ROUND(E24+K23,2)</f>
        <v>42443.45</v>
      </c>
    </row>
    <row r="25" customFormat="false" ht="15" hidden="false" customHeight="true" outlineLevel="0" collapsed="false">
      <c r="A25" s="19" t="n">
        <f aca="false">A24+1</f>
        <v>20</v>
      </c>
      <c r="B25" s="18" t="n">
        <f aca="false">EDATE(B24,1)</f>
        <v>46874</v>
      </c>
      <c r="C25" s="19" t="n">
        <f aca="false">ROUNDUP(A25/12,0)</f>
        <v>2</v>
      </c>
      <c r="D25" s="26" t="n">
        <f aca="false">J24</f>
        <v>403204.34</v>
      </c>
      <c r="E25" s="26" t="n">
        <f aca="false">IF(D25&lt;=0,0,ROUND(D25*Calculator!$B$7/12,2))</f>
        <v>2184.02</v>
      </c>
      <c r="F25" s="26" t="n">
        <f aca="false">IF(D25&lt;=0,0,ROUND(MIN(D25,Calculator!$H$6-E25),2))</f>
        <v>470.67</v>
      </c>
      <c r="G25" s="26" t="n">
        <f aca="false">ROUND(IF(A25&gt;=Calculator!$E$11,Calculator!$E$6,0)+IF(A25=Calculator!$E$8,Calculator!$E$7,0)+IF(MONTH(B25)=Calculator!$E$10,Calculator!$E$9,0),2)</f>
        <v>200</v>
      </c>
      <c r="H25" s="26" t="n">
        <f aca="false">IF(D25&lt;=0,0,ROUND(MIN(D25-F25,G25),2))</f>
        <v>200</v>
      </c>
      <c r="I25" s="26" t="n">
        <f aca="false">ROUND(E25+F25+H25,2)</f>
        <v>2854.69</v>
      </c>
      <c r="J25" s="26" t="n">
        <f aca="false">ROUND(MAX(0,D25-F25-H25),2)</f>
        <v>402533.67</v>
      </c>
      <c r="K25" s="26" t="n">
        <f aca="false">ROUND(E25+K24,2)</f>
        <v>44627.47</v>
      </c>
    </row>
    <row r="26" customFormat="false" ht="15" hidden="false" customHeight="true" outlineLevel="0" collapsed="false">
      <c r="A26" s="19" t="n">
        <f aca="false">A25+1</f>
        <v>21</v>
      </c>
      <c r="B26" s="18" t="n">
        <f aca="false">EDATE(B25,1)</f>
        <v>46905</v>
      </c>
      <c r="C26" s="19" t="n">
        <f aca="false">ROUNDUP(A26/12,0)</f>
        <v>2</v>
      </c>
      <c r="D26" s="26" t="n">
        <f aca="false">J25</f>
        <v>402533.67</v>
      </c>
      <c r="E26" s="26" t="n">
        <f aca="false">IF(D26&lt;=0,0,ROUND(D26*Calculator!$B$7/12,2))</f>
        <v>2180.39</v>
      </c>
      <c r="F26" s="26" t="n">
        <f aca="false">IF(D26&lt;=0,0,ROUND(MIN(D26,Calculator!$H$6-E26),2))</f>
        <v>474.3</v>
      </c>
      <c r="G26" s="26" t="n">
        <f aca="false">ROUND(IF(A26&gt;=Calculator!$E$11,Calculator!$E$6,0)+IF(A26=Calculator!$E$8,Calculator!$E$7,0)+IF(MONTH(B26)=Calculator!$E$10,Calculator!$E$9,0),2)</f>
        <v>200</v>
      </c>
      <c r="H26" s="26" t="n">
        <f aca="false">IF(D26&lt;=0,0,ROUND(MIN(D26-F26,G26),2))</f>
        <v>200</v>
      </c>
      <c r="I26" s="26" t="n">
        <f aca="false">ROUND(E26+F26+H26,2)</f>
        <v>2854.69</v>
      </c>
      <c r="J26" s="26" t="n">
        <f aca="false">ROUND(MAX(0,D26-F26-H26),2)</f>
        <v>401859.37</v>
      </c>
      <c r="K26" s="26" t="n">
        <f aca="false">ROUND(E26+K25,2)</f>
        <v>46807.86</v>
      </c>
    </row>
    <row r="27" customFormat="false" ht="15" hidden="false" customHeight="true" outlineLevel="0" collapsed="false">
      <c r="A27" s="19" t="n">
        <f aca="false">A26+1</f>
        <v>22</v>
      </c>
      <c r="B27" s="18" t="n">
        <f aca="false">EDATE(B26,1)</f>
        <v>46935</v>
      </c>
      <c r="C27" s="19" t="n">
        <f aca="false">ROUNDUP(A27/12,0)</f>
        <v>2</v>
      </c>
      <c r="D27" s="26" t="n">
        <f aca="false">J26</f>
        <v>401859.37</v>
      </c>
      <c r="E27" s="26" t="n">
        <f aca="false">IF(D27&lt;=0,0,ROUND(D27*Calculator!$B$7/12,2))</f>
        <v>2176.74</v>
      </c>
      <c r="F27" s="26" t="n">
        <f aca="false">IF(D27&lt;=0,0,ROUND(MIN(D27,Calculator!$H$6-E27),2))</f>
        <v>477.95</v>
      </c>
      <c r="G27" s="26" t="n">
        <f aca="false">ROUND(IF(A27&gt;=Calculator!$E$11,Calculator!$E$6,0)+IF(A27=Calculator!$E$8,Calculator!$E$7,0)+IF(MONTH(B27)=Calculator!$E$10,Calculator!$E$9,0),2)</f>
        <v>200</v>
      </c>
      <c r="H27" s="26" t="n">
        <f aca="false">IF(D27&lt;=0,0,ROUND(MIN(D27-F27,G27),2))</f>
        <v>200</v>
      </c>
      <c r="I27" s="26" t="n">
        <f aca="false">ROUND(E27+F27+H27,2)</f>
        <v>2854.69</v>
      </c>
      <c r="J27" s="26" t="n">
        <f aca="false">ROUND(MAX(0,D27-F27-H27),2)</f>
        <v>401181.42</v>
      </c>
      <c r="K27" s="26" t="n">
        <f aca="false">ROUND(E27+K26,2)</f>
        <v>48984.6</v>
      </c>
    </row>
    <row r="28" customFormat="false" ht="15" hidden="false" customHeight="true" outlineLevel="0" collapsed="false">
      <c r="A28" s="19" t="n">
        <f aca="false">A27+1</f>
        <v>23</v>
      </c>
      <c r="B28" s="18" t="n">
        <f aca="false">EDATE(B27,1)</f>
        <v>46966</v>
      </c>
      <c r="C28" s="19" t="n">
        <f aca="false">ROUNDUP(A28/12,0)</f>
        <v>2</v>
      </c>
      <c r="D28" s="26" t="n">
        <f aca="false">J27</f>
        <v>401181.42</v>
      </c>
      <c r="E28" s="26" t="n">
        <f aca="false">IF(D28&lt;=0,0,ROUND(D28*Calculator!$B$7/12,2))</f>
        <v>2173.07</v>
      </c>
      <c r="F28" s="26" t="n">
        <f aca="false">IF(D28&lt;=0,0,ROUND(MIN(D28,Calculator!$H$6-E28),2))</f>
        <v>481.62</v>
      </c>
      <c r="G28" s="26" t="n">
        <f aca="false">ROUND(IF(A28&gt;=Calculator!$E$11,Calculator!$E$6,0)+IF(A28=Calculator!$E$8,Calculator!$E$7,0)+IF(MONTH(B28)=Calculator!$E$10,Calculator!$E$9,0),2)</f>
        <v>200</v>
      </c>
      <c r="H28" s="26" t="n">
        <f aca="false">IF(D28&lt;=0,0,ROUND(MIN(D28-F28,G28),2))</f>
        <v>200</v>
      </c>
      <c r="I28" s="26" t="n">
        <f aca="false">ROUND(E28+F28+H28,2)</f>
        <v>2854.69</v>
      </c>
      <c r="J28" s="26" t="n">
        <f aca="false">ROUND(MAX(0,D28-F28-H28),2)</f>
        <v>400499.8</v>
      </c>
      <c r="K28" s="26" t="n">
        <f aca="false">ROUND(E28+K27,2)</f>
        <v>51157.67</v>
      </c>
    </row>
    <row r="29" customFormat="false" ht="15" hidden="false" customHeight="true" outlineLevel="0" collapsed="false">
      <c r="A29" s="19" t="n">
        <f aca="false">A28+1</f>
        <v>24</v>
      </c>
      <c r="B29" s="18" t="n">
        <f aca="false">EDATE(B28,1)</f>
        <v>46997</v>
      </c>
      <c r="C29" s="19" t="n">
        <f aca="false">ROUNDUP(A29/12,0)</f>
        <v>2</v>
      </c>
      <c r="D29" s="26" t="n">
        <f aca="false">J28</f>
        <v>400499.8</v>
      </c>
      <c r="E29" s="26" t="n">
        <f aca="false">IF(D29&lt;=0,0,ROUND(D29*Calculator!$B$7/12,2))</f>
        <v>2169.37</v>
      </c>
      <c r="F29" s="26" t="n">
        <f aca="false">IF(D29&lt;=0,0,ROUND(MIN(D29,Calculator!$H$6-E29),2))</f>
        <v>485.32</v>
      </c>
      <c r="G29" s="26" t="n">
        <f aca="false">ROUND(IF(A29&gt;=Calculator!$E$11,Calculator!$E$6,0)+IF(A29=Calculator!$E$8,Calculator!$E$7,0)+IF(MONTH(B29)=Calculator!$E$10,Calculator!$E$9,0),2)</f>
        <v>200</v>
      </c>
      <c r="H29" s="26" t="n">
        <f aca="false">IF(D29&lt;=0,0,ROUND(MIN(D29-F29,G29),2))</f>
        <v>200</v>
      </c>
      <c r="I29" s="26" t="n">
        <f aca="false">ROUND(E29+F29+H29,2)</f>
        <v>2854.69</v>
      </c>
      <c r="J29" s="26" t="n">
        <f aca="false">ROUND(MAX(0,D29-F29-H29),2)</f>
        <v>399814.48</v>
      </c>
      <c r="K29" s="26" t="n">
        <f aca="false">ROUND(E29+K28,2)</f>
        <v>53327.04</v>
      </c>
    </row>
    <row r="30" customFormat="false" ht="15" hidden="false" customHeight="true" outlineLevel="0" collapsed="false">
      <c r="A30" s="19" t="n">
        <f aca="false">A29+1</f>
        <v>25</v>
      </c>
      <c r="B30" s="18" t="n">
        <f aca="false">EDATE(B29,1)</f>
        <v>47027</v>
      </c>
      <c r="C30" s="19" t="n">
        <f aca="false">ROUNDUP(A30/12,0)</f>
        <v>3</v>
      </c>
      <c r="D30" s="26" t="n">
        <f aca="false">J29</f>
        <v>399814.48</v>
      </c>
      <c r="E30" s="26" t="n">
        <f aca="false">IF(D30&lt;=0,0,ROUND(D30*Calculator!$B$7/12,2))</f>
        <v>2165.66</v>
      </c>
      <c r="F30" s="26" t="n">
        <f aca="false">IF(D30&lt;=0,0,ROUND(MIN(D30,Calculator!$H$6-E30),2))</f>
        <v>489.03</v>
      </c>
      <c r="G30" s="26" t="n">
        <f aca="false">ROUND(IF(A30&gt;=Calculator!$E$11,Calculator!$E$6,0)+IF(A30=Calculator!$E$8,Calculator!$E$7,0)+IF(MONTH(B30)=Calculator!$E$10,Calculator!$E$9,0),2)</f>
        <v>200</v>
      </c>
      <c r="H30" s="26" t="n">
        <f aca="false">IF(D30&lt;=0,0,ROUND(MIN(D30-F30,G30),2))</f>
        <v>200</v>
      </c>
      <c r="I30" s="26" t="n">
        <f aca="false">ROUND(E30+F30+H30,2)</f>
        <v>2854.69</v>
      </c>
      <c r="J30" s="26" t="n">
        <f aca="false">ROUND(MAX(0,D30-F30-H30),2)</f>
        <v>399125.45</v>
      </c>
      <c r="K30" s="26" t="n">
        <f aca="false">ROUND(E30+K29,2)</f>
        <v>55492.7</v>
      </c>
    </row>
    <row r="31" customFormat="false" ht="15" hidden="false" customHeight="true" outlineLevel="0" collapsed="false">
      <c r="A31" s="19" t="n">
        <f aca="false">A30+1</f>
        <v>26</v>
      </c>
      <c r="B31" s="18" t="n">
        <f aca="false">EDATE(B30,1)</f>
        <v>47058</v>
      </c>
      <c r="C31" s="19" t="n">
        <f aca="false">ROUNDUP(A31/12,0)</f>
        <v>3</v>
      </c>
      <c r="D31" s="26" t="n">
        <f aca="false">J30</f>
        <v>399125.45</v>
      </c>
      <c r="E31" s="26" t="n">
        <f aca="false">IF(D31&lt;=0,0,ROUND(D31*Calculator!$B$7/12,2))</f>
        <v>2161.93</v>
      </c>
      <c r="F31" s="26" t="n">
        <f aca="false">IF(D31&lt;=0,0,ROUND(MIN(D31,Calculator!$H$6-E31),2))</f>
        <v>492.76</v>
      </c>
      <c r="G31" s="26" t="n">
        <f aca="false">ROUND(IF(A31&gt;=Calculator!$E$11,Calculator!$E$6,0)+IF(A31=Calculator!$E$8,Calculator!$E$7,0)+IF(MONTH(B31)=Calculator!$E$10,Calculator!$E$9,0),2)</f>
        <v>200</v>
      </c>
      <c r="H31" s="26" t="n">
        <f aca="false">IF(D31&lt;=0,0,ROUND(MIN(D31-F31,G31),2))</f>
        <v>200</v>
      </c>
      <c r="I31" s="26" t="n">
        <f aca="false">ROUND(E31+F31+H31,2)</f>
        <v>2854.69</v>
      </c>
      <c r="J31" s="26" t="n">
        <f aca="false">ROUND(MAX(0,D31-F31-H31),2)</f>
        <v>398432.69</v>
      </c>
      <c r="K31" s="26" t="n">
        <f aca="false">ROUND(E31+K30,2)</f>
        <v>57654.63</v>
      </c>
    </row>
    <row r="32" customFormat="false" ht="15" hidden="false" customHeight="true" outlineLevel="0" collapsed="false">
      <c r="A32" s="19" t="n">
        <f aca="false">A31+1</f>
        <v>27</v>
      </c>
      <c r="B32" s="18" t="n">
        <f aca="false">EDATE(B31,1)</f>
        <v>47088</v>
      </c>
      <c r="C32" s="19" t="n">
        <f aca="false">ROUNDUP(A32/12,0)</f>
        <v>3</v>
      </c>
      <c r="D32" s="26" t="n">
        <f aca="false">J31</f>
        <v>398432.69</v>
      </c>
      <c r="E32" s="26" t="n">
        <f aca="false">IF(D32&lt;=0,0,ROUND(D32*Calculator!$B$7/12,2))</f>
        <v>2158.18</v>
      </c>
      <c r="F32" s="26" t="n">
        <f aca="false">IF(D32&lt;=0,0,ROUND(MIN(D32,Calculator!$H$6-E32),2))</f>
        <v>496.51</v>
      </c>
      <c r="G32" s="26" t="n">
        <f aca="false">ROUND(IF(A32&gt;=Calculator!$E$11,Calculator!$E$6,0)+IF(A32=Calculator!$E$8,Calculator!$E$7,0)+IF(MONTH(B32)=Calculator!$E$10,Calculator!$E$9,0),2)</f>
        <v>1200</v>
      </c>
      <c r="H32" s="26" t="n">
        <f aca="false">IF(D32&lt;=0,0,ROUND(MIN(D32-F32,G32),2))</f>
        <v>1200</v>
      </c>
      <c r="I32" s="26" t="n">
        <f aca="false">ROUND(E32+F32+H32,2)</f>
        <v>3854.69</v>
      </c>
      <c r="J32" s="26" t="n">
        <f aca="false">ROUND(MAX(0,D32-F32-H32),2)</f>
        <v>396736.18</v>
      </c>
      <c r="K32" s="26" t="n">
        <f aca="false">ROUND(E32+K31,2)</f>
        <v>59812.81</v>
      </c>
    </row>
    <row r="33" customFormat="false" ht="15" hidden="false" customHeight="true" outlineLevel="0" collapsed="false">
      <c r="A33" s="19" t="n">
        <f aca="false">A32+1</f>
        <v>28</v>
      </c>
      <c r="B33" s="18" t="n">
        <f aca="false">EDATE(B32,1)</f>
        <v>47119</v>
      </c>
      <c r="C33" s="19" t="n">
        <f aca="false">ROUNDUP(A33/12,0)</f>
        <v>3</v>
      </c>
      <c r="D33" s="26" t="n">
        <f aca="false">J32</f>
        <v>396736.18</v>
      </c>
      <c r="E33" s="26" t="n">
        <f aca="false">IF(D33&lt;=0,0,ROUND(D33*Calculator!$B$7/12,2))</f>
        <v>2148.99</v>
      </c>
      <c r="F33" s="26" t="n">
        <f aca="false">IF(D33&lt;=0,0,ROUND(MIN(D33,Calculator!$H$6-E33),2))</f>
        <v>505.7</v>
      </c>
      <c r="G33" s="26" t="n">
        <f aca="false">ROUND(IF(A33&gt;=Calculator!$E$11,Calculator!$E$6,0)+IF(A33=Calculator!$E$8,Calculator!$E$7,0)+IF(MONTH(B33)=Calculator!$E$10,Calculator!$E$9,0),2)</f>
        <v>200</v>
      </c>
      <c r="H33" s="26" t="n">
        <f aca="false">IF(D33&lt;=0,0,ROUND(MIN(D33-F33,G33),2))</f>
        <v>200</v>
      </c>
      <c r="I33" s="26" t="n">
        <f aca="false">ROUND(E33+F33+H33,2)</f>
        <v>2854.69</v>
      </c>
      <c r="J33" s="26" t="n">
        <f aca="false">ROUND(MAX(0,D33-F33-H33),2)</f>
        <v>396030.48</v>
      </c>
      <c r="K33" s="26" t="n">
        <f aca="false">ROUND(E33+K32,2)</f>
        <v>61961.8</v>
      </c>
    </row>
    <row r="34" customFormat="false" ht="15" hidden="false" customHeight="true" outlineLevel="0" collapsed="false">
      <c r="A34" s="19" t="n">
        <f aca="false">A33+1</f>
        <v>29</v>
      </c>
      <c r="B34" s="18" t="n">
        <f aca="false">EDATE(B33,1)</f>
        <v>47150</v>
      </c>
      <c r="C34" s="19" t="n">
        <f aca="false">ROUNDUP(A34/12,0)</f>
        <v>3</v>
      </c>
      <c r="D34" s="26" t="n">
        <f aca="false">J33</f>
        <v>396030.48</v>
      </c>
      <c r="E34" s="26" t="n">
        <f aca="false">IF(D34&lt;=0,0,ROUND(D34*Calculator!$B$7/12,2))</f>
        <v>2145.17</v>
      </c>
      <c r="F34" s="26" t="n">
        <f aca="false">IF(D34&lt;=0,0,ROUND(MIN(D34,Calculator!$H$6-E34),2))</f>
        <v>509.52</v>
      </c>
      <c r="G34" s="26" t="n">
        <f aca="false">ROUND(IF(A34&gt;=Calculator!$E$11,Calculator!$E$6,0)+IF(A34=Calculator!$E$8,Calculator!$E$7,0)+IF(MONTH(B34)=Calculator!$E$10,Calculator!$E$9,0),2)</f>
        <v>200</v>
      </c>
      <c r="H34" s="26" t="n">
        <f aca="false">IF(D34&lt;=0,0,ROUND(MIN(D34-F34,G34),2))</f>
        <v>200</v>
      </c>
      <c r="I34" s="26" t="n">
        <f aca="false">ROUND(E34+F34+H34,2)</f>
        <v>2854.69</v>
      </c>
      <c r="J34" s="26" t="n">
        <f aca="false">ROUND(MAX(0,D34-F34-H34),2)</f>
        <v>395320.96</v>
      </c>
      <c r="K34" s="26" t="n">
        <f aca="false">ROUND(E34+K33,2)</f>
        <v>64106.97</v>
      </c>
    </row>
    <row r="35" customFormat="false" ht="15" hidden="false" customHeight="true" outlineLevel="0" collapsed="false">
      <c r="A35" s="19" t="n">
        <f aca="false">A34+1</f>
        <v>30</v>
      </c>
      <c r="B35" s="18" t="n">
        <f aca="false">EDATE(B34,1)</f>
        <v>47178</v>
      </c>
      <c r="C35" s="19" t="n">
        <f aca="false">ROUNDUP(A35/12,0)</f>
        <v>3</v>
      </c>
      <c r="D35" s="26" t="n">
        <f aca="false">J34</f>
        <v>395320.96</v>
      </c>
      <c r="E35" s="26" t="n">
        <f aca="false">IF(D35&lt;=0,0,ROUND(D35*Calculator!$B$7/12,2))</f>
        <v>2141.32</v>
      </c>
      <c r="F35" s="26" t="n">
        <f aca="false">IF(D35&lt;=0,0,ROUND(MIN(D35,Calculator!$H$6-E35),2))</f>
        <v>513.37</v>
      </c>
      <c r="G35" s="26" t="n">
        <f aca="false">ROUND(IF(A35&gt;=Calculator!$E$11,Calculator!$E$6,0)+IF(A35=Calculator!$E$8,Calculator!$E$7,0)+IF(MONTH(B35)=Calculator!$E$10,Calculator!$E$9,0),2)</f>
        <v>200</v>
      </c>
      <c r="H35" s="26" t="n">
        <f aca="false">IF(D35&lt;=0,0,ROUND(MIN(D35-F35,G35),2))</f>
        <v>200</v>
      </c>
      <c r="I35" s="26" t="n">
        <f aca="false">ROUND(E35+F35+H35,2)</f>
        <v>2854.69</v>
      </c>
      <c r="J35" s="26" t="n">
        <f aca="false">ROUND(MAX(0,D35-F35-H35),2)</f>
        <v>394607.59</v>
      </c>
      <c r="K35" s="26" t="n">
        <f aca="false">ROUND(E35+K34,2)</f>
        <v>66248.29</v>
      </c>
    </row>
    <row r="36" customFormat="false" ht="15" hidden="false" customHeight="true" outlineLevel="0" collapsed="false">
      <c r="A36" s="19" t="n">
        <f aca="false">A35+1</f>
        <v>31</v>
      </c>
      <c r="B36" s="18" t="n">
        <f aca="false">EDATE(B35,1)</f>
        <v>47209</v>
      </c>
      <c r="C36" s="19" t="n">
        <f aca="false">ROUNDUP(A36/12,0)</f>
        <v>3</v>
      </c>
      <c r="D36" s="26" t="n">
        <f aca="false">J35</f>
        <v>394607.59</v>
      </c>
      <c r="E36" s="26" t="n">
        <f aca="false">IF(D36&lt;=0,0,ROUND(D36*Calculator!$B$7/12,2))</f>
        <v>2137.46</v>
      </c>
      <c r="F36" s="26" t="n">
        <f aca="false">IF(D36&lt;=0,0,ROUND(MIN(D36,Calculator!$H$6-E36),2))</f>
        <v>517.23</v>
      </c>
      <c r="G36" s="26" t="n">
        <f aca="false">ROUND(IF(A36&gt;=Calculator!$E$11,Calculator!$E$6,0)+IF(A36=Calculator!$E$8,Calculator!$E$7,0)+IF(MONTH(B36)=Calculator!$E$10,Calculator!$E$9,0),2)</f>
        <v>200</v>
      </c>
      <c r="H36" s="26" t="n">
        <f aca="false">IF(D36&lt;=0,0,ROUND(MIN(D36-F36,G36),2))</f>
        <v>200</v>
      </c>
      <c r="I36" s="26" t="n">
        <f aca="false">ROUND(E36+F36+H36,2)</f>
        <v>2854.69</v>
      </c>
      <c r="J36" s="26" t="n">
        <f aca="false">ROUND(MAX(0,D36-F36-H36),2)</f>
        <v>393890.36</v>
      </c>
      <c r="K36" s="26" t="n">
        <f aca="false">ROUND(E36+K35,2)</f>
        <v>68385.75</v>
      </c>
    </row>
    <row r="37" customFormat="false" ht="15" hidden="false" customHeight="true" outlineLevel="0" collapsed="false">
      <c r="A37" s="19" t="n">
        <f aca="false">A36+1</f>
        <v>32</v>
      </c>
      <c r="B37" s="18" t="n">
        <f aca="false">EDATE(B36,1)</f>
        <v>47239</v>
      </c>
      <c r="C37" s="19" t="n">
        <f aca="false">ROUNDUP(A37/12,0)</f>
        <v>3</v>
      </c>
      <c r="D37" s="26" t="n">
        <f aca="false">J36</f>
        <v>393890.36</v>
      </c>
      <c r="E37" s="26" t="n">
        <f aca="false">IF(D37&lt;=0,0,ROUND(D37*Calculator!$B$7/12,2))</f>
        <v>2133.57</v>
      </c>
      <c r="F37" s="26" t="n">
        <f aca="false">IF(D37&lt;=0,0,ROUND(MIN(D37,Calculator!$H$6-E37),2))</f>
        <v>521.12</v>
      </c>
      <c r="G37" s="26" t="n">
        <f aca="false">ROUND(IF(A37&gt;=Calculator!$E$11,Calculator!$E$6,0)+IF(A37=Calculator!$E$8,Calculator!$E$7,0)+IF(MONTH(B37)=Calculator!$E$10,Calculator!$E$9,0),2)</f>
        <v>200</v>
      </c>
      <c r="H37" s="26" t="n">
        <f aca="false">IF(D37&lt;=0,0,ROUND(MIN(D37-F37,G37),2))</f>
        <v>200</v>
      </c>
      <c r="I37" s="26" t="n">
        <f aca="false">ROUND(E37+F37+H37,2)</f>
        <v>2854.69</v>
      </c>
      <c r="J37" s="26" t="n">
        <f aca="false">ROUND(MAX(0,D37-F37-H37),2)</f>
        <v>393169.24</v>
      </c>
      <c r="K37" s="26" t="n">
        <f aca="false">ROUND(E37+K36,2)</f>
        <v>70519.32</v>
      </c>
    </row>
    <row r="38" customFormat="false" ht="15" hidden="false" customHeight="true" outlineLevel="0" collapsed="false">
      <c r="A38" s="19" t="n">
        <f aca="false">A37+1</f>
        <v>33</v>
      </c>
      <c r="B38" s="18" t="n">
        <f aca="false">EDATE(B37,1)</f>
        <v>47270</v>
      </c>
      <c r="C38" s="19" t="n">
        <f aca="false">ROUNDUP(A38/12,0)</f>
        <v>3</v>
      </c>
      <c r="D38" s="26" t="n">
        <f aca="false">J37</f>
        <v>393169.24</v>
      </c>
      <c r="E38" s="26" t="n">
        <f aca="false">IF(D38&lt;=0,0,ROUND(D38*Calculator!$B$7/12,2))</f>
        <v>2129.67</v>
      </c>
      <c r="F38" s="26" t="n">
        <f aca="false">IF(D38&lt;=0,0,ROUND(MIN(D38,Calculator!$H$6-E38),2))</f>
        <v>525.02</v>
      </c>
      <c r="G38" s="26" t="n">
        <f aca="false">ROUND(IF(A38&gt;=Calculator!$E$11,Calculator!$E$6,0)+IF(A38=Calculator!$E$8,Calculator!$E$7,0)+IF(MONTH(B38)=Calculator!$E$10,Calculator!$E$9,0),2)</f>
        <v>200</v>
      </c>
      <c r="H38" s="26" t="n">
        <f aca="false">IF(D38&lt;=0,0,ROUND(MIN(D38-F38,G38),2))</f>
        <v>200</v>
      </c>
      <c r="I38" s="26" t="n">
        <f aca="false">ROUND(E38+F38+H38,2)</f>
        <v>2854.69</v>
      </c>
      <c r="J38" s="26" t="n">
        <f aca="false">ROUND(MAX(0,D38-F38-H38),2)</f>
        <v>392444.22</v>
      </c>
      <c r="K38" s="26" t="n">
        <f aca="false">ROUND(E38+K37,2)</f>
        <v>72648.99</v>
      </c>
    </row>
    <row r="39" customFormat="false" ht="15" hidden="false" customHeight="true" outlineLevel="0" collapsed="false">
      <c r="A39" s="19" t="n">
        <f aca="false">A38+1</f>
        <v>34</v>
      </c>
      <c r="B39" s="18" t="n">
        <f aca="false">EDATE(B38,1)</f>
        <v>47300</v>
      </c>
      <c r="C39" s="19" t="n">
        <f aca="false">ROUNDUP(A39/12,0)</f>
        <v>3</v>
      </c>
      <c r="D39" s="26" t="n">
        <f aca="false">J38</f>
        <v>392444.22</v>
      </c>
      <c r="E39" s="26" t="n">
        <f aca="false">IF(D39&lt;=0,0,ROUND(D39*Calculator!$B$7/12,2))</f>
        <v>2125.74</v>
      </c>
      <c r="F39" s="26" t="n">
        <f aca="false">IF(D39&lt;=0,0,ROUND(MIN(D39,Calculator!$H$6-E39),2))</f>
        <v>528.95</v>
      </c>
      <c r="G39" s="26" t="n">
        <f aca="false">ROUND(IF(A39&gt;=Calculator!$E$11,Calculator!$E$6,0)+IF(A39=Calculator!$E$8,Calculator!$E$7,0)+IF(MONTH(B39)=Calculator!$E$10,Calculator!$E$9,0),2)</f>
        <v>200</v>
      </c>
      <c r="H39" s="26" t="n">
        <f aca="false">IF(D39&lt;=0,0,ROUND(MIN(D39-F39,G39),2))</f>
        <v>200</v>
      </c>
      <c r="I39" s="26" t="n">
        <f aca="false">ROUND(E39+F39+H39,2)</f>
        <v>2854.69</v>
      </c>
      <c r="J39" s="26" t="n">
        <f aca="false">ROUND(MAX(0,D39-F39-H39),2)</f>
        <v>391715.27</v>
      </c>
      <c r="K39" s="26" t="n">
        <f aca="false">ROUND(E39+K38,2)</f>
        <v>74774.73</v>
      </c>
    </row>
    <row r="40" customFormat="false" ht="15" hidden="false" customHeight="true" outlineLevel="0" collapsed="false">
      <c r="A40" s="19" t="n">
        <f aca="false">A39+1</f>
        <v>35</v>
      </c>
      <c r="B40" s="18" t="n">
        <f aca="false">EDATE(B39,1)</f>
        <v>47331</v>
      </c>
      <c r="C40" s="19" t="n">
        <f aca="false">ROUNDUP(A40/12,0)</f>
        <v>3</v>
      </c>
      <c r="D40" s="26" t="n">
        <f aca="false">J39</f>
        <v>391715.27</v>
      </c>
      <c r="E40" s="26" t="n">
        <f aca="false">IF(D40&lt;=0,0,ROUND(D40*Calculator!$B$7/12,2))</f>
        <v>2121.79</v>
      </c>
      <c r="F40" s="26" t="n">
        <f aca="false">IF(D40&lt;=0,0,ROUND(MIN(D40,Calculator!$H$6-E40),2))</f>
        <v>532.9</v>
      </c>
      <c r="G40" s="26" t="n">
        <f aca="false">ROUND(IF(A40&gt;=Calculator!$E$11,Calculator!$E$6,0)+IF(A40=Calculator!$E$8,Calculator!$E$7,0)+IF(MONTH(B40)=Calculator!$E$10,Calculator!$E$9,0),2)</f>
        <v>200</v>
      </c>
      <c r="H40" s="26" t="n">
        <f aca="false">IF(D40&lt;=0,0,ROUND(MIN(D40-F40,G40),2))</f>
        <v>200</v>
      </c>
      <c r="I40" s="26" t="n">
        <f aca="false">ROUND(E40+F40+H40,2)</f>
        <v>2854.69</v>
      </c>
      <c r="J40" s="26" t="n">
        <f aca="false">ROUND(MAX(0,D40-F40-H40),2)</f>
        <v>390982.37</v>
      </c>
      <c r="K40" s="26" t="n">
        <f aca="false">ROUND(E40+K39,2)</f>
        <v>76896.52</v>
      </c>
    </row>
    <row r="41" customFormat="false" ht="15" hidden="false" customHeight="true" outlineLevel="0" collapsed="false">
      <c r="A41" s="19" t="n">
        <f aca="false">A40+1</f>
        <v>36</v>
      </c>
      <c r="B41" s="18" t="n">
        <f aca="false">EDATE(B40,1)</f>
        <v>47362</v>
      </c>
      <c r="C41" s="19" t="n">
        <f aca="false">ROUNDUP(A41/12,0)</f>
        <v>3</v>
      </c>
      <c r="D41" s="26" t="n">
        <f aca="false">J40</f>
        <v>390982.37</v>
      </c>
      <c r="E41" s="26" t="n">
        <f aca="false">IF(D41&lt;=0,0,ROUND(D41*Calculator!$B$7/12,2))</f>
        <v>2117.82</v>
      </c>
      <c r="F41" s="26" t="n">
        <f aca="false">IF(D41&lt;=0,0,ROUND(MIN(D41,Calculator!$H$6-E41),2))</f>
        <v>536.87</v>
      </c>
      <c r="G41" s="26" t="n">
        <f aca="false">ROUND(IF(A41&gt;=Calculator!$E$11,Calculator!$E$6,0)+IF(A41=Calculator!$E$8,Calculator!$E$7,0)+IF(MONTH(B41)=Calculator!$E$10,Calculator!$E$9,0),2)</f>
        <v>200</v>
      </c>
      <c r="H41" s="26" t="n">
        <f aca="false">IF(D41&lt;=0,0,ROUND(MIN(D41-F41,G41),2))</f>
        <v>200</v>
      </c>
      <c r="I41" s="26" t="n">
        <f aca="false">ROUND(E41+F41+H41,2)</f>
        <v>2854.69</v>
      </c>
      <c r="J41" s="26" t="n">
        <f aca="false">ROUND(MAX(0,D41-F41-H41),2)</f>
        <v>390245.5</v>
      </c>
      <c r="K41" s="26" t="n">
        <f aca="false">ROUND(E41+K40,2)</f>
        <v>79014.34</v>
      </c>
    </row>
    <row r="42" customFormat="false" ht="15" hidden="false" customHeight="true" outlineLevel="0" collapsed="false">
      <c r="A42" s="19" t="n">
        <f aca="false">A41+1</f>
        <v>37</v>
      </c>
      <c r="B42" s="18" t="n">
        <f aca="false">EDATE(B41,1)</f>
        <v>47392</v>
      </c>
      <c r="C42" s="19" t="n">
        <f aca="false">ROUNDUP(A42/12,0)</f>
        <v>4</v>
      </c>
      <c r="D42" s="26" t="n">
        <f aca="false">J41</f>
        <v>390245.5</v>
      </c>
      <c r="E42" s="26" t="n">
        <f aca="false">IF(D42&lt;=0,0,ROUND(D42*Calculator!$B$7/12,2))</f>
        <v>2113.83</v>
      </c>
      <c r="F42" s="26" t="n">
        <f aca="false">IF(D42&lt;=0,0,ROUND(MIN(D42,Calculator!$H$6-E42),2))</f>
        <v>540.86</v>
      </c>
      <c r="G42" s="26" t="n">
        <f aca="false">ROUND(IF(A42&gt;=Calculator!$E$11,Calculator!$E$6,0)+IF(A42=Calculator!$E$8,Calculator!$E$7,0)+IF(MONTH(B42)=Calculator!$E$10,Calculator!$E$9,0),2)</f>
        <v>200</v>
      </c>
      <c r="H42" s="26" t="n">
        <f aca="false">IF(D42&lt;=0,0,ROUND(MIN(D42-F42,G42),2))</f>
        <v>200</v>
      </c>
      <c r="I42" s="26" t="n">
        <f aca="false">ROUND(E42+F42+H42,2)</f>
        <v>2854.69</v>
      </c>
      <c r="J42" s="26" t="n">
        <f aca="false">ROUND(MAX(0,D42-F42-H42),2)</f>
        <v>389504.64</v>
      </c>
      <c r="K42" s="26" t="n">
        <f aca="false">ROUND(E42+K41,2)</f>
        <v>81128.17</v>
      </c>
    </row>
    <row r="43" customFormat="false" ht="15" hidden="false" customHeight="true" outlineLevel="0" collapsed="false">
      <c r="A43" s="19" t="n">
        <f aca="false">A42+1</f>
        <v>38</v>
      </c>
      <c r="B43" s="18" t="n">
        <f aca="false">EDATE(B42,1)</f>
        <v>47423</v>
      </c>
      <c r="C43" s="19" t="n">
        <f aca="false">ROUNDUP(A43/12,0)</f>
        <v>4</v>
      </c>
      <c r="D43" s="26" t="n">
        <f aca="false">J42</f>
        <v>389504.64</v>
      </c>
      <c r="E43" s="26" t="n">
        <f aca="false">IF(D43&lt;=0,0,ROUND(D43*Calculator!$B$7/12,2))</f>
        <v>2109.82</v>
      </c>
      <c r="F43" s="26" t="n">
        <f aca="false">IF(D43&lt;=0,0,ROUND(MIN(D43,Calculator!$H$6-E43),2))</f>
        <v>544.87</v>
      </c>
      <c r="G43" s="26" t="n">
        <f aca="false">ROUND(IF(A43&gt;=Calculator!$E$11,Calculator!$E$6,0)+IF(A43=Calculator!$E$8,Calculator!$E$7,0)+IF(MONTH(B43)=Calculator!$E$10,Calculator!$E$9,0),2)</f>
        <v>200</v>
      </c>
      <c r="H43" s="26" t="n">
        <f aca="false">IF(D43&lt;=0,0,ROUND(MIN(D43-F43,G43),2))</f>
        <v>200</v>
      </c>
      <c r="I43" s="26" t="n">
        <f aca="false">ROUND(E43+F43+H43,2)</f>
        <v>2854.69</v>
      </c>
      <c r="J43" s="26" t="n">
        <f aca="false">ROUND(MAX(0,D43-F43-H43),2)</f>
        <v>388759.77</v>
      </c>
      <c r="K43" s="26" t="n">
        <f aca="false">ROUND(E43+K42,2)</f>
        <v>83237.99</v>
      </c>
    </row>
    <row r="44" customFormat="false" ht="15" hidden="false" customHeight="true" outlineLevel="0" collapsed="false">
      <c r="A44" s="19" t="n">
        <f aca="false">A43+1</f>
        <v>39</v>
      </c>
      <c r="B44" s="18" t="n">
        <f aca="false">EDATE(B43,1)</f>
        <v>47453</v>
      </c>
      <c r="C44" s="19" t="n">
        <f aca="false">ROUNDUP(A44/12,0)</f>
        <v>4</v>
      </c>
      <c r="D44" s="26" t="n">
        <f aca="false">J43</f>
        <v>388759.77</v>
      </c>
      <c r="E44" s="26" t="n">
        <f aca="false">IF(D44&lt;=0,0,ROUND(D44*Calculator!$B$7/12,2))</f>
        <v>2105.78</v>
      </c>
      <c r="F44" s="26" t="n">
        <f aca="false">IF(D44&lt;=0,0,ROUND(MIN(D44,Calculator!$H$6-E44),2))</f>
        <v>548.91</v>
      </c>
      <c r="G44" s="26" t="n">
        <f aca="false">ROUND(IF(A44&gt;=Calculator!$E$11,Calculator!$E$6,0)+IF(A44=Calculator!$E$8,Calculator!$E$7,0)+IF(MONTH(B44)=Calculator!$E$10,Calculator!$E$9,0),2)</f>
        <v>1200</v>
      </c>
      <c r="H44" s="26" t="n">
        <f aca="false">IF(D44&lt;=0,0,ROUND(MIN(D44-F44,G44),2))</f>
        <v>1200</v>
      </c>
      <c r="I44" s="26" t="n">
        <f aca="false">ROUND(E44+F44+H44,2)</f>
        <v>3854.69</v>
      </c>
      <c r="J44" s="26" t="n">
        <f aca="false">ROUND(MAX(0,D44-F44-H44),2)</f>
        <v>387010.86</v>
      </c>
      <c r="K44" s="26" t="n">
        <f aca="false">ROUND(E44+K43,2)</f>
        <v>85343.77</v>
      </c>
    </row>
    <row r="45" customFormat="false" ht="15" hidden="false" customHeight="true" outlineLevel="0" collapsed="false">
      <c r="A45" s="19" t="n">
        <f aca="false">A44+1</f>
        <v>40</v>
      </c>
      <c r="B45" s="18" t="n">
        <f aca="false">EDATE(B44,1)</f>
        <v>47484</v>
      </c>
      <c r="C45" s="19" t="n">
        <f aca="false">ROUNDUP(A45/12,0)</f>
        <v>4</v>
      </c>
      <c r="D45" s="26" t="n">
        <f aca="false">J44</f>
        <v>387010.86</v>
      </c>
      <c r="E45" s="26" t="n">
        <f aca="false">IF(D45&lt;=0,0,ROUND(D45*Calculator!$B$7/12,2))</f>
        <v>2096.31</v>
      </c>
      <c r="F45" s="26" t="n">
        <f aca="false">IF(D45&lt;=0,0,ROUND(MIN(D45,Calculator!$H$6-E45),2))</f>
        <v>558.38</v>
      </c>
      <c r="G45" s="26" t="n">
        <f aca="false">ROUND(IF(A45&gt;=Calculator!$E$11,Calculator!$E$6,0)+IF(A45=Calculator!$E$8,Calculator!$E$7,0)+IF(MONTH(B45)=Calculator!$E$10,Calculator!$E$9,0),2)</f>
        <v>200</v>
      </c>
      <c r="H45" s="26" t="n">
        <f aca="false">IF(D45&lt;=0,0,ROUND(MIN(D45-F45,G45),2))</f>
        <v>200</v>
      </c>
      <c r="I45" s="26" t="n">
        <f aca="false">ROUND(E45+F45+H45,2)</f>
        <v>2854.69</v>
      </c>
      <c r="J45" s="26" t="n">
        <f aca="false">ROUND(MAX(0,D45-F45-H45),2)</f>
        <v>386252.48</v>
      </c>
      <c r="K45" s="26" t="n">
        <f aca="false">ROUND(E45+K44,2)</f>
        <v>87440.08</v>
      </c>
    </row>
    <row r="46" customFormat="false" ht="15" hidden="false" customHeight="true" outlineLevel="0" collapsed="false">
      <c r="A46" s="19" t="n">
        <f aca="false">A45+1</f>
        <v>41</v>
      </c>
      <c r="B46" s="18" t="n">
        <f aca="false">EDATE(B45,1)</f>
        <v>47515</v>
      </c>
      <c r="C46" s="19" t="n">
        <f aca="false">ROUNDUP(A46/12,0)</f>
        <v>4</v>
      </c>
      <c r="D46" s="26" t="n">
        <f aca="false">J45</f>
        <v>386252.48</v>
      </c>
      <c r="E46" s="26" t="n">
        <f aca="false">IF(D46&lt;=0,0,ROUND(D46*Calculator!$B$7/12,2))</f>
        <v>2092.2</v>
      </c>
      <c r="F46" s="26" t="n">
        <f aca="false">IF(D46&lt;=0,0,ROUND(MIN(D46,Calculator!$H$6-E46),2))</f>
        <v>562.49</v>
      </c>
      <c r="G46" s="26" t="n">
        <f aca="false">ROUND(IF(A46&gt;=Calculator!$E$11,Calculator!$E$6,0)+IF(A46=Calculator!$E$8,Calculator!$E$7,0)+IF(MONTH(B46)=Calculator!$E$10,Calculator!$E$9,0),2)</f>
        <v>200</v>
      </c>
      <c r="H46" s="26" t="n">
        <f aca="false">IF(D46&lt;=0,0,ROUND(MIN(D46-F46,G46),2))</f>
        <v>200</v>
      </c>
      <c r="I46" s="26" t="n">
        <f aca="false">ROUND(E46+F46+H46,2)</f>
        <v>2854.69</v>
      </c>
      <c r="J46" s="26" t="n">
        <f aca="false">ROUND(MAX(0,D46-F46-H46),2)</f>
        <v>385489.99</v>
      </c>
      <c r="K46" s="26" t="n">
        <f aca="false">ROUND(E46+K45,2)</f>
        <v>89532.28</v>
      </c>
    </row>
    <row r="47" customFormat="false" ht="15" hidden="false" customHeight="true" outlineLevel="0" collapsed="false">
      <c r="A47" s="19" t="n">
        <f aca="false">A46+1</f>
        <v>42</v>
      </c>
      <c r="B47" s="18" t="n">
        <f aca="false">EDATE(B46,1)</f>
        <v>47543</v>
      </c>
      <c r="C47" s="19" t="n">
        <f aca="false">ROUNDUP(A47/12,0)</f>
        <v>4</v>
      </c>
      <c r="D47" s="26" t="n">
        <f aca="false">J46</f>
        <v>385489.99</v>
      </c>
      <c r="E47" s="26" t="n">
        <f aca="false">IF(D47&lt;=0,0,ROUND(D47*Calculator!$B$7/12,2))</f>
        <v>2088.07</v>
      </c>
      <c r="F47" s="26" t="n">
        <f aca="false">IF(D47&lt;=0,0,ROUND(MIN(D47,Calculator!$H$6-E47),2))</f>
        <v>566.62</v>
      </c>
      <c r="G47" s="26" t="n">
        <f aca="false">ROUND(IF(A47&gt;=Calculator!$E$11,Calculator!$E$6,0)+IF(A47=Calculator!$E$8,Calculator!$E$7,0)+IF(MONTH(B47)=Calculator!$E$10,Calculator!$E$9,0),2)</f>
        <v>200</v>
      </c>
      <c r="H47" s="26" t="n">
        <f aca="false">IF(D47&lt;=0,0,ROUND(MIN(D47-F47,G47),2))</f>
        <v>200</v>
      </c>
      <c r="I47" s="26" t="n">
        <f aca="false">ROUND(E47+F47+H47,2)</f>
        <v>2854.69</v>
      </c>
      <c r="J47" s="26" t="n">
        <f aca="false">ROUND(MAX(0,D47-F47-H47),2)</f>
        <v>384723.37</v>
      </c>
      <c r="K47" s="26" t="n">
        <f aca="false">ROUND(E47+K46,2)</f>
        <v>91620.35</v>
      </c>
    </row>
    <row r="48" customFormat="false" ht="15" hidden="false" customHeight="true" outlineLevel="0" collapsed="false">
      <c r="A48" s="19" t="n">
        <f aca="false">A47+1</f>
        <v>43</v>
      </c>
      <c r="B48" s="18" t="n">
        <f aca="false">EDATE(B47,1)</f>
        <v>47574</v>
      </c>
      <c r="C48" s="19" t="n">
        <f aca="false">ROUNDUP(A48/12,0)</f>
        <v>4</v>
      </c>
      <c r="D48" s="26" t="n">
        <f aca="false">J47</f>
        <v>384723.37</v>
      </c>
      <c r="E48" s="26" t="n">
        <f aca="false">IF(D48&lt;=0,0,ROUND(D48*Calculator!$B$7/12,2))</f>
        <v>2083.92</v>
      </c>
      <c r="F48" s="26" t="n">
        <f aca="false">IF(D48&lt;=0,0,ROUND(MIN(D48,Calculator!$H$6-E48),2))</f>
        <v>570.77</v>
      </c>
      <c r="G48" s="26" t="n">
        <f aca="false">ROUND(IF(A48&gt;=Calculator!$E$11,Calculator!$E$6,0)+IF(A48=Calculator!$E$8,Calculator!$E$7,0)+IF(MONTH(B48)=Calculator!$E$10,Calculator!$E$9,0),2)</f>
        <v>200</v>
      </c>
      <c r="H48" s="26" t="n">
        <f aca="false">IF(D48&lt;=0,0,ROUND(MIN(D48-F48,G48),2))</f>
        <v>200</v>
      </c>
      <c r="I48" s="26" t="n">
        <f aca="false">ROUND(E48+F48+H48,2)</f>
        <v>2854.69</v>
      </c>
      <c r="J48" s="26" t="n">
        <f aca="false">ROUND(MAX(0,D48-F48-H48),2)</f>
        <v>383952.6</v>
      </c>
      <c r="K48" s="26" t="n">
        <f aca="false">ROUND(E48+K47,2)</f>
        <v>93704.27</v>
      </c>
    </row>
    <row r="49" customFormat="false" ht="15" hidden="false" customHeight="true" outlineLevel="0" collapsed="false">
      <c r="A49" s="19" t="n">
        <f aca="false">A48+1</f>
        <v>44</v>
      </c>
      <c r="B49" s="18" t="n">
        <f aca="false">EDATE(B48,1)</f>
        <v>47604</v>
      </c>
      <c r="C49" s="19" t="n">
        <f aca="false">ROUNDUP(A49/12,0)</f>
        <v>4</v>
      </c>
      <c r="D49" s="26" t="n">
        <f aca="false">J48</f>
        <v>383952.6</v>
      </c>
      <c r="E49" s="26" t="n">
        <f aca="false">IF(D49&lt;=0,0,ROUND(D49*Calculator!$B$7/12,2))</f>
        <v>2079.74</v>
      </c>
      <c r="F49" s="26" t="n">
        <f aca="false">IF(D49&lt;=0,0,ROUND(MIN(D49,Calculator!$H$6-E49),2))</f>
        <v>574.95</v>
      </c>
      <c r="G49" s="26" t="n">
        <f aca="false">ROUND(IF(A49&gt;=Calculator!$E$11,Calculator!$E$6,0)+IF(A49=Calculator!$E$8,Calculator!$E$7,0)+IF(MONTH(B49)=Calculator!$E$10,Calculator!$E$9,0),2)</f>
        <v>200</v>
      </c>
      <c r="H49" s="26" t="n">
        <f aca="false">IF(D49&lt;=0,0,ROUND(MIN(D49-F49,G49),2))</f>
        <v>200</v>
      </c>
      <c r="I49" s="26" t="n">
        <f aca="false">ROUND(E49+F49+H49,2)</f>
        <v>2854.69</v>
      </c>
      <c r="J49" s="26" t="n">
        <f aca="false">ROUND(MAX(0,D49-F49-H49),2)</f>
        <v>383177.65</v>
      </c>
      <c r="K49" s="26" t="n">
        <f aca="false">ROUND(E49+K48,2)</f>
        <v>95784.01</v>
      </c>
    </row>
    <row r="50" customFormat="false" ht="15" hidden="false" customHeight="true" outlineLevel="0" collapsed="false">
      <c r="A50" s="19" t="n">
        <f aca="false">A49+1</f>
        <v>45</v>
      </c>
      <c r="B50" s="18" t="n">
        <f aca="false">EDATE(B49,1)</f>
        <v>47635</v>
      </c>
      <c r="C50" s="19" t="n">
        <f aca="false">ROUNDUP(A50/12,0)</f>
        <v>4</v>
      </c>
      <c r="D50" s="26" t="n">
        <f aca="false">J49</f>
        <v>383177.65</v>
      </c>
      <c r="E50" s="26" t="n">
        <f aca="false">IF(D50&lt;=0,0,ROUND(D50*Calculator!$B$7/12,2))</f>
        <v>2075.55</v>
      </c>
      <c r="F50" s="26" t="n">
        <f aca="false">IF(D50&lt;=0,0,ROUND(MIN(D50,Calculator!$H$6-E50),2))</f>
        <v>579.14</v>
      </c>
      <c r="G50" s="26" t="n">
        <f aca="false">ROUND(IF(A50&gt;=Calculator!$E$11,Calculator!$E$6,0)+IF(A50=Calculator!$E$8,Calculator!$E$7,0)+IF(MONTH(B50)=Calculator!$E$10,Calculator!$E$9,0),2)</f>
        <v>200</v>
      </c>
      <c r="H50" s="26" t="n">
        <f aca="false">IF(D50&lt;=0,0,ROUND(MIN(D50-F50,G50),2))</f>
        <v>200</v>
      </c>
      <c r="I50" s="26" t="n">
        <f aca="false">ROUND(E50+F50+H50,2)</f>
        <v>2854.69</v>
      </c>
      <c r="J50" s="26" t="n">
        <f aca="false">ROUND(MAX(0,D50-F50-H50),2)</f>
        <v>382398.51</v>
      </c>
      <c r="K50" s="26" t="n">
        <f aca="false">ROUND(E50+K49,2)</f>
        <v>97859.56</v>
      </c>
    </row>
    <row r="51" customFormat="false" ht="15" hidden="false" customHeight="true" outlineLevel="0" collapsed="false">
      <c r="A51" s="19" t="n">
        <f aca="false">A50+1</f>
        <v>46</v>
      </c>
      <c r="B51" s="18" t="n">
        <f aca="false">EDATE(B50,1)</f>
        <v>47665</v>
      </c>
      <c r="C51" s="19" t="n">
        <f aca="false">ROUNDUP(A51/12,0)</f>
        <v>4</v>
      </c>
      <c r="D51" s="26" t="n">
        <f aca="false">J50</f>
        <v>382398.51</v>
      </c>
      <c r="E51" s="26" t="n">
        <f aca="false">IF(D51&lt;=0,0,ROUND(D51*Calculator!$B$7/12,2))</f>
        <v>2071.33</v>
      </c>
      <c r="F51" s="26" t="n">
        <f aca="false">IF(D51&lt;=0,0,ROUND(MIN(D51,Calculator!$H$6-E51),2))</f>
        <v>583.36</v>
      </c>
      <c r="G51" s="26" t="n">
        <f aca="false">ROUND(IF(A51&gt;=Calculator!$E$11,Calculator!$E$6,0)+IF(A51=Calculator!$E$8,Calculator!$E$7,0)+IF(MONTH(B51)=Calculator!$E$10,Calculator!$E$9,0),2)</f>
        <v>200</v>
      </c>
      <c r="H51" s="26" t="n">
        <f aca="false">IF(D51&lt;=0,0,ROUND(MIN(D51-F51,G51),2))</f>
        <v>200</v>
      </c>
      <c r="I51" s="26" t="n">
        <f aca="false">ROUND(E51+F51+H51,2)</f>
        <v>2854.69</v>
      </c>
      <c r="J51" s="26" t="n">
        <f aca="false">ROUND(MAX(0,D51-F51-H51),2)</f>
        <v>381615.15</v>
      </c>
      <c r="K51" s="26" t="n">
        <f aca="false">ROUND(E51+K50,2)</f>
        <v>99930.89</v>
      </c>
    </row>
    <row r="52" customFormat="false" ht="15" hidden="false" customHeight="true" outlineLevel="0" collapsed="false">
      <c r="A52" s="19" t="n">
        <f aca="false">A51+1</f>
        <v>47</v>
      </c>
      <c r="B52" s="18" t="n">
        <f aca="false">EDATE(B51,1)</f>
        <v>47696</v>
      </c>
      <c r="C52" s="19" t="n">
        <f aca="false">ROUNDUP(A52/12,0)</f>
        <v>4</v>
      </c>
      <c r="D52" s="26" t="n">
        <f aca="false">J51</f>
        <v>381615.15</v>
      </c>
      <c r="E52" s="26" t="n">
        <f aca="false">IF(D52&lt;=0,0,ROUND(D52*Calculator!$B$7/12,2))</f>
        <v>2067.08</v>
      </c>
      <c r="F52" s="26" t="n">
        <f aca="false">IF(D52&lt;=0,0,ROUND(MIN(D52,Calculator!$H$6-E52),2))</f>
        <v>587.61</v>
      </c>
      <c r="G52" s="26" t="n">
        <f aca="false">ROUND(IF(A52&gt;=Calculator!$E$11,Calculator!$E$6,0)+IF(A52=Calculator!$E$8,Calculator!$E$7,0)+IF(MONTH(B52)=Calculator!$E$10,Calculator!$E$9,0),2)</f>
        <v>200</v>
      </c>
      <c r="H52" s="26" t="n">
        <f aca="false">IF(D52&lt;=0,0,ROUND(MIN(D52-F52,G52),2))</f>
        <v>200</v>
      </c>
      <c r="I52" s="26" t="n">
        <f aca="false">ROUND(E52+F52+H52,2)</f>
        <v>2854.69</v>
      </c>
      <c r="J52" s="26" t="n">
        <f aca="false">ROUND(MAX(0,D52-F52-H52),2)</f>
        <v>380827.54</v>
      </c>
      <c r="K52" s="26" t="n">
        <f aca="false">ROUND(E52+K51,2)</f>
        <v>101997.97</v>
      </c>
    </row>
    <row r="53" customFormat="false" ht="15" hidden="false" customHeight="true" outlineLevel="0" collapsed="false">
      <c r="A53" s="19" t="n">
        <f aca="false">A52+1</f>
        <v>48</v>
      </c>
      <c r="B53" s="18" t="n">
        <f aca="false">EDATE(B52,1)</f>
        <v>47727</v>
      </c>
      <c r="C53" s="19" t="n">
        <f aca="false">ROUNDUP(A53/12,0)</f>
        <v>4</v>
      </c>
      <c r="D53" s="26" t="n">
        <f aca="false">J52</f>
        <v>380827.54</v>
      </c>
      <c r="E53" s="26" t="n">
        <f aca="false">IF(D53&lt;=0,0,ROUND(D53*Calculator!$B$7/12,2))</f>
        <v>2062.82</v>
      </c>
      <c r="F53" s="26" t="n">
        <f aca="false">IF(D53&lt;=0,0,ROUND(MIN(D53,Calculator!$H$6-E53),2))</f>
        <v>591.87</v>
      </c>
      <c r="G53" s="26" t="n">
        <f aca="false">ROUND(IF(A53&gt;=Calculator!$E$11,Calculator!$E$6,0)+IF(A53=Calculator!$E$8,Calculator!$E$7,0)+IF(MONTH(B53)=Calculator!$E$10,Calculator!$E$9,0),2)</f>
        <v>200</v>
      </c>
      <c r="H53" s="26" t="n">
        <f aca="false">IF(D53&lt;=0,0,ROUND(MIN(D53-F53,G53),2))</f>
        <v>200</v>
      </c>
      <c r="I53" s="26" t="n">
        <f aca="false">ROUND(E53+F53+H53,2)</f>
        <v>2854.69</v>
      </c>
      <c r="J53" s="26" t="n">
        <f aca="false">ROUND(MAX(0,D53-F53-H53),2)</f>
        <v>380035.67</v>
      </c>
      <c r="K53" s="26" t="n">
        <f aca="false">ROUND(E53+K52,2)</f>
        <v>104060.79</v>
      </c>
    </row>
    <row r="54" customFormat="false" ht="15" hidden="false" customHeight="true" outlineLevel="0" collapsed="false">
      <c r="A54" s="19" t="n">
        <f aca="false">A53+1</f>
        <v>49</v>
      </c>
      <c r="B54" s="18" t="n">
        <f aca="false">EDATE(B53,1)</f>
        <v>47757</v>
      </c>
      <c r="C54" s="19" t="n">
        <f aca="false">ROUNDUP(A54/12,0)</f>
        <v>5</v>
      </c>
      <c r="D54" s="26" t="n">
        <f aca="false">J53</f>
        <v>380035.67</v>
      </c>
      <c r="E54" s="26" t="n">
        <f aca="false">IF(D54&lt;=0,0,ROUND(D54*Calculator!$B$7/12,2))</f>
        <v>2058.53</v>
      </c>
      <c r="F54" s="26" t="n">
        <f aca="false">IF(D54&lt;=0,0,ROUND(MIN(D54,Calculator!$H$6-E54),2))</f>
        <v>596.16</v>
      </c>
      <c r="G54" s="26" t="n">
        <f aca="false">ROUND(IF(A54&gt;=Calculator!$E$11,Calculator!$E$6,0)+IF(A54=Calculator!$E$8,Calculator!$E$7,0)+IF(MONTH(B54)=Calculator!$E$10,Calculator!$E$9,0),2)</f>
        <v>200</v>
      </c>
      <c r="H54" s="26" t="n">
        <f aca="false">IF(D54&lt;=0,0,ROUND(MIN(D54-F54,G54),2))</f>
        <v>200</v>
      </c>
      <c r="I54" s="26" t="n">
        <f aca="false">ROUND(E54+F54+H54,2)</f>
        <v>2854.69</v>
      </c>
      <c r="J54" s="26" t="n">
        <f aca="false">ROUND(MAX(0,D54-F54-H54),2)</f>
        <v>379239.51</v>
      </c>
      <c r="K54" s="26" t="n">
        <f aca="false">ROUND(E54+K53,2)</f>
        <v>106119.32</v>
      </c>
    </row>
    <row r="55" customFormat="false" ht="15" hidden="false" customHeight="true" outlineLevel="0" collapsed="false">
      <c r="A55" s="19" t="n">
        <f aca="false">A54+1</f>
        <v>50</v>
      </c>
      <c r="B55" s="18" t="n">
        <f aca="false">EDATE(B54,1)</f>
        <v>47788</v>
      </c>
      <c r="C55" s="19" t="n">
        <f aca="false">ROUNDUP(A55/12,0)</f>
        <v>5</v>
      </c>
      <c r="D55" s="26" t="n">
        <f aca="false">J54</f>
        <v>379239.51</v>
      </c>
      <c r="E55" s="26" t="n">
        <f aca="false">IF(D55&lt;=0,0,ROUND(D55*Calculator!$B$7/12,2))</f>
        <v>2054.21</v>
      </c>
      <c r="F55" s="26" t="n">
        <f aca="false">IF(D55&lt;=0,0,ROUND(MIN(D55,Calculator!$H$6-E55),2))</f>
        <v>600.48</v>
      </c>
      <c r="G55" s="26" t="n">
        <f aca="false">ROUND(IF(A55&gt;=Calculator!$E$11,Calculator!$E$6,0)+IF(A55=Calculator!$E$8,Calculator!$E$7,0)+IF(MONTH(B55)=Calculator!$E$10,Calculator!$E$9,0),2)</f>
        <v>200</v>
      </c>
      <c r="H55" s="26" t="n">
        <f aca="false">IF(D55&lt;=0,0,ROUND(MIN(D55-F55,G55),2))</f>
        <v>200</v>
      </c>
      <c r="I55" s="26" t="n">
        <f aca="false">ROUND(E55+F55+H55,2)</f>
        <v>2854.69</v>
      </c>
      <c r="J55" s="26" t="n">
        <f aca="false">ROUND(MAX(0,D55-F55-H55),2)</f>
        <v>378439.03</v>
      </c>
      <c r="K55" s="26" t="n">
        <f aca="false">ROUND(E55+K54,2)</f>
        <v>108173.53</v>
      </c>
    </row>
    <row r="56" customFormat="false" ht="15" hidden="false" customHeight="true" outlineLevel="0" collapsed="false">
      <c r="A56" s="19" t="n">
        <f aca="false">A55+1</f>
        <v>51</v>
      </c>
      <c r="B56" s="18" t="n">
        <f aca="false">EDATE(B55,1)</f>
        <v>47818</v>
      </c>
      <c r="C56" s="19" t="n">
        <f aca="false">ROUNDUP(A56/12,0)</f>
        <v>5</v>
      </c>
      <c r="D56" s="26" t="n">
        <f aca="false">J55</f>
        <v>378439.03</v>
      </c>
      <c r="E56" s="26" t="n">
        <f aca="false">IF(D56&lt;=0,0,ROUND(D56*Calculator!$B$7/12,2))</f>
        <v>2049.88</v>
      </c>
      <c r="F56" s="26" t="n">
        <f aca="false">IF(D56&lt;=0,0,ROUND(MIN(D56,Calculator!$H$6-E56),2))</f>
        <v>604.81</v>
      </c>
      <c r="G56" s="26" t="n">
        <f aca="false">ROUND(IF(A56&gt;=Calculator!$E$11,Calculator!$E$6,0)+IF(A56=Calculator!$E$8,Calculator!$E$7,0)+IF(MONTH(B56)=Calculator!$E$10,Calculator!$E$9,0),2)</f>
        <v>1200</v>
      </c>
      <c r="H56" s="26" t="n">
        <f aca="false">IF(D56&lt;=0,0,ROUND(MIN(D56-F56,G56),2))</f>
        <v>1200</v>
      </c>
      <c r="I56" s="26" t="n">
        <f aca="false">ROUND(E56+F56+H56,2)</f>
        <v>3854.69</v>
      </c>
      <c r="J56" s="26" t="n">
        <f aca="false">ROUND(MAX(0,D56-F56-H56),2)</f>
        <v>376634.22</v>
      </c>
      <c r="K56" s="26" t="n">
        <f aca="false">ROUND(E56+K55,2)</f>
        <v>110223.41</v>
      </c>
    </row>
    <row r="57" customFormat="false" ht="15" hidden="false" customHeight="true" outlineLevel="0" collapsed="false">
      <c r="A57" s="19" t="n">
        <f aca="false">A56+1</f>
        <v>52</v>
      </c>
      <c r="B57" s="18" t="n">
        <f aca="false">EDATE(B56,1)</f>
        <v>47849</v>
      </c>
      <c r="C57" s="19" t="n">
        <f aca="false">ROUNDUP(A57/12,0)</f>
        <v>5</v>
      </c>
      <c r="D57" s="26" t="n">
        <f aca="false">J56</f>
        <v>376634.22</v>
      </c>
      <c r="E57" s="26" t="n">
        <f aca="false">IF(D57&lt;=0,0,ROUND(D57*Calculator!$B$7/12,2))</f>
        <v>2040.1</v>
      </c>
      <c r="F57" s="26" t="n">
        <f aca="false">IF(D57&lt;=0,0,ROUND(MIN(D57,Calculator!$H$6-E57),2))</f>
        <v>614.59</v>
      </c>
      <c r="G57" s="26" t="n">
        <f aca="false">ROUND(IF(A57&gt;=Calculator!$E$11,Calculator!$E$6,0)+IF(A57=Calculator!$E$8,Calculator!$E$7,0)+IF(MONTH(B57)=Calculator!$E$10,Calculator!$E$9,0),2)</f>
        <v>200</v>
      </c>
      <c r="H57" s="26" t="n">
        <f aca="false">IF(D57&lt;=0,0,ROUND(MIN(D57-F57,G57),2))</f>
        <v>200</v>
      </c>
      <c r="I57" s="26" t="n">
        <f aca="false">ROUND(E57+F57+H57,2)</f>
        <v>2854.69</v>
      </c>
      <c r="J57" s="26" t="n">
        <f aca="false">ROUND(MAX(0,D57-F57-H57),2)</f>
        <v>375819.63</v>
      </c>
      <c r="K57" s="26" t="n">
        <f aca="false">ROUND(E57+K56,2)</f>
        <v>112263.51</v>
      </c>
    </row>
    <row r="58" customFormat="false" ht="15" hidden="false" customHeight="true" outlineLevel="0" collapsed="false">
      <c r="A58" s="19" t="n">
        <f aca="false">A57+1</f>
        <v>53</v>
      </c>
      <c r="B58" s="18" t="n">
        <f aca="false">EDATE(B57,1)</f>
        <v>47880</v>
      </c>
      <c r="C58" s="19" t="n">
        <f aca="false">ROUNDUP(A58/12,0)</f>
        <v>5</v>
      </c>
      <c r="D58" s="26" t="n">
        <f aca="false">J57</f>
        <v>375819.63</v>
      </c>
      <c r="E58" s="26" t="n">
        <f aca="false">IF(D58&lt;=0,0,ROUND(D58*Calculator!$B$7/12,2))</f>
        <v>2035.69</v>
      </c>
      <c r="F58" s="26" t="n">
        <f aca="false">IF(D58&lt;=0,0,ROUND(MIN(D58,Calculator!$H$6-E58),2))</f>
        <v>619</v>
      </c>
      <c r="G58" s="26" t="n">
        <f aca="false">ROUND(IF(A58&gt;=Calculator!$E$11,Calculator!$E$6,0)+IF(A58=Calculator!$E$8,Calculator!$E$7,0)+IF(MONTH(B58)=Calculator!$E$10,Calculator!$E$9,0),2)</f>
        <v>200</v>
      </c>
      <c r="H58" s="26" t="n">
        <f aca="false">IF(D58&lt;=0,0,ROUND(MIN(D58-F58,G58),2))</f>
        <v>200</v>
      </c>
      <c r="I58" s="26" t="n">
        <f aca="false">ROUND(E58+F58+H58,2)</f>
        <v>2854.69</v>
      </c>
      <c r="J58" s="26" t="n">
        <f aca="false">ROUND(MAX(0,D58-F58-H58),2)</f>
        <v>375000.63</v>
      </c>
      <c r="K58" s="26" t="n">
        <f aca="false">ROUND(E58+K57,2)</f>
        <v>114299.2</v>
      </c>
    </row>
    <row r="59" customFormat="false" ht="15" hidden="false" customHeight="true" outlineLevel="0" collapsed="false">
      <c r="A59" s="19" t="n">
        <f aca="false">A58+1</f>
        <v>54</v>
      </c>
      <c r="B59" s="18" t="n">
        <f aca="false">EDATE(B58,1)</f>
        <v>47908</v>
      </c>
      <c r="C59" s="19" t="n">
        <f aca="false">ROUNDUP(A59/12,0)</f>
        <v>5</v>
      </c>
      <c r="D59" s="26" t="n">
        <f aca="false">J58</f>
        <v>375000.63</v>
      </c>
      <c r="E59" s="26" t="n">
        <f aca="false">IF(D59&lt;=0,0,ROUND(D59*Calculator!$B$7/12,2))</f>
        <v>2031.25</v>
      </c>
      <c r="F59" s="26" t="n">
        <f aca="false">IF(D59&lt;=0,0,ROUND(MIN(D59,Calculator!$H$6-E59),2))</f>
        <v>623.44</v>
      </c>
      <c r="G59" s="26" t="n">
        <f aca="false">ROUND(IF(A59&gt;=Calculator!$E$11,Calculator!$E$6,0)+IF(A59=Calculator!$E$8,Calculator!$E$7,0)+IF(MONTH(B59)=Calculator!$E$10,Calculator!$E$9,0),2)</f>
        <v>200</v>
      </c>
      <c r="H59" s="26" t="n">
        <f aca="false">IF(D59&lt;=0,0,ROUND(MIN(D59-F59,G59),2))</f>
        <v>200</v>
      </c>
      <c r="I59" s="26" t="n">
        <f aca="false">ROUND(E59+F59+H59,2)</f>
        <v>2854.69</v>
      </c>
      <c r="J59" s="26" t="n">
        <f aca="false">ROUND(MAX(0,D59-F59-H59),2)</f>
        <v>374177.19</v>
      </c>
      <c r="K59" s="26" t="n">
        <f aca="false">ROUND(E59+K58,2)</f>
        <v>116330.45</v>
      </c>
    </row>
    <row r="60" customFormat="false" ht="15" hidden="false" customHeight="true" outlineLevel="0" collapsed="false">
      <c r="A60" s="19" t="n">
        <f aca="false">A59+1</f>
        <v>55</v>
      </c>
      <c r="B60" s="18" t="n">
        <f aca="false">EDATE(B59,1)</f>
        <v>47939</v>
      </c>
      <c r="C60" s="19" t="n">
        <f aca="false">ROUNDUP(A60/12,0)</f>
        <v>5</v>
      </c>
      <c r="D60" s="26" t="n">
        <f aca="false">J59</f>
        <v>374177.19</v>
      </c>
      <c r="E60" s="26" t="n">
        <f aca="false">IF(D60&lt;=0,0,ROUND(D60*Calculator!$B$7/12,2))</f>
        <v>2026.79</v>
      </c>
      <c r="F60" s="26" t="n">
        <f aca="false">IF(D60&lt;=0,0,ROUND(MIN(D60,Calculator!$H$6-E60),2))</f>
        <v>627.9</v>
      </c>
      <c r="G60" s="26" t="n">
        <f aca="false">ROUND(IF(A60&gt;=Calculator!$E$11,Calculator!$E$6,0)+IF(A60=Calculator!$E$8,Calculator!$E$7,0)+IF(MONTH(B60)=Calculator!$E$10,Calculator!$E$9,0),2)</f>
        <v>200</v>
      </c>
      <c r="H60" s="26" t="n">
        <f aca="false">IF(D60&lt;=0,0,ROUND(MIN(D60-F60,G60),2))</f>
        <v>200</v>
      </c>
      <c r="I60" s="26" t="n">
        <f aca="false">ROUND(E60+F60+H60,2)</f>
        <v>2854.69</v>
      </c>
      <c r="J60" s="26" t="n">
        <f aca="false">ROUND(MAX(0,D60-F60-H60),2)</f>
        <v>373349.29</v>
      </c>
      <c r="K60" s="26" t="n">
        <f aca="false">ROUND(E60+K59,2)</f>
        <v>118357.24</v>
      </c>
    </row>
    <row r="61" customFormat="false" ht="15" hidden="false" customHeight="true" outlineLevel="0" collapsed="false">
      <c r="A61" s="19" t="n">
        <f aca="false">A60+1</f>
        <v>56</v>
      </c>
      <c r="B61" s="18" t="n">
        <f aca="false">EDATE(B60,1)</f>
        <v>47969</v>
      </c>
      <c r="C61" s="19" t="n">
        <f aca="false">ROUNDUP(A61/12,0)</f>
        <v>5</v>
      </c>
      <c r="D61" s="26" t="n">
        <f aca="false">J60</f>
        <v>373349.29</v>
      </c>
      <c r="E61" s="26" t="n">
        <f aca="false">IF(D61&lt;=0,0,ROUND(D61*Calculator!$B$7/12,2))</f>
        <v>2022.31</v>
      </c>
      <c r="F61" s="26" t="n">
        <f aca="false">IF(D61&lt;=0,0,ROUND(MIN(D61,Calculator!$H$6-E61),2))</f>
        <v>632.38</v>
      </c>
      <c r="G61" s="26" t="n">
        <f aca="false">ROUND(IF(A61&gt;=Calculator!$E$11,Calculator!$E$6,0)+IF(A61=Calculator!$E$8,Calculator!$E$7,0)+IF(MONTH(B61)=Calculator!$E$10,Calculator!$E$9,0),2)</f>
        <v>200</v>
      </c>
      <c r="H61" s="26" t="n">
        <f aca="false">IF(D61&lt;=0,0,ROUND(MIN(D61-F61,G61),2))</f>
        <v>200</v>
      </c>
      <c r="I61" s="26" t="n">
        <f aca="false">ROUND(E61+F61+H61,2)</f>
        <v>2854.69</v>
      </c>
      <c r="J61" s="26" t="n">
        <f aca="false">ROUND(MAX(0,D61-F61-H61),2)</f>
        <v>372516.91</v>
      </c>
      <c r="K61" s="26" t="n">
        <f aca="false">ROUND(E61+K60,2)</f>
        <v>120379.55</v>
      </c>
    </row>
    <row r="62" customFormat="false" ht="15" hidden="false" customHeight="true" outlineLevel="0" collapsed="false">
      <c r="A62" s="19" t="n">
        <f aca="false">A61+1</f>
        <v>57</v>
      </c>
      <c r="B62" s="18" t="n">
        <f aca="false">EDATE(B61,1)</f>
        <v>48000</v>
      </c>
      <c r="C62" s="19" t="n">
        <f aca="false">ROUNDUP(A62/12,0)</f>
        <v>5</v>
      </c>
      <c r="D62" s="26" t="n">
        <f aca="false">J61</f>
        <v>372516.91</v>
      </c>
      <c r="E62" s="26" t="n">
        <f aca="false">IF(D62&lt;=0,0,ROUND(D62*Calculator!$B$7/12,2))</f>
        <v>2017.8</v>
      </c>
      <c r="F62" s="26" t="n">
        <f aca="false">IF(D62&lt;=0,0,ROUND(MIN(D62,Calculator!$H$6-E62),2))</f>
        <v>636.89</v>
      </c>
      <c r="G62" s="26" t="n">
        <f aca="false">ROUND(IF(A62&gt;=Calculator!$E$11,Calculator!$E$6,0)+IF(A62=Calculator!$E$8,Calculator!$E$7,0)+IF(MONTH(B62)=Calculator!$E$10,Calculator!$E$9,0),2)</f>
        <v>200</v>
      </c>
      <c r="H62" s="26" t="n">
        <f aca="false">IF(D62&lt;=0,0,ROUND(MIN(D62-F62,G62),2))</f>
        <v>200</v>
      </c>
      <c r="I62" s="26" t="n">
        <f aca="false">ROUND(E62+F62+H62,2)</f>
        <v>2854.69</v>
      </c>
      <c r="J62" s="26" t="n">
        <f aca="false">ROUND(MAX(0,D62-F62-H62),2)</f>
        <v>371680.02</v>
      </c>
      <c r="K62" s="26" t="n">
        <f aca="false">ROUND(E62+K61,2)</f>
        <v>122397.35</v>
      </c>
    </row>
    <row r="63" customFormat="false" ht="15" hidden="false" customHeight="true" outlineLevel="0" collapsed="false">
      <c r="A63" s="19" t="n">
        <f aca="false">A62+1</f>
        <v>58</v>
      </c>
      <c r="B63" s="18" t="n">
        <f aca="false">EDATE(B62,1)</f>
        <v>48030</v>
      </c>
      <c r="C63" s="19" t="n">
        <f aca="false">ROUNDUP(A63/12,0)</f>
        <v>5</v>
      </c>
      <c r="D63" s="26" t="n">
        <f aca="false">J62</f>
        <v>371680.02</v>
      </c>
      <c r="E63" s="26" t="n">
        <f aca="false">IF(D63&lt;=0,0,ROUND(D63*Calculator!$B$7/12,2))</f>
        <v>2013.27</v>
      </c>
      <c r="F63" s="26" t="n">
        <f aca="false">IF(D63&lt;=0,0,ROUND(MIN(D63,Calculator!$H$6-E63),2))</f>
        <v>641.42</v>
      </c>
      <c r="G63" s="26" t="n">
        <f aca="false">ROUND(IF(A63&gt;=Calculator!$E$11,Calculator!$E$6,0)+IF(A63=Calculator!$E$8,Calculator!$E$7,0)+IF(MONTH(B63)=Calculator!$E$10,Calculator!$E$9,0),2)</f>
        <v>200</v>
      </c>
      <c r="H63" s="26" t="n">
        <f aca="false">IF(D63&lt;=0,0,ROUND(MIN(D63-F63,G63),2))</f>
        <v>200</v>
      </c>
      <c r="I63" s="26" t="n">
        <f aca="false">ROUND(E63+F63+H63,2)</f>
        <v>2854.69</v>
      </c>
      <c r="J63" s="26" t="n">
        <f aca="false">ROUND(MAX(0,D63-F63-H63),2)</f>
        <v>370838.6</v>
      </c>
      <c r="K63" s="26" t="n">
        <f aca="false">ROUND(E63+K62,2)</f>
        <v>124410.62</v>
      </c>
    </row>
    <row r="64" customFormat="false" ht="15" hidden="false" customHeight="true" outlineLevel="0" collapsed="false">
      <c r="A64" s="19" t="n">
        <f aca="false">A63+1</f>
        <v>59</v>
      </c>
      <c r="B64" s="18" t="n">
        <f aca="false">EDATE(B63,1)</f>
        <v>48061</v>
      </c>
      <c r="C64" s="19" t="n">
        <f aca="false">ROUNDUP(A64/12,0)</f>
        <v>5</v>
      </c>
      <c r="D64" s="26" t="n">
        <f aca="false">J63</f>
        <v>370838.6</v>
      </c>
      <c r="E64" s="26" t="n">
        <f aca="false">IF(D64&lt;=0,0,ROUND(D64*Calculator!$B$7/12,2))</f>
        <v>2008.71</v>
      </c>
      <c r="F64" s="26" t="n">
        <f aca="false">IF(D64&lt;=0,0,ROUND(MIN(D64,Calculator!$H$6-E64),2))</f>
        <v>645.98</v>
      </c>
      <c r="G64" s="26" t="n">
        <f aca="false">ROUND(IF(A64&gt;=Calculator!$E$11,Calculator!$E$6,0)+IF(A64=Calculator!$E$8,Calculator!$E$7,0)+IF(MONTH(B64)=Calculator!$E$10,Calculator!$E$9,0),2)</f>
        <v>200</v>
      </c>
      <c r="H64" s="26" t="n">
        <f aca="false">IF(D64&lt;=0,0,ROUND(MIN(D64-F64,G64),2))</f>
        <v>200</v>
      </c>
      <c r="I64" s="26" t="n">
        <f aca="false">ROUND(E64+F64+H64,2)</f>
        <v>2854.69</v>
      </c>
      <c r="J64" s="26" t="n">
        <f aca="false">ROUND(MAX(0,D64-F64-H64),2)</f>
        <v>369992.62</v>
      </c>
      <c r="K64" s="26" t="n">
        <f aca="false">ROUND(E64+K63,2)</f>
        <v>126419.33</v>
      </c>
    </row>
    <row r="65" customFormat="false" ht="15" hidden="false" customHeight="true" outlineLevel="0" collapsed="false">
      <c r="A65" s="19" t="n">
        <f aca="false">A64+1</f>
        <v>60</v>
      </c>
      <c r="B65" s="18" t="n">
        <f aca="false">EDATE(B64,1)</f>
        <v>48092</v>
      </c>
      <c r="C65" s="19" t="n">
        <f aca="false">ROUNDUP(A65/12,0)</f>
        <v>5</v>
      </c>
      <c r="D65" s="26" t="n">
        <f aca="false">J64</f>
        <v>369992.62</v>
      </c>
      <c r="E65" s="26" t="n">
        <f aca="false">IF(D65&lt;=0,0,ROUND(D65*Calculator!$B$7/12,2))</f>
        <v>2004.13</v>
      </c>
      <c r="F65" s="26" t="n">
        <f aca="false">IF(D65&lt;=0,0,ROUND(MIN(D65,Calculator!$H$6-E65),2))</f>
        <v>650.56</v>
      </c>
      <c r="G65" s="26" t="n">
        <f aca="false">ROUND(IF(A65&gt;=Calculator!$E$11,Calculator!$E$6,0)+IF(A65=Calculator!$E$8,Calculator!$E$7,0)+IF(MONTH(B65)=Calculator!$E$10,Calculator!$E$9,0),2)</f>
        <v>200</v>
      </c>
      <c r="H65" s="26" t="n">
        <f aca="false">IF(D65&lt;=0,0,ROUND(MIN(D65-F65,G65),2))</f>
        <v>200</v>
      </c>
      <c r="I65" s="26" t="n">
        <f aca="false">ROUND(E65+F65+H65,2)</f>
        <v>2854.69</v>
      </c>
      <c r="J65" s="26" t="n">
        <f aca="false">ROUND(MAX(0,D65-F65-H65),2)</f>
        <v>369142.06</v>
      </c>
      <c r="K65" s="26" t="n">
        <f aca="false">ROUND(E65+K64,2)</f>
        <v>128423.46</v>
      </c>
    </row>
    <row r="66" customFormat="false" ht="15" hidden="false" customHeight="true" outlineLevel="0" collapsed="false">
      <c r="A66" s="19" t="n">
        <f aca="false">A65+1</f>
        <v>61</v>
      </c>
      <c r="B66" s="18" t="n">
        <f aca="false">EDATE(B65,1)</f>
        <v>48122</v>
      </c>
      <c r="C66" s="19" t="n">
        <f aca="false">ROUNDUP(A66/12,0)</f>
        <v>6</v>
      </c>
      <c r="D66" s="26" t="n">
        <f aca="false">J65</f>
        <v>369142.06</v>
      </c>
      <c r="E66" s="26" t="n">
        <f aca="false">IF(D66&lt;=0,0,ROUND(D66*Calculator!$B$7/12,2))</f>
        <v>1999.52</v>
      </c>
      <c r="F66" s="26" t="n">
        <f aca="false">IF(D66&lt;=0,0,ROUND(MIN(D66,Calculator!$H$6-E66),2))</f>
        <v>655.17</v>
      </c>
      <c r="G66" s="26" t="n">
        <f aca="false">ROUND(IF(A66&gt;=Calculator!$E$11,Calculator!$E$6,0)+IF(A66=Calculator!$E$8,Calculator!$E$7,0)+IF(MONTH(B66)=Calculator!$E$10,Calculator!$E$9,0),2)</f>
        <v>200</v>
      </c>
      <c r="H66" s="26" t="n">
        <f aca="false">IF(D66&lt;=0,0,ROUND(MIN(D66-F66,G66),2))</f>
        <v>200</v>
      </c>
      <c r="I66" s="26" t="n">
        <f aca="false">ROUND(E66+F66+H66,2)</f>
        <v>2854.69</v>
      </c>
      <c r="J66" s="26" t="n">
        <f aca="false">ROUND(MAX(0,D66-F66-H66),2)</f>
        <v>368286.89</v>
      </c>
      <c r="K66" s="26" t="n">
        <f aca="false">ROUND(E66+K65,2)</f>
        <v>130422.98</v>
      </c>
    </row>
    <row r="67" customFormat="false" ht="15" hidden="false" customHeight="true" outlineLevel="0" collapsed="false">
      <c r="A67" s="19" t="n">
        <f aca="false">A66+1</f>
        <v>62</v>
      </c>
      <c r="B67" s="18" t="n">
        <f aca="false">EDATE(B66,1)</f>
        <v>48153</v>
      </c>
      <c r="C67" s="19" t="n">
        <f aca="false">ROUNDUP(A67/12,0)</f>
        <v>6</v>
      </c>
      <c r="D67" s="26" t="n">
        <f aca="false">J66</f>
        <v>368286.89</v>
      </c>
      <c r="E67" s="26" t="n">
        <f aca="false">IF(D67&lt;=0,0,ROUND(D67*Calculator!$B$7/12,2))</f>
        <v>1994.89</v>
      </c>
      <c r="F67" s="26" t="n">
        <f aca="false">IF(D67&lt;=0,0,ROUND(MIN(D67,Calculator!$H$6-E67),2))</f>
        <v>659.8</v>
      </c>
      <c r="G67" s="26" t="n">
        <f aca="false">ROUND(IF(A67&gt;=Calculator!$E$11,Calculator!$E$6,0)+IF(A67=Calculator!$E$8,Calculator!$E$7,0)+IF(MONTH(B67)=Calculator!$E$10,Calculator!$E$9,0),2)</f>
        <v>200</v>
      </c>
      <c r="H67" s="26" t="n">
        <f aca="false">IF(D67&lt;=0,0,ROUND(MIN(D67-F67,G67),2))</f>
        <v>200</v>
      </c>
      <c r="I67" s="26" t="n">
        <f aca="false">ROUND(E67+F67+H67,2)</f>
        <v>2854.69</v>
      </c>
      <c r="J67" s="26" t="n">
        <f aca="false">ROUND(MAX(0,D67-F67-H67),2)</f>
        <v>367427.09</v>
      </c>
      <c r="K67" s="26" t="n">
        <f aca="false">ROUND(E67+K66,2)</f>
        <v>132417.87</v>
      </c>
    </row>
    <row r="68" customFormat="false" ht="15" hidden="false" customHeight="true" outlineLevel="0" collapsed="false">
      <c r="A68" s="19" t="n">
        <f aca="false">A67+1</f>
        <v>63</v>
      </c>
      <c r="B68" s="18" t="n">
        <f aca="false">EDATE(B67,1)</f>
        <v>48183</v>
      </c>
      <c r="C68" s="19" t="n">
        <f aca="false">ROUNDUP(A68/12,0)</f>
        <v>6</v>
      </c>
      <c r="D68" s="26" t="n">
        <f aca="false">J67</f>
        <v>367427.09</v>
      </c>
      <c r="E68" s="26" t="n">
        <f aca="false">IF(D68&lt;=0,0,ROUND(D68*Calculator!$B$7/12,2))</f>
        <v>1990.23</v>
      </c>
      <c r="F68" s="26" t="n">
        <f aca="false">IF(D68&lt;=0,0,ROUND(MIN(D68,Calculator!$H$6-E68),2))</f>
        <v>664.46</v>
      </c>
      <c r="G68" s="26" t="n">
        <f aca="false">ROUND(IF(A68&gt;=Calculator!$E$11,Calculator!$E$6,0)+IF(A68=Calculator!$E$8,Calculator!$E$7,0)+IF(MONTH(B68)=Calculator!$E$10,Calculator!$E$9,0),2)</f>
        <v>1200</v>
      </c>
      <c r="H68" s="26" t="n">
        <f aca="false">IF(D68&lt;=0,0,ROUND(MIN(D68-F68,G68),2))</f>
        <v>1200</v>
      </c>
      <c r="I68" s="26" t="n">
        <f aca="false">ROUND(E68+F68+H68,2)</f>
        <v>3854.69</v>
      </c>
      <c r="J68" s="26" t="n">
        <f aca="false">ROUND(MAX(0,D68-F68-H68),2)</f>
        <v>365562.63</v>
      </c>
      <c r="K68" s="26" t="n">
        <f aca="false">ROUND(E68+K67,2)</f>
        <v>134408.1</v>
      </c>
    </row>
    <row r="69" customFormat="false" ht="15" hidden="false" customHeight="true" outlineLevel="0" collapsed="false">
      <c r="A69" s="19" t="n">
        <f aca="false">A68+1</f>
        <v>64</v>
      </c>
      <c r="B69" s="18" t="n">
        <f aca="false">EDATE(B68,1)</f>
        <v>48214</v>
      </c>
      <c r="C69" s="19" t="n">
        <f aca="false">ROUNDUP(A69/12,0)</f>
        <v>6</v>
      </c>
      <c r="D69" s="26" t="n">
        <f aca="false">J68</f>
        <v>365562.63</v>
      </c>
      <c r="E69" s="26" t="n">
        <f aca="false">IF(D69&lt;=0,0,ROUND(D69*Calculator!$B$7/12,2))</f>
        <v>1980.13</v>
      </c>
      <c r="F69" s="26" t="n">
        <f aca="false">IF(D69&lt;=0,0,ROUND(MIN(D69,Calculator!$H$6-E69),2))</f>
        <v>674.56</v>
      </c>
      <c r="G69" s="26" t="n">
        <f aca="false">ROUND(IF(A69&gt;=Calculator!$E$11,Calculator!$E$6,0)+IF(A69=Calculator!$E$8,Calculator!$E$7,0)+IF(MONTH(B69)=Calculator!$E$10,Calculator!$E$9,0),2)</f>
        <v>200</v>
      </c>
      <c r="H69" s="26" t="n">
        <f aca="false">IF(D69&lt;=0,0,ROUND(MIN(D69-F69,G69),2))</f>
        <v>200</v>
      </c>
      <c r="I69" s="26" t="n">
        <f aca="false">ROUND(E69+F69+H69,2)</f>
        <v>2854.69</v>
      </c>
      <c r="J69" s="26" t="n">
        <f aca="false">ROUND(MAX(0,D69-F69-H69),2)</f>
        <v>364688.07</v>
      </c>
      <c r="K69" s="26" t="n">
        <f aca="false">ROUND(E69+K68,2)</f>
        <v>136388.23</v>
      </c>
    </row>
    <row r="70" customFormat="false" ht="15" hidden="false" customHeight="true" outlineLevel="0" collapsed="false">
      <c r="A70" s="19" t="n">
        <f aca="false">A69+1</f>
        <v>65</v>
      </c>
      <c r="B70" s="18" t="n">
        <f aca="false">EDATE(B69,1)</f>
        <v>48245</v>
      </c>
      <c r="C70" s="19" t="n">
        <f aca="false">ROUNDUP(A70/12,0)</f>
        <v>6</v>
      </c>
      <c r="D70" s="26" t="n">
        <f aca="false">J69</f>
        <v>364688.07</v>
      </c>
      <c r="E70" s="26" t="n">
        <f aca="false">IF(D70&lt;=0,0,ROUND(D70*Calculator!$B$7/12,2))</f>
        <v>1975.39</v>
      </c>
      <c r="F70" s="26" t="n">
        <f aca="false">IF(D70&lt;=0,0,ROUND(MIN(D70,Calculator!$H$6-E70),2))</f>
        <v>679.3</v>
      </c>
      <c r="G70" s="26" t="n">
        <f aca="false">ROUND(IF(A70&gt;=Calculator!$E$11,Calculator!$E$6,0)+IF(A70=Calculator!$E$8,Calculator!$E$7,0)+IF(MONTH(B70)=Calculator!$E$10,Calculator!$E$9,0),2)</f>
        <v>200</v>
      </c>
      <c r="H70" s="26" t="n">
        <f aca="false">IF(D70&lt;=0,0,ROUND(MIN(D70-F70,G70),2))</f>
        <v>200</v>
      </c>
      <c r="I70" s="26" t="n">
        <f aca="false">ROUND(E70+F70+H70,2)</f>
        <v>2854.69</v>
      </c>
      <c r="J70" s="26" t="n">
        <f aca="false">ROUND(MAX(0,D70-F70-H70),2)</f>
        <v>363808.77</v>
      </c>
      <c r="K70" s="26" t="n">
        <f aca="false">ROUND(E70+K69,2)</f>
        <v>138363.62</v>
      </c>
    </row>
    <row r="71" customFormat="false" ht="15" hidden="false" customHeight="true" outlineLevel="0" collapsed="false">
      <c r="A71" s="19" t="n">
        <f aca="false">A70+1</f>
        <v>66</v>
      </c>
      <c r="B71" s="18" t="n">
        <f aca="false">EDATE(B70,1)</f>
        <v>48274</v>
      </c>
      <c r="C71" s="19" t="n">
        <f aca="false">ROUNDUP(A71/12,0)</f>
        <v>6</v>
      </c>
      <c r="D71" s="26" t="n">
        <f aca="false">J70</f>
        <v>363808.77</v>
      </c>
      <c r="E71" s="26" t="n">
        <f aca="false">IF(D71&lt;=0,0,ROUND(D71*Calculator!$B$7/12,2))</f>
        <v>1970.63</v>
      </c>
      <c r="F71" s="26" t="n">
        <f aca="false">IF(D71&lt;=0,0,ROUND(MIN(D71,Calculator!$H$6-E71),2))</f>
        <v>684.06</v>
      </c>
      <c r="G71" s="26" t="n">
        <f aca="false">ROUND(IF(A71&gt;=Calculator!$E$11,Calculator!$E$6,0)+IF(A71=Calculator!$E$8,Calculator!$E$7,0)+IF(MONTH(B71)=Calculator!$E$10,Calculator!$E$9,0),2)</f>
        <v>200</v>
      </c>
      <c r="H71" s="26" t="n">
        <f aca="false">IF(D71&lt;=0,0,ROUND(MIN(D71-F71,G71),2))</f>
        <v>200</v>
      </c>
      <c r="I71" s="26" t="n">
        <f aca="false">ROUND(E71+F71+H71,2)</f>
        <v>2854.69</v>
      </c>
      <c r="J71" s="26" t="n">
        <f aca="false">ROUND(MAX(0,D71-F71-H71),2)</f>
        <v>362924.71</v>
      </c>
      <c r="K71" s="26" t="n">
        <f aca="false">ROUND(E71+K70,2)</f>
        <v>140334.25</v>
      </c>
    </row>
    <row r="72" customFormat="false" ht="15" hidden="false" customHeight="true" outlineLevel="0" collapsed="false">
      <c r="A72" s="19" t="n">
        <f aca="false">A71+1</f>
        <v>67</v>
      </c>
      <c r="B72" s="18" t="n">
        <f aca="false">EDATE(B71,1)</f>
        <v>48305</v>
      </c>
      <c r="C72" s="19" t="n">
        <f aca="false">ROUNDUP(A72/12,0)</f>
        <v>6</v>
      </c>
      <c r="D72" s="26" t="n">
        <f aca="false">J71</f>
        <v>362924.71</v>
      </c>
      <c r="E72" s="26" t="n">
        <f aca="false">IF(D72&lt;=0,0,ROUND(D72*Calculator!$B$7/12,2))</f>
        <v>1965.84</v>
      </c>
      <c r="F72" s="26" t="n">
        <f aca="false">IF(D72&lt;=0,0,ROUND(MIN(D72,Calculator!$H$6-E72),2))</f>
        <v>688.85</v>
      </c>
      <c r="G72" s="26" t="n">
        <f aca="false">ROUND(IF(A72&gt;=Calculator!$E$11,Calculator!$E$6,0)+IF(A72=Calculator!$E$8,Calculator!$E$7,0)+IF(MONTH(B72)=Calculator!$E$10,Calculator!$E$9,0),2)</f>
        <v>200</v>
      </c>
      <c r="H72" s="26" t="n">
        <f aca="false">IF(D72&lt;=0,0,ROUND(MIN(D72-F72,G72),2))</f>
        <v>200</v>
      </c>
      <c r="I72" s="26" t="n">
        <f aca="false">ROUND(E72+F72+H72,2)</f>
        <v>2854.69</v>
      </c>
      <c r="J72" s="26" t="n">
        <f aca="false">ROUND(MAX(0,D72-F72-H72),2)</f>
        <v>362035.86</v>
      </c>
      <c r="K72" s="26" t="n">
        <f aca="false">ROUND(E72+K71,2)</f>
        <v>142300.09</v>
      </c>
    </row>
    <row r="73" customFormat="false" ht="15" hidden="false" customHeight="true" outlineLevel="0" collapsed="false">
      <c r="A73" s="19" t="n">
        <f aca="false">A72+1</f>
        <v>68</v>
      </c>
      <c r="B73" s="18" t="n">
        <f aca="false">EDATE(B72,1)</f>
        <v>48335</v>
      </c>
      <c r="C73" s="19" t="n">
        <f aca="false">ROUNDUP(A73/12,0)</f>
        <v>6</v>
      </c>
      <c r="D73" s="26" t="n">
        <f aca="false">J72</f>
        <v>362035.86</v>
      </c>
      <c r="E73" s="26" t="n">
        <f aca="false">IF(D73&lt;=0,0,ROUND(D73*Calculator!$B$7/12,2))</f>
        <v>1961.03</v>
      </c>
      <c r="F73" s="26" t="n">
        <f aca="false">IF(D73&lt;=0,0,ROUND(MIN(D73,Calculator!$H$6-E73),2))</f>
        <v>693.66</v>
      </c>
      <c r="G73" s="26" t="n">
        <f aca="false">ROUND(IF(A73&gt;=Calculator!$E$11,Calculator!$E$6,0)+IF(A73=Calculator!$E$8,Calculator!$E$7,0)+IF(MONTH(B73)=Calculator!$E$10,Calculator!$E$9,0),2)</f>
        <v>200</v>
      </c>
      <c r="H73" s="26" t="n">
        <f aca="false">IF(D73&lt;=0,0,ROUND(MIN(D73-F73,G73),2))</f>
        <v>200</v>
      </c>
      <c r="I73" s="26" t="n">
        <f aca="false">ROUND(E73+F73+H73,2)</f>
        <v>2854.69</v>
      </c>
      <c r="J73" s="26" t="n">
        <f aca="false">ROUND(MAX(0,D73-F73-H73),2)</f>
        <v>361142.2</v>
      </c>
      <c r="K73" s="26" t="n">
        <f aca="false">ROUND(E73+K72,2)</f>
        <v>144261.12</v>
      </c>
    </row>
    <row r="74" customFormat="false" ht="15" hidden="false" customHeight="true" outlineLevel="0" collapsed="false">
      <c r="A74" s="19" t="n">
        <f aca="false">A73+1</f>
        <v>69</v>
      </c>
      <c r="B74" s="18" t="n">
        <f aca="false">EDATE(B73,1)</f>
        <v>48366</v>
      </c>
      <c r="C74" s="19" t="n">
        <f aca="false">ROUNDUP(A74/12,0)</f>
        <v>6</v>
      </c>
      <c r="D74" s="26" t="n">
        <f aca="false">J73</f>
        <v>361142.2</v>
      </c>
      <c r="E74" s="26" t="n">
        <f aca="false">IF(D74&lt;=0,0,ROUND(D74*Calculator!$B$7/12,2))</f>
        <v>1956.19</v>
      </c>
      <c r="F74" s="26" t="n">
        <f aca="false">IF(D74&lt;=0,0,ROUND(MIN(D74,Calculator!$H$6-E74),2))</f>
        <v>698.5</v>
      </c>
      <c r="G74" s="26" t="n">
        <f aca="false">ROUND(IF(A74&gt;=Calculator!$E$11,Calculator!$E$6,0)+IF(A74=Calculator!$E$8,Calculator!$E$7,0)+IF(MONTH(B74)=Calculator!$E$10,Calculator!$E$9,0),2)</f>
        <v>200</v>
      </c>
      <c r="H74" s="26" t="n">
        <f aca="false">IF(D74&lt;=0,0,ROUND(MIN(D74-F74,G74),2))</f>
        <v>200</v>
      </c>
      <c r="I74" s="26" t="n">
        <f aca="false">ROUND(E74+F74+H74,2)</f>
        <v>2854.69</v>
      </c>
      <c r="J74" s="26" t="n">
        <f aca="false">ROUND(MAX(0,D74-F74-H74),2)</f>
        <v>360243.7</v>
      </c>
      <c r="K74" s="26" t="n">
        <f aca="false">ROUND(E74+K73,2)</f>
        <v>146217.31</v>
      </c>
    </row>
    <row r="75" customFormat="false" ht="15" hidden="false" customHeight="true" outlineLevel="0" collapsed="false">
      <c r="A75" s="19" t="n">
        <f aca="false">A74+1</f>
        <v>70</v>
      </c>
      <c r="B75" s="18" t="n">
        <f aca="false">EDATE(B74,1)</f>
        <v>48396</v>
      </c>
      <c r="C75" s="19" t="n">
        <f aca="false">ROUNDUP(A75/12,0)</f>
        <v>6</v>
      </c>
      <c r="D75" s="26" t="n">
        <f aca="false">J74</f>
        <v>360243.7</v>
      </c>
      <c r="E75" s="26" t="n">
        <f aca="false">IF(D75&lt;=0,0,ROUND(D75*Calculator!$B$7/12,2))</f>
        <v>1951.32</v>
      </c>
      <c r="F75" s="26" t="n">
        <f aca="false">IF(D75&lt;=0,0,ROUND(MIN(D75,Calculator!$H$6-E75),2))</f>
        <v>703.37</v>
      </c>
      <c r="G75" s="26" t="n">
        <f aca="false">ROUND(IF(A75&gt;=Calculator!$E$11,Calculator!$E$6,0)+IF(A75=Calculator!$E$8,Calculator!$E$7,0)+IF(MONTH(B75)=Calculator!$E$10,Calculator!$E$9,0),2)</f>
        <v>200</v>
      </c>
      <c r="H75" s="26" t="n">
        <f aca="false">IF(D75&lt;=0,0,ROUND(MIN(D75-F75,G75),2))</f>
        <v>200</v>
      </c>
      <c r="I75" s="26" t="n">
        <f aca="false">ROUND(E75+F75+H75,2)</f>
        <v>2854.69</v>
      </c>
      <c r="J75" s="26" t="n">
        <f aca="false">ROUND(MAX(0,D75-F75-H75),2)</f>
        <v>359340.33</v>
      </c>
      <c r="K75" s="26" t="n">
        <f aca="false">ROUND(E75+K74,2)</f>
        <v>148168.63</v>
      </c>
    </row>
    <row r="76" customFormat="false" ht="15" hidden="false" customHeight="true" outlineLevel="0" collapsed="false">
      <c r="A76" s="19" t="n">
        <f aca="false">A75+1</f>
        <v>71</v>
      </c>
      <c r="B76" s="18" t="n">
        <f aca="false">EDATE(B75,1)</f>
        <v>48427</v>
      </c>
      <c r="C76" s="19" t="n">
        <f aca="false">ROUNDUP(A76/12,0)</f>
        <v>6</v>
      </c>
      <c r="D76" s="26" t="n">
        <f aca="false">J75</f>
        <v>359340.33</v>
      </c>
      <c r="E76" s="26" t="n">
        <f aca="false">IF(D76&lt;=0,0,ROUND(D76*Calculator!$B$7/12,2))</f>
        <v>1946.43</v>
      </c>
      <c r="F76" s="26" t="n">
        <f aca="false">IF(D76&lt;=0,0,ROUND(MIN(D76,Calculator!$H$6-E76),2))</f>
        <v>708.26</v>
      </c>
      <c r="G76" s="26" t="n">
        <f aca="false">ROUND(IF(A76&gt;=Calculator!$E$11,Calculator!$E$6,0)+IF(A76=Calculator!$E$8,Calculator!$E$7,0)+IF(MONTH(B76)=Calculator!$E$10,Calculator!$E$9,0),2)</f>
        <v>200</v>
      </c>
      <c r="H76" s="26" t="n">
        <f aca="false">IF(D76&lt;=0,0,ROUND(MIN(D76-F76,G76),2))</f>
        <v>200</v>
      </c>
      <c r="I76" s="26" t="n">
        <f aca="false">ROUND(E76+F76+H76,2)</f>
        <v>2854.69</v>
      </c>
      <c r="J76" s="26" t="n">
        <f aca="false">ROUND(MAX(0,D76-F76-H76),2)</f>
        <v>358432.07</v>
      </c>
      <c r="K76" s="26" t="n">
        <f aca="false">ROUND(E76+K75,2)</f>
        <v>150115.06</v>
      </c>
    </row>
    <row r="77" customFormat="false" ht="15" hidden="false" customHeight="true" outlineLevel="0" collapsed="false">
      <c r="A77" s="19" t="n">
        <f aca="false">A76+1</f>
        <v>72</v>
      </c>
      <c r="B77" s="18" t="n">
        <f aca="false">EDATE(B76,1)</f>
        <v>48458</v>
      </c>
      <c r="C77" s="19" t="n">
        <f aca="false">ROUNDUP(A77/12,0)</f>
        <v>6</v>
      </c>
      <c r="D77" s="26" t="n">
        <f aca="false">J76</f>
        <v>358432.07</v>
      </c>
      <c r="E77" s="26" t="n">
        <f aca="false">IF(D77&lt;=0,0,ROUND(D77*Calculator!$B$7/12,2))</f>
        <v>1941.51</v>
      </c>
      <c r="F77" s="26" t="n">
        <f aca="false">IF(D77&lt;=0,0,ROUND(MIN(D77,Calculator!$H$6-E77),2))</f>
        <v>713.18</v>
      </c>
      <c r="G77" s="26" t="n">
        <f aca="false">ROUND(IF(A77&gt;=Calculator!$E$11,Calculator!$E$6,0)+IF(A77=Calculator!$E$8,Calculator!$E$7,0)+IF(MONTH(B77)=Calculator!$E$10,Calculator!$E$9,0),2)</f>
        <v>200</v>
      </c>
      <c r="H77" s="26" t="n">
        <f aca="false">IF(D77&lt;=0,0,ROUND(MIN(D77-F77,G77),2))</f>
        <v>200</v>
      </c>
      <c r="I77" s="26" t="n">
        <f aca="false">ROUND(E77+F77+H77,2)</f>
        <v>2854.69</v>
      </c>
      <c r="J77" s="26" t="n">
        <f aca="false">ROUND(MAX(0,D77-F77-H77),2)</f>
        <v>357518.89</v>
      </c>
      <c r="K77" s="26" t="n">
        <f aca="false">ROUND(E77+K76,2)</f>
        <v>152056.57</v>
      </c>
    </row>
    <row r="78" customFormat="false" ht="15" hidden="false" customHeight="true" outlineLevel="0" collapsed="false">
      <c r="A78" s="19" t="n">
        <f aca="false">A77+1</f>
        <v>73</v>
      </c>
      <c r="B78" s="18" t="n">
        <f aca="false">EDATE(B77,1)</f>
        <v>48488</v>
      </c>
      <c r="C78" s="19" t="n">
        <f aca="false">ROUNDUP(A78/12,0)</f>
        <v>7</v>
      </c>
      <c r="D78" s="26" t="n">
        <f aca="false">J77</f>
        <v>357518.89</v>
      </c>
      <c r="E78" s="26" t="n">
        <f aca="false">IF(D78&lt;=0,0,ROUND(D78*Calculator!$B$7/12,2))</f>
        <v>1936.56</v>
      </c>
      <c r="F78" s="26" t="n">
        <f aca="false">IF(D78&lt;=0,0,ROUND(MIN(D78,Calculator!$H$6-E78),2))</f>
        <v>718.13</v>
      </c>
      <c r="G78" s="26" t="n">
        <f aca="false">ROUND(IF(A78&gt;=Calculator!$E$11,Calculator!$E$6,0)+IF(A78=Calculator!$E$8,Calculator!$E$7,0)+IF(MONTH(B78)=Calculator!$E$10,Calculator!$E$9,0),2)</f>
        <v>200</v>
      </c>
      <c r="H78" s="26" t="n">
        <f aca="false">IF(D78&lt;=0,0,ROUND(MIN(D78-F78,G78),2))</f>
        <v>200</v>
      </c>
      <c r="I78" s="26" t="n">
        <f aca="false">ROUND(E78+F78+H78,2)</f>
        <v>2854.69</v>
      </c>
      <c r="J78" s="26" t="n">
        <f aca="false">ROUND(MAX(0,D78-F78-H78),2)</f>
        <v>356600.76</v>
      </c>
      <c r="K78" s="26" t="n">
        <f aca="false">ROUND(E78+K77,2)</f>
        <v>153993.13</v>
      </c>
    </row>
    <row r="79" customFormat="false" ht="15" hidden="false" customHeight="true" outlineLevel="0" collapsed="false">
      <c r="A79" s="19" t="n">
        <f aca="false">A78+1</f>
        <v>74</v>
      </c>
      <c r="B79" s="18" t="n">
        <f aca="false">EDATE(B78,1)</f>
        <v>48519</v>
      </c>
      <c r="C79" s="19" t="n">
        <f aca="false">ROUNDUP(A79/12,0)</f>
        <v>7</v>
      </c>
      <c r="D79" s="26" t="n">
        <f aca="false">J78</f>
        <v>356600.76</v>
      </c>
      <c r="E79" s="26" t="n">
        <f aca="false">IF(D79&lt;=0,0,ROUND(D79*Calculator!$B$7/12,2))</f>
        <v>1931.59</v>
      </c>
      <c r="F79" s="26" t="n">
        <f aca="false">IF(D79&lt;=0,0,ROUND(MIN(D79,Calculator!$H$6-E79),2))</f>
        <v>723.1</v>
      </c>
      <c r="G79" s="26" t="n">
        <f aca="false">ROUND(IF(A79&gt;=Calculator!$E$11,Calculator!$E$6,0)+IF(A79=Calculator!$E$8,Calculator!$E$7,0)+IF(MONTH(B79)=Calculator!$E$10,Calculator!$E$9,0),2)</f>
        <v>200</v>
      </c>
      <c r="H79" s="26" t="n">
        <f aca="false">IF(D79&lt;=0,0,ROUND(MIN(D79-F79,G79),2))</f>
        <v>200</v>
      </c>
      <c r="I79" s="26" t="n">
        <f aca="false">ROUND(E79+F79+H79,2)</f>
        <v>2854.69</v>
      </c>
      <c r="J79" s="26" t="n">
        <f aca="false">ROUND(MAX(0,D79-F79-H79),2)</f>
        <v>355677.66</v>
      </c>
      <c r="K79" s="26" t="n">
        <f aca="false">ROUND(E79+K78,2)</f>
        <v>155924.72</v>
      </c>
    </row>
    <row r="80" customFormat="false" ht="15" hidden="false" customHeight="true" outlineLevel="0" collapsed="false">
      <c r="A80" s="19" t="n">
        <f aca="false">A79+1</f>
        <v>75</v>
      </c>
      <c r="B80" s="18" t="n">
        <f aca="false">EDATE(B79,1)</f>
        <v>48549</v>
      </c>
      <c r="C80" s="19" t="n">
        <f aca="false">ROUNDUP(A80/12,0)</f>
        <v>7</v>
      </c>
      <c r="D80" s="26" t="n">
        <f aca="false">J79</f>
        <v>355677.66</v>
      </c>
      <c r="E80" s="26" t="n">
        <f aca="false">IF(D80&lt;=0,0,ROUND(D80*Calculator!$B$7/12,2))</f>
        <v>1926.59</v>
      </c>
      <c r="F80" s="26" t="n">
        <f aca="false">IF(D80&lt;=0,0,ROUND(MIN(D80,Calculator!$H$6-E80),2))</f>
        <v>728.1</v>
      </c>
      <c r="G80" s="26" t="n">
        <f aca="false">ROUND(IF(A80&gt;=Calculator!$E$11,Calculator!$E$6,0)+IF(A80=Calculator!$E$8,Calculator!$E$7,0)+IF(MONTH(B80)=Calculator!$E$10,Calculator!$E$9,0),2)</f>
        <v>1200</v>
      </c>
      <c r="H80" s="26" t="n">
        <f aca="false">IF(D80&lt;=0,0,ROUND(MIN(D80-F80,G80),2))</f>
        <v>1200</v>
      </c>
      <c r="I80" s="26" t="n">
        <f aca="false">ROUND(E80+F80+H80,2)</f>
        <v>3854.69</v>
      </c>
      <c r="J80" s="26" t="n">
        <f aca="false">ROUND(MAX(0,D80-F80-H80),2)</f>
        <v>353749.56</v>
      </c>
      <c r="K80" s="26" t="n">
        <f aca="false">ROUND(E80+K79,2)</f>
        <v>157851.31</v>
      </c>
    </row>
    <row r="81" customFormat="false" ht="15" hidden="false" customHeight="true" outlineLevel="0" collapsed="false">
      <c r="A81" s="19" t="n">
        <f aca="false">A80+1</f>
        <v>76</v>
      </c>
      <c r="B81" s="18" t="n">
        <f aca="false">EDATE(B80,1)</f>
        <v>48580</v>
      </c>
      <c r="C81" s="19" t="n">
        <f aca="false">ROUNDUP(A81/12,0)</f>
        <v>7</v>
      </c>
      <c r="D81" s="26" t="n">
        <f aca="false">J80</f>
        <v>353749.56</v>
      </c>
      <c r="E81" s="26" t="n">
        <f aca="false">IF(D81&lt;=0,0,ROUND(D81*Calculator!$B$7/12,2))</f>
        <v>1916.14</v>
      </c>
      <c r="F81" s="26" t="n">
        <f aca="false">IF(D81&lt;=0,0,ROUND(MIN(D81,Calculator!$H$6-E81),2))</f>
        <v>738.55</v>
      </c>
      <c r="G81" s="26" t="n">
        <f aca="false">ROUND(IF(A81&gt;=Calculator!$E$11,Calculator!$E$6,0)+IF(A81=Calculator!$E$8,Calculator!$E$7,0)+IF(MONTH(B81)=Calculator!$E$10,Calculator!$E$9,0),2)</f>
        <v>200</v>
      </c>
      <c r="H81" s="26" t="n">
        <f aca="false">IF(D81&lt;=0,0,ROUND(MIN(D81-F81,G81),2))</f>
        <v>200</v>
      </c>
      <c r="I81" s="26" t="n">
        <f aca="false">ROUND(E81+F81+H81,2)</f>
        <v>2854.69</v>
      </c>
      <c r="J81" s="26" t="n">
        <f aca="false">ROUND(MAX(0,D81-F81-H81),2)</f>
        <v>352811.01</v>
      </c>
      <c r="K81" s="26" t="n">
        <f aca="false">ROUND(E81+K80,2)</f>
        <v>159767.45</v>
      </c>
    </row>
    <row r="82" customFormat="false" ht="15" hidden="false" customHeight="true" outlineLevel="0" collapsed="false">
      <c r="A82" s="19" t="n">
        <f aca="false">A81+1</f>
        <v>77</v>
      </c>
      <c r="B82" s="18" t="n">
        <f aca="false">EDATE(B81,1)</f>
        <v>48611</v>
      </c>
      <c r="C82" s="19" t="n">
        <f aca="false">ROUNDUP(A82/12,0)</f>
        <v>7</v>
      </c>
      <c r="D82" s="26" t="n">
        <f aca="false">J81</f>
        <v>352811.01</v>
      </c>
      <c r="E82" s="26" t="n">
        <f aca="false">IF(D82&lt;=0,0,ROUND(D82*Calculator!$B$7/12,2))</f>
        <v>1911.06</v>
      </c>
      <c r="F82" s="26" t="n">
        <f aca="false">IF(D82&lt;=0,0,ROUND(MIN(D82,Calculator!$H$6-E82),2))</f>
        <v>743.63</v>
      </c>
      <c r="G82" s="26" t="n">
        <f aca="false">ROUND(IF(A82&gt;=Calculator!$E$11,Calculator!$E$6,0)+IF(A82=Calculator!$E$8,Calculator!$E$7,0)+IF(MONTH(B82)=Calculator!$E$10,Calculator!$E$9,0),2)</f>
        <v>200</v>
      </c>
      <c r="H82" s="26" t="n">
        <f aca="false">IF(D82&lt;=0,0,ROUND(MIN(D82-F82,G82),2))</f>
        <v>200</v>
      </c>
      <c r="I82" s="26" t="n">
        <f aca="false">ROUND(E82+F82+H82,2)</f>
        <v>2854.69</v>
      </c>
      <c r="J82" s="26" t="n">
        <f aca="false">ROUND(MAX(0,D82-F82-H82),2)</f>
        <v>351867.38</v>
      </c>
      <c r="K82" s="26" t="n">
        <f aca="false">ROUND(E82+K81,2)</f>
        <v>161678.51</v>
      </c>
    </row>
    <row r="83" customFormat="false" ht="15" hidden="false" customHeight="true" outlineLevel="0" collapsed="false">
      <c r="A83" s="19" t="n">
        <f aca="false">A82+1</f>
        <v>78</v>
      </c>
      <c r="B83" s="18" t="n">
        <f aca="false">EDATE(B82,1)</f>
        <v>48639</v>
      </c>
      <c r="C83" s="19" t="n">
        <f aca="false">ROUNDUP(A83/12,0)</f>
        <v>7</v>
      </c>
      <c r="D83" s="26" t="n">
        <f aca="false">J82</f>
        <v>351867.38</v>
      </c>
      <c r="E83" s="26" t="n">
        <f aca="false">IF(D83&lt;=0,0,ROUND(D83*Calculator!$B$7/12,2))</f>
        <v>1905.95</v>
      </c>
      <c r="F83" s="26" t="n">
        <f aca="false">IF(D83&lt;=0,0,ROUND(MIN(D83,Calculator!$H$6-E83),2))</f>
        <v>748.74</v>
      </c>
      <c r="G83" s="26" t="n">
        <f aca="false">ROUND(IF(A83&gt;=Calculator!$E$11,Calculator!$E$6,0)+IF(A83=Calculator!$E$8,Calculator!$E$7,0)+IF(MONTH(B83)=Calculator!$E$10,Calculator!$E$9,0),2)</f>
        <v>200</v>
      </c>
      <c r="H83" s="26" t="n">
        <f aca="false">IF(D83&lt;=0,0,ROUND(MIN(D83-F83,G83),2))</f>
        <v>200</v>
      </c>
      <c r="I83" s="26" t="n">
        <f aca="false">ROUND(E83+F83+H83,2)</f>
        <v>2854.69</v>
      </c>
      <c r="J83" s="26" t="n">
        <f aca="false">ROUND(MAX(0,D83-F83-H83),2)</f>
        <v>350918.64</v>
      </c>
      <c r="K83" s="26" t="n">
        <f aca="false">ROUND(E83+K82,2)</f>
        <v>163584.46</v>
      </c>
    </row>
    <row r="84" customFormat="false" ht="15" hidden="false" customHeight="true" outlineLevel="0" collapsed="false">
      <c r="A84" s="19" t="n">
        <f aca="false">A83+1</f>
        <v>79</v>
      </c>
      <c r="B84" s="18" t="n">
        <f aca="false">EDATE(B83,1)</f>
        <v>48670</v>
      </c>
      <c r="C84" s="19" t="n">
        <f aca="false">ROUNDUP(A84/12,0)</f>
        <v>7</v>
      </c>
      <c r="D84" s="26" t="n">
        <f aca="false">J83</f>
        <v>350918.64</v>
      </c>
      <c r="E84" s="26" t="n">
        <f aca="false">IF(D84&lt;=0,0,ROUND(D84*Calculator!$B$7/12,2))</f>
        <v>1900.81</v>
      </c>
      <c r="F84" s="26" t="n">
        <f aca="false">IF(D84&lt;=0,0,ROUND(MIN(D84,Calculator!$H$6-E84),2))</f>
        <v>753.88</v>
      </c>
      <c r="G84" s="26" t="n">
        <f aca="false">ROUND(IF(A84&gt;=Calculator!$E$11,Calculator!$E$6,0)+IF(A84=Calculator!$E$8,Calculator!$E$7,0)+IF(MONTH(B84)=Calculator!$E$10,Calculator!$E$9,0),2)</f>
        <v>200</v>
      </c>
      <c r="H84" s="26" t="n">
        <f aca="false">IF(D84&lt;=0,0,ROUND(MIN(D84-F84,G84),2))</f>
        <v>200</v>
      </c>
      <c r="I84" s="26" t="n">
        <f aca="false">ROUND(E84+F84+H84,2)</f>
        <v>2854.69</v>
      </c>
      <c r="J84" s="26" t="n">
        <f aca="false">ROUND(MAX(0,D84-F84-H84),2)</f>
        <v>349964.76</v>
      </c>
      <c r="K84" s="26" t="n">
        <f aca="false">ROUND(E84+K83,2)</f>
        <v>165485.27</v>
      </c>
    </row>
    <row r="85" customFormat="false" ht="15" hidden="false" customHeight="true" outlineLevel="0" collapsed="false">
      <c r="A85" s="19" t="n">
        <f aca="false">A84+1</f>
        <v>80</v>
      </c>
      <c r="B85" s="18" t="n">
        <f aca="false">EDATE(B84,1)</f>
        <v>48700</v>
      </c>
      <c r="C85" s="19" t="n">
        <f aca="false">ROUNDUP(A85/12,0)</f>
        <v>7</v>
      </c>
      <c r="D85" s="26" t="n">
        <f aca="false">J84</f>
        <v>349964.76</v>
      </c>
      <c r="E85" s="26" t="n">
        <f aca="false">IF(D85&lt;=0,0,ROUND(D85*Calculator!$B$7/12,2))</f>
        <v>1895.64</v>
      </c>
      <c r="F85" s="26" t="n">
        <f aca="false">IF(D85&lt;=0,0,ROUND(MIN(D85,Calculator!$H$6-E85),2))</f>
        <v>759.05</v>
      </c>
      <c r="G85" s="26" t="n">
        <f aca="false">ROUND(IF(A85&gt;=Calculator!$E$11,Calculator!$E$6,0)+IF(A85=Calculator!$E$8,Calculator!$E$7,0)+IF(MONTH(B85)=Calculator!$E$10,Calculator!$E$9,0),2)</f>
        <v>200</v>
      </c>
      <c r="H85" s="26" t="n">
        <f aca="false">IF(D85&lt;=0,0,ROUND(MIN(D85-F85,G85),2))</f>
        <v>200</v>
      </c>
      <c r="I85" s="26" t="n">
        <f aca="false">ROUND(E85+F85+H85,2)</f>
        <v>2854.69</v>
      </c>
      <c r="J85" s="26" t="n">
        <f aca="false">ROUND(MAX(0,D85-F85-H85),2)</f>
        <v>349005.71</v>
      </c>
      <c r="K85" s="26" t="n">
        <f aca="false">ROUND(E85+K84,2)</f>
        <v>167380.91</v>
      </c>
    </row>
    <row r="86" customFormat="false" ht="15" hidden="false" customHeight="true" outlineLevel="0" collapsed="false">
      <c r="A86" s="19" t="n">
        <f aca="false">A85+1</f>
        <v>81</v>
      </c>
      <c r="B86" s="18" t="n">
        <f aca="false">EDATE(B85,1)</f>
        <v>48731</v>
      </c>
      <c r="C86" s="19" t="n">
        <f aca="false">ROUNDUP(A86/12,0)</f>
        <v>7</v>
      </c>
      <c r="D86" s="26" t="n">
        <f aca="false">J85</f>
        <v>349005.71</v>
      </c>
      <c r="E86" s="26" t="n">
        <f aca="false">IF(D86&lt;=0,0,ROUND(D86*Calculator!$B$7/12,2))</f>
        <v>1890.45</v>
      </c>
      <c r="F86" s="26" t="n">
        <f aca="false">IF(D86&lt;=0,0,ROUND(MIN(D86,Calculator!$H$6-E86),2))</f>
        <v>764.24</v>
      </c>
      <c r="G86" s="26" t="n">
        <f aca="false">ROUND(IF(A86&gt;=Calculator!$E$11,Calculator!$E$6,0)+IF(A86=Calculator!$E$8,Calculator!$E$7,0)+IF(MONTH(B86)=Calculator!$E$10,Calculator!$E$9,0),2)</f>
        <v>200</v>
      </c>
      <c r="H86" s="26" t="n">
        <f aca="false">IF(D86&lt;=0,0,ROUND(MIN(D86-F86,G86),2))</f>
        <v>200</v>
      </c>
      <c r="I86" s="26" t="n">
        <f aca="false">ROUND(E86+F86+H86,2)</f>
        <v>2854.69</v>
      </c>
      <c r="J86" s="26" t="n">
        <f aca="false">ROUND(MAX(0,D86-F86-H86),2)</f>
        <v>348041.47</v>
      </c>
      <c r="K86" s="26" t="n">
        <f aca="false">ROUND(E86+K85,2)</f>
        <v>169271.36</v>
      </c>
    </row>
    <row r="87" customFormat="false" ht="15" hidden="false" customHeight="true" outlineLevel="0" collapsed="false">
      <c r="A87" s="19" t="n">
        <f aca="false">A86+1</f>
        <v>82</v>
      </c>
      <c r="B87" s="18" t="n">
        <f aca="false">EDATE(B86,1)</f>
        <v>48761</v>
      </c>
      <c r="C87" s="19" t="n">
        <f aca="false">ROUNDUP(A87/12,0)</f>
        <v>7</v>
      </c>
      <c r="D87" s="26" t="n">
        <f aca="false">J86</f>
        <v>348041.47</v>
      </c>
      <c r="E87" s="26" t="n">
        <f aca="false">IF(D87&lt;=0,0,ROUND(D87*Calculator!$B$7/12,2))</f>
        <v>1885.22</v>
      </c>
      <c r="F87" s="26" t="n">
        <f aca="false">IF(D87&lt;=0,0,ROUND(MIN(D87,Calculator!$H$6-E87),2))</f>
        <v>769.47</v>
      </c>
      <c r="G87" s="26" t="n">
        <f aca="false">ROUND(IF(A87&gt;=Calculator!$E$11,Calculator!$E$6,0)+IF(A87=Calculator!$E$8,Calculator!$E$7,0)+IF(MONTH(B87)=Calculator!$E$10,Calculator!$E$9,0),2)</f>
        <v>200</v>
      </c>
      <c r="H87" s="26" t="n">
        <f aca="false">IF(D87&lt;=0,0,ROUND(MIN(D87-F87,G87),2))</f>
        <v>200</v>
      </c>
      <c r="I87" s="26" t="n">
        <f aca="false">ROUND(E87+F87+H87,2)</f>
        <v>2854.69</v>
      </c>
      <c r="J87" s="26" t="n">
        <f aca="false">ROUND(MAX(0,D87-F87-H87),2)</f>
        <v>347072</v>
      </c>
      <c r="K87" s="26" t="n">
        <f aca="false">ROUND(E87+K86,2)</f>
        <v>171156.58</v>
      </c>
    </row>
    <row r="88" customFormat="false" ht="15" hidden="false" customHeight="true" outlineLevel="0" collapsed="false">
      <c r="A88" s="19" t="n">
        <f aca="false">A87+1</f>
        <v>83</v>
      </c>
      <c r="B88" s="18" t="n">
        <f aca="false">EDATE(B87,1)</f>
        <v>48792</v>
      </c>
      <c r="C88" s="19" t="n">
        <f aca="false">ROUNDUP(A88/12,0)</f>
        <v>7</v>
      </c>
      <c r="D88" s="26" t="n">
        <f aca="false">J87</f>
        <v>347072</v>
      </c>
      <c r="E88" s="26" t="n">
        <f aca="false">IF(D88&lt;=0,0,ROUND(D88*Calculator!$B$7/12,2))</f>
        <v>1879.97</v>
      </c>
      <c r="F88" s="26" t="n">
        <f aca="false">IF(D88&lt;=0,0,ROUND(MIN(D88,Calculator!$H$6-E88),2))</f>
        <v>774.72</v>
      </c>
      <c r="G88" s="26" t="n">
        <f aca="false">ROUND(IF(A88&gt;=Calculator!$E$11,Calculator!$E$6,0)+IF(A88=Calculator!$E$8,Calculator!$E$7,0)+IF(MONTH(B88)=Calculator!$E$10,Calculator!$E$9,0),2)</f>
        <v>200</v>
      </c>
      <c r="H88" s="26" t="n">
        <f aca="false">IF(D88&lt;=0,0,ROUND(MIN(D88-F88,G88),2))</f>
        <v>200</v>
      </c>
      <c r="I88" s="26" t="n">
        <f aca="false">ROUND(E88+F88+H88,2)</f>
        <v>2854.69</v>
      </c>
      <c r="J88" s="26" t="n">
        <f aca="false">ROUND(MAX(0,D88-F88-H88),2)</f>
        <v>346097.28</v>
      </c>
      <c r="K88" s="26" t="n">
        <f aca="false">ROUND(E88+K87,2)</f>
        <v>173036.55</v>
      </c>
    </row>
    <row r="89" customFormat="false" ht="15" hidden="false" customHeight="true" outlineLevel="0" collapsed="false">
      <c r="A89" s="19" t="n">
        <f aca="false">A88+1</f>
        <v>84</v>
      </c>
      <c r="B89" s="18" t="n">
        <f aca="false">EDATE(B88,1)</f>
        <v>48823</v>
      </c>
      <c r="C89" s="19" t="n">
        <f aca="false">ROUNDUP(A89/12,0)</f>
        <v>7</v>
      </c>
      <c r="D89" s="26" t="n">
        <f aca="false">J88</f>
        <v>346097.28</v>
      </c>
      <c r="E89" s="26" t="n">
        <f aca="false">IF(D89&lt;=0,0,ROUND(D89*Calculator!$B$7/12,2))</f>
        <v>1874.69</v>
      </c>
      <c r="F89" s="26" t="n">
        <f aca="false">IF(D89&lt;=0,0,ROUND(MIN(D89,Calculator!$H$6-E89),2))</f>
        <v>780</v>
      </c>
      <c r="G89" s="26" t="n">
        <f aca="false">ROUND(IF(A89&gt;=Calculator!$E$11,Calculator!$E$6,0)+IF(A89=Calculator!$E$8,Calculator!$E$7,0)+IF(MONTH(B89)=Calculator!$E$10,Calculator!$E$9,0),2)</f>
        <v>200</v>
      </c>
      <c r="H89" s="26" t="n">
        <f aca="false">IF(D89&lt;=0,0,ROUND(MIN(D89-F89,G89),2))</f>
        <v>200</v>
      </c>
      <c r="I89" s="26" t="n">
        <f aca="false">ROUND(E89+F89+H89,2)</f>
        <v>2854.69</v>
      </c>
      <c r="J89" s="26" t="n">
        <f aca="false">ROUND(MAX(0,D89-F89-H89),2)</f>
        <v>345117.28</v>
      </c>
      <c r="K89" s="26" t="n">
        <f aca="false">ROUND(E89+K88,2)</f>
        <v>174911.24</v>
      </c>
    </row>
    <row r="90" customFormat="false" ht="15" hidden="false" customHeight="true" outlineLevel="0" collapsed="false">
      <c r="A90" s="19" t="n">
        <f aca="false">A89+1</f>
        <v>85</v>
      </c>
      <c r="B90" s="18" t="n">
        <f aca="false">EDATE(B89,1)</f>
        <v>48853</v>
      </c>
      <c r="C90" s="19" t="n">
        <f aca="false">ROUNDUP(A90/12,0)</f>
        <v>8</v>
      </c>
      <c r="D90" s="26" t="n">
        <f aca="false">J89</f>
        <v>345117.28</v>
      </c>
      <c r="E90" s="26" t="n">
        <f aca="false">IF(D90&lt;=0,0,ROUND(D90*Calculator!$B$7/12,2))</f>
        <v>1869.39</v>
      </c>
      <c r="F90" s="26" t="n">
        <f aca="false">IF(D90&lt;=0,0,ROUND(MIN(D90,Calculator!$H$6-E90),2))</f>
        <v>785.3</v>
      </c>
      <c r="G90" s="26" t="n">
        <f aca="false">ROUND(IF(A90&gt;=Calculator!$E$11,Calculator!$E$6,0)+IF(A90=Calculator!$E$8,Calculator!$E$7,0)+IF(MONTH(B90)=Calculator!$E$10,Calculator!$E$9,0),2)</f>
        <v>200</v>
      </c>
      <c r="H90" s="26" t="n">
        <f aca="false">IF(D90&lt;=0,0,ROUND(MIN(D90-F90,G90),2))</f>
        <v>200</v>
      </c>
      <c r="I90" s="26" t="n">
        <f aca="false">ROUND(E90+F90+H90,2)</f>
        <v>2854.69</v>
      </c>
      <c r="J90" s="26" t="n">
        <f aca="false">ROUND(MAX(0,D90-F90-H90),2)</f>
        <v>344131.98</v>
      </c>
      <c r="K90" s="26" t="n">
        <f aca="false">ROUND(E90+K89,2)</f>
        <v>176780.63</v>
      </c>
    </row>
    <row r="91" customFormat="false" ht="15" hidden="false" customHeight="true" outlineLevel="0" collapsed="false">
      <c r="A91" s="19" t="n">
        <f aca="false">A90+1</f>
        <v>86</v>
      </c>
      <c r="B91" s="18" t="n">
        <f aca="false">EDATE(B90,1)</f>
        <v>48884</v>
      </c>
      <c r="C91" s="19" t="n">
        <f aca="false">ROUNDUP(A91/12,0)</f>
        <v>8</v>
      </c>
      <c r="D91" s="26" t="n">
        <f aca="false">J90</f>
        <v>344131.98</v>
      </c>
      <c r="E91" s="26" t="n">
        <f aca="false">IF(D91&lt;=0,0,ROUND(D91*Calculator!$B$7/12,2))</f>
        <v>1864.05</v>
      </c>
      <c r="F91" s="26" t="n">
        <f aca="false">IF(D91&lt;=0,0,ROUND(MIN(D91,Calculator!$H$6-E91),2))</f>
        <v>790.64</v>
      </c>
      <c r="G91" s="26" t="n">
        <f aca="false">ROUND(IF(A91&gt;=Calculator!$E$11,Calculator!$E$6,0)+IF(A91=Calculator!$E$8,Calculator!$E$7,0)+IF(MONTH(B91)=Calculator!$E$10,Calculator!$E$9,0),2)</f>
        <v>200</v>
      </c>
      <c r="H91" s="26" t="n">
        <f aca="false">IF(D91&lt;=0,0,ROUND(MIN(D91-F91,G91),2))</f>
        <v>200</v>
      </c>
      <c r="I91" s="26" t="n">
        <f aca="false">ROUND(E91+F91+H91,2)</f>
        <v>2854.69</v>
      </c>
      <c r="J91" s="26" t="n">
        <f aca="false">ROUND(MAX(0,D91-F91-H91),2)</f>
        <v>343141.34</v>
      </c>
      <c r="K91" s="26" t="n">
        <f aca="false">ROUND(E91+K90,2)</f>
        <v>178644.68</v>
      </c>
    </row>
    <row r="92" customFormat="false" ht="15" hidden="false" customHeight="true" outlineLevel="0" collapsed="false">
      <c r="A92" s="19" t="n">
        <f aca="false">A91+1</f>
        <v>87</v>
      </c>
      <c r="B92" s="18" t="n">
        <f aca="false">EDATE(B91,1)</f>
        <v>48914</v>
      </c>
      <c r="C92" s="19" t="n">
        <f aca="false">ROUNDUP(A92/12,0)</f>
        <v>8</v>
      </c>
      <c r="D92" s="26" t="n">
        <f aca="false">J91</f>
        <v>343141.34</v>
      </c>
      <c r="E92" s="26" t="n">
        <f aca="false">IF(D92&lt;=0,0,ROUND(D92*Calculator!$B$7/12,2))</f>
        <v>1858.68</v>
      </c>
      <c r="F92" s="26" t="n">
        <f aca="false">IF(D92&lt;=0,0,ROUND(MIN(D92,Calculator!$H$6-E92),2))</f>
        <v>796.01</v>
      </c>
      <c r="G92" s="26" t="n">
        <f aca="false">ROUND(IF(A92&gt;=Calculator!$E$11,Calculator!$E$6,0)+IF(A92=Calculator!$E$8,Calculator!$E$7,0)+IF(MONTH(B92)=Calculator!$E$10,Calculator!$E$9,0),2)</f>
        <v>1200</v>
      </c>
      <c r="H92" s="26" t="n">
        <f aca="false">IF(D92&lt;=0,0,ROUND(MIN(D92-F92,G92),2))</f>
        <v>1200</v>
      </c>
      <c r="I92" s="26" t="n">
        <f aca="false">ROUND(E92+F92+H92,2)</f>
        <v>3854.69</v>
      </c>
      <c r="J92" s="26" t="n">
        <f aca="false">ROUND(MAX(0,D92-F92-H92),2)</f>
        <v>341145.33</v>
      </c>
      <c r="K92" s="26" t="n">
        <f aca="false">ROUND(E92+K91,2)</f>
        <v>180503.36</v>
      </c>
    </row>
    <row r="93" customFormat="false" ht="15" hidden="false" customHeight="true" outlineLevel="0" collapsed="false">
      <c r="A93" s="19" t="n">
        <f aca="false">A92+1</f>
        <v>88</v>
      </c>
      <c r="B93" s="18" t="n">
        <f aca="false">EDATE(B92,1)</f>
        <v>48945</v>
      </c>
      <c r="C93" s="19" t="n">
        <f aca="false">ROUNDUP(A93/12,0)</f>
        <v>8</v>
      </c>
      <c r="D93" s="26" t="n">
        <f aca="false">J92</f>
        <v>341145.33</v>
      </c>
      <c r="E93" s="26" t="n">
        <f aca="false">IF(D93&lt;=0,0,ROUND(D93*Calculator!$B$7/12,2))</f>
        <v>1847.87</v>
      </c>
      <c r="F93" s="26" t="n">
        <f aca="false">IF(D93&lt;=0,0,ROUND(MIN(D93,Calculator!$H$6-E93),2))</f>
        <v>806.82</v>
      </c>
      <c r="G93" s="26" t="n">
        <f aca="false">ROUND(IF(A93&gt;=Calculator!$E$11,Calculator!$E$6,0)+IF(A93=Calculator!$E$8,Calculator!$E$7,0)+IF(MONTH(B93)=Calculator!$E$10,Calculator!$E$9,0),2)</f>
        <v>200</v>
      </c>
      <c r="H93" s="26" t="n">
        <f aca="false">IF(D93&lt;=0,0,ROUND(MIN(D93-F93,G93),2))</f>
        <v>200</v>
      </c>
      <c r="I93" s="26" t="n">
        <f aca="false">ROUND(E93+F93+H93,2)</f>
        <v>2854.69</v>
      </c>
      <c r="J93" s="26" t="n">
        <f aca="false">ROUND(MAX(0,D93-F93-H93),2)</f>
        <v>340138.51</v>
      </c>
      <c r="K93" s="26" t="n">
        <f aca="false">ROUND(E93+K92,2)</f>
        <v>182351.23</v>
      </c>
    </row>
    <row r="94" customFormat="false" ht="15" hidden="false" customHeight="true" outlineLevel="0" collapsed="false">
      <c r="A94" s="19" t="n">
        <f aca="false">A93+1</f>
        <v>89</v>
      </c>
      <c r="B94" s="18" t="n">
        <f aca="false">EDATE(B93,1)</f>
        <v>48976</v>
      </c>
      <c r="C94" s="19" t="n">
        <f aca="false">ROUNDUP(A94/12,0)</f>
        <v>8</v>
      </c>
      <c r="D94" s="26" t="n">
        <f aca="false">J93</f>
        <v>340138.51</v>
      </c>
      <c r="E94" s="26" t="n">
        <f aca="false">IF(D94&lt;=0,0,ROUND(D94*Calculator!$B$7/12,2))</f>
        <v>1842.42</v>
      </c>
      <c r="F94" s="26" t="n">
        <f aca="false">IF(D94&lt;=0,0,ROUND(MIN(D94,Calculator!$H$6-E94),2))</f>
        <v>812.27</v>
      </c>
      <c r="G94" s="26" t="n">
        <f aca="false">ROUND(IF(A94&gt;=Calculator!$E$11,Calculator!$E$6,0)+IF(A94=Calculator!$E$8,Calculator!$E$7,0)+IF(MONTH(B94)=Calculator!$E$10,Calculator!$E$9,0),2)</f>
        <v>200</v>
      </c>
      <c r="H94" s="26" t="n">
        <f aca="false">IF(D94&lt;=0,0,ROUND(MIN(D94-F94,G94),2))</f>
        <v>200</v>
      </c>
      <c r="I94" s="26" t="n">
        <f aca="false">ROUND(E94+F94+H94,2)</f>
        <v>2854.69</v>
      </c>
      <c r="J94" s="26" t="n">
        <f aca="false">ROUND(MAX(0,D94-F94-H94),2)</f>
        <v>339126.24</v>
      </c>
      <c r="K94" s="26" t="n">
        <f aca="false">ROUND(E94+K93,2)</f>
        <v>184193.65</v>
      </c>
    </row>
    <row r="95" customFormat="false" ht="15" hidden="false" customHeight="true" outlineLevel="0" collapsed="false">
      <c r="A95" s="19" t="n">
        <f aca="false">A94+1</f>
        <v>90</v>
      </c>
      <c r="B95" s="18" t="n">
        <f aca="false">EDATE(B94,1)</f>
        <v>49004</v>
      </c>
      <c r="C95" s="19" t="n">
        <f aca="false">ROUNDUP(A95/12,0)</f>
        <v>8</v>
      </c>
      <c r="D95" s="26" t="n">
        <f aca="false">J94</f>
        <v>339126.24</v>
      </c>
      <c r="E95" s="26" t="n">
        <f aca="false">IF(D95&lt;=0,0,ROUND(D95*Calculator!$B$7/12,2))</f>
        <v>1836.93</v>
      </c>
      <c r="F95" s="26" t="n">
        <f aca="false">IF(D95&lt;=0,0,ROUND(MIN(D95,Calculator!$H$6-E95),2))</f>
        <v>817.76</v>
      </c>
      <c r="G95" s="26" t="n">
        <f aca="false">ROUND(IF(A95&gt;=Calculator!$E$11,Calculator!$E$6,0)+IF(A95=Calculator!$E$8,Calculator!$E$7,0)+IF(MONTH(B95)=Calculator!$E$10,Calculator!$E$9,0),2)</f>
        <v>200</v>
      </c>
      <c r="H95" s="26" t="n">
        <f aca="false">IF(D95&lt;=0,0,ROUND(MIN(D95-F95,G95),2))</f>
        <v>200</v>
      </c>
      <c r="I95" s="26" t="n">
        <f aca="false">ROUND(E95+F95+H95,2)</f>
        <v>2854.69</v>
      </c>
      <c r="J95" s="26" t="n">
        <f aca="false">ROUND(MAX(0,D95-F95-H95),2)</f>
        <v>338108.48</v>
      </c>
      <c r="K95" s="26" t="n">
        <f aca="false">ROUND(E95+K94,2)</f>
        <v>186030.58</v>
      </c>
    </row>
    <row r="96" customFormat="false" ht="15" hidden="false" customHeight="true" outlineLevel="0" collapsed="false">
      <c r="A96" s="19" t="n">
        <f aca="false">A95+1</f>
        <v>91</v>
      </c>
      <c r="B96" s="18" t="n">
        <f aca="false">EDATE(B95,1)</f>
        <v>49035</v>
      </c>
      <c r="C96" s="19" t="n">
        <f aca="false">ROUNDUP(A96/12,0)</f>
        <v>8</v>
      </c>
      <c r="D96" s="26" t="n">
        <f aca="false">J95</f>
        <v>338108.48</v>
      </c>
      <c r="E96" s="26" t="n">
        <f aca="false">IF(D96&lt;=0,0,ROUND(D96*Calculator!$B$7/12,2))</f>
        <v>1831.42</v>
      </c>
      <c r="F96" s="26" t="n">
        <f aca="false">IF(D96&lt;=0,0,ROUND(MIN(D96,Calculator!$H$6-E96),2))</f>
        <v>823.27</v>
      </c>
      <c r="G96" s="26" t="n">
        <f aca="false">ROUND(IF(A96&gt;=Calculator!$E$11,Calculator!$E$6,0)+IF(A96=Calculator!$E$8,Calculator!$E$7,0)+IF(MONTH(B96)=Calculator!$E$10,Calculator!$E$9,0),2)</f>
        <v>200</v>
      </c>
      <c r="H96" s="26" t="n">
        <f aca="false">IF(D96&lt;=0,0,ROUND(MIN(D96-F96,G96),2))</f>
        <v>200</v>
      </c>
      <c r="I96" s="26" t="n">
        <f aca="false">ROUND(E96+F96+H96,2)</f>
        <v>2854.69</v>
      </c>
      <c r="J96" s="26" t="n">
        <f aca="false">ROUND(MAX(0,D96-F96-H96),2)</f>
        <v>337085.21</v>
      </c>
      <c r="K96" s="26" t="n">
        <f aca="false">ROUND(E96+K95,2)</f>
        <v>187862</v>
      </c>
    </row>
    <row r="97" customFormat="false" ht="15" hidden="false" customHeight="true" outlineLevel="0" collapsed="false">
      <c r="A97" s="19" t="n">
        <f aca="false">A96+1</f>
        <v>92</v>
      </c>
      <c r="B97" s="18" t="n">
        <f aca="false">EDATE(B96,1)</f>
        <v>49065</v>
      </c>
      <c r="C97" s="19" t="n">
        <f aca="false">ROUNDUP(A97/12,0)</f>
        <v>8</v>
      </c>
      <c r="D97" s="26" t="n">
        <f aca="false">J96</f>
        <v>337085.21</v>
      </c>
      <c r="E97" s="26" t="n">
        <f aca="false">IF(D97&lt;=0,0,ROUND(D97*Calculator!$B$7/12,2))</f>
        <v>1825.88</v>
      </c>
      <c r="F97" s="26" t="n">
        <f aca="false">IF(D97&lt;=0,0,ROUND(MIN(D97,Calculator!$H$6-E97),2))</f>
        <v>828.81</v>
      </c>
      <c r="G97" s="26" t="n">
        <f aca="false">ROUND(IF(A97&gt;=Calculator!$E$11,Calculator!$E$6,0)+IF(A97=Calculator!$E$8,Calculator!$E$7,0)+IF(MONTH(B97)=Calculator!$E$10,Calculator!$E$9,0),2)</f>
        <v>200</v>
      </c>
      <c r="H97" s="26" t="n">
        <f aca="false">IF(D97&lt;=0,0,ROUND(MIN(D97-F97,G97),2))</f>
        <v>200</v>
      </c>
      <c r="I97" s="26" t="n">
        <f aca="false">ROUND(E97+F97+H97,2)</f>
        <v>2854.69</v>
      </c>
      <c r="J97" s="26" t="n">
        <f aca="false">ROUND(MAX(0,D97-F97-H97),2)</f>
        <v>336056.4</v>
      </c>
      <c r="K97" s="26" t="n">
        <f aca="false">ROUND(E97+K96,2)</f>
        <v>189687.88</v>
      </c>
    </row>
    <row r="98" customFormat="false" ht="15" hidden="false" customHeight="true" outlineLevel="0" collapsed="false">
      <c r="A98" s="19" t="n">
        <f aca="false">A97+1</f>
        <v>93</v>
      </c>
      <c r="B98" s="18" t="n">
        <f aca="false">EDATE(B97,1)</f>
        <v>49096</v>
      </c>
      <c r="C98" s="19" t="n">
        <f aca="false">ROUNDUP(A98/12,0)</f>
        <v>8</v>
      </c>
      <c r="D98" s="26" t="n">
        <f aca="false">J97</f>
        <v>336056.4</v>
      </c>
      <c r="E98" s="26" t="n">
        <f aca="false">IF(D98&lt;=0,0,ROUND(D98*Calculator!$B$7/12,2))</f>
        <v>1820.31</v>
      </c>
      <c r="F98" s="26" t="n">
        <f aca="false">IF(D98&lt;=0,0,ROUND(MIN(D98,Calculator!$H$6-E98),2))</f>
        <v>834.38</v>
      </c>
      <c r="G98" s="26" t="n">
        <f aca="false">ROUND(IF(A98&gt;=Calculator!$E$11,Calculator!$E$6,0)+IF(A98=Calculator!$E$8,Calculator!$E$7,0)+IF(MONTH(B98)=Calculator!$E$10,Calculator!$E$9,0),2)</f>
        <v>200</v>
      </c>
      <c r="H98" s="26" t="n">
        <f aca="false">IF(D98&lt;=0,0,ROUND(MIN(D98-F98,G98),2))</f>
        <v>200</v>
      </c>
      <c r="I98" s="26" t="n">
        <f aca="false">ROUND(E98+F98+H98,2)</f>
        <v>2854.69</v>
      </c>
      <c r="J98" s="26" t="n">
        <f aca="false">ROUND(MAX(0,D98-F98-H98),2)</f>
        <v>335022.02</v>
      </c>
      <c r="K98" s="26" t="n">
        <f aca="false">ROUND(E98+K97,2)</f>
        <v>191508.19</v>
      </c>
    </row>
    <row r="99" customFormat="false" ht="15" hidden="false" customHeight="true" outlineLevel="0" collapsed="false">
      <c r="A99" s="19" t="n">
        <f aca="false">A98+1</f>
        <v>94</v>
      </c>
      <c r="B99" s="18" t="n">
        <f aca="false">EDATE(B98,1)</f>
        <v>49126</v>
      </c>
      <c r="C99" s="19" t="n">
        <f aca="false">ROUNDUP(A99/12,0)</f>
        <v>8</v>
      </c>
      <c r="D99" s="26" t="n">
        <f aca="false">J98</f>
        <v>335022.02</v>
      </c>
      <c r="E99" s="26" t="n">
        <f aca="false">IF(D99&lt;=0,0,ROUND(D99*Calculator!$B$7/12,2))</f>
        <v>1814.7</v>
      </c>
      <c r="F99" s="26" t="n">
        <f aca="false">IF(D99&lt;=0,0,ROUND(MIN(D99,Calculator!$H$6-E99),2))</f>
        <v>839.99</v>
      </c>
      <c r="G99" s="26" t="n">
        <f aca="false">ROUND(IF(A99&gt;=Calculator!$E$11,Calculator!$E$6,0)+IF(A99=Calculator!$E$8,Calculator!$E$7,0)+IF(MONTH(B99)=Calculator!$E$10,Calculator!$E$9,0),2)</f>
        <v>200</v>
      </c>
      <c r="H99" s="26" t="n">
        <f aca="false">IF(D99&lt;=0,0,ROUND(MIN(D99-F99,G99),2))</f>
        <v>200</v>
      </c>
      <c r="I99" s="26" t="n">
        <f aca="false">ROUND(E99+F99+H99,2)</f>
        <v>2854.69</v>
      </c>
      <c r="J99" s="26" t="n">
        <f aca="false">ROUND(MAX(0,D99-F99-H99),2)</f>
        <v>333982.03</v>
      </c>
      <c r="K99" s="26" t="n">
        <f aca="false">ROUND(E99+K98,2)</f>
        <v>193322.89</v>
      </c>
    </row>
    <row r="100" customFormat="false" ht="15" hidden="false" customHeight="true" outlineLevel="0" collapsed="false">
      <c r="A100" s="19" t="n">
        <f aca="false">A99+1</f>
        <v>95</v>
      </c>
      <c r="B100" s="18" t="n">
        <f aca="false">EDATE(B99,1)</f>
        <v>49157</v>
      </c>
      <c r="C100" s="19" t="n">
        <f aca="false">ROUNDUP(A100/12,0)</f>
        <v>8</v>
      </c>
      <c r="D100" s="26" t="n">
        <f aca="false">J99</f>
        <v>333982.03</v>
      </c>
      <c r="E100" s="26" t="n">
        <f aca="false">IF(D100&lt;=0,0,ROUND(D100*Calculator!$B$7/12,2))</f>
        <v>1809.07</v>
      </c>
      <c r="F100" s="26" t="n">
        <f aca="false">IF(D100&lt;=0,0,ROUND(MIN(D100,Calculator!$H$6-E100),2))</f>
        <v>845.62</v>
      </c>
      <c r="G100" s="26" t="n">
        <f aca="false">ROUND(IF(A100&gt;=Calculator!$E$11,Calculator!$E$6,0)+IF(A100=Calculator!$E$8,Calculator!$E$7,0)+IF(MONTH(B100)=Calculator!$E$10,Calculator!$E$9,0),2)</f>
        <v>200</v>
      </c>
      <c r="H100" s="26" t="n">
        <f aca="false">IF(D100&lt;=0,0,ROUND(MIN(D100-F100,G100),2))</f>
        <v>200</v>
      </c>
      <c r="I100" s="26" t="n">
        <f aca="false">ROUND(E100+F100+H100,2)</f>
        <v>2854.69</v>
      </c>
      <c r="J100" s="26" t="n">
        <f aca="false">ROUND(MAX(0,D100-F100-H100),2)</f>
        <v>332936.41</v>
      </c>
      <c r="K100" s="26" t="n">
        <f aca="false">ROUND(E100+K99,2)</f>
        <v>195131.96</v>
      </c>
    </row>
    <row r="101" customFormat="false" ht="15" hidden="false" customHeight="true" outlineLevel="0" collapsed="false">
      <c r="A101" s="19" t="n">
        <f aca="false">A100+1</f>
        <v>96</v>
      </c>
      <c r="B101" s="18" t="n">
        <f aca="false">EDATE(B100,1)</f>
        <v>49188</v>
      </c>
      <c r="C101" s="19" t="n">
        <f aca="false">ROUNDUP(A101/12,0)</f>
        <v>8</v>
      </c>
      <c r="D101" s="26" t="n">
        <f aca="false">J100</f>
        <v>332936.41</v>
      </c>
      <c r="E101" s="26" t="n">
        <f aca="false">IF(D101&lt;=0,0,ROUND(D101*Calculator!$B$7/12,2))</f>
        <v>1803.41</v>
      </c>
      <c r="F101" s="26" t="n">
        <f aca="false">IF(D101&lt;=0,0,ROUND(MIN(D101,Calculator!$H$6-E101),2))</f>
        <v>851.28</v>
      </c>
      <c r="G101" s="26" t="n">
        <f aca="false">ROUND(IF(A101&gt;=Calculator!$E$11,Calculator!$E$6,0)+IF(A101=Calculator!$E$8,Calculator!$E$7,0)+IF(MONTH(B101)=Calculator!$E$10,Calculator!$E$9,0),2)</f>
        <v>200</v>
      </c>
      <c r="H101" s="26" t="n">
        <f aca="false">IF(D101&lt;=0,0,ROUND(MIN(D101-F101,G101),2))</f>
        <v>200</v>
      </c>
      <c r="I101" s="26" t="n">
        <f aca="false">ROUND(E101+F101+H101,2)</f>
        <v>2854.69</v>
      </c>
      <c r="J101" s="26" t="n">
        <f aca="false">ROUND(MAX(0,D101-F101-H101),2)</f>
        <v>331885.13</v>
      </c>
      <c r="K101" s="26" t="n">
        <f aca="false">ROUND(E101+K100,2)</f>
        <v>196935.37</v>
      </c>
    </row>
    <row r="102" customFormat="false" ht="15" hidden="false" customHeight="true" outlineLevel="0" collapsed="false">
      <c r="A102" s="19" t="n">
        <f aca="false">A101+1</f>
        <v>97</v>
      </c>
      <c r="B102" s="18" t="n">
        <f aca="false">EDATE(B101,1)</f>
        <v>49218</v>
      </c>
      <c r="C102" s="19" t="n">
        <f aca="false">ROUNDUP(A102/12,0)</f>
        <v>9</v>
      </c>
      <c r="D102" s="26" t="n">
        <f aca="false">J101</f>
        <v>331885.13</v>
      </c>
      <c r="E102" s="26" t="n">
        <f aca="false">IF(D102&lt;=0,0,ROUND(D102*Calculator!$B$7/12,2))</f>
        <v>1797.71</v>
      </c>
      <c r="F102" s="26" t="n">
        <f aca="false">IF(D102&lt;=0,0,ROUND(MIN(D102,Calculator!$H$6-E102),2))</f>
        <v>856.98</v>
      </c>
      <c r="G102" s="26" t="n">
        <f aca="false">ROUND(IF(A102&gt;=Calculator!$E$11,Calculator!$E$6,0)+IF(A102=Calculator!$E$8,Calculator!$E$7,0)+IF(MONTH(B102)=Calculator!$E$10,Calculator!$E$9,0),2)</f>
        <v>200</v>
      </c>
      <c r="H102" s="26" t="n">
        <f aca="false">IF(D102&lt;=0,0,ROUND(MIN(D102-F102,G102),2))</f>
        <v>200</v>
      </c>
      <c r="I102" s="26" t="n">
        <f aca="false">ROUND(E102+F102+H102,2)</f>
        <v>2854.69</v>
      </c>
      <c r="J102" s="26" t="n">
        <f aca="false">ROUND(MAX(0,D102-F102-H102),2)</f>
        <v>330828.15</v>
      </c>
      <c r="K102" s="26" t="n">
        <f aca="false">ROUND(E102+K101,2)</f>
        <v>198733.08</v>
      </c>
    </row>
    <row r="103" customFormat="false" ht="15" hidden="false" customHeight="true" outlineLevel="0" collapsed="false">
      <c r="A103" s="19" t="n">
        <f aca="false">A102+1</f>
        <v>98</v>
      </c>
      <c r="B103" s="18" t="n">
        <f aca="false">EDATE(B102,1)</f>
        <v>49249</v>
      </c>
      <c r="C103" s="19" t="n">
        <f aca="false">ROUNDUP(A103/12,0)</f>
        <v>9</v>
      </c>
      <c r="D103" s="26" t="n">
        <f aca="false">J102</f>
        <v>330828.15</v>
      </c>
      <c r="E103" s="26" t="n">
        <f aca="false">IF(D103&lt;=0,0,ROUND(D103*Calculator!$B$7/12,2))</f>
        <v>1791.99</v>
      </c>
      <c r="F103" s="26" t="n">
        <f aca="false">IF(D103&lt;=0,0,ROUND(MIN(D103,Calculator!$H$6-E103),2))</f>
        <v>862.7</v>
      </c>
      <c r="G103" s="26" t="n">
        <f aca="false">ROUND(IF(A103&gt;=Calculator!$E$11,Calculator!$E$6,0)+IF(A103=Calculator!$E$8,Calculator!$E$7,0)+IF(MONTH(B103)=Calculator!$E$10,Calculator!$E$9,0),2)</f>
        <v>200</v>
      </c>
      <c r="H103" s="26" t="n">
        <f aca="false">IF(D103&lt;=0,0,ROUND(MIN(D103-F103,G103),2))</f>
        <v>200</v>
      </c>
      <c r="I103" s="26" t="n">
        <f aca="false">ROUND(E103+F103+H103,2)</f>
        <v>2854.69</v>
      </c>
      <c r="J103" s="26" t="n">
        <f aca="false">ROUND(MAX(0,D103-F103-H103),2)</f>
        <v>329765.45</v>
      </c>
      <c r="K103" s="26" t="n">
        <f aca="false">ROUND(E103+K102,2)</f>
        <v>200525.07</v>
      </c>
    </row>
    <row r="104" customFormat="false" ht="15" hidden="false" customHeight="true" outlineLevel="0" collapsed="false">
      <c r="A104" s="19" t="n">
        <f aca="false">A103+1</f>
        <v>99</v>
      </c>
      <c r="B104" s="18" t="n">
        <f aca="false">EDATE(B103,1)</f>
        <v>49279</v>
      </c>
      <c r="C104" s="19" t="n">
        <f aca="false">ROUNDUP(A104/12,0)</f>
        <v>9</v>
      </c>
      <c r="D104" s="26" t="n">
        <f aca="false">J103</f>
        <v>329765.45</v>
      </c>
      <c r="E104" s="26" t="n">
        <f aca="false">IF(D104&lt;=0,0,ROUND(D104*Calculator!$B$7/12,2))</f>
        <v>1786.23</v>
      </c>
      <c r="F104" s="26" t="n">
        <f aca="false">IF(D104&lt;=0,0,ROUND(MIN(D104,Calculator!$H$6-E104),2))</f>
        <v>868.46</v>
      </c>
      <c r="G104" s="26" t="n">
        <f aca="false">ROUND(IF(A104&gt;=Calculator!$E$11,Calculator!$E$6,0)+IF(A104=Calculator!$E$8,Calculator!$E$7,0)+IF(MONTH(B104)=Calculator!$E$10,Calculator!$E$9,0),2)</f>
        <v>1200</v>
      </c>
      <c r="H104" s="26" t="n">
        <f aca="false">IF(D104&lt;=0,0,ROUND(MIN(D104-F104,G104),2))</f>
        <v>1200</v>
      </c>
      <c r="I104" s="26" t="n">
        <f aca="false">ROUND(E104+F104+H104,2)</f>
        <v>3854.69</v>
      </c>
      <c r="J104" s="26" t="n">
        <f aca="false">ROUND(MAX(0,D104-F104-H104),2)</f>
        <v>327696.99</v>
      </c>
      <c r="K104" s="26" t="n">
        <f aca="false">ROUND(E104+K103,2)</f>
        <v>202311.3</v>
      </c>
    </row>
    <row r="105" customFormat="false" ht="15" hidden="false" customHeight="true" outlineLevel="0" collapsed="false">
      <c r="A105" s="19" t="n">
        <f aca="false">A104+1</f>
        <v>100</v>
      </c>
      <c r="B105" s="18" t="n">
        <f aca="false">EDATE(B104,1)</f>
        <v>49310</v>
      </c>
      <c r="C105" s="19" t="n">
        <f aca="false">ROUNDUP(A105/12,0)</f>
        <v>9</v>
      </c>
      <c r="D105" s="26" t="n">
        <f aca="false">J104</f>
        <v>327696.99</v>
      </c>
      <c r="E105" s="26" t="n">
        <f aca="false">IF(D105&lt;=0,0,ROUND(D105*Calculator!$B$7/12,2))</f>
        <v>1775.03</v>
      </c>
      <c r="F105" s="26" t="n">
        <f aca="false">IF(D105&lt;=0,0,ROUND(MIN(D105,Calculator!$H$6-E105),2))</f>
        <v>879.66</v>
      </c>
      <c r="G105" s="26" t="n">
        <f aca="false">ROUND(IF(A105&gt;=Calculator!$E$11,Calculator!$E$6,0)+IF(A105=Calculator!$E$8,Calculator!$E$7,0)+IF(MONTH(B105)=Calculator!$E$10,Calculator!$E$9,0),2)</f>
        <v>200</v>
      </c>
      <c r="H105" s="26" t="n">
        <f aca="false">IF(D105&lt;=0,0,ROUND(MIN(D105-F105,G105),2))</f>
        <v>200</v>
      </c>
      <c r="I105" s="26" t="n">
        <f aca="false">ROUND(E105+F105+H105,2)</f>
        <v>2854.69</v>
      </c>
      <c r="J105" s="26" t="n">
        <f aca="false">ROUND(MAX(0,D105-F105-H105),2)</f>
        <v>326617.33</v>
      </c>
      <c r="K105" s="26" t="n">
        <f aca="false">ROUND(E105+K104,2)</f>
        <v>204086.33</v>
      </c>
    </row>
    <row r="106" customFormat="false" ht="15" hidden="false" customHeight="true" outlineLevel="0" collapsed="false">
      <c r="A106" s="19" t="n">
        <f aca="false">A105+1</f>
        <v>101</v>
      </c>
      <c r="B106" s="18" t="n">
        <f aca="false">EDATE(B105,1)</f>
        <v>49341</v>
      </c>
      <c r="C106" s="19" t="n">
        <f aca="false">ROUNDUP(A106/12,0)</f>
        <v>9</v>
      </c>
      <c r="D106" s="26" t="n">
        <f aca="false">J105</f>
        <v>326617.33</v>
      </c>
      <c r="E106" s="26" t="n">
        <f aca="false">IF(D106&lt;=0,0,ROUND(D106*Calculator!$B$7/12,2))</f>
        <v>1769.18</v>
      </c>
      <c r="F106" s="26" t="n">
        <f aca="false">IF(D106&lt;=0,0,ROUND(MIN(D106,Calculator!$H$6-E106),2))</f>
        <v>885.51</v>
      </c>
      <c r="G106" s="26" t="n">
        <f aca="false">ROUND(IF(A106&gt;=Calculator!$E$11,Calculator!$E$6,0)+IF(A106=Calculator!$E$8,Calculator!$E$7,0)+IF(MONTH(B106)=Calculator!$E$10,Calculator!$E$9,0),2)</f>
        <v>200</v>
      </c>
      <c r="H106" s="26" t="n">
        <f aca="false">IF(D106&lt;=0,0,ROUND(MIN(D106-F106,G106),2))</f>
        <v>200</v>
      </c>
      <c r="I106" s="26" t="n">
        <f aca="false">ROUND(E106+F106+H106,2)</f>
        <v>2854.69</v>
      </c>
      <c r="J106" s="26" t="n">
        <f aca="false">ROUND(MAX(0,D106-F106-H106),2)</f>
        <v>325531.82</v>
      </c>
      <c r="K106" s="26" t="n">
        <f aca="false">ROUND(E106+K105,2)</f>
        <v>205855.51</v>
      </c>
    </row>
    <row r="107" customFormat="false" ht="15" hidden="false" customHeight="true" outlineLevel="0" collapsed="false">
      <c r="A107" s="19" t="n">
        <f aca="false">A106+1</f>
        <v>102</v>
      </c>
      <c r="B107" s="18" t="n">
        <f aca="false">EDATE(B106,1)</f>
        <v>49369</v>
      </c>
      <c r="C107" s="19" t="n">
        <f aca="false">ROUNDUP(A107/12,0)</f>
        <v>9</v>
      </c>
      <c r="D107" s="26" t="n">
        <f aca="false">J106</f>
        <v>325531.82</v>
      </c>
      <c r="E107" s="26" t="n">
        <f aca="false">IF(D107&lt;=0,0,ROUND(D107*Calculator!$B$7/12,2))</f>
        <v>1763.3</v>
      </c>
      <c r="F107" s="26" t="n">
        <f aca="false">IF(D107&lt;=0,0,ROUND(MIN(D107,Calculator!$H$6-E107),2))</f>
        <v>891.39</v>
      </c>
      <c r="G107" s="26" t="n">
        <f aca="false">ROUND(IF(A107&gt;=Calculator!$E$11,Calculator!$E$6,0)+IF(A107=Calculator!$E$8,Calculator!$E$7,0)+IF(MONTH(B107)=Calculator!$E$10,Calculator!$E$9,0),2)</f>
        <v>200</v>
      </c>
      <c r="H107" s="26" t="n">
        <f aca="false">IF(D107&lt;=0,0,ROUND(MIN(D107-F107,G107),2))</f>
        <v>200</v>
      </c>
      <c r="I107" s="26" t="n">
        <f aca="false">ROUND(E107+F107+H107,2)</f>
        <v>2854.69</v>
      </c>
      <c r="J107" s="26" t="n">
        <f aca="false">ROUND(MAX(0,D107-F107-H107),2)</f>
        <v>324440.43</v>
      </c>
      <c r="K107" s="26" t="n">
        <f aca="false">ROUND(E107+K106,2)</f>
        <v>207618.81</v>
      </c>
    </row>
    <row r="108" customFormat="false" ht="15" hidden="false" customHeight="true" outlineLevel="0" collapsed="false">
      <c r="A108" s="19" t="n">
        <f aca="false">A107+1</f>
        <v>103</v>
      </c>
      <c r="B108" s="18" t="n">
        <f aca="false">EDATE(B107,1)</f>
        <v>49400</v>
      </c>
      <c r="C108" s="19" t="n">
        <f aca="false">ROUNDUP(A108/12,0)</f>
        <v>9</v>
      </c>
      <c r="D108" s="26" t="n">
        <f aca="false">J107</f>
        <v>324440.43</v>
      </c>
      <c r="E108" s="26" t="n">
        <f aca="false">IF(D108&lt;=0,0,ROUND(D108*Calculator!$B$7/12,2))</f>
        <v>1757.39</v>
      </c>
      <c r="F108" s="26" t="n">
        <f aca="false">IF(D108&lt;=0,0,ROUND(MIN(D108,Calculator!$H$6-E108),2))</f>
        <v>897.3</v>
      </c>
      <c r="G108" s="26" t="n">
        <f aca="false">ROUND(IF(A108&gt;=Calculator!$E$11,Calculator!$E$6,0)+IF(A108=Calculator!$E$8,Calculator!$E$7,0)+IF(MONTH(B108)=Calculator!$E$10,Calculator!$E$9,0),2)</f>
        <v>200</v>
      </c>
      <c r="H108" s="26" t="n">
        <f aca="false">IF(D108&lt;=0,0,ROUND(MIN(D108-F108,G108),2))</f>
        <v>200</v>
      </c>
      <c r="I108" s="26" t="n">
        <f aca="false">ROUND(E108+F108+H108,2)</f>
        <v>2854.69</v>
      </c>
      <c r="J108" s="26" t="n">
        <f aca="false">ROUND(MAX(0,D108-F108-H108),2)</f>
        <v>323343.13</v>
      </c>
      <c r="K108" s="26" t="n">
        <f aca="false">ROUND(E108+K107,2)</f>
        <v>209376.2</v>
      </c>
    </row>
    <row r="109" customFormat="false" ht="15" hidden="false" customHeight="true" outlineLevel="0" collapsed="false">
      <c r="A109" s="19" t="n">
        <f aca="false">A108+1</f>
        <v>104</v>
      </c>
      <c r="B109" s="18" t="n">
        <f aca="false">EDATE(B108,1)</f>
        <v>49430</v>
      </c>
      <c r="C109" s="19" t="n">
        <f aca="false">ROUNDUP(A109/12,0)</f>
        <v>9</v>
      </c>
      <c r="D109" s="26" t="n">
        <f aca="false">J108</f>
        <v>323343.13</v>
      </c>
      <c r="E109" s="26" t="n">
        <f aca="false">IF(D109&lt;=0,0,ROUND(D109*Calculator!$B$7/12,2))</f>
        <v>1751.44</v>
      </c>
      <c r="F109" s="26" t="n">
        <f aca="false">IF(D109&lt;=0,0,ROUND(MIN(D109,Calculator!$H$6-E109),2))</f>
        <v>903.25</v>
      </c>
      <c r="G109" s="26" t="n">
        <f aca="false">ROUND(IF(A109&gt;=Calculator!$E$11,Calculator!$E$6,0)+IF(A109=Calculator!$E$8,Calculator!$E$7,0)+IF(MONTH(B109)=Calculator!$E$10,Calculator!$E$9,0),2)</f>
        <v>200</v>
      </c>
      <c r="H109" s="26" t="n">
        <f aca="false">IF(D109&lt;=0,0,ROUND(MIN(D109-F109,G109),2))</f>
        <v>200</v>
      </c>
      <c r="I109" s="26" t="n">
        <f aca="false">ROUND(E109+F109+H109,2)</f>
        <v>2854.69</v>
      </c>
      <c r="J109" s="26" t="n">
        <f aca="false">ROUND(MAX(0,D109-F109-H109),2)</f>
        <v>322239.88</v>
      </c>
      <c r="K109" s="26" t="n">
        <f aca="false">ROUND(E109+K108,2)</f>
        <v>211127.64</v>
      </c>
    </row>
    <row r="110" customFormat="false" ht="15" hidden="false" customHeight="true" outlineLevel="0" collapsed="false">
      <c r="A110" s="19" t="n">
        <f aca="false">A109+1</f>
        <v>105</v>
      </c>
      <c r="B110" s="18" t="n">
        <f aca="false">EDATE(B109,1)</f>
        <v>49461</v>
      </c>
      <c r="C110" s="19" t="n">
        <f aca="false">ROUNDUP(A110/12,0)</f>
        <v>9</v>
      </c>
      <c r="D110" s="26" t="n">
        <f aca="false">J109</f>
        <v>322239.88</v>
      </c>
      <c r="E110" s="26" t="n">
        <f aca="false">IF(D110&lt;=0,0,ROUND(D110*Calculator!$B$7/12,2))</f>
        <v>1745.47</v>
      </c>
      <c r="F110" s="26" t="n">
        <f aca="false">IF(D110&lt;=0,0,ROUND(MIN(D110,Calculator!$H$6-E110),2))</f>
        <v>909.22</v>
      </c>
      <c r="G110" s="26" t="n">
        <f aca="false">ROUND(IF(A110&gt;=Calculator!$E$11,Calculator!$E$6,0)+IF(A110=Calculator!$E$8,Calculator!$E$7,0)+IF(MONTH(B110)=Calculator!$E$10,Calculator!$E$9,0),2)</f>
        <v>200</v>
      </c>
      <c r="H110" s="26" t="n">
        <f aca="false">IF(D110&lt;=0,0,ROUND(MIN(D110-F110,G110),2))</f>
        <v>200</v>
      </c>
      <c r="I110" s="26" t="n">
        <f aca="false">ROUND(E110+F110+H110,2)</f>
        <v>2854.69</v>
      </c>
      <c r="J110" s="26" t="n">
        <f aca="false">ROUND(MAX(0,D110-F110-H110),2)</f>
        <v>321130.66</v>
      </c>
      <c r="K110" s="26" t="n">
        <f aca="false">ROUND(E110+K109,2)</f>
        <v>212873.11</v>
      </c>
    </row>
    <row r="111" customFormat="false" ht="15" hidden="false" customHeight="true" outlineLevel="0" collapsed="false">
      <c r="A111" s="19" t="n">
        <f aca="false">A110+1</f>
        <v>106</v>
      </c>
      <c r="B111" s="18" t="n">
        <f aca="false">EDATE(B110,1)</f>
        <v>49491</v>
      </c>
      <c r="C111" s="19" t="n">
        <f aca="false">ROUNDUP(A111/12,0)</f>
        <v>9</v>
      </c>
      <c r="D111" s="26" t="n">
        <f aca="false">J110</f>
        <v>321130.66</v>
      </c>
      <c r="E111" s="26" t="n">
        <f aca="false">IF(D111&lt;=0,0,ROUND(D111*Calculator!$B$7/12,2))</f>
        <v>1739.46</v>
      </c>
      <c r="F111" s="26" t="n">
        <f aca="false">IF(D111&lt;=0,0,ROUND(MIN(D111,Calculator!$H$6-E111),2))</f>
        <v>915.23</v>
      </c>
      <c r="G111" s="26" t="n">
        <f aca="false">ROUND(IF(A111&gt;=Calculator!$E$11,Calculator!$E$6,0)+IF(A111=Calculator!$E$8,Calculator!$E$7,0)+IF(MONTH(B111)=Calculator!$E$10,Calculator!$E$9,0),2)</f>
        <v>200</v>
      </c>
      <c r="H111" s="26" t="n">
        <f aca="false">IF(D111&lt;=0,0,ROUND(MIN(D111-F111,G111),2))</f>
        <v>200</v>
      </c>
      <c r="I111" s="26" t="n">
        <f aca="false">ROUND(E111+F111+H111,2)</f>
        <v>2854.69</v>
      </c>
      <c r="J111" s="26" t="n">
        <f aca="false">ROUND(MAX(0,D111-F111-H111),2)</f>
        <v>320015.43</v>
      </c>
      <c r="K111" s="26" t="n">
        <f aca="false">ROUND(E111+K110,2)</f>
        <v>214612.57</v>
      </c>
    </row>
    <row r="112" customFormat="false" ht="15" hidden="false" customHeight="true" outlineLevel="0" collapsed="false">
      <c r="A112" s="19" t="n">
        <f aca="false">A111+1</f>
        <v>107</v>
      </c>
      <c r="B112" s="18" t="n">
        <f aca="false">EDATE(B111,1)</f>
        <v>49522</v>
      </c>
      <c r="C112" s="19" t="n">
        <f aca="false">ROUNDUP(A112/12,0)</f>
        <v>9</v>
      </c>
      <c r="D112" s="26" t="n">
        <f aca="false">J111</f>
        <v>320015.43</v>
      </c>
      <c r="E112" s="26" t="n">
        <f aca="false">IF(D112&lt;=0,0,ROUND(D112*Calculator!$B$7/12,2))</f>
        <v>1733.42</v>
      </c>
      <c r="F112" s="26" t="n">
        <f aca="false">IF(D112&lt;=0,0,ROUND(MIN(D112,Calculator!$H$6-E112),2))</f>
        <v>921.27</v>
      </c>
      <c r="G112" s="26" t="n">
        <f aca="false">ROUND(IF(A112&gt;=Calculator!$E$11,Calculator!$E$6,0)+IF(A112=Calculator!$E$8,Calculator!$E$7,0)+IF(MONTH(B112)=Calculator!$E$10,Calculator!$E$9,0),2)</f>
        <v>200</v>
      </c>
      <c r="H112" s="26" t="n">
        <f aca="false">IF(D112&lt;=0,0,ROUND(MIN(D112-F112,G112),2))</f>
        <v>200</v>
      </c>
      <c r="I112" s="26" t="n">
        <f aca="false">ROUND(E112+F112+H112,2)</f>
        <v>2854.69</v>
      </c>
      <c r="J112" s="26" t="n">
        <f aca="false">ROUND(MAX(0,D112-F112-H112),2)</f>
        <v>318894.16</v>
      </c>
      <c r="K112" s="26" t="n">
        <f aca="false">ROUND(E112+K111,2)</f>
        <v>216345.99</v>
      </c>
    </row>
    <row r="113" customFormat="false" ht="15" hidden="false" customHeight="true" outlineLevel="0" collapsed="false">
      <c r="A113" s="19" t="n">
        <f aca="false">A112+1</f>
        <v>108</v>
      </c>
      <c r="B113" s="18" t="n">
        <f aca="false">EDATE(B112,1)</f>
        <v>49553</v>
      </c>
      <c r="C113" s="19" t="n">
        <f aca="false">ROUNDUP(A113/12,0)</f>
        <v>9</v>
      </c>
      <c r="D113" s="26" t="n">
        <f aca="false">J112</f>
        <v>318894.16</v>
      </c>
      <c r="E113" s="26" t="n">
        <f aca="false">IF(D113&lt;=0,0,ROUND(D113*Calculator!$B$7/12,2))</f>
        <v>1727.34</v>
      </c>
      <c r="F113" s="26" t="n">
        <f aca="false">IF(D113&lt;=0,0,ROUND(MIN(D113,Calculator!$H$6-E113),2))</f>
        <v>927.35</v>
      </c>
      <c r="G113" s="26" t="n">
        <f aca="false">ROUND(IF(A113&gt;=Calculator!$E$11,Calculator!$E$6,0)+IF(A113=Calculator!$E$8,Calculator!$E$7,0)+IF(MONTH(B113)=Calculator!$E$10,Calculator!$E$9,0),2)</f>
        <v>200</v>
      </c>
      <c r="H113" s="26" t="n">
        <f aca="false">IF(D113&lt;=0,0,ROUND(MIN(D113-F113,G113),2))</f>
        <v>200</v>
      </c>
      <c r="I113" s="26" t="n">
        <f aca="false">ROUND(E113+F113+H113,2)</f>
        <v>2854.69</v>
      </c>
      <c r="J113" s="26" t="n">
        <f aca="false">ROUND(MAX(0,D113-F113-H113),2)</f>
        <v>317766.81</v>
      </c>
      <c r="K113" s="26" t="n">
        <f aca="false">ROUND(E113+K112,2)</f>
        <v>218073.33</v>
      </c>
    </row>
    <row r="114" customFormat="false" ht="15" hidden="false" customHeight="true" outlineLevel="0" collapsed="false">
      <c r="A114" s="19" t="n">
        <f aca="false">A113+1</f>
        <v>109</v>
      </c>
      <c r="B114" s="18" t="n">
        <f aca="false">EDATE(B113,1)</f>
        <v>49583</v>
      </c>
      <c r="C114" s="19" t="n">
        <f aca="false">ROUNDUP(A114/12,0)</f>
        <v>10</v>
      </c>
      <c r="D114" s="26" t="n">
        <f aca="false">J113</f>
        <v>317766.81</v>
      </c>
      <c r="E114" s="26" t="n">
        <f aca="false">IF(D114&lt;=0,0,ROUND(D114*Calculator!$B$7/12,2))</f>
        <v>1721.24</v>
      </c>
      <c r="F114" s="26" t="n">
        <f aca="false">IF(D114&lt;=0,0,ROUND(MIN(D114,Calculator!$H$6-E114),2))</f>
        <v>933.45</v>
      </c>
      <c r="G114" s="26" t="n">
        <f aca="false">ROUND(IF(A114&gt;=Calculator!$E$11,Calculator!$E$6,0)+IF(A114=Calculator!$E$8,Calculator!$E$7,0)+IF(MONTH(B114)=Calculator!$E$10,Calculator!$E$9,0),2)</f>
        <v>200</v>
      </c>
      <c r="H114" s="26" t="n">
        <f aca="false">IF(D114&lt;=0,0,ROUND(MIN(D114-F114,G114),2))</f>
        <v>200</v>
      </c>
      <c r="I114" s="26" t="n">
        <f aca="false">ROUND(E114+F114+H114,2)</f>
        <v>2854.69</v>
      </c>
      <c r="J114" s="26" t="n">
        <f aca="false">ROUND(MAX(0,D114-F114-H114),2)</f>
        <v>316633.36</v>
      </c>
      <c r="K114" s="26" t="n">
        <f aca="false">ROUND(E114+K113,2)</f>
        <v>219794.57</v>
      </c>
    </row>
    <row r="115" customFormat="false" ht="15" hidden="false" customHeight="true" outlineLevel="0" collapsed="false">
      <c r="A115" s="19" t="n">
        <f aca="false">A114+1</f>
        <v>110</v>
      </c>
      <c r="B115" s="18" t="n">
        <f aca="false">EDATE(B114,1)</f>
        <v>49614</v>
      </c>
      <c r="C115" s="19" t="n">
        <f aca="false">ROUNDUP(A115/12,0)</f>
        <v>10</v>
      </c>
      <c r="D115" s="26" t="n">
        <f aca="false">J114</f>
        <v>316633.36</v>
      </c>
      <c r="E115" s="26" t="n">
        <f aca="false">IF(D115&lt;=0,0,ROUND(D115*Calculator!$B$7/12,2))</f>
        <v>1715.1</v>
      </c>
      <c r="F115" s="26" t="n">
        <f aca="false">IF(D115&lt;=0,0,ROUND(MIN(D115,Calculator!$H$6-E115),2))</f>
        <v>939.59</v>
      </c>
      <c r="G115" s="26" t="n">
        <f aca="false">ROUND(IF(A115&gt;=Calculator!$E$11,Calculator!$E$6,0)+IF(A115=Calculator!$E$8,Calculator!$E$7,0)+IF(MONTH(B115)=Calculator!$E$10,Calculator!$E$9,0),2)</f>
        <v>200</v>
      </c>
      <c r="H115" s="26" t="n">
        <f aca="false">IF(D115&lt;=0,0,ROUND(MIN(D115-F115,G115),2))</f>
        <v>200</v>
      </c>
      <c r="I115" s="26" t="n">
        <f aca="false">ROUND(E115+F115+H115,2)</f>
        <v>2854.69</v>
      </c>
      <c r="J115" s="26" t="n">
        <f aca="false">ROUND(MAX(0,D115-F115-H115),2)</f>
        <v>315493.77</v>
      </c>
      <c r="K115" s="26" t="n">
        <f aca="false">ROUND(E115+K114,2)</f>
        <v>221509.67</v>
      </c>
    </row>
    <row r="116" customFormat="false" ht="15" hidden="false" customHeight="true" outlineLevel="0" collapsed="false">
      <c r="A116" s="19" t="n">
        <f aca="false">A115+1</f>
        <v>111</v>
      </c>
      <c r="B116" s="18" t="n">
        <f aca="false">EDATE(B115,1)</f>
        <v>49644</v>
      </c>
      <c r="C116" s="19" t="n">
        <f aca="false">ROUNDUP(A116/12,0)</f>
        <v>10</v>
      </c>
      <c r="D116" s="26" t="n">
        <f aca="false">J115</f>
        <v>315493.77</v>
      </c>
      <c r="E116" s="26" t="n">
        <f aca="false">IF(D116&lt;=0,0,ROUND(D116*Calculator!$B$7/12,2))</f>
        <v>1708.92</v>
      </c>
      <c r="F116" s="26" t="n">
        <f aca="false">IF(D116&lt;=0,0,ROUND(MIN(D116,Calculator!$H$6-E116),2))</f>
        <v>945.77</v>
      </c>
      <c r="G116" s="26" t="n">
        <f aca="false">ROUND(IF(A116&gt;=Calculator!$E$11,Calculator!$E$6,0)+IF(A116=Calculator!$E$8,Calculator!$E$7,0)+IF(MONTH(B116)=Calculator!$E$10,Calculator!$E$9,0),2)</f>
        <v>1200</v>
      </c>
      <c r="H116" s="26" t="n">
        <f aca="false">IF(D116&lt;=0,0,ROUND(MIN(D116-F116,G116),2))</f>
        <v>1200</v>
      </c>
      <c r="I116" s="26" t="n">
        <f aca="false">ROUND(E116+F116+H116,2)</f>
        <v>3854.69</v>
      </c>
      <c r="J116" s="26" t="n">
        <f aca="false">ROUND(MAX(0,D116-F116-H116),2)</f>
        <v>313348</v>
      </c>
      <c r="K116" s="26" t="n">
        <f aca="false">ROUND(E116+K115,2)</f>
        <v>223218.59</v>
      </c>
    </row>
    <row r="117" customFormat="false" ht="15" hidden="false" customHeight="true" outlineLevel="0" collapsed="false">
      <c r="A117" s="19" t="n">
        <f aca="false">A116+1</f>
        <v>112</v>
      </c>
      <c r="B117" s="18" t="n">
        <f aca="false">EDATE(B116,1)</f>
        <v>49675</v>
      </c>
      <c r="C117" s="19" t="n">
        <f aca="false">ROUNDUP(A117/12,0)</f>
        <v>10</v>
      </c>
      <c r="D117" s="26" t="n">
        <f aca="false">J116</f>
        <v>313348</v>
      </c>
      <c r="E117" s="26" t="n">
        <f aca="false">IF(D117&lt;=0,0,ROUND(D117*Calculator!$B$7/12,2))</f>
        <v>1697.3</v>
      </c>
      <c r="F117" s="26" t="n">
        <f aca="false">IF(D117&lt;=0,0,ROUND(MIN(D117,Calculator!$H$6-E117),2))</f>
        <v>957.39</v>
      </c>
      <c r="G117" s="26" t="n">
        <f aca="false">ROUND(IF(A117&gt;=Calculator!$E$11,Calculator!$E$6,0)+IF(A117=Calculator!$E$8,Calculator!$E$7,0)+IF(MONTH(B117)=Calculator!$E$10,Calculator!$E$9,0),2)</f>
        <v>200</v>
      </c>
      <c r="H117" s="26" t="n">
        <f aca="false">IF(D117&lt;=0,0,ROUND(MIN(D117-F117,G117),2))</f>
        <v>200</v>
      </c>
      <c r="I117" s="26" t="n">
        <f aca="false">ROUND(E117+F117+H117,2)</f>
        <v>2854.69</v>
      </c>
      <c r="J117" s="26" t="n">
        <f aca="false">ROUND(MAX(0,D117-F117-H117),2)</f>
        <v>312190.61</v>
      </c>
      <c r="K117" s="26" t="n">
        <f aca="false">ROUND(E117+K116,2)</f>
        <v>224915.89</v>
      </c>
    </row>
    <row r="118" customFormat="false" ht="15" hidden="false" customHeight="true" outlineLevel="0" collapsed="false">
      <c r="A118" s="19" t="n">
        <f aca="false">A117+1</f>
        <v>113</v>
      </c>
      <c r="B118" s="18" t="n">
        <f aca="false">EDATE(B117,1)</f>
        <v>49706</v>
      </c>
      <c r="C118" s="19" t="n">
        <f aca="false">ROUNDUP(A118/12,0)</f>
        <v>10</v>
      </c>
      <c r="D118" s="26" t="n">
        <f aca="false">J117</f>
        <v>312190.61</v>
      </c>
      <c r="E118" s="26" t="n">
        <f aca="false">IF(D118&lt;=0,0,ROUND(D118*Calculator!$B$7/12,2))</f>
        <v>1691.03</v>
      </c>
      <c r="F118" s="26" t="n">
        <f aca="false">IF(D118&lt;=0,0,ROUND(MIN(D118,Calculator!$H$6-E118),2))</f>
        <v>963.66</v>
      </c>
      <c r="G118" s="26" t="n">
        <f aca="false">ROUND(IF(A118&gt;=Calculator!$E$11,Calculator!$E$6,0)+IF(A118=Calculator!$E$8,Calculator!$E$7,0)+IF(MONTH(B118)=Calculator!$E$10,Calculator!$E$9,0),2)</f>
        <v>200</v>
      </c>
      <c r="H118" s="26" t="n">
        <f aca="false">IF(D118&lt;=0,0,ROUND(MIN(D118-F118,G118),2))</f>
        <v>200</v>
      </c>
      <c r="I118" s="26" t="n">
        <f aca="false">ROUND(E118+F118+H118,2)</f>
        <v>2854.69</v>
      </c>
      <c r="J118" s="26" t="n">
        <f aca="false">ROUND(MAX(0,D118-F118-H118),2)</f>
        <v>311026.95</v>
      </c>
      <c r="K118" s="26" t="n">
        <f aca="false">ROUND(E118+K117,2)</f>
        <v>226606.92</v>
      </c>
    </row>
    <row r="119" customFormat="false" ht="15" hidden="false" customHeight="true" outlineLevel="0" collapsed="false">
      <c r="A119" s="19" t="n">
        <f aca="false">A118+1</f>
        <v>114</v>
      </c>
      <c r="B119" s="18" t="n">
        <f aca="false">EDATE(B118,1)</f>
        <v>49735</v>
      </c>
      <c r="C119" s="19" t="n">
        <f aca="false">ROUNDUP(A119/12,0)</f>
        <v>10</v>
      </c>
      <c r="D119" s="26" t="n">
        <f aca="false">J118</f>
        <v>311026.95</v>
      </c>
      <c r="E119" s="26" t="n">
        <f aca="false">IF(D119&lt;=0,0,ROUND(D119*Calculator!$B$7/12,2))</f>
        <v>1684.73</v>
      </c>
      <c r="F119" s="26" t="n">
        <f aca="false">IF(D119&lt;=0,0,ROUND(MIN(D119,Calculator!$H$6-E119),2))</f>
        <v>969.96</v>
      </c>
      <c r="G119" s="26" t="n">
        <f aca="false">ROUND(IF(A119&gt;=Calculator!$E$11,Calculator!$E$6,0)+IF(A119=Calculator!$E$8,Calculator!$E$7,0)+IF(MONTH(B119)=Calculator!$E$10,Calculator!$E$9,0),2)</f>
        <v>200</v>
      </c>
      <c r="H119" s="26" t="n">
        <f aca="false">IF(D119&lt;=0,0,ROUND(MIN(D119-F119,G119),2))</f>
        <v>200</v>
      </c>
      <c r="I119" s="26" t="n">
        <f aca="false">ROUND(E119+F119+H119,2)</f>
        <v>2854.69</v>
      </c>
      <c r="J119" s="26" t="n">
        <f aca="false">ROUND(MAX(0,D119-F119-H119),2)</f>
        <v>309856.99</v>
      </c>
      <c r="K119" s="26" t="n">
        <f aca="false">ROUND(E119+K118,2)</f>
        <v>228291.65</v>
      </c>
    </row>
    <row r="120" customFormat="false" ht="15" hidden="false" customHeight="true" outlineLevel="0" collapsed="false">
      <c r="A120" s="19" t="n">
        <f aca="false">A119+1</f>
        <v>115</v>
      </c>
      <c r="B120" s="18" t="n">
        <f aca="false">EDATE(B119,1)</f>
        <v>49766</v>
      </c>
      <c r="C120" s="19" t="n">
        <f aca="false">ROUNDUP(A120/12,0)</f>
        <v>10</v>
      </c>
      <c r="D120" s="26" t="n">
        <f aca="false">J119</f>
        <v>309856.99</v>
      </c>
      <c r="E120" s="26" t="n">
        <f aca="false">IF(D120&lt;=0,0,ROUND(D120*Calculator!$B$7/12,2))</f>
        <v>1678.39</v>
      </c>
      <c r="F120" s="26" t="n">
        <f aca="false">IF(D120&lt;=0,0,ROUND(MIN(D120,Calculator!$H$6-E120),2))</f>
        <v>976.3</v>
      </c>
      <c r="G120" s="26" t="n">
        <f aca="false">ROUND(IF(A120&gt;=Calculator!$E$11,Calculator!$E$6,0)+IF(A120=Calculator!$E$8,Calculator!$E$7,0)+IF(MONTH(B120)=Calculator!$E$10,Calculator!$E$9,0),2)</f>
        <v>200</v>
      </c>
      <c r="H120" s="26" t="n">
        <f aca="false">IF(D120&lt;=0,0,ROUND(MIN(D120-F120,G120),2))</f>
        <v>200</v>
      </c>
      <c r="I120" s="26" t="n">
        <f aca="false">ROUND(E120+F120+H120,2)</f>
        <v>2854.69</v>
      </c>
      <c r="J120" s="26" t="n">
        <f aca="false">ROUND(MAX(0,D120-F120-H120),2)</f>
        <v>308680.69</v>
      </c>
      <c r="K120" s="26" t="n">
        <f aca="false">ROUND(E120+K119,2)</f>
        <v>229970.04</v>
      </c>
    </row>
    <row r="121" customFormat="false" ht="15" hidden="false" customHeight="true" outlineLevel="0" collapsed="false">
      <c r="A121" s="19" t="n">
        <f aca="false">A120+1</f>
        <v>116</v>
      </c>
      <c r="B121" s="18" t="n">
        <f aca="false">EDATE(B120,1)</f>
        <v>49796</v>
      </c>
      <c r="C121" s="19" t="n">
        <f aca="false">ROUNDUP(A121/12,0)</f>
        <v>10</v>
      </c>
      <c r="D121" s="26" t="n">
        <f aca="false">J120</f>
        <v>308680.69</v>
      </c>
      <c r="E121" s="26" t="n">
        <f aca="false">IF(D121&lt;=0,0,ROUND(D121*Calculator!$B$7/12,2))</f>
        <v>1672.02</v>
      </c>
      <c r="F121" s="26" t="n">
        <f aca="false">IF(D121&lt;=0,0,ROUND(MIN(D121,Calculator!$H$6-E121),2))</f>
        <v>982.67</v>
      </c>
      <c r="G121" s="26" t="n">
        <f aca="false">ROUND(IF(A121&gt;=Calculator!$E$11,Calculator!$E$6,0)+IF(A121=Calculator!$E$8,Calculator!$E$7,0)+IF(MONTH(B121)=Calculator!$E$10,Calculator!$E$9,0),2)</f>
        <v>200</v>
      </c>
      <c r="H121" s="26" t="n">
        <f aca="false">IF(D121&lt;=0,0,ROUND(MIN(D121-F121,G121),2))</f>
        <v>200</v>
      </c>
      <c r="I121" s="26" t="n">
        <f aca="false">ROUND(E121+F121+H121,2)</f>
        <v>2854.69</v>
      </c>
      <c r="J121" s="26" t="n">
        <f aca="false">ROUND(MAX(0,D121-F121-H121),2)</f>
        <v>307498.02</v>
      </c>
      <c r="K121" s="26" t="n">
        <f aca="false">ROUND(E121+K120,2)</f>
        <v>231642.06</v>
      </c>
    </row>
    <row r="122" customFormat="false" ht="15" hidden="false" customHeight="true" outlineLevel="0" collapsed="false">
      <c r="A122" s="19" t="n">
        <f aca="false">A121+1</f>
        <v>117</v>
      </c>
      <c r="B122" s="18" t="n">
        <f aca="false">EDATE(B121,1)</f>
        <v>49827</v>
      </c>
      <c r="C122" s="19" t="n">
        <f aca="false">ROUNDUP(A122/12,0)</f>
        <v>10</v>
      </c>
      <c r="D122" s="26" t="n">
        <f aca="false">J121</f>
        <v>307498.02</v>
      </c>
      <c r="E122" s="26" t="n">
        <f aca="false">IF(D122&lt;=0,0,ROUND(D122*Calculator!$B$7/12,2))</f>
        <v>1665.61</v>
      </c>
      <c r="F122" s="26" t="n">
        <f aca="false">IF(D122&lt;=0,0,ROUND(MIN(D122,Calculator!$H$6-E122),2))</f>
        <v>989.08</v>
      </c>
      <c r="G122" s="26" t="n">
        <f aca="false">ROUND(IF(A122&gt;=Calculator!$E$11,Calculator!$E$6,0)+IF(A122=Calculator!$E$8,Calculator!$E$7,0)+IF(MONTH(B122)=Calculator!$E$10,Calculator!$E$9,0),2)</f>
        <v>200</v>
      </c>
      <c r="H122" s="26" t="n">
        <f aca="false">IF(D122&lt;=0,0,ROUND(MIN(D122-F122,G122),2))</f>
        <v>200</v>
      </c>
      <c r="I122" s="26" t="n">
        <f aca="false">ROUND(E122+F122+H122,2)</f>
        <v>2854.69</v>
      </c>
      <c r="J122" s="26" t="n">
        <f aca="false">ROUND(MAX(0,D122-F122-H122),2)</f>
        <v>306308.94</v>
      </c>
      <c r="K122" s="26" t="n">
        <f aca="false">ROUND(E122+K121,2)</f>
        <v>233307.67</v>
      </c>
    </row>
    <row r="123" customFormat="false" ht="15" hidden="false" customHeight="true" outlineLevel="0" collapsed="false">
      <c r="A123" s="19" t="n">
        <f aca="false">A122+1</f>
        <v>118</v>
      </c>
      <c r="B123" s="18" t="n">
        <f aca="false">EDATE(B122,1)</f>
        <v>49857</v>
      </c>
      <c r="C123" s="19" t="n">
        <f aca="false">ROUNDUP(A123/12,0)</f>
        <v>10</v>
      </c>
      <c r="D123" s="26" t="n">
        <f aca="false">J122</f>
        <v>306308.94</v>
      </c>
      <c r="E123" s="26" t="n">
        <f aca="false">IF(D123&lt;=0,0,ROUND(D123*Calculator!$B$7/12,2))</f>
        <v>1659.17</v>
      </c>
      <c r="F123" s="26" t="n">
        <f aca="false">IF(D123&lt;=0,0,ROUND(MIN(D123,Calculator!$H$6-E123),2))</f>
        <v>995.52</v>
      </c>
      <c r="G123" s="26" t="n">
        <f aca="false">ROUND(IF(A123&gt;=Calculator!$E$11,Calculator!$E$6,0)+IF(A123=Calculator!$E$8,Calculator!$E$7,0)+IF(MONTH(B123)=Calculator!$E$10,Calculator!$E$9,0),2)</f>
        <v>200</v>
      </c>
      <c r="H123" s="26" t="n">
        <f aca="false">IF(D123&lt;=0,0,ROUND(MIN(D123-F123,G123),2))</f>
        <v>200</v>
      </c>
      <c r="I123" s="26" t="n">
        <f aca="false">ROUND(E123+F123+H123,2)</f>
        <v>2854.69</v>
      </c>
      <c r="J123" s="26" t="n">
        <f aca="false">ROUND(MAX(0,D123-F123-H123),2)</f>
        <v>305113.42</v>
      </c>
      <c r="K123" s="26" t="n">
        <f aca="false">ROUND(E123+K122,2)</f>
        <v>234966.84</v>
      </c>
    </row>
    <row r="124" customFormat="false" ht="15" hidden="false" customHeight="true" outlineLevel="0" collapsed="false">
      <c r="A124" s="19" t="n">
        <f aca="false">A123+1</f>
        <v>119</v>
      </c>
      <c r="B124" s="18" t="n">
        <f aca="false">EDATE(B123,1)</f>
        <v>49888</v>
      </c>
      <c r="C124" s="19" t="n">
        <f aca="false">ROUNDUP(A124/12,0)</f>
        <v>10</v>
      </c>
      <c r="D124" s="26" t="n">
        <f aca="false">J123</f>
        <v>305113.42</v>
      </c>
      <c r="E124" s="26" t="n">
        <f aca="false">IF(D124&lt;=0,0,ROUND(D124*Calculator!$B$7/12,2))</f>
        <v>1652.7</v>
      </c>
      <c r="F124" s="26" t="n">
        <f aca="false">IF(D124&lt;=0,0,ROUND(MIN(D124,Calculator!$H$6-E124),2))</f>
        <v>1001.99</v>
      </c>
      <c r="G124" s="26" t="n">
        <f aca="false">ROUND(IF(A124&gt;=Calculator!$E$11,Calculator!$E$6,0)+IF(A124=Calculator!$E$8,Calculator!$E$7,0)+IF(MONTH(B124)=Calculator!$E$10,Calculator!$E$9,0),2)</f>
        <v>200</v>
      </c>
      <c r="H124" s="26" t="n">
        <f aca="false">IF(D124&lt;=0,0,ROUND(MIN(D124-F124,G124),2))</f>
        <v>200</v>
      </c>
      <c r="I124" s="26" t="n">
        <f aca="false">ROUND(E124+F124+H124,2)</f>
        <v>2854.69</v>
      </c>
      <c r="J124" s="26" t="n">
        <f aca="false">ROUND(MAX(0,D124-F124-H124),2)</f>
        <v>303911.43</v>
      </c>
      <c r="K124" s="26" t="n">
        <f aca="false">ROUND(E124+K123,2)</f>
        <v>236619.54</v>
      </c>
    </row>
    <row r="125" customFormat="false" ht="15" hidden="false" customHeight="true" outlineLevel="0" collapsed="false">
      <c r="A125" s="19" t="n">
        <f aca="false">A124+1</f>
        <v>120</v>
      </c>
      <c r="B125" s="18" t="n">
        <f aca="false">EDATE(B124,1)</f>
        <v>49919</v>
      </c>
      <c r="C125" s="19" t="n">
        <f aca="false">ROUNDUP(A125/12,0)</f>
        <v>10</v>
      </c>
      <c r="D125" s="26" t="n">
        <f aca="false">J124</f>
        <v>303911.43</v>
      </c>
      <c r="E125" s="26" t="n">
        <f aca="false">IF(D125&lt;=0,0,ROUND(D125*Calculator!$B$7/12,2))</f>
        <v>1646.19</v>
      </c>
      <c r="F125" s="26" t="n">
        <f aca="false">IF(D125&lt;=0,0,ROUND(MIN(D125,Calculator!$H$6-E125),2))</f>
        <v>1008.5</v>
      </c>
      <c r="G125" s="26" t="n">
        <f aca="false">ROUND(IF(A125&gt;=Calculator!$E$11,Calculator!$E$6,0)+IF(A125=Calculator!$E$8,Calculator!$E$7,0)+IF(MONTH(B125)=Calculator!$E$10,Calculator!$E$9,0),2)</f>
        <v>200</v>
      </c>
      <c r="H125" s="26" t="n">
        <f aca="false">IF(D125&lt;=0,0,ROUND(MIN(D125-F125,G125),2))</f>
        <v>200</v>
      </c>
      <c r="I125" s="26" t="n">
        <f aca="false">ROUND(E125+F125+H125,2)</f>
        <v>2854.69</v>
      </c>
      <c r="J125" s="26" t="n">
        <f aca="false">ROUND(MAX(0,D125-F125-H125),2)</f>
        <v>302702.93</v>
      </c>
      <c r="K125" s="26" t="n">
        <f aca="false">ROUND(E125+K124,2)</f>
        <v>238265.73</v>
      </c>
    </row>
    <row r="126" customFormat="false" ht="15" hidden="false" customHeight="true" outlineLevel="0" collapsed="false">
      <c r="A126" s="19" t="n">
        <f aca="false">A125+1</f>
        <v>121</v>
      </c>
      <c r="B126" s="18" t="n">
        <f aca="false">EDATE(B125,1)</f>
        <v>49949</v>
      </c>
      <c r="C126" s="19" t="n">
        <f aca="false">ROUNDUP(A126/12,0)</f>
        <v>11</v>
      </c>
      <c r="D126" s="26" t="n">
        <f aca="false">J125</f>
        <v>302702.93</v>
      </c>
      <c r="E126" s="26" t="n">
        <f aca="false">IF(D126&lt;=0,0,ROUND(D126*Calculator!$B$7/12,2))</f>
        <v>1639.64</v>
      </c>
      <c r="F126" s="26" t="n">
        <f aca="false">IF(D126&lt;=0,0,ROUND(MIN(D126,Calculator!$H$6-E126),2))</f>
        <v>1015.05</v>
      </c>
      <c r="G126" s="26" t="n">
        <f aca="false">ROUND(IF(A126&gt;=Calculator!$E$11,Calculator!$E$6,0)+IF(A126=Calculator!$E$8,Calculator!$E$7,0)+IF(MONTH(B126)=Calculator!$E$10,Calculator!$E$9,0),2)</f>
        <v>200</v>
      </c>
      <c r="H126" s="26" t="n">
        <f aca="false">IF(D126&lt;=0,0,ROUND(MIN(D126-F126,G126),2))</f>
        <v>200</v>
      </c>
      <c r="I126" s="26" t="n">
        <f aca="false">ROUND(E126+F126+H126,2)</f>
        <v>2854.69</v>
      </c>
      <c r="J126" s="26" t="n">
        <f aca="false">ROUND(MAX(0,D126-F126-H126),2)</f>
        <v>301487.88</v>
      </c>
      <c r="K126" s="26" t="n">
        <f aca="false">ROUND(E126+K125,2)</f>
        <v>239905.37</v>
      </c>
    </row>
    <row r="127" customFormat="false" ht="15" hidden="false" customHeight="true" outlineLevel="0" collapsed="false">
      <c r="A127" s="19" t="n">
        <f aca="false">A126+1</f>
        <v>122</v>
      </c>
      <c r="B127" s="18" t="n">
        <f aca="false">EDATE(B126,1)</f>
        <v>49980</v>
      </c>
      <c r="C127" s="19" t="n">
        <f aca="false">ROUNDUP(A127/12,0)</f>
        <v>11</v>
      </c>
      <c r="D127" s="26" t="n">
        <f aca="false">J126</f>
        <v>301487.88</v>
      </c>
      <c r="E127" s="26" t="n">
        <f aca="false">IF(D127&lt;=0,0,ROUND(D127*Calculator!$B$7/12,2))</f>
        <v>1633.06</v>
      </c>
      <c r="F127" s="26" t="n">
        <f aca="false">IF(D127&lt;=0,0,ROUND(MIN(D127,Calculator!$H$6-E127),2))</f>
        <v>1021.63</v>
      </c>
      <c r="G127" s="26" t="n">
        <f aca="false">ROUND(IF(A127&gt;=Calculator!$E$11,Calculator!$E$6,0)+IF(A127=Calculator!$E$8,Calculator!$E$7,0)+IF(MONTH(B127)=Calculator!$E$10,Calculator!$E$9,0),2)</f>
        <v>200</v>
      </c>
      <c r="H127" s="26" t="n">
        <f aca="false">IF(D127&lt;=0,0,ROUND(MIN(D127-F127,G127),2))</f>
        <v>200</v>
      </c>
      <c r="I127" s="26" t="n">
        <f aca="false">ROUND(E127+F127+H127,2)</f>
        <v>2854.69</v>
      </c>
      <c r="J127" s="26" t="n">
        <f aca="false">ROUND(MAX(0,D127-F127-H127),2)</f>
        <v>300266.25</v>
      </c>
      <c r="K127" s="26" t="n">
        <f aca="false">ROUND(E127+K126,2)</f>
        <v>241538.43</v>
      </c>
    </row>
    <row r="128" customFormat="false" ht="15" hidden="false" customHeight="true" outlineLevel="0" collapsed="false">
      <c r="A128" s="19" t="n">
        <f aca="false">A127+1</f>
        <v>123</v>
      </c>
      <c r="B128" s="18" t="n">
        <f aca="false">EDATE(B127,1)</f>
        <v>50010</v>
      </c>
      <c r="C128" s="19" t="n">
        <f aca="false">ROUNDUP(A128/12,0)</f>
        <v>11</v>
      </c>
      <c r="D128" s="26" t="n">
        <f aca="false">J127</f>
        <v>300266.25</v>
      </c>
      <c r="E128" s="26" t="n">
        <f aca="false">IF(D128&lt;=0,0,ROUND(D128*Calculator!$B$7/12,2))</f>
        <v>1626.44</v>
      </c>
      <c r="F128" s="26" t="n">
        <f aca="false">IF(D128&lt;=0,0,ROUND(MIN(D128,Calculator!$H$6-E128),2))</f>
        <v>1028.25</v>
      </c>
      <c r="G128" s="26" t="n">
        <f aca="false">ROUND(IF(A128&gt;=Calculator!$E$11,Calculator!$E$6,0)+IF(A128=Calculator!$E$8,Calculator!$E$7,0)+IF(MONTH(B128)=Calculator!$E$10,Calculator!$E$9,0),2)</f>
        <v>1200</v>
      </c>
      <c r="H128" s="26" t="n">
        <f aca="false">IF(D128&lt;=0,0,ROUND(MIN(D128-F128,G128),2))</f>
        <v>1200</v>
      </c>
      <c r="I128" s="26" t="n">
        <f aca="false">ROUND(E128+F128+H128,2)</f>
        <v>3854.69</v>
      </c>
      <c r="J128" s="26" t="n">
        <f aca="false">ROUND(MAX(0,D128-F128-H128),2)</f>
        <v>298038</v>
      </c>
      <c r="K128" s="26" t="n">
        <f aca="false">ROUND(E128+K127,2)</f>
        <v>243164.87</v>
      </c>
    </row>
    <row r="129" customFormat="false" ht="15" hidden="false" customHeight="true" outlineLevel="0" collapsed="false">
      <c r="A129" s="19" t="n">
        <f aca="false">A128+1</f>
        <v>124</v>
      </c>
      <c r="B129" s="18" t="n">
        <f aca="false">EDATE(B128,1)</f>
        <v>50041</v>
      </c>
      <c r="C129" s="19" t="n">
        <f aca="false">ROUNDUP(A129/12,0)</f>
        <v>11</v>
      </c>
      <c r="D129" s="26" t="n">
        <f aca="false">J128</f>
        <v>298038</v>
      </c>
      <c r="E129" s="26" t="n">
        <f aca="false">IF(D129&lt;=0,0,ROUND(D129*Calculator!$B$7/12,2))</f>
        <v>1614.37</v>
      </c>
      <c r="F129" s="26" t="n">
        <f aca="false">IF(D129&lt;=0,0,ROUND(MIN(D129,Calculator!$H$6-E129),2))</f>
        <v>1040.32</v>
      </c>
      <c r="G129" s="26" t="n">
        <f aca="false">ROUND(IF(A129&gt;=Calculator!$E$11,Calculator!$E$6,0)+IF(A129=Calculator!$E$8,Calculator!$E$7,0)+IF(MONTH(B129)=Calculator!$E$10,Calculator!$E$9,0),2)</f>
        <v>200</v>
      </c>
      <c r="H129" s="26" t="n">
        <f aca="false">IF(D129&lt;=0,0,ROUND(MIN(D129-F129,G129),2))</f>
        <v>200</v>
      </c>
      <c r="I129" s="26" t="n">
        <f aca="false">ROUND(E129+F129+H129,2)</f>
        <v>2854.69</v>
      </c>
      <c r="J129" s="26" t="n">
        <f aca="false">ROUND(MAX(0,D129-F129-H129),2)</f>
        <v>296797.68</v>
      </c>
      <c r="K129" s="26" t="n">
        <f aca="false">ROUND(E129+K128,2)</f>
        <v>244779.24</v>
      </c>
    </row>
    <row r="130" customFormat="false" ht="15" hidden="false" customHeight="true" outlineLevel="0" collapsed="false">
      <c r="A130" s="19" t="n">
        <f aca="false">A129+1</f>
        <v>125</v>
      </c>
      <c r="B130" s="18" t="n">
        <f aca="false">EDATE(B129,1)</f>
        <v>50072</v>
      </c>
      <c r="C130" s="19" t="n">
        <f aca="false">ROUNDUP(A130/12,0)</f>
        <v>11</v>
      </c>
      <c r="D130" s="26" t="n">
        <f aca="false">J129</f>
        <v>296797.68</v>
      </c>
      <c r="E130" s="26" t="n">
        <f aca="false">IF(D130&lt;=0,0,ROUND(D130*Calculator!$B$7/12,2))</f>
        <v>1607.65</v>
      </c>
      <c r="F130" s="26" t="n">
        <f aca="false">IF(D130&lt;=0,0,ROUND(MIN(D130,Calculator!$H$6-E130),2))</f>
        <v>1047.04</v>
      </c>
      <c r="G130" s="26" t="n">
        <f aca="false">ROUND(IF(A130&gt;=Calculator!$E$11,Calculator!$E$6,0)+IF(A130=Calculator!$E$8,Calculator!$E$7,0)+IF(MONTH(B130)=Calculator!$E$10,Calculator!$E$9,0),2)</f>
        <v>200</v>
      </c>
      <c r="H130" s="26" t="n">
        <f aca="false">IF(D130&lt;=0,0,ROUND(MIN(D130-F130,G130),2))</f>
        <v>200</v>
      </c>
      <c r="I130" s="26" t="n">
        <f aca="false">ROUND(E130+F130+H130,2)</f>
        <v>2854.69</v>
      </c>
      <c r="J130" s="26" t="n">
        <f aca="false">ROUND(MAX(0,D130-F130-H130),2)</f>
        <v>295550.64</v>
      </c>
      <c r="K130" s="26" t="n">
        <f aca="false">ROUND(E130+K129,2)</f>
        <v>246386.89</v>
      </c>
    </row>
    <row r="131" customFormat="false" ht="15" hidden="false" customHeight="true" outlineLevel="0" collapsed="false">
      <c r="A131" s="19" t="n">
        <f aca="false">A130+1</f>
        <v>126</v>
      </c>
      <c r="B131" s="18" t="n">
        <f aca="false">EDATE(B130,1)</f>
        <v>50100</v>
      </c>
      <c r="C131" s="19" t="n">
        <f aca="false">ROUNDUP(A131/12,0)</f>
        <v>11</v>
      </c>
      <c r="D131" s="26" t="n">
        <f aca="false">J130</f>
        <v>295550.64</v>
      </c>
      <c r="E131" s="26" t="n">
        <f aca="false">IF(D131&lt;=0,0,ROUND(D131*Calculator!$B$7/12,2))</f>
        <v>1600.9</v>
      </c>
      <c r="F131" s="26" t="n">
        <f aca="false">IF(D131&lt;=0,0,ROUND(MIN(D131,Calculator!$H$6-E131),2))</f>
        <v>1053.79</v>
      </c>
      <c r="G131" s="26" t="n">
        <f aca="false">ROUND(IF(A131&gt;=Calculator!$E$11,Calculator!$E$6,0)+IF(A131=Calculator!$E$8,Calculator!$E$7,0)+IF(MONTH(B131)=Calculator!$E$10,Calculator!$E$9,0),2)</f>
        <v>200</v>
      </c>
      <c r="H131" s="26" t="n">
        <f aca="false">IF(D131&lt;=0,0,ROUND(MIN(D131-F131,G131),2))</f>
        <v>200</v>
      </c>
      <c r="I131" s="26" t="n">
        <f aca="false">ROUND(E131+F131+H131,2)</f>
        <v>2854.69</v>
      </c>
      <c r="J131" s="26" t="n">
        <f aca="false">ROUND(MAX(0,D131-F131-H131),2)</f>
        <v>294296.85</v>
      </c>
      <c r="K131" s="26" t="n">
        <f aca="false">ROUND(E131+K130,2)</f>
        <v>247987.79</v>
      </c>
    </row>
    <row r="132" customFormat="false" ht="15" hidden="false" customHeight="true" outlineLevel="0" collapsed="false">
      <c r="A132" s="19" t="n">
        <f aca="false">A131+1</f>
        <v>127</v>
      </c>
      <c r="B132" s="18" t="n">
        <f aca="false">EDATE(B131,1)</f>
        <v>50131</v>
      </c>
      <c r="C132" s="19" t="n">
        <f aca="false">ROUNDUP(A132/12,0)</f>
        <v>11</v>
      </c>
      <c r="D132" s="26" t="n">
        <f aca="false">J131</f>
        <v>294296.85</v>
      </c>
      <c r="E132" s="26" t="n">
        <f aca="false">IF(D132&lt;=0,0,ROUND(D132*Calculator!$B$7/12,2))</f>
        <v>1594.11</v>
      </c>
      <c r="F132" s="26" t="n">
        <f aca="false">IF(D132&lt;=0,0,ROUND(MIN(D132,Calculator!$H$6-E132),2))</f>
        <v>1060.58</v>
      </c>
      <c r="G132" s="26" t="n">
        <f aca="false">ROUND(IF(A132&gt;=Calculator!$E$11,Calculator!$E$6,0)+IF(A132=Calculator!$E$8,Calculator!$E$7,0)+IF(MONTH(B132)=Calculator!$E$10,Calculator!$E$9,0),2)</f>
        <v>200</v>
      </c>
      <c r="H132" s="26" t="n">
        <f aca="false">IF(D132&lt;=0,0,ROUND(MIN(D132-F132,G132),2))</f>
        <v>200</v>
      </c>
      <c r="I132" s="26" t="n">
        <f aca="false">ROUND(E132+F132+H132,2)</f>
        <v>2854.69</v>
      </c>
      <c r="J132" s="26" t="n">
        <f aca="false">ROUND(MAX(0,D132-F132-H132),2)</f>
        <v>293036.27</v>
      </c>
      <c r="K132" s="26" t="n">
        <f aca="false">ROUND(E132+K131,2)</f>
        <v>249581.9</v>
      </c>
    </row>
    <row r="133" customFormat="false" ht="15" hidden="false" customHeight="true" outlineLevel="0" collapsed="false">
      <c r="A133" s="19" t="n">
        <f aca="false">A132+1</f>
        <v>128</v>
      </c>
      <c r="B133" s="18" t="n">
        <f aca="false">EDATE(B132,1)</f>
        <v>50161</v>
      </c>
      <c r="C133" s="19" t="n">
        <f aca="false">ROUNDUP(A133/12,0)</f>
        <v>11</v>
      </c>
      <c r="D133" s="26" t="n">
        <f aca="false">J132</f>
        <v>293036.27</v>
      </c>
      <c r="E133" s="26" t="n">
        <f aca="false">IF(D133&lt;=0,0,ROUND(D133*Calculator!$B$7/12,2))</f>
        <v>1587.28</v>
      </c>
      <c r="F133" s="26" t="n">
        <f aca="false">IF(D133&lt;=0,0,ROUND(MIN(D133,Calculator!$H$6-E133),2))</f>
        <v>1067.41</v>
      </c>
      <c r="G133" s="26" t="n">
        <f aca="false">ROUND(IF(A133&gt;=Calculator!$E$11,Calculator!$E$6,0)+IF(A133=Calculator!$E$8,Calculator!$E$7,0)+IF(MONTH(B133)=Calculator!$E$10,Calculator!$E$9,0),2)</f>
        <v>200</v>
      </c>
      <c r="H133" s="26" t="n">
        <f aca="false">IF(D133&lt;=0,0,ROUND(MIN(D133-F133,G133),2))</f>
        <v>200</v>
      </c>
      <c r="I133" s="26" t="n">
        <f aca="false">ROUND(E133+F133+H133,2)</f>
        <v>2854.69</v>
      </c>
      <c r="J133" s="26" t="n">
        <f aca="false">ROUND(MAX(0,D133-F133-H133),2)</f>
        <v>291768.86</v>
      </c>
      <c r="K133" s="26" t="n">
        <f aca="false">ROUND(E133+K132,2)</f>
        <v>251169.18</v>
      </c>
    </row>
    <row r="134" customFormat="false" ht="15" hidden="false" customHeight="true" outlineLevel="0" collapsed="false">
      <c r="A134" s="19" t="n">
        <f aca="false">A133+1</f>
        <v>129</v>
      </c>
      <c r="B134" s="18" t="n">
        <f aca="false">EDATE(B133,1)</f>
        <v>50192</v>
      </c>
      <c r="C134" s="19" t="n">
        <f aca="false">ROUNDUP(A134/12,0)</f>
        <v>11</v>
      </c>
      <c r="D134" s="26" t="n">
        <f aca="false">J133</f>
        <v>291768.86</v>
      </c>
      <c r="E134" s="26" t="n">
        <f aca="false">IF(D134&lt;=0,0,ROUND(D134*Calculator!$B$7/12,2))</f>
        <v>1580.41</v>
      </c>
      <c r="F134" s="26" t="n">
        <f aca="false">IF(D134&lt;=0,0,ROUND(MIN(D134,Calculator!$H$6-E134),2))</f>
        <v>1074.28</v>
      </c>
      <c r="G134" s="26" t="n">
        <f aca="false">ROUND(IF(A134&gt;=Calculator!$E$11,Calculator!$E$6,0)+IF(A134=Calculator!$E$8,Calculator!$E$7,0)+IF(MONTH(B134)=Calculator!$E$10,Calculator!$E$9,0),2)</f>
        <v>200</v>
      </c>
      <c r="H134" s="26" t="n">
        <f aca="false">IF(D134&lt;=0,0,ROUND(MIN(D134-F134,G134),2))</f>
        <v>200</v>
      </c>
      <c r="I134" s="26" t="n">
        <f aca="false">ROUND(E134+F134+H134,2)</f>
        <v>2854.69</v>
      </c>
      <c r="J134" s="26" t="n">
        <f aca="false">ROUND(MAX(0,D134-F134-H134),2)</f>
        <v>290494.58</v>
      </c>
      <c r="K134" s="26" t="n">
        <f aca="false">ROUND(E134+K133,2)</f>
        <v>252749.59</v>
      </c>
    </row>
    <row r="135" customFormat="false" ht="15" hidden="false" customHeight="true" outlineLevel="0" collapsed="false">
      <c r="A135" s="19" t="n">
        <f aca="false">A134+1</f>
        <v>130</v>
      </c>
      <c r="B135" s="18" t="n">
        <f aca="false">EDATE(B134,1)</f>
        <v>50222</v>
      </c>
      <c r="C135" s="19" t="n">
        <f aca="false">ROUNDUP(A135/12,0)</f>
        <v>11</v>
      </c>
      <c r="D135" s="26" t="n">
        <f aca="false">J134</f>
        <v>290494.58</v>
      </c>
      <c r="E135" s="26" t="n">
        <f aca="false">IF(D135&lt;=0,0,ROUND(D135*Calculator!$B$7/12,2))</f>
        <v>1573.51</v>
      </c>
      <c r="F135" s="26" t="n">
        <f aca="false">IF(D135&lt;=0,0,ROUND(MIN(D135,Calculator!$H$6-E135),2))</f>
        <v>1081.18</v>
      </c>
      <c r="G135" s="26" t="n">
        <f aca="false">ROUND(IF(A135&gt;=Calculator!$E$11,Calculator!$E$6,0)+IF(A135=Calculator!$E$8,Calculator!$E$7,0)+IF(MONTH(B135)=Calculator!$E$10,Calculator!$E$9,0),2)</f>
        <v>200</v>
      </c>
      <c r="H135" s="26" t="n">
        <f aca="false">IF(D135&lt;=0,0,ROUND(MIN(D135-F135,G135),2))</f>
        <v>200</v>
      </c>
      <c r="I135" s="26" t="n">
        <f aca="false">ROUND(E135+F135+H135,2)</f>
        <v>2854.69</v>
      </c>
      <c r="J135" s="26" t="n">
        <f aca="false">ROUND(MAX(0,D135-F135-H135),2)</f>
        <v>289213.4</v>
      </c>
      <c r="K135" s="26" t="n">
        <f aca="false">ROUND(E135+K134,2)</f>
        <v>254323.1</v>
      </c>
    </row>
    <row r="136" customFormat="false" ht="15" hidden="false" customHeight="true" outlineLevel="0" collapsed="false">
      <c r="A136" s="19" t="n">
        <f aca="false">A135+1</f>
        <v>131</v>
      </c>
      <c r="B136" s="18" t="n">
        <f aca="false">EDATE(B135,1)</f>
        <v>50253</v>
      </c>
      <c r="C136" s="19" t="n">
        <f aca="false">ROUNDUP(A136/12,0)</f>
        <v>11</v>
      </c>
      <c r="D136" s="26" t="n">
        <f aca="false">J135</f>
        <v>289213.4</v>
      </c>
      <c r="E136" s="26" t="n">
        <f aca="false">IF(D136&lt;=0,0,ROUND(D136*Calculator!$B$7/12,2))</f>
        <v>1566.57</v>
      </c>
      <c r="F136" s="26" t="n">
        <f aca="false">IF(D136&lt;=0,0,ROUND(MIN(D136,Calculator!$H$6-E136),2))</f>
        <v>1088.12</v>
      </c>
      <c r="G136" s="26" t="n">
        <f aca="false">ROUND(IF(A136&gt;=Calculator!$E$11,Calculator!$E$6,0)+IF(A136=Calculator!$E$8,Calculator!$E$7,0)+IF(MONTH(B136)=Calculator!$E$10,Calculator!$E$9,0),2)</f>
        <v>200</v>
      </c>
      <c r="H136" s="26" t="n">
        <f aca="false">IF(D136&lt;=0,0,ROUND(MIN(D136-F136,G136),2))</f>
        <v>200</v>
      </c>
      <c r="I136" s="26" t="n">
        <f aca="false">ROUND(E136+F136+H136,2)</f>
        <v>2854.69</v>
      </c>
      <c r="J136" s="26" t="n">
        <f aca="false">ROUND(MAX(0,D136-F136-H136),2)</f>
        <v>287925.28</v>
      </c>
      <c r="K136" s="26" t="n">
        <f aca="false">ROUND(E136+K135,2)</f>
        <v>255889.67</v>
      </c>
    </row>
    <row r="137" customFormat="false" ht="15" hidden="false" customHeight="true" outlineLevel="0" collapsed="false">
      <c r="A137" s="19" t="n">
        <f aca="false">A136+1</f>
        <v>132</v>
      </c>
      <c r="B137" s="18" t="n">
        <f aca="false">EDATE(B136,1)</f>
        <v>50284</v>
      </c>
      <c r="C137" s="19" t="n">
        <f aca="false">ROUNDUP(A137/12,0)</f>
        <v>11</v>
      </c>
      <c r="D137" s="26" t="n">
        <f aca="false">J136</f>
        <v>287925.28</v>
      </c>
      <c r="E137" s="26" t="n">
        <f aca="false">IF(D137&lt;=0,0,ROUND(D137*Calculator!$B$7/12,2))</f>
        <v>1559.6</v>
      </c>
      <c r="F137" s="26" t="n">
        <f aca="false">IF(D137&lt;=0,0,ROUND(MIN(D137,Calculator!$H$6-E137),2))</f>
        <v>1095.09</v>
      </c>
      <c r="G137" s="26" t="n">
        <f aca="false">ROUND(IF(A137&gt;=Calculator!$E$11,Calculator!$E$6,0)+IF(A137=Calculator!$E$8,Calculator!$E$7,0)+IF(MONTH(B137)=Calculator!$E$10,Calculator!$E$9,0),2)</f>
        <v>200</v>
      </c>
      <c r="H137" s="26" t="n">
        <f aca="false">IF(D137&lt;=0,0,ROUND(MIN(D137-F137,G137),2))</f>
        <v>200</v>
      </c>
      <c r="I137" s="26" t="n">
        <f aca="false">ROUND(E137+F137+H137,2)</f>
        <v>2854.69</v>
      </c>
      <c r="J137" s="26" t="n">
        <f aca="false">ROUND(MAX(0,D137-F137-H137),2)</f>
        <v>286630.19</v>
      </c>
      <c r="K137" s="26" t="n">
        <f aca="false">ROUND(E137+K136,2)</f>
        <v>257449.27</v>
      </c>
    </row>
    <row r="138" customFormat="false" ht="15" hidden="false" customHeight="true" outlineLevel="0" collapsed="false">
      <c r="A138" s="19" t="n">
        <f aca="false">A137+1</f>
        <v>133</v>
      </c>
      <c r="B138" s="18" t="n">
        <f aca="false">EDATE(B137,1)</f>
        <v>50314</v>
      </c>
      <c r="C138" s="19" t="n">
        <f aca="false">ROUNDUP(A138/12,0)</f>
        <v>12</v>
      </c>
      <c r="D138" s="26" t="n">
        <f aca="false">J137</f>
        <v>286630.19</v>
      </c>
      <c r="E138" s="26" t="n">
        <f aca="false">IF(D138&lt;=0,0,ROUND(D138*Calculator!$B$7/12,2))</f>
        <v>1552.58</v>
      </c>
      <c r="F138" s="26" t="n">
        <f aca="false">IF(D138&lt;=0,0,ROUND(MIN(D138,Calculator!$H$6-E138),2))</f>
        <v>1102.11</v>
      </c>
      <c r="G138" s="26" t="n">
        <f aca="false">ROUND(IF(A138&gt;=Calculator!$E$11,Calculator!$E$6,0)+IF(A138=Calculator!$E$8,Calculator!$E$7,0)+IF(MONTH(B138)=Calculator!$E$10,Calculator!$E$9,0),2)</f>
        <v>200</v>
      </c>
      <c r="H138" s="26" t="n">
        <f aca="false">IF(D138&lt;=0,0,ROUND(MIN(D138-F138,G138),2))</f>
        <v>200</v>
      </c>
      <c r="I138" s="26" t="n">
        <f aca="false">ROUND(E138+F138+H138,2)</f>
        <v>2854.69</v>
      </c>
      <c r="J138" s="26" t="n">
        <f aca="false">ROUND(MAX(0,D138-F138-H138),2)</f>
        <v>285328.08</v>
      </c>
      <c r="K138" s="26" t="n">
        <f aca="false">ROUND(E138+K137,2)</f>
        <v>259001.85</v>
      </c>
    </row>
    <row r="139" customFormat="false" ht="15" hidden="false" customHeight="true" outlineLevel="0" collapsed="false">
      <c r="A139" s="19" t="n">
        <f aca="false">A138+1</f>
        <v>134</v>
      </c>
      <c r="B139" s="18" t="n">
        <f aca="false">EDATE(B138,1)</f>
        <v>50345</v>
      </c>
      <c r="C139" s="19" t="n">
        <f aca="false">ROUNDUP(A139/12,0)</f>
        <v>12</v>
      </c>
      <c r="D139" s="26" t="n">
        <f aca="false">J138</f>
        <v>285328.08</v>
      </c>
      <c r="E139" s="26" t="n">
        <f aca="false">IF(D139&lt;=0,0,ROUND(D139*Calculator!$B$7/12,2))</f>
        <v>1545.53</v>
      </c>
      <c r="F139" s="26" t="n">
        <f aca="false">IF(D139&lt;=0,0,ROUND(MIN(D139,Calculator!$H$6-E139),2))</f>
        <v>1109.16</v>
      </c>
      <c r="G139" s="26" t="n">
        <f aca="false">ROUND(IF(A139&gt;=Calculator!$E$11,Calculator!$E$6,0)+IF(A139=Calculator!$E$8,Calculator!$E$7,0)+IF(MONTH(B139)=Calculator!$E$10,Calculator!$E$9,0),2)</f>
        <v>200</v>
      </c>
      <c r="H139" s="26" t="n">
        <f aca="false">IF(D139&lt;=0,0,ROUND(MIN(D139-F139,G139),2))</f>
        <v>200</v>
      </c>
      <c r="I139" s="26" t="n">
        <f aca="false">ROUND(E139+F139+H139,2)</f>
        <v>2854.69</v>
      </c>
      <c r="J139" s="26" t="n">
        <f aca="false">ROUND(MAX(0,D139-F139-H139),2)</f>
        <v>284018.92</v>
      </c>
      <c r="K139" s="26" t="n">
        <f aca="false">ROUND(E139+K138,2)</f>
        <v>260547.38</v>
      </c>
    </row>
    <row r="140" customFormat="false" ht="15" hidden="false" customHeight="true" outlineLevel="0" collapsed="false">
      <c r="A140" s="19" t="n">
        <f aca="false">A139+1</f>
        <v>135</v>
      </c>
      <c r="B140" s="18" t="n">
        <f aca="false">EDATE(B139,1)</f>
        <v>50375</v>
      </c>
      <c r="C140" s="19" t="n">
        <f aca="false">ROUNDUP(A140/12,0)</f>
        <v>12</v>
      </c>
      <c r="D140" s="26" t="n">
        <f aca="false">J139</f>
        <v>284018.92</v>
      </c>
      <c r="E140" s="26" t="n">
        <f aca="false">IF(D140&lt;=0,0,ROUND(D140*Calculator!$B$7/12,2))</f>
        <v>1538.44</v>
      </c>
      <c r="F140" s="26" t="n">
        <f aca="false">IF(D140&lt;=0,0,ROUND(MIN(D140,Calculator!$H$6-E140),2))</f>
        <v>1116.25</v>
      </c>
      <c r="G140" s="26" t="n">
        <f aca="false">ROUND(IF(A140&gt;=Calculator!$E$11,Calculator!$E$6,0)+IF(A140=Calculator!$E$8,Calculator!$E$7,0)+IF(MONTH(B140)=Calculator!$E$10,Calculator!$E$9,0),2)</f>
        <v>1200</v>
      </c>
      <c r="H140" s="26" t="n">
        <f aca="false">IF(D140&lt;=0,0,ROUND(MIN(D140-F140,G140),2))</f>
        <v>1200</v>
      </c>
      <c r="I140" s="26" t="n">
        <f aca="false">ROUND(E140+F140+H140,2)</f>
        <v>3854.69</v>
      </c>
      <c r="J140" s="26" t="n">
        <f aca="false">ROUND(MAX(0,D140-F140-H140),2)</f>
        <v>281702.67</v>
      </c>
      <c r="K140" s="26" t="n">
        <f aca="false">ROUND(E140+K139,2)</f>
        <v>262085.82</v>
      </c>
    </row>
    <row r="141" customFormat="false" ht="15" hidden="false" customHeight="true" outlineLevel="0" collapsed="false">
      <c r="A141" s="19" t="n">
        <f aca="false">A140+1</f>
        <v>136</v>
      </c>
      <c r="B141" s="18" t="n">
        <f aca="false">EDATE(B140,1)</f>
        <v>50406</v>
      </c>
      <c r="C141" s="19" t="n">
        <f aca="false">ROUNDUP(A141/12,0)</f>
        <v>12</v>
      </c>
      <c r="D141" s="26" t="n">
        <f aca="false">J140</f>
        <v>281702.67</v>
      </c>
      <c r="E141" s="26" t="n">
        <f aca="false">IF(D141&lt;=0,0,ROUND(D141*Calculator!$B$7/12,2))</f>
        <v>1525.89</v>
      </c>
      <c r="F141" s="26" t="n">
        <f aca="false">IF(D141&lt;=0,0,ROUND(MIN(D141,Calculator!$H$6-E141),2))</f>
        <v>1128.8</v>
      </c>
      <c r="G141" s="26" t="n">
        <f aca="false">ROUND(IF(A141&gt;=Calculator!$E$11,Calculator!$E$6,0)+IF(A141=Calculator!$E$8,Calculator!$E$7,0)+IF(MONTH(B141)=Calculator!$E$10,Calculator!$E$9,0),2)</f>
        <v>200</v>
      </c>
      <c r="H141" s="26" t="n">
        <f aca="false">IF(D141&lt;=0,0,ROUND(MIN(D141-F141,G141),2))</f>
        <v>200</v>
      </c>
      <c r="I141" s="26" t="n">
        <f aca="false">ROUND(E141+F141+H141,2)</f>
        <v>2854.69</v>
      </c>
      <c r="J141" s="26" t="n">
        <f aca="false">ROUND(MAX(0,D141-F141-H141),2)</f>
        <v>280373.87</v>
      </c>
      <c r="K141" s="26" t="n">
        <f aca="false">ROUND(E141+K140,2)</f>
        <v>263611.71</v>
      </c>
    </row>
    <row r="142" customFormat="false" ht="15" hidden="false" customHeight="true" outlineLevel="0" collapsed="false">
      <c r="A142" s="19" t="n">
        <f aca="false">A141+1</f>
        <v>137</v>
      </c>
      <c r="B142" s="18" t="n">
        <f aca="false">EDATE(B141,1)</f>
        <v>50437</v>
      </c>
      <c r="C142" s="19" t="n">
        <f aca="false">ROUNDUP(A142/12,0)</f>
        <v>12</v>
      </c>
      <c r="D142" s="26" t="n">
        <f aca="false">J141</f>
        <v>280373.87</v>
      </c>
      <c r="E142" s="26" t="n">
        <f aca="false">IF(D142&lt;=0,0,ROUND(D142*Calculator!$B$7/12,2))</f>
        <v>1518.69</v>
      </c>
      <c r="F142" s="26" t="n">
        <f aca="false">IF(D142&lt;=0,0,ROUND(MIN(D142,Calculator!$H$6-E142),2))</f>
        <v>1136</v>
      </c>
      <c r="G142" s="26" t="n">
        <f aca="false">ROUND(IF(A142&gt;=Calculator!$E$11,Calculator!$E$6,0)+IF(A142=Calculator!$E$8,Calculator!$E$7,0)+IF(MONTH(B142)=Calculator!$E$10,Calculator!$E$9,0),2)</f>
        <v>200</v>
      </c>
      <c r="H142" s="26" t="n">
        <f aca="false">IF(D142&lt;=0,0,ROUND(MIN(D142-F142,G142),2))</f>
        <v>200</v>
      </c>
      <c r="I142" s="26" t="n">
        <f aca="false">ROUND(E142+F142+H142,2)</f>
        <v>2854.69</v>
      </c>
      <c r="J142" s="26" t="n">
        <f aca="false">ROUND(MAX(0,D142-F142-H142),2)</f>
        <v>279037.87</v>
      </c>
      <c r="K142" s="26" t="n">
        <f aca="false">ROUND(E142+K141,2)</f>
        <v>265130.4</v>
      </c>
    </row>
    <row r="143" customFormat="false" ht="15" hidden="false" customHeight="true" outlineLevel="0" collapsed="false">
      <c r="A143" s="19" t="n">
        <f aca="false">A142+1</f>
        <v>138</v>
      </c>
      <c r="B143" s="18" t="n">
        <f aca="false">EDATE(B142,1)</f>
        <v>50465</v>
      </c>
      <c r="C143" s="19" t="n">
        <f aca="false">ROUNDUP(A143/12,0)</f>
        <v>12</v>
      </c>
      <c r="D143" s="26" t="n">
        <f aca="false">J142</f>
        <v>279037.87</v>
      </c>
      <c r="E143" s="26" t="n">
        <f aca="false">IF(D143&lt;=0,0,ROUND(D143*Calculator!$B$7/12,2))</f>
        <v>1511.46</v>
      </c>
      <c r="F143" s="26" t="n">
        <f aca="false">IF(D143&lt;=0,0,ROUND(MIN(D143,Calculator!$H$6-E143),2))</f>
        <v>1143.23</v>
      </c>
      <c r="G143" s="26" t="n">
        <f aca="false">ROUND(IF(A143&gt;=Calculator!$E$11,Calculator!$E$6,0)+IF(A143=Calculator!$E$8,Calculator!$E$7,0)+IF(MONTH(B143)=Calculator!$E$10,Calculator!$E$9,0),2)</f>
        <v>200</v>
      </c>
      <c r="H143" s="26" t="n">
        <f aca="false">IF(D143&lt;=0,0,ROUND(MIN(D143-F143,G143),2))</f>
        <v>200</v>
      </c>
      <c r="I143" s="26" t="n">
        <f aca="false">ROUND(E143+F143+H143,2)</f>
        <v>2854.69</v>
      </c>
      <c r="J143" s="26" t="n">
        <f aca="false">ROUND(MAX(0,D143-F143-H143),2)</f>
        <v>277694.64</v>
      </c>
      <c r="K143" s="26" t="n">
        <f aca="false">ROUND(E143+K142,2)</f>
        <v>266641.86</v>
      </c>
    </row>
    <row r="144" customFormat="false" ht="15" hidden="false" customHeight="true" outlineLevel="0" collapsed="false">
      <c r="A144" s="19" t="n">
        <f aca="false">A143+1</f>
        <v>139</v>
      </c>
      <c r="B144" s="18" t="n">
        <f aca="false">EDATE(B143,1)</f>
        <v>50496</v>
      </c>
      <c r="C144" s="19" t="n">
        <f aca="false">ROUNDUP(A144/12,0)</f>
        <v>12</v>
      </c>
      <c r="D144" s="26" t="n">
        <f aca="false">J143</f>
        <v>277694.64</v>
      </c>
      <c r="E144" s="26" t="n">
        <f aca="false">IF(D144&lt;=0,0,ROUND(D144*Calculator!$B$7/12,2))</f>
        <v>1504.18</v>
      </c>
      <c r="F144" s="26" t="n">
        <f aca="false">IF(D144&lt;=0,0,ROUND(MIN(D144,Calculator!$H$6-E144),2))</f>
        <v>1150.51</v>
      </c>
      <c r="G144" s="26" t="n">
        <f aca="false">ROUND(IF(A144&gt;=Calculator!$E$11,Calculator!$E$6,0)+IF(A144=Calculator!$E$8,Calculator!$E$7,0)+IF(MONTH(B144)=Calculator!$E$10,Calculator!$E$9,0),2)</f>
        <v>200</v>
      </c>
      <c r="H144" s="26" t="n">
        <f aca="false">IF(D144&lt;=0,0,ROUND(MIN(D144-F144,G144),2))</f>
        <v>200</v>
      </c>
      <c r="I144" s="26" t="n">
        <f aca="false">ROUND(E144+F144+H144,2)</f>
        <v>2854.69</v>
      </c>
      <c r="J144" s="26" t="n">
        <f aca="false">ROUND(MAX(0,D144-F144-H144),2)</f>
        <v>276344.13</v>
      </c>
      <c r="K144" s="26" t="n">
        <f aca="false">ROUND(E144+K143,2)</f>
        <v>268146.04</v>
      </c>
    </row>
    <row r="145" customFormat="false" ht="15" hidden="false" customHeight="true" outlineLevel="0" collapsed="false">
      <c r="A145" s="19" t="n">
        <f aca="false">A144+1</f>
        <v>140</v>
      </c>
      <c r="B145" s="18" t="n">
        <f aca="false">EDATE(B144,1)</f>
        <v>50526</v>
      </c>
      <c r="C145" s="19" t="n">
        <f aca="false">ROUNDUP(A145/12,0)</f>
        <v>12</v>
      </c>
      <c r="D145" s="26" t="n">
        <f aca="false">J144</f>
        <v>276344.13</v>
      </c>
      <c r="E145" s="26" t="n">
        <f aca="false">IF(D145&lt;=0,0,ROUND(D145*Calculator!$B$7/12,2))</f>
        <v>1496.86</v>
      </c>
      <c r="F145" s="26" t="n">
        <f aca="false">IF(D145&lt;=0,0,ROUND(MIN(D145,Calculator!$H$6-E145),2))</f>
        <v>1157.83</v>
      </c>
      <c r="G145" s="26" t="n">
        <f aca="false">ROUND(IF(A145&gt;=Calculator!$E$11,Calculator!$E$6,0)+IF(A145=Calculator!$E$8,Calculator!$E$7,0)+IF(MONTH(B145)=Calculator!$E$10,Calculator!$E$9,0),2)</f>
        <v>200</v>
      </c>
      <c r="H145" s="26" t="n">
        <f aca="false">IF(D145&lt;=0,0,ROUND(MIN(D145-F145,G145),2))</f>
        <v>200</v>
      </c>
      <c r="I145" s="26" t="n">
        <f aca="false">ROUND(E145+F145+H145,2)</f>
        <v>2854.69</v>
      </c>
      <c r="J145" s="26" t="n">
        <f aca="false">ROUND(MAX(0,D145-F145-H145),2)</f>
        <v>274986.3</v>
      </c>
      <c r="K145" s="26" t="n">
        <f aca="false">ROUND(E145+K144,2)</f>
        <v>269642.9</v>
      </c>
    </row>
    <row r="146" customFormat="false" ht="15" hidden="false" customHeight="true" outlineLevel="0" collapsed="false">
      <c r="A146" s="19" t="n">
        <f aca="false">A145+1</f>
        <v>141</v>
      </c>
      <c r="B146" s="18" t="n">
        <f aca="false">EDATE(B145,1)</f>
        <v>50557</v>
      </c>
      <c r="C146" s="19" t="n">
        <f aca="false">ROUNDUP(A146/12,0)</f>
        <v>12</v>
      </c>
      <c r="D146" s="26" t="n">
        <f aca="false">J145</f>
        <v>274986.3</v>
      </c>
      <c r="E146" s="26" t="n">
        <f aca="false">IF(D146&lt;=0,0,ROUND(D146*Calculator!$B$7/12,2))</f>
        <v>1489.51</v>
      </c>
      <c r="F146" s="26" t="n">
        <f aca="false">IF(D146&lt;=0,0,ROUND(MIN(D146,Calculator!$H$6-E146),2))</f>
        <v>1165.18</v>
      </c>
      <c r="G146" s="26" t="n">
        <f aca="false">ROUND(IF(A146&gt;=Calculator!$E$11,Calculator!$E$6,0)+IF(A146=Calculator!$E$8,Calculator!$E$7,0)+IF(MONTH(B146)=Calculator!$E$10,Calculator!$E$9,0),2)</f>
        <v>200</v>
      </c>
      <c r="H146" s="26" t="n">
        <f aca="false">IF(D146&lt;=0,0,ROUND(MIN(D146-F146,G146),2))</f>
        <v>200</v>
      </c>
      <c r="I146" s="26" t="n">
        <f aca="false">ROUND(E146+F146+H146,2)</f>
        <v>2854.69</v>
      </c>
      <c r="J146" s="26" t="n">
        <f aca="false">ROUND(MAX(0,D146-F146-H146),2)</f>
        <v>273621.12</v>
      </c>
      <c r="K146" s="26" t="n">
        <f aca="false">ROUND(E146+K145,2)</f>
        <v>271132.41</v>
      </c>
    </row>
    <row r="147" customFormat="false" ht="15" hidden="false" customHeight="true" outlineLevel="0" collapsed="false">
      <c r="A147" s="19" t="n">
        <f aca="false">A146+1</f>
        <v>142</v>
      </c>
      <c r="B147" s="18" t="n">
        <f aca="false">EDATE(B146,1)</f>
        <v>50587</v>
      </c>
      <c r="C147" s="19" t="n">
        <f aca="false">ROUNDUP(A147/12,0)</f>
        <v>12</v>
      </c>
      <c r="D147" s="26" t="n">
        <f aca="false">J146</f>
        <v>273621.12</v>
      </c>
      <c r="E147" s="26" t="n">
        <f aca="false">IF(D147&lt;=0,0,ROUND(D147*Calculator!$B$7/12,2))</f>
        <v>1482.11</v>
      </c>
      <c r="F147" s="26" t="n">
        <f aca="false">IF(D147&lt;=0,0,ROUND(MIN(D147,Calculator!$H$6-E147),2))</f>
        <v>1172.58</v>
      </c>
      <c r="G147" s="26" t="n">
        <f aca="false">ROUND(IF(A147&gt;=Calculator!$E$11,Calculator!$E$6,0)+IF(A147=Calculator!$E$8,Calculator!$E$7,0)+IF(MONTH(B147)=Calculator!$E$10,Calculator!$E$9,0),2)</f>
        <v>200</v>
      </c>
      <c r="H147" s="26" t="n">
        <f aca="false">IF(D147&lt;=0,0,ROUND(MIN(D147-F147,G147),2))</f>
        <v>200</v>
      </c>
      <c r="I147" s="26" t="n">
        <f aca="false">ROUND(E147+F147+H147,2)</f>
        <v>2854.69</v>
      </c>
      <c r="J147" s="26" t="n">
        <f aca="false">ROUND(MAX(0,D147-F147-H147),2)</f>
        <v>272248.54</v>
      </c>
      <c r="K147" s="26" t="n">
        <f aca="false">ROUND(E147+K146,2)</f>
        <v>272614.52</v>
      </c>
    </row>
    <row r="148" customFormat="false" ht="15" hidden="false" customHeight="true" outlineLevel="0" collapsed="false">
      <c r="A148" s="19" t="n">
        <f aca="false">A147+1</f>
        <v>143</v>
      </c>
      <c r="B148" s="18" t="n">
        <f aca="false">EDATE(B147,1)</f>
        <v>50618</v>
      </c>
      <c r="C148" s="19" t="n">
        <f aca="false">ROUNDUP(A148/12,0)</f>
        <v>12</v>
      </c>
      <c r="D148" s="26" t="n">
        <f aca="false">J147</f>
        <v>272248.54</v>
      </c>
      <c r="E148" s="26" t="n">
        <f aca="false">IF(D148&lt;=0,0,ROUND(D148*Calculator!$B$7/12,2))</f>
        <v>1474.68</v>
      </c>
      <c r="F148" s="26" t="n">
        <f aca="false">IF(D148&lt;=0,0,ROUND(MIN(D148,Calculator!$H$6-E148),2))</f>
        <v>1180.01</v>
      </c>
      <c r="G148" s="26" t="n">
        <f aca="false">ROUND(IF(A148&gt;=Calculator!$E$11,Calculator!$E$6,0)+IF(A148=Calculator!$E$8,Calculator!$E$7,0)+IF(MONTH(B148)=Calculator!$E$10,Calculator!$E$9,0),2)</f>
        <v>200</v>
      </c>
      <c r="H148" s="26" t="n">
        <f aca="false">IF(D148&lt;=0,0,ROUND(MIN(D148-F148,G148),2))</f>
        <v>200</v>
      </c>
      <c r="I148" s="26" t="n">
        <f aca="false">ROUND(E148+F148+H148,2)</f>
        <v>2854.69</v>
      </c>
      <c r="J148" s="26" t="n">
        <f aca="false">ROUND(MAX(0,D148-F148-H148),2)</f>
        <v>270868.53</v>
      </c>
      <c r="K148" s="26" t="n">
        <f aca="false">ROUND(E148+K147,2)</f>
        <v>274089.2</v>
      </c>
    </row>
    <row r="149" customFormat="false" ht="15" hidden="false" customHeight="true" outlineLevel="0" collapsed="false">
      <c r="A149" s="19" t="n">
        <f aca="false">A148+1</f>
        <v>144</v>
      </c>
      <c r="B149" s="18" t="n">
        <f aca="false">EDATE(B148,1)</f>
        <v>50649</v>
      </c>
      <c r="C149" s="19" t="n">
        <f aca="false">ROUNDUP(A149/12,0)</f>
        <v>12</v>
      </c>
      <c r="D149" s="26" t="n">
        <f aca="false">J148</f>
        <v>270868.53</v>
      </c>
      <c r="E149" s="26" t="n">
        <f aca="false">IF(D149&lt;=0,0,ROUND(D149*Calculator!$B$7/12,2))</f>
        <v>1467.2</v>
      </c>
      <c r="F149" s="26" t="n">
        <f aca="false">IF(D149&lt;=0,0,ROUND(MIN(D149,Calculator!$H$6-E149),2))</f>
        <v>1187.49</v>
      </c>
      <c r="G149" s="26" t="n">
        <f aca="false">ROUND(IF(A149&gt;=Calculator!$E$11,Calculator!$E$6,0)+IF(A149=Calculator!$E$8,Calculator!$E$7,0)+IF(MONTH(B149)=Calculator!$E$10,Calculator!$E$9,0),2)</f>
        <v>200</v>
      </c>
      <c r="H149" s="26" t="n">
        <f aca="false">IF(D149&lt;=0,0,ROUND(MIN(D149-F149,G149),2))</f>
        <v>200</v>
      </c>
      <c r="I149" s="26" t="n">
        <f aca="false">ROUND(E149+F149+H149,2)</f>
        <v>2854.69</v>
      </c>
      <c r="J149" s="26" t="n">
        <f aca="false">ROUND(MAX(0,D149-F149-H149),2)</f>
        <v>269481.04</v>
      </c>
      <c r="K149" s="26" t="n">
        <f aca="false">ROUND(E149+K148,2)</f>
        <v>275556.4</v>
      </c>
    </row>
    <row r="150" customFormat="false" ht="15" hidden="false" customHeight="true" outlineLevel="0" collapsed="false">
      <c r="A150" s="19" t="n">
        <f aca="false">A149+1</f>
        <v>145</v>
      </c>
      <c r="B150" s="18" t="n">
        <f aca="false">EDATE(B149,1)</f>
        <v>50679</v>
      </c>
      <c r="C150" s="19" t="n">
        <f aca="false">ROUNDUP(A150/12,0)</f>
        <v>13</v>
      </c>
      <c r="D150" s="26" t="n">
        <f aca="false">J149</f>
        <v>269481.04</v>
      </c>
      <c r="E150" s="26" t="n">
        <f aca="false">IF(D150&lt;=0,0,ROUND(D150*Calculator!$B$7/12,2))</f>
        <v>1459.69</v>
      </c>
      <c r="F150" s="26" t="n">
        <f aca="false">IF(D150&lt;=0,0,ROUND(MIN(D150,Calculator!$H$6-E150),2))</f>
        <v>1195</v>
      </c>
      <c r="G150" s="26" t="n">
        <f aca="false">ROUND(IF(A150&gt;=Calculator!$E$11,Calculator!$E$6,0)+IF(A150=Calculator!$E$8,Calculator!$E$7,0)+IF(MONTH(B150)=Calculator!$E$10,Calculator!$E$9,0),2)</f>
        <v>200</v>
      </c>
      <c r="H150" s="26" t="n">
        <f aca="false">IF(D150&lt;=0,0,ROUND(MIN(D150-F150,G150),2))</f>
        <v>200</v>
      </c>
      <c r="I150" s="26" t="n">
        <f aca="false">ROUND(E150+F150+H150,2)</f>
        <v>2854.69</v>
      </c>
      <c r="J150" s="26" t="n">
        <f aca="false">ROUND(MAX(0,D150-F150-H150),2)</f>
        <v>268086.04</v>
      </c>
      <c r="K150" s="26" t="n">
        <f aca="false">ROUND(E150+K149,2)</f>
        <v>277016.09</v>
      </c>
    </row>
    <row r="151" customFormat="false" ht="15" hidden="false" customHeight="true" outlineLevel="0" collapsed="false">
      <c r="A151" s="19" t="n">
        <f aca="false">A150+1</f>
        <v>146</v>
      </c>
      <c r="B151" s="18" t="n">
        <f aca="false">EDATE(B150,1)</f>
        <v>50710</v>
      </c>
      <c r="C151" s="19" t="n">
        <f aca="false">ROUNDUP(A151/12,0)</f>
        <v>13</v>
      </c>
      <c r="D151" s="26" t="n">
        <f aca="false">J150</f>
        <v>268086.04</v>
      </c>
      <c r="E151" s="26" t="n">
        <f aca="false">IF(D151&lt;=0,0,ROUND(D151*Calculator!$B$7/12,2))</f>
        <v>1452.13</v>
      </c>
      <c r="F151" s="26" t="n">
        <f aca="false">IF(D151&lt;=0,0,ROUND(MIN(D151,Calculator!$H$6-E151),2))</f>
        <v>1202.56</v>
      </c>
      <c r="G151" s="26" t="n">
        <f aca="false">ROUND(IF(A151&gt;=Calculator!$E$11,Calculator!$E$6,0)+IF(A151=Calculator!$E$8,Calculator!$E$7,0)+IF(MONTH(B151)=Calculator!$E$10,Calculator!$E$9,0),2)</f>
        <v>200</v>
      </c>
      <c r="H151" s="26" t="n">
        <f aca="false">IF(D151&lt;=0,0,ROUND(MIN(D151-F151,G151),2))</f>
        <v>200</v>
      </c>
      <c r="I151" s="26" t="n">
        <f aca="false">ROUND(E151+F151+H151,2)</f>
        <v>2854.69</v>
      </c>
      <c r="J151" s="26" t="n">
        <f aca="false">ROUND(MAX(0,D151-F151-H151),2)</f>
        <v>266683.48</v>
      </c>
      <c r="K151" s="26" t="n">
        <f aca="false">ROUND(E151+K150,2)</f>
        <v>278468.22</v>
      </c>
    </row>
    <row r="152" customFormat="false" ht="15" hidden="false" customHeight="true" outlineLevel="0" collapsed="false">
      <c r="A152" s="19" t="n">
        <f aca="false">A151+1</f>
        <v>147</v>
      </c>
      <c r="B152" s="18" t="n">
        <f aca="false">EDATE(B151,1)</f>
        <v>50740</v>
      </c>
      <c r="C152" s="19" t="n">
        <f aca="false">ROUNDUP(A152/12,0)</f>
        <v>13</v>
      </c>
      <c r="D152" s="26" t="n">
        <f aca="false">J151</f>
        <v>266683.48</v>
      </c>
      <c r="E152" s="26" t="n">
        <f aca="false">IF(D152&lt;=0,0,ROUND(D152*Calculator!$B$7/12,2))</f>
        <v>1444.54</v>
      </c>
      <c r="F152" s="26" t="n">
        <f aca="false">IF(D152&lt;=0,0,ROUND(MIN(D152,Calculator!$H$6-E152),2))</f>
        <v>1210.15</v>
      </c>
      <c r="G152" s="26" t="n">
        <f aca="false">ROUND(IF(A152&gt;=Calculator!$E$11,Calculator!$E$6,0)+IF(A152=Calculator!$E$8,Calculator!$E$7,0)+IF(MONTH(B152)=Calculator!$E$10,Calculator!$E$9,0),2)</f>
        <v>1200</v>
      </c>
      <c r="H152" s="26" t="n">
        <f aca="false">IF(D152&lt;=0,0,ROUND(MIN(D152-F152,G152),2))</f>
        <v>1200</v>
      </c>
      <c r="I152" s="26" t="n">
        <f aca="false">ROUND(E152+F152+H152,2)</f>
        <v>3854.69</v>
      </c>
      <c r="J152" s="26" t="n">
        <f aca="false">ROUND(MAX(0,D152-F152-H152),2)</f>
        <v>264273.33</v>
      </c>
      <c r="K152" s="26" t="n">
        <f aca="false">ROUND(E152+K151,2)</f>
        <v>279912.76</v>
      </c>
    </row>
    <row r="153" customFormat="false" ht="15" hidden="false" customHeight="true" outlineLevel="0" collapsed="false">
      <c r="A153" s="19" t="n">
        <f aca="false">A152+1</f>
        <v>148</v>
      </c>
      <c r="B153" s="18" t="n">
        <f aca="false">EDATE(B152,1)</f>
        <v>50771</v>
      </c>
      <c r="C153" s="19" t="n">
        <f aca="false">ROUNDUP(A153/12,0)</f>
        <v>13</v>
      </c>
      <c r="D153" s="26" t="n">
        <f aca="false">J152</f>
        <v>264273.33</v>
      </c>
      <c r="E153" s="26" t="n">
        <f aca="false">IF(D153&lt;=0,0,ROUND(D153*Calculator!$B$7/12,2))</f>
        <v>1431.48</v>
      </c>
      <c r="F153" s="26" t="n">
        <f aca="false">IF(D153&lt;=0,0,ROUND(MIN(D153,Calculator!$H$6-E153),2))</f>
        <v>1223.21</v>
      </c>
      <c r="G153" s="26" t="n">
        <f aca="false">ROUND(IF(A153&gt;=Calculator!$E$11,Calculator!$E$6,0)+IF(A153=Calculator!$E$8,Calculator!$E$7,0)+IF(MONTH(B153)=Calculator!$E$10,Calculator!$E$9,0),2)</f>
        <v>200</v>
      </c>
      <c r="H153" s="26" t="n">
        <f aca="false">IF(D153&lt;=0,0,ROUND(MIN(D153-F153,G153),2))</f>
        <v>200</v>
      </c>
      <c r="I153" s="26" t="n">
        <f aca="false">ROUND(E153+F153+H153,2)</f>
        <v>2854.69</v>
      </c>
      <c r="J153" s="26" t="n">
        <f aca="false">ROUND(MAX(0,D153-F153-H153),2)</f>
        <v>262850.12</v>
      </c>
      <c r="K153" s="26" t="n">
        <f aca="false">ROUND(E153+K152,2)</f>
        <v>281344.24</v>
      </c>
    </row>
    <row r="154" customFormat="false" ht="15" hidden="false" customHeight="true" outlineLevel="0" collapsed="false">
      <c r="A154" s="19" t="n">
        <f aca="false">A153+1</f>
        <v>149</v>
      </c>
      <c r="B154" s="18" t="n">
        <f aca="false">EDATE(B153,1)</f>
        <v>50802</v>
      </c>
      <c r="C154" s="19" t="n">
        <f aca="false">ROUNDUP(A154/12,0)</f>
        <v>13</v>
      </c>
      <c r="D154" s="26" t="n">
        <f aca="false">J153</f>
        <v>262850.12</v>
      </c>
      <c r="E154" s="26" t="n">
        <f aca="false">IF(D154&lt;=0,0,ROUND(D154*Calculator!$B$7/12,2))</f>
        <v>1423.77</v>
      </c>
      <c r="F154" s="26" t="n">
        <f aca="false">IF(D154&lt;=0,0,ROUND(MIN(D154,Calculator!$H$6-E154),2))</f>
        <v>1230.92</v>
      </c>
      <c r="G154" s="26" t="n">
        <f aca="false">ROUND(IF(A154&gt;=Calculator!$E$11,Calculator!$E$6,0)+IF(A154=Calculator!$E$8,Calculator!$E$7,0)+IF(MONTH(B154)=Calculator!$E$10,Calculator!$E$9,0),2)</f>
        <v>200</v>
      </c>
      <c r="H154" s="26" t="n">
        <f aca="false">IF(D154&lt;=0,0,ROUND(MIN(D154-F154,G154),2))</f>
        <v>200</v>
      </c>
      <c r="I154" s="26" t="n">
        <f aca="false">ROUND(E154+F154+H154,2)</f>
        <v>2854.69</v>
      </c>
      <c r="J154" s="26" t="n">
        <f aca="false">ROUND(MAX(0,D154-F154-H154),2)</f>
        <v>261419.2</v>
      </c>
      <c r="K154" s="26" t="n">
        <f aca="false">ROUND(E154+K153,2)</f>
        <v>282768.01</v>
      </c>
    </row>
    <row r="155" customFormat="false" ht="15" hidden="false" customHeight="true" outlineLevel="0" collapsed="false">
      <c r="A155" s="19" t="n">
        <f aca="false">A154+1</f>
        <v>150</v>
      </c>
      <c r="B155" s="18" t="n">
        <f aca="false">EDATE(B154,1)</f>
        <v>50830</v>
      </c>
      <c r="C155" s="19" t="n">
        <f aca="false">ROUNDUP(A155/12,0)</f>
        <v>13</v>
      </c>
      <c r="D155" s="26" t="n">
        <f aca="false">J154</f>
        <v>261419.2</v>
      </c>
      <c r="E155" s="26" t="n">
        <f aca="false">IF(D155&lt;=0,0,ROUND(D155*Calculator!$B$7/12,2))</f>
        <v>1416.02</v>
      </c>
      <c r="F155" s="26" t="n">
        <f aca="false">IF(D155&lt;=0,0,ROUND(MIN(D155,Calculator!$H$6-E155),2))</f>
        <v>1238.67</v>
      </c>
      <c r="G155" s="26" t="n">
        <f aca="false">ROUND(IF(A155&gt;=Calculator!$E$11,Calculator!$E$6,0)+IF(A155=Calculator!$E$8,Calculator!$E$7,0)+IF(MONTH(B155)=Calculator!$E$10,Calculator!$E$9,0),2)</f>
        <v>200</v>
      </c>
      <c r="H155" s="26" t="n">
        <f aca="false">IF(D155&lt;=0,0,ROUND(MIN(D155-F155,G155),2))</f>
        <v>200</v>
      </c>
      <c r="I155" s="26" t="n">
        <f aca="false">ROUND(E155+F155+H155,2)</f>
        <v>2854.69</v>
      </c>
      <c r="J155" s="26" t="n">
        <f aca="false">ROUND(MAX(0,D155-F155-H155),2)</f>
        <v>259980.53</v>
      </c>
      <c r="K155" s="26" t="n">
        <f aca="false">ROUND(E155+K154,2)</f>
        <v>284184.03</v>
      </c>
    </row>
    <row r="156" customFormat="false" ht="15" hidden="false" customHeight="true" outlineLevel="0" collapsed="false">
      <c r="A156" s="19" t="n">
        <f aca="false">A155+1</f>
        <v>151</v>
      </c>
      <c r="B156" s="18" t="n">
        <f aca="false">EDATE(B155,1)</f>
        <v>50861</v>
      </c>
      <c r="C156" s="19" t="n">
        <f aca="false">ROUNDUP(A156/12,0)</f>
        <v>13</v>
      </c>
      <c r="D156" s="26" t="n">
        <f aca="false">J155</f>
        <v>259980.53</v>
      </c>
      <c r="E156" s="26" t="n">
        <f aca="false">IF(D156&lt;=0,0,ROUND(D156*Calculator!$B$7/12,2))</f>
        <v>1408.23</v>
      </c>
      <c r="F156" s="26" t="n">
        <f aca="false">IF(D156&lt;=0,0,ROUND(MIN(D156,Calculator!$H$6-E156),2))</f>
        <v>1246.46</v>
      </c>
      <c r="G156" s="26" t="n">
        <f aca="false">ROUND(IF(A156&gt;=Calculator!$E$11,Calculator!$E$6,0)+IF(A156=Calculator!$E$8,Calculator!$E$7,0)+IF(MONTH(B156)=Calculator!$E$10,Calculator!$E$9,0),2)</f>
        <v>200</v>
      </c>
      <c r="H156" s="26" t="n">
        <f aca="false">IF(D156&lt;=0,0,ROUND(MIN(D156-F156,G156),2))</f>
        <v>200</v>
      </c>
      <c r="I156" s="26" t="n">
        <f aca="false">ROUND(E156+F156+H156,2)</f>
        <v>2854.69</v>
      </c>
      <c r="J156" s="26" t="n">
        <f aca="false">ROUND(MAX(0,D156-F156-H156),2)</f>
        <v>258534.07</v>
      </c>
      <c r="K156" s="26" t="n">
        <f aca="false">ROUND(E156+K155,2)</f>
        <v>285592.26</v>
      </c>
    </row>
    <row r="157" customFormat="false" ht="15" hidden="false" customHeight="true" outlineLevel="0" collapsed="false">
      <c r="A157" s="19" t="n">
        <f aca="false">A156+1</f>
        <v>152</v>
      </c>
      <c r="B157" s="18" t="n">
        <f aca="false">EDATE(B156,1)</f>
        <v>50891</v>
      </c>
      <c r="C157" s="19" t="n">
        <f aca="false">ROUNDUP(A157/12,0)</f>
        <v>13</v>
      </c>
      <c r="D157" s="26" t="n">
        <f aca="false">J156</f>
        <v>258534.07</v>
      </c>
      <c r="E157" s="26" t="n">
        <f aca="false">IF(D157&lt;=0,0,ROUND(D157*Calculator!$B$7/12,2))</f>
        <v>1400.39</v>
      </c>
      <c r="F157" s="26" t="n">
        <f aca="false">IF(D157&lt;=0,0,ROUND(MIN(D157,Calculator!$H$6-E157),2))</f>
        <v>1254.3</v>
      </c>
      <c r="G157" s="26" t="n">
        <f aca="false">ROUND(IF(A157&gt;=Calculator!$E$11,Calculator!$E$6,0)+IF(A157=Calculator!$E$8,Calculator!$E$7,0)+IF(MONTH(B157)=Calculator!$E$10,Calculator!$E$9,0),2)</f>
        <v>200</v>
      </c>
      <c r="H157" s="26" t="n">
        <f aca="false">IF(D157&lt;=0,0,ROUND(MIN(D157-F157,G157),2))</f>
        <v>200</v>
      </c>
      <c r="I157" s="26" t="n">
        <f aca="false">ROUND(E157+F157+H157,2)</f>
        <v>2854.69</v>
      </c>
      <c r="J157" s="26" t="n">
        <f aca="false">ROUND(MAX(0,D157-F157-H157),2)</f>
        <v>257079.77</v>
      </c>
      <c r="K157" s="26" t="n">
        <f aca="false">ROUND(E157+K156,2)</f>
        <v>286992.65</v>
      </c>
    </row>
    <row r="158" customFormat="false" ht="15" hidden="false" customHeight="true" outlineLevel="0" collapsed="false">
      <c r="A158" s="19" t="n">
        <f aca="false">A157+1</f>
        <v>153</v>
      </c>
      <c r="B158" s="18" t="n">
        <f aca="false">EDATE(B157,1)</f>
        <v>50922</v>
      </c>
      <c r="C158" s="19" t="n">
        <f aca="false">ROUNDUP(A158/12,0)</f>
        <v>13</v>
      </c>
      <c r="D158" s="26" t="n">
        <f aca="false">J157</f>
        <v>257079.77</v>
      </c>
      <c r="E158" s="26" t="n">
        <f aca="false">IF(D158&lt;=0,0,ROUND(D158*Calculator!$B$7/12,2))</f>
        <v>1392.52</v>
      </c>
      <c r="F158" s="26" t="n">
        <f aca="false">IF(D158&lt;=0,0,ROUND(MIN(D158,Calculator!$H$6-E158),2))</f>
        <v>1262.17</v>
      </c>
      <c r="G158" s="26" t="n">
        <f aca="false">ROUND(IF(A158&gt;=Calculator!$E$11,Calculator!$E$6,0)+IF(A158=Calculator!$E$8,Calculator!$E$7,0)+IF(MONTH(B158)=Calculator!$E$10,Calculator!$E$9,0),2)</f>
        <v>200</v>
      </c>
      <c r="H158" s="26" t="n">
        <f aca="false">IF(D158&lt;=0,0,ROUND(MIN(D158-F158,G158),2))</f>
        <v>200</v>
      </c>
      <c r="I158" s="26" t="n">
        <f aca="false">ROUND(E158+F158+H158,2)</f>
        <v>2854.69</v>
      </c>
      <c r="J158" s="26" t="n">
        <f aca="false">ROUND(MAX(0,D158-F158-H158),2)</f>
        <v>255617.6</v>
      </c>
      <c r="K158" s="26" t="n">
        <f aca="false">ROUND(E158+K157,2)</f>
        <v>288385.17</v>
      </c>
    </row>
    <row r="159" customFormat="false" ht="15" hidden="false" customHeight="true" outlineLevel="0" collapsed="false">
      <c r="A159" s="19" t="n">
        <f aca="false">A158+1</f>
        <v>154</v>
      </c>
      <c r="B159" s="18" t="n">
        <f aca="false">EDATE(B158,1)</f>
        <v>50952</v>
      </c>
      <c r="C159" s="19" t="n">
        <f aca="false">ROUNDUP(A159/12,0)</f>
        <v>13</v>
      </c>
      <c r="D159" s="26" t="n">
        <f aca="false">J158</f>
        <v>255617.6</v>
      </c>
      <c r="E159" s="26" t="n">
        <f aca="false">IF(D159&lt;=0,0,ROUND(D159*Calculator!$B$7/12,2))</f>
        <v>1384.6</v>
      </c>
      <c r="F159" s="26" t="n">
        <f aca="false">IF(D159&lt;=0,0,ROUND(MIN(D159,Calculator!$H$6-E159),2))</f>
        <v>1270.09</v>
      </c>
      <c r="G159" s="26" t="n">
        <f aca="false">ROUND(IF(A159&gt;=Calculator!$E$11,Calculator!$E$6,0)+IF(A159=Calculator!$E$8,Calculator!$E$7,0)+IF(MONTH(B159)=Calculator!$E$10,Calculator!$E$9,0),2)</f>
        <v>200</v>
      </c>
      <c r="H159" s="26" t="n">
        <f aca="false">IF(D159&lt;=0,0,ROUND(MIN(D159-F159,G159),2))</f>
        <v>200</v>
      </c>
      <c r="I159" s="26" t="n">
        <f aca="false">ROUND(E159+F159+H159,2)</f>
        <v>2854.69</v>
      </c>
      <c r="J159" s="26" t="n">
        <f aca="false">ROUND(MAX(0,D159-F159-H159),2)</f>
        <v>254147.51</v>
      </c>
      <c r="K159" s="26" t="n">
        <f aca="false">ROUND(E159+K158,2)</f>
        <v>289769.77</v>
      </c>
    </row>
    <row r="160" customFormat="false" ht="15" hidden="false" customHeight="true" outlineLevel="0" collapsed="false">
      <c r="A160" s="19" t="n">
        <f aca="false">A159+1</f>
        <v>155</v>
      </c>
      <c r="B160" s="18" t="n">
        <f aca="false">EDATE(B159,1)</f>
        <v>50983</v>
      </c>
      <c r="C160" s="19" t="n">
        <f aca="false">ROUNDUP(A160/12,0)</f>
        <v>13</v>
      </c>
      <c r="D160" s="26" t="n">
        <f aca="false">J159</f>
        <v>254147.51</v>
      </c>
      <c r="E160" s="26" t="n">
        <f aca="false">IF(D160&lt;=0,0,ROUND(D160*Calculator!$B$7/12,2))</f>
        <v>1376.63</v>
      </c>
      <c r="F160" s="26" t="n">
        <f aca="false">IF(D160&lt;=0,0,ROUND(MIN(D160,Calculator!$H$6-E160),2))</f>
        <v>1278.06</v>
      </c>
      <c r="G160" s="26" t="n">
        <f aca="false">ROUND(IF(A160&gt;=Calculator!$E$11,Calculator!$E$6,0)+IF(A160=Calculator!$E$8,Calculator!$E$7,0)+IF(MONTH(B160)=Calculator!$E$10,Calculator!$E$9,0),2)</f>
        <v>200</v>
      </c>
      <c r="H160" s="26" t="n">
        <f aca="false">IF(D160&lt;=0,0,ROUND(MIN(D160-F160,G160),2))</f>
        <v>200</v>
      </c>
      <c r="I160" s="26" t="n">
        <f aca="false">ROUND(E160+F160+H160,2)</f>
        <v>2854.69</v>
      </c>
      <c r="J160" s="26" t="n">
        <f aca="false">ROUND(MAX(0,D160-F160-H160),2)</f>
        <v>252669.45</v>
      </c>
      <c r="K160" s="26" t="n">
        <f aca="false">ROUND(E160+K159,2)</f>
        <v>291146.4</v>
      </c>
    </row>
    <row r="161" customFormat="false" ht="15" hidden="false" customHeight="true" outlineLevel="0" collapsed="false">
      <c r="A161" s="19" t="n">
        <f aca="false">A160+1</f>
        <v>156</v>
      </c>
      <c r="B161" s="18" t="n">
        <f aca="false">EDATE(B160,1)</f>
        <v>51014</v>
      </c>
      <c r="C161" s="19" t="n">
        <f aca="false">ROUNDUP(A161/12,0)</f>
        <v>13</v>
      </c>
      <c r="D161" s="26" t="n">
        <f aca="false">J160</f>
        <v>252669.45</v>
      </c>
      <c r="E161" s="26" t="n">
        <f aca="false">IF(D161&lt;=0,0,ROUND(D161*Calculator!$B$7/12,2))</f>
        <v>1368.63</v>
      </c>
      <c r="F161" s="26" t="n">
        <f aca="false">IF(D161&lt;=0,0,ROUND(MIN(D161,Calculator!$H$6-E161),2))</f>
        <v>1286.06</v>
      </c>
      <c r="G161" s="26" t="n">
        <f aca="false">ROUND(IF(A161&gt;=Calculator!$E$11,Calculator!$E$6,0)+IF(A161=Calculator!$E$8,Calculator!$E$7,0)+IF(MONTH(B161)=Calculator!$E$10,Calculator!$E$9,0),2)</f>
        <v>200</v>
      </c>
      <c r="H161" s="26" t="n">
        <f aca="false">IF(D161&lt;=0,0,ROUND(MIN(D161-F161,G161),2))</f>
        <v>200</v>
      </c>
      <c r="I161" s="26" t="n">
        <f aca="false">ROUND(E161+F161+H161,2)</f>
        <v>2854.69</v>
      </c>
      <c r="J161" s="26" t="n">
        <f aca="false">ROUND(MAX(0,D161-F161-H161),2)</f>
        <v>251183.39</v>
      </c>
      <c r="K161" s="26" t="n">
        <f aca="false">ROUND(E161+K160,2)</f>
        <v>292515.03</v>
      </c>
    </row>
    <row r="162" customFormat="false" ht="15" hidden="false" customHeight="true" outlineLevel="0" collapsed="false">
      <c r="A162" s="19" t="n">
        <f aca="false">A161+1</f>
        <v>157</v>
      </c>
      <c r="B162" s="18" t="n">
        <f aca="false">EDATE(B161,1)</f>
        <v>51044</v>
      </c>
      <c r="C162" s="19" t="n">
        <f aca="false">ROUNDUP(A162/12,0)</f>
        <v>14</v>
      </c>
      <c r="D162" s="26" t="n">
        <f aca="false">J161</f>
        <v>251183.39</v>
      </c>
      <c r="E162" s="26" t="n">
        <f aca="false">IF(D162&lt;=0,0,ROUND(D162*Calculator!$B$7/12,2))</f>
        <v>1360.58</v>
      </c>
      <c r="F162" s="26" t="n">
        <f aca="false">IF(D162&lt;=0,0,ROUND(MIN(D162,Calculator!$H$6-E162),2))</f>
        <v>1294.11</v>
      </c>
      <c r="G162" s="26" t="n">
        <f aca="false">ROUND(IF(A162&gt;=Calculator!$E$11,Calculator!$E$6,0)+IF(A162=Calculator!$E$8,Calculator!$E$7,0)+IF(MONTH(B162)=Calculator!$E$10,Calculator!$E$9,0),2)</f>
        <v>200</v>
      </c>
      <c r="H162" s="26" t="n">
        <f aca="false">IF(D162&lt;=0,0,ROUND(MIN(D162-F162,G162),2))</f>
        <v>200</v>
      </c>
      <c r="I162" s="26" t="n">
        <f aca="false">ROUND(E162+F162+H162,2)</f>
        <v>2854.69</v>
      </c>
      <c r="J162" s="26" t="n">
        <f aca="false">ROUND(MAX(0,D162-F162-H162),2)</f>
        <v>249689.28</v>
      </c>
      <c r="K162" s="26" t="n">
        <f aca="false">ROUND(E162+K161,2)</f>
        <v>293875.61</v>
      </c>
    </row>
    <row r="163" customFormat="false" ht="15" hidden="false" customHeight="true" outlineLevel="0" collapsed="false">
      <c r="A163" s="19" t="n">
        <f aca="false">A162+1</f>
        <v>158</v>
      </c>
      <c r="B163" s="18" t="n">
        <f aca="false">EDATE(B162,1)</f>
        <v>51075</v>
      </c>
      <c r="C163" s="19" t="n">
        <f aca="false">ROUNDUP(A163/12,0)</f>
        <v>14</v>
      </c>
      <c r="D163" s="26" t="n">
        <f aca="false">J162</f>
        <v>249689.28</v>
      </c>
      <c r="E163" s="26" t="n">
        <f aca="false">IF(D163&lt;=0,0,ROUND(D163*Calculator!$B$7/12,2))</f>
        <v>1352.48</v>
      </c>
      <c r="F163" s="26" t="n">
        <f aca="false">IF(D163&lt;=0,0,ROUND(MIN(D163,Calculator!$H$6-E163),2))</f>
        <v>1302.21</v>
      </c>
      <c r="G163" s="26" t="n">
        <f aca="false">ROUND(IF(A163&gt;=Calculator!$E$11,Calculator!$E$6,0)+IF(A163=Calculator!$E$8,Calculator!$E$7,0)+IF(MONTH(B163)=Calculator!$E$10,Calculator!$E$9,0),2)</f>
        <v>200</v>
      </c>
      <c r="H163" s="26" t="n">
        <f aca="false">IF(D163&lt;=0,0,ROUND(MIN(D163-F163,G163),2))</f>
        <v>200</v>
      </c>
      <c r="I163" s="26" t="n">
        <f aca="false">ROUND(E163+F163+H163,2)</f>
        <v>2854.69</v>
      </c>
      <c r="J163" s="26" t="n">
        <f aca="false">ROUND(MAX(0,D163-F163-H163),2)</f>
        <v>248187.07</v>
      </c>
      <c r="K163" s="26" t="n">
        <f aca="false">ROUND(E163+K162,2)</f>
        <v>295228.09</v>
      </c>
    </row>
    <row r="164" customFormat="false" ht="15" hidden="false" customHeight="true" outlineLevel="0" collapsed="false">
      <c r="A164" s="19" t="n">
        <f aca="false">A163+1</f>
        <v>159</v>
      </c>
      <c r="B164" s="18" t="n">
        <f aca="false">EDATE(B163,1)</f>
        <v>51105</v>
      </c>
      <c r="C164" s="19" t="n">
        <f aca="false">ROUNDUP(A164/12,0)</f>
        <v>14</v>
      </c>
      <c r="D164" s="26" t="n">
        <f aca="false">J163</f>
        <v>248187.07</v>
      </c>
      <c r="E164" s="26" t="n">
        <f aca="false">IF(D164&lt;=0,0,ROUND(D164*Calculator!$B$7/12,2))</f>
        <v>1344.35</v>
      </c>
      <c r="F164" s="26" t="n">
        <f aca="false">IF(D164&lt;=0,0,ROUND(MIN(D164,Calculator!$H$6-E164),2))</f>
        <v>1310.34</v>
      </c>
      <c r="G164" s="26" t="n">
        <f aca="false">ROUND(IF(A164&gt;=Calculator!$E$11,Calculator!$E$6,0)+IF(A164=Calculator!$E$8,Calculator!$E$7,0)+IF(MONTH(B164)=Calculator!$E$10,Calculator!$E$9,0),2)</f>
        <v>1200</v>
      </c>
      <c r="H164" s="26" t="n">
        <f aca="false">IF(D164&lt;=0,0,ROUND(MIN(D164-F164,G164),2))</f>
        <v>1200</v>
      </c>
      <c r="I164" s="26" t="n">
        <f aca="false">ROUND(E164+F164+H164,2)</f>
        <v>3854.69</v>
      </c>
      <c r="J164" s="26" t="n">
        <f aca="false">ROUND(MAX(0,D164-F164-H164),2)</f>
        <v>245676.73</v>
      </c>
      <c r="K164" s="26" t="n">
        <f aca="false">ROUND(E164+K163,2)</f>
        <v>296572.44</v>
      </c>
    </row>
    <row r="165" customFormat="false" ht="15" hidden="false" customHeight="true" outlineLevel="0" collapsed="false">
      <c r="A165" s="19" t="n">
        <f aca="false">A164+1</f>
        <v>160</v>
      </c>
      <c r="B165" s="18" t="n">
        <f aca="false">EDATE(B164,1)</f>
        <v>51136</v>
      </c>
      <c r="C165" s="19" t="n">
        <f aca="false">ROUNDUP(A165/12,0)</f>
        <v>14</v>
      </c>
      <c r="D165" s="26" t="n">
        <f aca="false">J164</f>
        <v>245676.73</v>
      </c>
      <c r="E165" s="26" t="n">
        <f aca="false">IF(D165&lt;=0,0,ROUND(D165*Calculator!$B$7/12,2))</f>
        <v>1330.75</v>
      </c>
      <c r="F165" s="26" t="n">
        <f aca="false">IF(D165&lt;=0,0,ROUND(MIN(D165,Calculator!$H$6-E165),2))</f>
        <v>1323.94</v>
      </c>
      <c r="G165" s="26" t="n">
        <f aca="false">ROUND(IF(A165&gt;=Calculator!$E$11,Calculator!$E$6,0)+IF(A165=Calculator!$E$8,Calculator!$E$7,0)+IF(MONTH(B165)=Calculator!$E$10,Calculator!$E$9,0),2)</f>
        <v>200</v>
      </c>
      <c r="H165" s="26" t="n">
        <f aca="false">IF(D165&lt;=0,0,ROUND(MIN(D165-F165,G165),2))</f>
        <v>200</v>
      </c>
      <c r="I165" s="26" t="n">
        <f aca="false">ROUND(E165+F165+H165,2)</f>
        <v>2854.69</v>
      </c>
      <c r="J165" s="26" t="n">
        <f aca="false">ROUND(MAX(0,D165-F165-H165),2)</f>
        <v>244152.79</v>
      </c>
      <c r="K165" s="26" t="n">
        <f aca="false">ROUND(E165+K164,2)</f>
        <v>297903.19</v>
      </c>
    </row>
    <row r="166" customFormat="false" ht="15" hidden="false" customHeight="true" outlineLevel="0" collapsed="false">
      <c r="A166" s="19" t="n">
        <f aca="false">A165+1</f>
        <v>161</v>
      </c>
      <c r="B166" s="18" t="n">
        <f aca="false">EDATE(B165,1)</f>
        <v>51167</v>
      </c>
      <c r="C166" s="19" t="n">
        <f aca="false">ROUNDUP(A166/12,0)</f>
        <v>14</v>
      </c>
      <c r="D166" s="26" t="n">
        <f aca="false">J165</f>
        <v>244152.79</v>
      </c>
      <c r="E166" s="26" t="n">
        <f aca="false">IF(D166&lt;=0,0,ROUND(D166*Calculator!$B$7/12,2))</f>
        <v>1322.49</v>
      </c>
      <c r="F166" s="26" t="n">
        <f aca="false">IF(D166&lt;=0,0,ROUND(MIN(D166,Calculator!$H$6-E166),2))</f>
        <v>1332.2</v>
      </c>
      <c r="G166" s="26" t="n">
        <f aca="false">ROUND(IF(A166&gt;=Calculator!$E$11,Calculator!$E$6,0)+IF(A166=Calculator!$E$8,Calculator!$E$7,0)+IF(MONTH(B166)=Calculator!$E$10,Calculator!$E$9,0),2)</f>
        <v>200</v>
      </c>
      <c r="H166" s="26" t="n">
        <f aca="false">IF(D166&lt;=0,0,ROUND(MIN(D166-F166,G166),2))</f>
        <v>200</v>
      </c>
      <c r="I166" s="26" t="n">
        <f aca="false">ROUND(E166+F166+H166,2)</f>
        <v>2854.69</v>
      </c>
      <c r="J166" s="26" t="n">
        <f aca="false">ROUND(MAX(0,D166-F166-H166),2)</f>
        <v>242620.59</v>
      </c>
      <c r="K166" s="26" t="n">
        <f aca="false">ROUND(E166+K165,2)</f>
        <v>299225.68</v>
      </c>
    </row>
    <row r="167" customFormat="false" ht="15" hidden="false" customHeight="true" outlineLevel="0" collapsed="false">
      <c r="A167" s="19" t="n">
        <f aca="false">A166+1</f>
        <v>162</v>
      </c>
      <c r="B167" s="18" t="n">
        <f aca="false">EDATE(B166,1)</f>
        <v>51196</v>
      </c>
      <c r="C167" s="19" t="n">
        <f aca="false">ROUNDUP(A167/12,0)</f>
        <v>14</v>
      </c>
      <c r="D167" s="26" t="n">
        <f aca="false">J166</f>
        <v>242620.59</v>
      </c>
      <c r="E167" s="26" t="n">
        <f aca="false">IF(D167&lt;=0,0,ROUND(D167*Calculator!$B$7/12,2))</f>
        <v>1314.19</v>
      </c>
      <c r="F167" s="26" t="n">
        <f aca="false">IF(D167&lt;=0,0,ROUND(MIN(D167,Calculator!$H$6-E167),2))</f>
        <v>1340.5</v>
      </c>
      <c r="G167" s="26" t="n">
        <f aca="false">ROUND(IF(A167&gt;=Calculator!$E$11,Calculator!$E$6,0)+IF(A167=Calculator!$E$8,Calculator!$E$7,0)+IF(MONTH(B167)=Calculator!$E$10,Calculator!$E$9,0),2)</f>
        <v>200</v>
      </c>
      <c r="H167" s="26" t="n">
        <f aca="false">IF(D167&lt;=0,0,ROUND(MIN(D167-F167,G167),2))</f>
        <v>200</v>
      </c>
      <c r="I167" s="26" t="n">
        <f aca="false">ROUND(E167+F167+H167,2)</f>
        <v>2854.69</v>
      </c>
      <c r="J167" s="26" t="n">
        <f aca="false">ROUND(MAX(0,D167-F167-H167),2)</f>
        <v>241080.09</v>
      </c>
      <c r="K167" s="26" t="n">
        <f aca="false">ROUND(E167+K166,2)</f>
        <v>300539.87</v>
      </c>
    </row>
    <row r="168" customFormat="false" ht="15" hidden="false" customHeight="true" outlineLevel="0" collapsed="false">
      <c r="A168" s="19" t="n">
        <f aca="false">A167+1</f>
        <v>163</v>
      </c>
      <c r="B168" s="18" t="n">
        <f aca="false">EDATE(B167,1)</f>
        <v>51227</v>
      </c>
      <c r="C168" s="19" t="n">
        <f aca="false">ROUNDUP(A168/12,0)</f>
        <v>14</v>
      </c>
      <c r="D168" s="26" t="n">
        <f aca="false">J167</f>
        <v>241080.09</v>
      </c>
      <c r="E168" s="26" t="n">
        <f aca="false">IF(D168&lt;=0,0,ROUND(D168*Calculator!$B$7/12,2))</f>
        <v>1305.85</v>
      </c>
      <c r="F168" s="26" t="n">
        <f aca="false">IF(D168&lt;=0,0,ROUND(MIN(D168,Calculator!$H$6-E168),2))</f>
        <v>1348.84</v>
      </c>
      <c r="G168" s="26" t="n">
        <f aca="false">ROUND(IF(A168&gt;=Calculator!$E$11,Calculator!$E$6,0)+IF(A168=Calculator!$E$8,Calculator!$E$7,0)+IF(MONTH(B168)=Calculator!$E$10,Calculator!$E$9,0),2)</f>
        <v>200</v>
      </c>
      <c r="H168" s="26" t="n">
        <f aca="false">IF(D168&lt;=0,0,ROUND(MIN(D168-F168,G168),2))</f>
        <v>200</v>
      </c>
      <c r="I168" s="26" t="n">
        <f aca="false">ROUND(E168+F168+H168,2)</f>
        <v>2854.69</v>
      </c>
      <c r="J168" s="26" t="n">
        <f aca="false">ROUND(MAX(0,D168-F168-H168),2)</f>
        <v>239531.25</v>
      </c>
      <c r="K168" s="26" t="n">
        <f aca="false">ROUND(E168+K167,2)</f>
        <v>301845.72</v>
      </c>
    </row>
    <row r="169" customFormat="false" ht="15" hidden="false" customHeight="true" outlineLevel="0" collapsed="false">
      <c r="A169" s="19" t="n">
        <f aca="false">A168+1</f>
        <v>164</v>
      </c>
      <c r="B169" s="18" t="n">
        <f aca="false">EDATE(B168,1)</f>
        <v>51257</v>
      </c>
      <c r="C169" s="19" t="n">
        <f aca="false">ROUNDUP(A169/12,0)</f>
        <v>14</v>
      </c>
      <c r="D169" s="26" t="n">
        <f aca="false">J168</f>
        <v>239531.25</v>
      </c>
      <c r="E169" s="26" t="n">
        <f aca="false">IF(D169&lt;=0,0,ROUND(D169*Calculator!$B$7/12,2))</f>
        <v>1297.46</v>
      </c>
      <c r="F169" s="26" t="n">
        <f aca="false">IF(D169&lt;=0,0,ROUND(MIN(D169,Calculator!$H$6-E169),2))</f>
        <v>1357.23</v>
      </c>
      <c r="G169" s="26" t="n">
        <f aca="false">ROUND(IF(A169&gt;=Calculator!$E$11,Calculator!$E$6,0)+IF(A169=Calculator!$E$8,Calculator!$E$7,0)+IF(MONTH(B169)=Calculator!$E$10,Calculator!$E$9,0),2)</f>
        <v>200</v>
      </c>
      <c r="H169" s="26" t="n">
        <f aca="false">IF(D169&lt;=0,0,ROUND(MIN(D169-F169,G169),2))</f>
        <v>200</v>
      </c>
      <c r="I169" s="26" t="n">
        <f aca="false">ROUND(E169+F169+H169,2)</f>
        <v>2854.69</v>
      </c>
      <c r="J169" s="26" t="n">
        <f aca="false">ROUND(MAX(0,D169-F169-H169),2)</f>
        <v>237974.02</v>
      </c>
      <c r="K169" s="26" t="n">
        <f aca="false">ROUND(E169+K168,2)</f>
        <v>303143.18</v>
      </c>
    </row>
    <row r="170" customFormat="false" ht="15" hidden="false" customHeight="true" outlineLevel="0" collapsed="false">
      <c r="A170" s="19" t="n">
        <f aca="false">A169+1</f>
        <v>165</v>
      </c>
      <c r="B170" s="18" t="n">
        <f aca="false">EDATE(B169,1)</f>
        <v>51288</v>
      </c>
      <c r="C170" s="19" t="n">
        <f aca="false">ROUNDUP(A170/12,0)</f>
        <v>14</v>
      </c>
      <c r="D170" s="26" t="n">
        <f aca="false">J169</f>
        <v>237974.02</v>
      </c>
      <c r="E170" s="26" t="n">
        <f aca="false">IF(D170&lt;=0,0,ROUND(D170*Calculator!$B$7/12,2))</f>
        <v>1289.03</v>
      </c>
      <c r="F170" s="26" t="n">
        <f aca="false">IF(D170&lt;=0,0,ROUND(MIN(D170,Calculator!$H$6-E170),2))</f>
        <v>1365.66</v>
      </c>
      <c r="G170" s="26" t="n">
        <f aca="false">ROUND(IF(A170&gt;=Calculator!$E$11,Calculator!$E$6,0)+IF(A170=Calculator!$E$8,Calculator!$E$7,0)+IF(MONTH(B170)=Calculator!$E$10,Calculator!$E$9,0),2)</f>
        <v>200</v>
      </c>
      <c r="H170" s="26" t="n">
        <f aca="false">IF(D170&lt;=0,0,ROUND(MIN(D170-F170,G170),2))</f>
        <v>200</v>
      </c>
      <c r="I170" s="26" t="n">
        <f aca="false">ROUND(E170+F170+H170,2)</f>
        <v>2854.69</v>
      </c>
      <c r="J170" s="26" t="n">
        <f aca="false">ROUND(MAX(0,D170-F170-H170),2)</f>
        <v>236408.36</v>
      </c>
      <c r="K170" s="26" t="n">
        <f aca="false">ROUND(E170+K169,2)</f>
        <v>304432.21</v>
      </c>
    </row>
    <row r="171" customFormat="false" ht="15" hidden="false" customHeight="true" outlineLevel="0" collapsed="false">
      <c r="A171" s="19" t="n">
        <f aca="false">A170+1</f>
        <v>166</v>
      </c>
      <c r="B171" s="18" t="n">
        <f aca="false">EDATE(B170,1)</f>
        <v>51318</v>
      </c>
      <c r="C171" s="19" t="n">
        <f aca="false">ROUNDUP(A171/12,0)</f>
        <v>14</v>
      </c>
      <c r="D171" s="26" t="n">
        <f aca="false">J170</f>
        <v>236408.36</v>
      </c>
      <c r="E171" s="26" t="n">
        <f aca="false">IF(D171&lt;=0,0,ROUND(D171*Calculator!$B$7/12,2))</f>
        <v>1280.55</v>
      </c>
      <c r="F171" s="26" t="n">
        <f aca="false">IF(D171&lt;=0,0,ROUND(MIN(D171,Calculator!$H$6-E171),2))</f>
        <v>1374.14</v>
      </c>
      <c r="G171" s="26" t="n">
        <f aca="false">ROUND(IF(A171&gt;=Calculator!$E$11,Calculator!$E$6,0)+IF(A171=Calculator!$E$8,Calculator!$E$7,0)+IF(MONTH(B171)=Calculator!$E$10,Calculator!$E$9,0),2)</f>
        <v>200</v>
      </c>
      <c r="H171" s="26" t="n">
        <f aca="false">IF(D171&lt;=0,0,ROUND(MIN(D171-F171,G171),2))</f>
        <v>200</v>
      </c>
      <c r="I171" s="26" t="n">
        <f aca="false">ROUND(E171+F171+H171,2)</f>
        <v>2854.69</v>
      </c>
      <c r="J171" s="26" t="n">
        <f aca="false">ROUND(MAX(0,D171-F171-H171),2)</f>
        <v>234834.22</v>
      </c>
      <c r="K171" s="26" t="n">
        <f aca="false">ROUND(E171+K170,2)</f>
        <v>305712.76</v>
      </c>
    </row>
    <row r="172" customFormat="false" ht="15" hidden="false" customHeight="true" outlineLevel="0" collapsed="false">
      <c r="A172" s="19" t="n">
        <f aca="false">A171+1</f>
        <v>167</v>
      </c>
      <c r="B172" s="18" t="n">
        <f aca="false">EDATE(B171,1)</f>
        <v>51349</v>
      </c>
      <c r="C172" s="19" t="n">
        <f aca="false">ROUNDUP(A172/12,0)</f>
        <v>14</v>
      </c>
      <c r="D172" s="26" t="n">
        <f aca="false">J171</f>
        <v>234834.22</v>
      </c>
      <c r="E172" s="26" t="n">
        <f aca="false">IF(D172&lt;=0,0,ROUND(D172*Calculator!$B$7/12,2))</f>
        <v>1272.02</v>
      </c>
      <c r="F172" s="26" t="n">
        <f aca="false">IF(D172&lt;=0,0,ROUND(MIN(D172,Calculator!$H$6-E172),2))</f>
        <v>1382.67</v>
      </c>
      <c r="G172" s="26" t="n">
        <f aca="false">ROUND(IF(A172&gt;=Calculator!$E$11,Calculator!$E$6,0)+IF(A172=Calculator!$E$8,Calculator!$E$7,0)+IF(MONTH(B172)=Calculator!$E$10,Calculator!$E$9,0),2)</f>
        <v>200</v>
      </c>
      <c r="H172" s="26" t="n">
        <f aca="false">IF(D172&lt;=0,0,ROUND(MIN(D172-F172,G172),2))</f>
        <v>200</v>
      </c>
      <c r="I172" s="26" t="n">
        <f aca="false">ROUND(E172+F172+H172,2)</f>
        <v>2854.69</v>
      </c>
      <c r="J172" s="26" t="n">
        <f aca="false">ROUND(MAX(0,D172-F172-H172),2)</f>
        <v>233251.55</v>
      </c>
      <c r="K172" s="26" t="n">
        <f aca="false">ROUND(E172+K171,2)</f>
        <v>306984.78</v>
      </c>
    </row>
    <row r="173" customFormat="false" ht="15" hidden="false" customHeight="true" outlineLevel="0" collapsed="false">
      <c r="A173" s="19" t="n">
        <f aca="false">A172+1</f>
        <v>168</v>
      </c>
      <c r="B173" s="18" t="n">
        <f aca="false">EDATE(B172,1)</f>
        <v>51380</v>
      </c>
      <c r="C173" s="19" t="n">
        <f aca="false">ROUNDUP(A173/12,0)</f>
        <v>14</v>
      </c>
      <c r="D173" s="26" t="n">
        <f aca="false">J172</f>
        <v>233251.55</v>
      </c>
      <c r="E173" s="26" t="n">
        <f aca="false">IF(D173&lt;=0,0,ROUND(D173*Calculator!$B$7/12,2))</f>
        <v>1263.45</v>
      </c>
      <c r="F173" s="26" t="n">
        <f aca="false">IF(D173&lt;=0,0,ROUND(MIN(D173,Calculator!$H$6-E173),2))</f>
        <v>1391.24</v>
      </c>
      <c r="G173" s="26" t="n">
        <f aca="false">ROUND(IF(A173&gt;=Calculator!$E$11,Calculator!$E$6,0)+IF(A173=Calculator!$E$8,Calculator!$E$7,0)+IF(MONTH(B173)=Calculator!$E$10,Calculator!$E$9,0),2)</f>
        <v>200</v>
      </c>
      <c r="H173" s="26" t="n">
        <f aca="false">IF(D173&lt;=0,0,ROUND(MIN(D173-F173,G173),2))</f>
        <v>200</v>
      </c>
      <c r="I173" s="26" t="n">
        <f aca="false">ROUND(E173+F173+H173,2)</f>
        <v>2854.69</v>
      </c>
      <c r="J173" s="26" t="n">
        <f aca="false">ROUND(MAX(0,D173-F173-H173),2)</f>
        <v>231660.31</v>
      </c>
      <c r="K173" s="26" t="n">
        <f aca="false">ROUND(E173+K172,2)</f>
        <v>308248.23</v>
      </c>
    </row>
    <row r="174" customFormat="false" ht="15" hidden="false" customHeight="true" outlineLevel="0" collapsed="false">
      <c r="A174" s="19" t="n">
        <f aca="false">A173+1</f>
        <v>169</v>
      </c>
      <c r="B174" s="18" t="n">
        <f aca="false">EDATE(B173,1)</f>
        <v>51410</v>
      </c>
      <c r="C174" s="19" t="n">
        <f aca="false">ROUNDUP(A174/12,0)</f>
        <v>15</v>
      </c>
      <c r="D174" s="26" t="n">
        <f aca="false">J173</f>
        <v>231660.31</v>
      </c>
      <c r="E174" s="26" t="n">
        <f aca="false">IF(D174&lt;=0,0,ROUND(D174*Calculator!$B$7/12,2))</f>
        <v>1254.83</v>
      </c>
      <c r="F174" s="26" t="n">
        <f aca="false">IF(D174&lt;=0,0,ROUND(MIN(D174,Calculator!$H$6-E174),2))</f>
        <v>1399.86</v>
      </c>
      <c r="G174" s="26" t="n">
        <f aca="false">ROUND(IF(A174&gt;=Calculator!$E$11,Calculator!$E$6,0)+IF(A174=Calculator!$E$8,Calculator!$E$7,0)+IF(MONTH(B174)=Calculator!$E$10,Calculator!$E$9,0),2)</f>
        <v>200</v>
      </c>
      <c r="H174" s="26" t="n">
        <f aca="false">IF(D174&lt;=0,0,ROUND(MIN(D174-F174,G174),2))</f>
        <v>200</v>
      </c>
      <c r="I174" s="26" t="n">
        <f aca="false">ROUND(E174+F174+H174,2)</f>
        <v>2854.69</v>
      </c>
      <c r="J174" s="26" t="n">
        <f aca="false">ROUND(MAX(0,D174-F174-H174),2)</f>
        <v>230060.45</v>
      </c>
      <c r="K174" s="26" t="n">
        <f aca="false">ROUND(E174+K173,2)</f>
        <v>309503.06</v>
      </c>
    </row>
    <row r="175" customFormat="false" ht="15" hidden="false" customHeight="true" outlineLevel="0" collapsed="false">
      <c r="A175" s="19" t="n">
        <f aca="false">A174+1</f>
        <v>170</v>
      </c>
      <c r="B175" s="18" t="n">
        <f aca="false">EDATE(B174,1)</f>
        <v>51441</v>
      </c>
      <c r="C175" s="19" t="n">
        <f aca="false">ROUNDUP(A175/12,0)</f>
        <v>15</v>
      </c>
      <c r="D175" s="26" t="n">
        <f aca="false">J174</f>
        <v>230060.45</v>
      </c>
      <c r="E175" s="26" t="n">
        <f aca="false">IF(D175&lt;=0,0,ROUND(D175*Calculator!$B$7/12,2))</f>
        <v>1246.16</v>
      </c>
      <c r="F175" s="26" t="n">
        <f aca="false">IF(D175&lt;=0,0,ROUND(MIN(D175,Calculator!$H$6-E175),2))</f>
        <v>1408.53</v>
      </c>
      <c r="G175" s="26" t="n">
        <f aca="false">ROUND(IF(A175&gt;=Calculator!$E$11,Calculator!$E$6,0)+IF(A175=Calculator!$E$8,Calculator!$E$7,0)+IF(MONTH(B175)=Calculator!$E$10,Calculator!$E$9,0),2)</f>
        <v>200</v>
      </c>
      <c r="H175" s="26" t="n">
        <f aca="false">IF(D175&lt;=0,0,ROUND(MIN(D175-F175,G175),2))</f>
        <v>200</v>
      </c>
      <c r="I175" s="26" t="n">
        <f aca="false">ROUND(E175+F175+H175,2)</f>
        <v>2854.69</v>
      </c>
      <c r="J175" s="26" t="n">
        <f aca="false">ROUND(MAX(0,D175-F175-H175),2)</f>
        <v>228451.92</v>
      </c>
      <c r="K175" s="26" t="n">
        <f aca="false">ROUND(E175+K174,2)</f>
        <v>310749.22</v>
      </c>
    </row>
    <row r="176" customFormat="false" ht="15" hidden="false" customHeight="true" outlineLevel="0" collapsed="false">
      <c r="A176" s="19" t="n">
        <f aca="false">A175+1</f>
        <v>171</v>
      </c>
      <c r="B176" s="18" t="n">
        <f aca="false">EDATE(B175,1)</f>
        <v>51471</v>
      </c>
      <c r="C176" s="19" t="n">
        <f aca="false">ROUNDUP(A176/12,0)</f>
        <v>15</v>
      </c>
      <c r="D176" s="26" t="n">
        <f aca="false">J175</f>
        <v>228451.92</v>
      </c>
      <c r="E176" s="26" t="n">
        <f aca="false">IF(D176&lt;=0,0,ROUND(D176*Calculator!$B$7/12,2))</f>
        <v>1237.45</v>
      </c>
      <c r="F176" s="26" t="n">
        <f aca="false">IF(D176&lt;=0,0,ROUND(MIN(D176,Calculator!$H$6-E176),2))</f>
        <v>1417.24</v>
      </c>
      <c r="G176" s="26" t="n">
        <f aca="false">ROUND(IF(A176&gt;=Calculator!$E$11,Calculator!$E$6,0)+IF(A176=Calculator!$E$8,Calculator!$E$7,0)+IF(MONTH(B176)=Calculator!$E$10,Calculator!$E$9,0),2)</f>
        <v>1200</v>
      </c>
      <c r="H176" s="26" t="n">
        <f aca="false">IF(D176&lt;=0,0,ROUND(MIN(D176-F176,G176),2))</f>
        <v>1200</v>
      </c>
      <c r="I176" s="26" t="n">
        <f aca="false">ROUND(E176+F176+H176,2)</f>
        <v>3854.69</v>
      </c>
      <c r="J176" s="26" t="n">
        <f aca="false">ROUND(MAX(0,D176-F176-H176),2)</f>
        <v>225834.68</v>
      </c>
      <c r="K176" s="26" t="n">
        <f aca="false">ROUND(E176+K175,2)</f>
        <v>311986.67</v>
      </c>
    </row>
    <row r="177" customFormat="false" ht="15" hidden="false" customHeight="true" outlineLevel="0" collapsed="false">
      <c r="A177" s="19" t="n">
        <f aca="false">A176+1</f>
        <v>172</v>
      </c>
      <c r="B177" s="18" t="n">
        <f aca="false">EDATE(B176,1)</f>
        <v>51502</v>
      </c>
      <c r="C177" s="19" t="n">
        <f aca="false">ROUNDUP(A177/12,0)</f>
        <v>15</v>
      </c>
      <c r="D177" s="26" t="n">
        <f aca="false">J176</f>
        <v>225834.68</v>
      </c>
      <c r="E177" s="26" t="n">
        <f aca="false">IF(D177&lt;=0,0,ROUND(D177*Calculator!$B$7/12,2))</f>
        <v>1223.27</v>
      </c>
      <c r="F177" s="26" t="n">
        <f aca="false">IF(D177&lt;=0,0,ROUND(MIN(D177,Calculator!$H$6-E177),2))</f>
        <v>1431.42</v>
      </c>
      <c r="G177" s="26" t="n">
        <f aca="false">ROUND(IF(A177&gt;=Calculator!$E$11,Calculator!$E$6,0)+IF(A177=Calculator!$E$8,Calculator!$E$7,0)+IF(MONTH(B177)=Calculator!$E$10,Calculator!$E$9,0),2)</f>
        <v>200</v>
      </c>
      <c r="H177" s="26" t="n">
        <f aca="false">IF(D177&lt;=0,0,ROUND(MIN(D177-F177,G177),2))</f>
        <v>200</v>
      </c>
      <c r="I177" s="26" t="n">
        <f aca="false">ROUND(E177+F177+H177,2)</f>
        <v>2854.69</v>
      </c>
      <c r="J177" s="26" t="n">
        <f aca="false">ROUND(MAX(0,D177-F177-H177),2)</f>
        <v>224203.26</v>
      </c>
      <c r="K177" s="26" t="n">
        <f aca="false">ROUND(E177+K176,2)</f>
        <v>313209.94</v>
      </c>
    </row>
    <row r="178" customFormat="false" ht="15" hidden="false" customHeight="true" outlineLevel="0" collapsed="false">
      <c r="A178" s="19" t="n">
        <f aca="false">A177+1</f>
        <v>173</v>
      </c>
      <c r="B178" s="18" t="n">
        <f aca="false">EDATE(B177,1)</f>
        <v>51533</v>
      </c>
      <c r="C178" s="19" t="n">
        <f aca="false">ROUNDUP(A178/12,0)</f>
        <v>15</v>
      </c>
      <c r="D178" s="26" t="n">
        <f aca="false">J177</f>
        <v>224203.26</v>
      </c>
      <c r="E178" s="26" t="n">
        <f aca="false">IF(D178&lt;=0,0,ROUND(D178*Calculator!$B$7/12,2))</f>
        <v>1214.43</v>
      </c>
      <c r="F178" s="26" t="n">
        <f aca="false">IF(D178&lt;=0,0,ROUND(MIN(D178,Calculator!$H$6-E178),2))</f>
        <v>1440.26</v>
      </c>
      <c r="G178" s="26" t="n">
        <f aca="false">ROUND(IF(A178&gt;=Calculator!$E$11,Calculator!$E$6,0)+IF(A178=Calculator!$E$8,Calculator!$E$7,0)+IF(MONTH(B178)=Calculator!$E$10,Calculator!$E$9,0),2)</f>
        <v>200</v>
      </c>
      <c r="H178" s="26" t="n">
        <f aca="false">IF(D178&lt;=0,0,ROUND(MIN(D178-F178,G178),2))</f>
        <v>200</v>
      </c>
      <c r="I178" s="26" t="n">
        <f aca="false">ROUND(E178+F178+H178,2)</f>
        <v>2854.69</v>
      </c>
      <c r="J178" s="26" t="n">
        <f aca="false">ROUND(MAX(0,D178-F178-H178),2)</f>
        <v>222563</v>
      </c>
      <c r="K178" s="26" t="n">
        <f aca="false">ROUND(E178+K177,2)</f>
        <v>314424.37</v>
      </c>
    </row>
    <row r="179" customFormat="false" ht="15" hidden="false" customHeight="true" outlineLevel="0" collapsed="false">
      <c r="A179" s="19" t="n">
        <f aca="false">A178+1</f>
        <v>174</v>
      </c>
      <c r="B179" s="18" t="n">
        <f aca="false">EDATE(B178,1)</f>
        <v>51561</v>
      </c>
      <c r="C179" s="19" t="n">
        <f aca="false">ROUNDUP(A179/12,0)</f>
        <v>15</v>
      </c>
      <c r="D179" s="26" t="n">
        <f aca="false">J178</f>
        <v>222563</v>
      </c>
      <c r="E179" s="26" t="n">
        <f aca="false">IF(D179&lt;=0,0,ROUND(D179*Calculator!$B$7/12,2))</f>
        <v>1205.55</v>
      </c>
      <c r="F179" s="26" t="n">
        <f aca="false">IF(D179&lt;=0,0,ROUND(MIN(D179,Calculator!$H$6-E179),2))</f>
        <v>1449.14</v>
      </c>
      <c r="G179" s="26" t="n">
        <f aca="false">ROUND(IF(A179&gt;=Calculator!$E$11,Calculator!$E$6,0)+IF(A179=Calculator!$E$8,Calculator!$E$7,0)+IF(MONTH(B179)=Calculator!$E$10,Calculator!$E$9,0),2)</f>
        <v>200</v>
      </c>
      <c r="H179" s="26" t="n">
        <f aca="false">IF(D179&lt;=0,0,ROUND(MIN(D179-F179,G179),2))</f>
        <v>200</v>
      </c>
      <c r="I179" s="26" t="n">
        <f aca="false">ROUND(E179+F179+H179,2)</f>
        <v>2854.69</v>
      </c>
      <c r="J179" s="26" t="n">
        <f aca="false">ROUND(MAX(0,D179-F179-H179),2)</f>
        <v>220913.86</v>
      </c>
      <c r="K179" s="26" t="n">
        <f aca="false">ROUND(E179+K178,2)</f>
        <v>315629.92</v>
      </c>
    </row>
    <row r="180" customFormat="false" ht="15" hidden="false" customHeight="true" outlineLevel="0" collapsed="false">
      <c r="A180" s="19" t="n">
        <f aca="false">A179+1</f>
        <v>175</v>
      </c>
      <c r="B180" s="18" t="n">
        <f aca="false">EDATE(B179,1)</f>
        <v>51592</v>
      </c>
      <c r="C180" s="19" t="n">
        <f aca="false">ROUNDUP(A180/12,0)</f>
        <v>15</v>
      </c>
      <c r="D180" s="26" t="n">
        <f aca="false">J179</f>
        <v>220913.86</v>
      </c>
      <c r="E180" s="26" t="n">
        <f aca="false">IF(D180&lt;=0,0,ROUND(D180*Calculator!$B$7/12,2))</f>
        <v>1196.62</v>
      </c>
      <c r="F180" s="26" t="n">
        <f aca="false">IF(D180&lt;=0,0,ROUND(MIN(D180,Calculator!$H$6-E180),2))</f>
        <v>1458.07</v>
      </c>
      <c r="G180" s="26" t="n">
        <f aca="false">ROUND(IF(A180&gt;=Calculator!$E$11,Calculator!$E$6,0)+IF(A180=Calculator!$E$8,Calculator!$E$7,0)+IF(MONTH(B180)=Calculator!$E$10,Calculator!$E$9,0),2)</f>
        <v>200</v>
      </c>
      <c r="H180" s="26" t="n">
        <f aca="false">IF(D180&lt;=0,0,ROUND(MIN(D180-F180,G180),2))</f>
        <v>200</v>
      </c>
      <c r="I180" s="26" t="n">
        <f aca="false">ROUND(E180+F180+H180,2)</f>
        <v>2854.69</v>
      </c>
      <c r="J180" s="26" t="n">
        <f aca="false">ROUND(MAX(0,D180-F180-H180),2)</f>
        <v>219255.79</v>
      </c>
      <c r="K180" s="26" t="n">
        <f aca="false">ROUND(E180+K179,2)</f>
        <v>316826.54</v>
      </c>
    </row>
    <row r="181" customFormat="false" ht="15" hidden="false" customHeight="true" outlineLevel="0" collapsed="false">
      <c r="A181" s="19" t="n">
        <f aca="false">A180+1</f>
        <v>176</v>
      </c>
      <c r="B181" s="18" t="n">
        <f aca="false">EDATE(B180,1)</f>
        <v>51622</v>
      </c>
      <c r="C181" s="19" t="n">
        <f aca="false">ROUNDUP(A181/12,0)</f>
        <v>15</v>
      </c>
      <c r="D181" s="26" t="n">
        <f aca="false">J180</f>
        <v>219255.79</v>
      </c>
      <c r="E181" s="26" t="n">
        <f aca="false">IF(D181&lt;=0,0,ROUND(D181*Calculator!$B$7/12,2))</f>
        <v>1187.64</v>
      </c>
      <c r="F181" s="26" t="n">
        <f aca="false">IF(D181&lt;=0,0,ROUND(MIN(D181,Calculator!$H$6-E181),2))</f>
        <v>1467.05</v>
      </c>
      <c r="G181" s="26" t="n">
        <f aca="false">ROUND(IF(A181&gt;=Calculator!$E$11,Calculator!$E$6,0)+IF(A181=Calculator!$E$8,Calculator!$E$7,0)+IF(MONTH(B181)=Calculator!$E$10,Calculator!$E$9,0),2)</f>
        <v>200</v>
      </c>
      <c r="H181" s="26" t="n">
        <f aca="false">IF(D181&lt;=0,0,ROUND(MIN(D181-F181,G181),2))</f>
        <v>200</v>
      </c>
      <c r="I181" s="26" t="n">
        <f aca="false">ROUND(E181+F181+H181,2)</f>
        <v>2854.69</v>
      </c>
      <c r="J181" s="26" t="n">
        <f aca="false">ROUND(MAX(0,D181-F181-H181),2)</f>
        <v>217588.74</v>
      </c>
      <c r="K181" s="26" t="n">
        <f aca="false">ROUND(E181+K180,2)</f>
        <v>318014.18</v>
      </c>
    </row>
    <row r="182" customFormat="false" ht="15" hidden="false" customHeight="true" outlineLevel="0" collapsed="false">
      <c r="A182" s="19" t="n">
        <f aca="false">A181+1</f>
        <v>177</v>
      </c>
      <c r="B182" s="18" t="n">
        <f aca="false">EDATE(B181,1)</f>
        <v>51653</v>
      </c>
      <c r="C182" s="19" t="n">
        <f aca="false">ROUNDUP(A182/12,0)</f>
        <v>15</v>
      </c>
      <c r="D182" s="26" t="n">
        <f aca="false">J181</f>
        <v>217588.74</v>
      </c>
      <c r="E182" s="26" t="n">
        <f aca="false">IF(D182&lt;=0,0,ROUND(D182*Calculator!$B$7/12,2))</f>
        <v>1178.61</v>
      </c>
      <c r="F182" s="26" t="n">
        <f aca="false">IF(D182&lt;=0,0,ROUND(MIN(D182,Calculator!$H$6-E182),2))</f>
        <v>1476.08</v>
      </c>
      <c r="G182" s="26" t="n">
        <f aca="false">ROUND(IF(A182&gt;=Calculator!$E$11,Calculator!$E$6,0)+IF(A182=Calculator!$E$8,Calculator!$E$7,0)+IF(MONTH(B182)=Calculator!$E$10,Calculator!$E$9,0),2)</f>
        <v>200</v>
      </c>
      <c r="H182" s="26" t="n">
        <f aca="false">IF(D182&lt;=0,0,ROUND(MIN(D182-F182,G182),2))</f>
        <v>200</v>
      </c>
      <c r="I182" s="26" t="n">
        <f aca="false">ROUND(E182+F182+H182,2)</f>
        <v>2854.69</v>
      </c>
      <c r="J182" s="26" t="n">
        <f aca="false">ROUND(MAX(0,D182-F182-H182),2)</f>
        <v>215912.66</v>
      </c>
      <c r="K182" s="26" t="n">
        <f aca="false">ROUND(E182+K181,2)</f>
        <v>319192.79</v>
      </c>
    </row>
    <row r="183" customFormat="false" ht="15" hidden="false" customHeight="true" outlineLevel="0" collapsed="false">
      <c r="A183" s="19" t="n">
        <f aca="false">A182+1</f>
        <v>178</v>
      </c>
      <c r="B183" s="18" t="n">
        <f aca="false">EDATE(B182,1)</f>
        <v>51683</v>
      </c>
      <c r="C183" s="19" t="n">
        <f aca="false">ROUNDUP(A183/12,0)</f>
        <v>15</v>
      </c>
      <c r="D183" s="26" t="n">
        <f aca="false">J182</f>
        <v>215912.66</v>
      </c>
      <c r="E183" s="26" t="n">
        <f aca="false">IF(D183&lt;=0,0,ROUND(D183*Calculator!$B$7/12,2))</f>
        <v>1169.53</v>
      </c>
      <c r="F183" s="26" t="n">
        <f aca="false">IF(D183&lt;=0,0,ROUND(MIN(D183,Calculator!$H$6-E183),2))</f>
        <v>1485.16</v>
      </c>
      <c r="G183" s="26" t="n">
        <f aca="false">ROUND(IF(A183&gt;=Calculator!$E$11,Calculator!$E$6,0)+IF(A183=Calculator!$E$8,Calculator!$E$7,0)+IF(MONTH(B183)=Calculator!$E$10,Calculator!$E$9,0),2)</f>
        <v>200</v>
      </c>
      <c r="H183" s="26" t="n">
        <f aca="false">IF(D183&lt;=0,0,ROUND(MIN(D183-F183,G183),2))</f>
        <v>200</v>
      </c>
      <c r="I183" s="26" t="n">
        <f aca="false">ROUND(E183+F183+H183,2)</f>
        <v>2854.69</v>
      </c>
      <c r="J183" s="26" t="n">
        <f aca="false">ROUND(MAX(0,D183-F183-H183),2)</f>
        <v>214227.5</v>
      </c>
      <c r="K183" s="26" t="n">
        <f aca="false">ROUND(E183+K182,2)</f>
        <v>320362.32</v>
      </c>
    </row>
    <row r="184" customFormat="false" ht="15" hidden="false" customHeight="true" outlineLevel="0" collapsed="false">
      <c r="A184" s="19" t="n">
        <f aca="false">A183+1</f>
        <v>179</v>
      </c>
      <c r="B184" s="18" t="n">
        <f aca="false">EDATE(B183,1)</f>
        <v>51714</v>
      </c>
      <c r="C184" s="19" t="n">
        <f aca="false">ROUNDUP(A184/12,0)</f>
        <v>15</v>
      </c>
      <c r="D184" s="26" t="n">
        <f aca="false">J183</f>
        <v>214227.5</v>
      </c>
      <c r="E184" s="26" t="n">
        <f aca="false">IF(D184&lt;=0,0,ROUND(D184*Calculator!$B$7/12,2))</f>
        <v>1160.4</v>
      </c>
      <c r="F184" s="26" t="n">
        <f aca="false">IF(D184&lt;=0,0,ROUND(MIN(D184,Calculator!$H$6-E184),2))</f>
        <v>1494.29</v>
      </c>
      <c r="G184" s="26" t="n">
        <f aca="false">ROUND(IF(A184&gt;=Calculator!$E$11,Calculator!$E$6,0)+IF(A184=Calculator!$E$8,Calculator!$E$7,0)+IF(MONTH(B184)=Calculator!$E$10,Calculator!$E$9,0),2)</f>
        <v>200</v>
      </c>
      <c r="H184" s="26" t="n">
        <f aca="false">IF(D184&lt;=0,0,ROUND(MIN(D184-F184,G184),2))</f>
        <v>200</v>
      </c>
      <c r="I184" s="26" t="n">
        <f aca="false">ROUND(E184+F184+H184,2)</f>
        <v>2854.69</v>
      </c>
      <c r="J184" s="26" t="n">
        <f aca="false">ROUND(MAX(0,D184-F184-H184),2)</f>
        <v>212533.21</v>
      </c>
      <c r="K184" s="26" t="n">
        <f aca="false">ROUND(E184+K183,2)</f>
        <v>321522.72</v>
      </c>
    </row>
    <row r="185" customFormat="false" ht="15" hidden="false" customHeight="true" outlineLevel="0" collapsed="false">
      <c r="A185" s="19" t="n">
        <f aca="false">A184+1</f>
        <v>180</v>
      </c>
      <c r="B185" s="18" t="n">
        <f aca="false">EDATE(B184,1)</f>
        <v>51745</v>
      </c>
      <c r="C185" s="19" t="n">
        <f aca="false">ROUNDUP(A185/12,0)</f>
        <v>15</v>
      </c>
      <c r="D185" s="26" t="n">
        <f aca="false">J184</f>
        <v>212533.21</v>
      </c>
      <c r="E185" s="26" t="n">
        <f aca="false">IF(D185&lt;=0,0,ROUND(D185*Calculator!$B$7/12,2))</f>
        <v>1151.22</v>
      </c>
      <c r="F185" s="26" t="n">
        <f aca="false">IF(D185&lt;=0,0,ROUND(MIN(D185,Calculator!$H$6-E185),2))</f>
        <v>1503.47</v>
      </c>
      <c r="G185" s="26" t="n">
        <f aca="false">ROUND(IF(A185&gt;=Calculator!$E$11,Calculator!$E$6,0)+IF(A185=Calculator!$E$8,Calculator!$E$7,0)+IF(MONTH(B185)=Calculator!$E$10,Calculator!$E$9,0),2)</f>
        <v>200</v>
      </c>
      <c r="H185" s="26" t="n">
        <f aca="false">IF(D185&lt;=0,0,ROUND(MIN(D185-F185,G185),2))</f>
        <v>200</v>
      </c>
      <c r="I185" s="26" t="n">
        <f aca="false">ROUND(E185+F185+H185,2)</f>
        <v>2854.69</v>
      </c>
      <c r="J185" s="26" t="n">
        <f aca="false">ROUND(MAX(0,D185-F185-H185),2)</f>
        <v>210829.74</v>
      </c>
      <c r="K185" s="26" t="n">
        <f aca="false">ROUND(E185+K184,2)</f>
        <v>322673.94</v>
      </c>
    </row>
    <row r="186" customFormat="false" ht="15" hidden="false" customHeight="true" outlineLevel="0" collapsed="false">
      <c r="A186" s="19" t="n">
        <f aca="false">A185+1</f>
        <v>181</v>
      </c>
      <c r="B186" s="18" t="n">
        <f aca="false">EDATE(B185,1)</f>
        <v>51775</v>
      </c>
      <c r="C186" s="19" t="n">
        <f aca="false">ROUNDUP(A186/12,0)</f>
        <v>16</v>
      </c>
      <c r="D186" s="26" t="n">
        <f aca="false">J185</f>
        <v>210829.74</v>
      </c>
      <c r="E186" s="26" t="n">
        <f aca="false">IF(D186&lt;=0,0,ROUND(D186*Calculator!$B$7/12,2))</f>
        <v>1141.99</v>
      </c>
      <c r="F186" s="26" t="n">
        <f aca="false">IF(D186&lt;=0,0,ROUND(MIN(D186,Calculator!$H$6-E186),2))</f>
        <v>1512.7</v>
      </c>
      <c r="G186" s="26" t="n">
        <f aca="false">ROUND(IF(A186&gt;=Calculator!$E$11,Calculator!$E$6,0)+IF(A186=Calculator!$E$8,Calculator!$E$7,0)+IF(MONTH(B186)=Calculator!$E$10,Calculator!$E$9,0),2)</f>
        <v>200</v>
      </c>
      <c r="H186" s="26" t="n">
        <f aca="false">IF(D186&lt;=0,0,ROUND(MIN(D186-F186,G186),2))</f>
        <v>200</v>
      </c>
      <c r="I186" s="26" t="n">
        <f aca="false">ROUND(E186+F186+H186,2)</f>
        <v>2854.69</v>
      </c>
      <c r="J186" s="26" t="n">
        <f aca="false">ROUND(MAX(0,D186-F186-H186),2)</f>
        <v>209117.04</v>
      </c>
      <c r="K186" s="26" t="n">
        <f aca="false">ROUND(E186+K185,2)</f>
        <v>323815.93</v>
      </c>
    </row>
    <row r="187" customFormat="false" ht="15" hidden="false" customHeight="true" outlineLevel="0" collapsed="false">
      <c r="A187" s="19" t="n">
        <f aca="false">A186+1</f>
        <v>182</v>
      </c>
      <c r="B187" s="18" t="n">
        <f aca="false">EDATE(B186,1)</f>
        <v>51806</v>
      </c>
      <c r="C187" s="19" t="n">
        <f aca="false">ROUNDUP(A187/12,0)</f>
        <v>16</v>
      </c>
      <c r="D187" s="26" t="n">
        <f aca="false">J186</f>
        <v>209117.04</v>
      </c>
      <c r="E187" s="26" t="n">
        <f aca="false">IF(D187&lt;=0,0,ROUND(D187*Calculator!$B$7/12,2))</f>
        <v>1132.72</v>
      </c>
      <c r="F187" s="26" t="n">
        <f aca="false">IF(D187&lt;=0,0,ROUND(MIN(D187,Calculator!$H$6-E187),2))</f>
        <v>1521.97</v>
      </c>
      <c r="G187" s="26" t="n">
        <f aca="false">ROUND(IF(A187&gt;=Calculator!$E$11,Calculator!$E$6,0)+IF(A187=Calculator!$E$8,Calculator!$E$7,0)+IF(MONTH(B187)=Calculator!$E$10,Calculator!$E$9,0),2)</f>
        <v>200</v>
      </c>
      <c r="H187" s="26" t="n">
        <f aca="false">IF(D187&lt;=0,0,ROUND(MIN(D187-F187,G187),2))</f>
        <v>200</v>
      </c>
      <c r="I187" s="26" t="n">
        <f aca="false">ROUND(E187+F187+H187,2)</f>
        <v>2854.69</v>
      </c>
      <c r="J187" s="26" t="n">
        <f aca="false">ROUND(MAX(0,D187-F187-H187),2)</f>
        <v>207395.07</v>
      </c>
      <c r="K187" s="26" t="n">
        <f aca="false">ROUND(E187+K186,2)</f>
        <v>324948.65</v>
      </c>
    </row>
    <row r="188" customFormat="false" ht="15" hidden="false" customHeight="true" outlineLevel="0" collapsed="false">
      <c r="A188" s="19" t="n">
        <f aca="false">A187+1</f>
        <v>183</v>
      </c>
      <c r="B188" s="18" t="n">
        <f aca="false">EDATE(B187,1)</f>
        <v>51836</v>
      </c>
      <c r="C188" s="19" t="n">
        <f aca="false">ROUNDUP(A188/12,0)</f>
        <v>16</v>
      </c>
      <c r="D188" s="26" t="n">
        <f aca="false">J187</f>
        <v>207395.07</v>
      </c>
      <c r="E188" s="26" t="n">
        <f aca="false">IF(D188&lt;=0,0,ROUND(D188*Calculator!$B$7/12,2))</f>
        <v>1123.39</v>
      </c>
      <c r="F188" s="26" t="n">
        <f aca="false">IF(D188&lt;=0,0,ROUND(MIN(D188,Calculator!$H$6-E188),2))</f>
        <v>1531.3</v>
      </c>
      <c r="G188" s="26" t="n">
        <f aca="false">ROUND(IF(A188&gt;=Calculator!$E$11,Calculator!$E$6,0)+IF(A188=Calculator!$E$8,Calculator!$E$7,0)+IF(MONTH(B188)=Calculator!$E$10,Calculator!$E$9,0),2)</f>
        <v>1200</v>
      </c>
      <c r="H188" s="26" t="n">
        <f aca="false">IF(D188&lt;=0,0,ROUND(MIN(D188-F188,G188),2))</f>
        <v>1200</v>
      </c>
      <c r="I188" s="26" t="n">
        <f aca="false">ROUND(E188+F188+H188,2)</f>
        <v>3854.69</v>
      </c>
      <c r="J188" s="26" t="n">
        <f aca="false">ROUND(MAX(0,D188-F188-H188),2)</f>
        <v>204663.77</v>
      </c>
      <c r="K188" s="26" t="n">
        <f aca="false">ROUND(E188+K187,2)</f>
        <v>326072.04</v>
      </c>
    </row>
    <row r="189" customFormat="false" ht="15" hidden="false" customHeight="true" outlineLevel="0" collapsed="false">
      <c r="A189" s="19" t="n">
        <f aca="false">A188+1</f>
        <v>184</v>
      </c>
      <c r="B189" s="18" t="n">
        <f aca="false">EDATE(B188,1)</f>
        <v>51867</v>
      </c>
      <c r="C189" s="19" t="n">
        <f aca="false">ROUNDUP(A189/12,0)</f>
        <v>16</v>
      </c>
      <c r="D189" s="26" t="n">
        <f aca="false">J188</f>
        <v>204663.77</v>
      </c>
      <c r="E189" s="26" t="n">
        <f aca="false">IF(D189&lt;=0,0,ROUND(D189*Calculator!$B$7/12,2))</f>
        <v>1108.6</v>
      </c>
      <c r="F189" s="26" t="n">
        <f aca="false">IF(D189&lt;=0,0,ROUND(MIN(D189,Calculator!$H$6-E189),2))</f>
        <v>1546.09</v>
      </c>
      <c r="G189" s="26" t="n">
        <f aca="false">ROUND(IF(A189&gt;=Calculator!$E$11,Calculator!$E$6,0)+IF(A189=Calculator!$E$8,Calculator!$E$7,0)+IF(MONTH(B189)=Calculator!$E$10,Calculator!$E$9,0),2)</f>
        <v>200</v>
      </c>
      <c r="H189" s="26" t="n">
        <f aca="false">IF(D189&lt;=0,0,ROUND(MIN(D189-F189,G189),2))</f>
        <v>200</v>
      </c>
      <c r="I189" s="26" t="n">
        <f aca="false">ROUND(E189+F189+H189,2)</f>
        <v>2854.69</v>
      </c>
      <c r="J189" s="26" t="n">
        <f aca="false">ROUND(MAX(0,D189-F189-H189),2)</f>
        <v>202917.68</v>
      </c>
      <c r="K189" s="26" t="n">
        <f aca="false">ROUND(E189+K188,2)</f>
        <v>327180.64</v>
      </c>
    </row>
    <row r="190" customFormat="false" ht="15" hidden="false" customHeight="true" outlineLevel="0" collapsed="false">
      <c r="A190" s="19" t="n">
        <f aca="false">A189+1</f>
        <v>185</v>
      </c>
      <c r="B190" s="18" t="n">
        <f aca="false">EDATE(B189,1)</f>
        <v>51898</v>
      </c>
      <c r="C190" s="19" t="n">
        <f aca="false">ROUNDUP(A190/12,0)</f>
        <v>16</v>
      </c>
      <c r="D190" s="26" t="n">
        <f aca="false">J189</f>
        <v>202917.68</v>
      </c>
      <c r="E190" s="26" t="n">
        <f aca="false">IF(D190&lt;=0,0,ROUND(D190*Calculator!$B$7/12,2))</f>
        <v>1099.14</v>
      </c>
      <c r="F190" s="26" t="n">
        <f aca="false">IF(D190&lt;=0,0,ROUND(MIN(D190,Calculator!$H$6-E190),2))</f>
        <v>1555.55</v>
      </c>
      <c r="G190" s="26" t="n">
        <f aca="false">ROUND(IF(A190&gt;=Calculator!$E$11,Calculator!$E$6,0)+IF(A190=Calculator!$E$8,Calculator!$E$7,0)+IF(MONTH(B190)=Calculator!$E$10,Calculator!$E$9,0),2)</f>
        <v>200</v>
      </c>
      <c r="H190" s="26" t="n">
        <f aca="false">IF(D190&lt;=0,0,ROUND(MIN(D190-F190,G190),2))</f>
        <v>200</v>
      </c>
      <c r="I190" s="26" t="n">
        <f aca="false">ROUND(E190+F190+H190,2)</f>
        <v>2854.69</v>
      </c>
      <c r="J190" s="26" t="n">
        <f aca="false">ROUND(MAX(0,D190-F190-H190),2)</f>
        <v>201162.13</v>
      </c>
      <c r="K190" s="26" t="n">
        <f aca="false">ROUND(E190+K189,2)</f>
        <v>328279.78</v>
      </c>
    </row>
    <row r="191" customFormat="false" ht="15" hidden="false" customHeight="true" outlineLevel="0" collapsed="false">
      <c r="A191" s="19" t="n">
        <f aca="false">A190+1</f>
        <v>186</v>
      </c>
      <c r="B191" s="18" t="n">
        <f aca="false">EDATE(B190,1)</f>
        <v>51926</v>
      </c>
      <c r="C191" s="19" t="n">
        <f aca="false">ROUNDUP(A191/12,0)</f>
        <v>16</v>
      </c>
      <c r="D191" s="26" t="n">
        <f aca="false">J190</f>
        <v>201162.13</v>
      </c>
      <c r="E191" s="26" t="n">
        <f aca="false">IF(D191&lt;=0,0,ROUND(D191*Calculator!$B$7/12,2))</f>
        <v>1089.63</v>
      </c>
      <c r="F191" s="26" t="n">
        <f aca="false">IF(D191&lt;=0,0,ROUND(MIN(D191,Calculator!$H$6-E191),2))</f>
        <v>1565.06</v>
      </c>
      <c r="G191" s="26" t="n">
        <f aca="false">ROUND(IF(A191&gt;=Calculator!$E$11,Calculator!$E$6,0)+IF(A191=Calculator!$E$8,Calculator!$E$7,0)+IF(MONTH(B191)=Calculator!$E$10,Calculator!$E$9,0),2)</f>
        <v>200</v>
      </c>
      <c r="H191" s="26" t="n">
        <f aca="false">IF(D191&lt;=0,0,ROUND(MIN(D191-F191,G191),2))</f>
        <v>200</v>
      </c>
      <c r="I191" s="26" t="n">
        <f aca="false">ROUND(E191+F191+H191,2)</f>
        <v>2854.69</v>
      </c>
      <c r="J191" s="26" t="n">
        <f aca="false">ROUND(MAX(0,D191-F191-H191),2)</f>
        <v>199397.07</v>
      </c>
      <c r="K191" s="26" t="n">
        <f aca="false">ROUND(E191+K190,2)</f>
        <v>329369.41</v>
      </c>
    </row>
    <row r="192" customFormat="false" ht="15" hidden="false" customHeight="true" outlineLevel="0" collapsed="false">
      <c r="A192" s="19" t="n">
        <f aca="false">A191+1</f>
        <v>187</v>
      </c>
      <c r="B192" s="18" t="n">
        <f aca="false">EDATE(B191,1)</f>
        <v>51957</v>
      </c>
      <c r="C192" s="19" t="n">
        <f aca="false">ROUNDUP(A192/12,0)</f>
        <v>16</v>
      </c>
      <c r="D192" s="26" t="n">
        <f aca="false">J191</f>
        <v>199397.07</v>
      </c>
      <c r="E192" s="26" t="n">
        <f aca="false">IF(D192&lt;=0,0,ROUND(D192*Calculator!$B$7/12,2))</f>
        <v>1080.07</v>
      </c>
      <c r="F192" s="26" t="n">
        <f aca="false">IF(D192&lt;=0,0,ROUND(MIN(D192,Calculator!$H$6-E192),2))</f>
        <v>1574.62</v>
      </c>
      <c r="G192" s="26" t="n">
        <f aca="false">ROUND(IF(A192&gt;=Calculator!$E$11,Calculator!$E$6,0)+IF(A192=Calculator!$E$8,Calculator!$E$7,0)+IF(MONTH(B192)=Calculator!$E$10,Calculator!$E$9,0),2)</f>
        <v>200</v>
      </c>
      <c r="H192" s="26" t="n">
        <f aca="false">IF(D192&lt;=0,0,ROUND(MIN(D192-F192,G192),2))</f>
        <v>200</v>
      </c>
      <c r="I192" s="26" t="n">
        <f aca="false">ROUND(E192+F192+H192,2)</f>
        <v>2854.69</v>
      </c>
      <c r="J192" s="26" t="n">
        <f aca="false">ROUND(MAX(0,D192-F192-H192),2)</f>
        <v>197622.45</v>
      </c>
      <c r="K192" s="26" t="n">
        <f aca="false">ROUND(E192+K191,2)</f>
        <v>330449.48</v>
      </c>
    </row>
    <row r="193" customFormat="false" ht="15" hidden="false" customHeight="true" outlineLevel="0" collapsed="false">
      <c r="A193" s="19" t="n">
        <f aca="false">A192+1</f>
        <v>188</v>
      </c>
      <c r="B193" s="18" t="n">
        <f aca="false">EDATE(B192,1)</f>
        <v>51987</v>
      </c>
      <c r="C193" s="19" t="n">
        <f aca="false">ROUNDUP(A193/12,0)</f>
        <v>16</v>
      </c>
      <c r="D193" s="26" t="n">
        <f aca="false">J192</f>
        <v>197622.45</v>
      </c>
      <c r="E193" s="26" t="n">
        <f aca="false">IF(D193&lt;=0,0,ROUND(D193*Calculator!$B$7/12,2))</f>
        <v>1070.45</v>
      </c>
      <c r="F193" s="26" t="n">
        <f aca="false">IF(D193&lt;=0,0,ROUND(MIN(D193,Calculator!$H$6-E193),2))</f>
        <v>1584.24</v>
      </c>
      <c r="G193" s="26" t="n">
        <f aca="false">ROUND(IF(A193&gt;=Calculator!$E$11,Calculator!$E$6,0)+IF(A193=Calculator!$E$8,Calculator!$E$7,0)+IF(MONTH(B193)=Calculator!$E$10,Calculator!$E$9,0),2)</f>
        <v>200</v>
      </c>
      <c r="H193" s="26" t="n">
        <f aca="false">IF(D193&lt;=0,0,ROUND(MIN(D193-F193,G193),2))</f>
        <v>200</v>
      </c>
      <c r="I193" s="26" t="n">
        <f aca="false">ROUND(E193+F193+H193,2)</f>
        <v>2854.69</v>
      </c>
      <c r="J193" s="26" t="n">
        <f aca="false">ROUND(MAX(0,D193-F193-H193),2)</f>
        <v>195838.21</v>
      </c>
      <c r="K193" s="26" t="n">
        <f aca="false">ROUND(E193+K192,2)</f>
        <v>331519.93</v>
      </c>
    </row>
    <row r="194" customFormat="false" ht="15" hidden="false" customHeight="true" outlineLevel="0" collapsed="false">
      <c r="A194" s="19" t="n">
        <f aca="false">A193+1</f>
        <v>189</v>
      </c>
      <c r="B194" s="18" t="n">
        <f aca="false">EDATE(B193,1)</f>
        <v>52018</v>
      </c>
      <c r="C194" s="19" t="n">
        <f aca="false">ROUNDUP(A194/12,0)</f>
        <v>16</v>
      </c>
      <c r="D194" s="26" t="n">
        <f aca="false">J193</f>
        <v>195838.21</v>
      </c>
      <c r="E194" s="26" t="n">
        <f aca="false">IF(D194&lt;=0,0,ROUND(D194*Calculator!$B$7/12,2))</f>
        <v>1060.79</v>
      </c>
      <c r="F194" s="26" t="n">
        <f aca="false">IF(D194&lt;=0,0,ROUND(MIN(D194,Calculator!$H$6-E194),2))</f>
        <v>1593.9</v>
      </c>
      <c r="G194" s="26" t="n">
        <f aca="false">ROUND(IF(A194&gt;=Calculator!$E$11,Calculator!$E$6,0)+IF(A194=Calculator!$E$8,Calculator!$E$7,0)+IF(MONTH(B194)=Calculator!$E$10,Calculator!$E$9,0),2)</f>
        <v>200</v>
      </c>
      <c r="H194" s="26" t="n">
        <f aca="false">IF(D194&lt;=0,0,ROUND(MIN(D194-F194,G194),2))</f>
        <v>200</v>
      </c>
      <c r="I194" s="26" t="n">
        <f aca="false">ROUND(E194+F194+H194,2)</f>
        <v>2854.69</v>
      </c>
      <c r="J194" s="26" t="n">
        <f aca="false">ROUND(MAX(0,D194-F194-H194),2)</f>
        <v>194044.31</v>
      </c>
      <c r="K194" s="26" t="n">
        <f aca="false">ROUND(E194+K193,2)</f>
        <v>332580.72</v>
      </c>
    </row>
    <row r="195" customFormat="false" ht="15" hidden="false" customHeight="true" outlineLevel="0" collapsed="false">
      <c r="A195" s="19" t="n">
        <f aca="false">A194+1</f>
        <v>190</v>
      </c>
      <c r="B195" s="18" t="n">
        <f aca="false">EDATE(B194,1)</f>
        <v>52048</v>
      </c>
      <c r="C195" s="19" t="n">
        <f aca="false">ROUNDUP(A195/12,0)</f>
        <v>16</v>
      </c>
      <c r="D195" s="26" t="n">
        <f aca="false">J194</f>
        <v>194044.31</v>
      </c>
      <c r="E195" s="26" t="n">
        <f aca="false">IF(D195&lt;=0,0,ROUND(D195*Calculator!$B$7/12,2))</f>
        <v>1051.07</v>
      </c>
      <c r="F195" s="26" t="n">
        <f aca="false">IF(D195&lt;=0,0,ROUND(MIN(D195,Calculator!$H$6-E195),2))</f>
        <v>1603.62</v>
      </c>
      <c r="G195" s="26" t="n">
        <f aca="false">ROUND(IF(A195&gt;=Calculator!$E$11,Calculator!$E$6,0)+IF(A195=Calculator!$E$8,Calculator!$E$7,0)+IF(MONTH(B195)=Calculator!$E$10,Calculator!$E$9,0),2)</f>
        <v>200</v>
      </c>
      <c r="H195" s="26" t="n">
        <f aca="false">IF(D195&lt;=0,0,ROUND(MIN(D195-F195,G195),2))</f>
        <v>200</v>
      </c>
      <c r="I195" s="26" t="n">
        <f aca="false">ROUND(E195+F195+H195,2)</f>
        <v>2854.69</v>
      </c>
      <c r="J195" s="26" t="n">
        <f aca="false">ROUND(MAX(0,D195-F195-H195),2)</f>
        <v>192240.69</v>
      </c>
      <c r="K195" s="26" t="n">
        <f aca="false">ROUND(E195+K194,2)</f>
        <v>333631.79</v>
      </c>
    </row>
    <row r="196" customFormat="false" ht="15" hidden="false" customHeight="true" outlineLevel="0" collapsed="false">
      <c r="A196" s="19" t="n">
        <f aca="false">A195+1</f>
        <v>191</v>
      </c>
      <c r="B196" s="18" t="n">
        <f aca="false">EDATE(B195,1)</f>
        <v>52079</v>
      </c>
      <c r="C196" s="19" t="n">
        <f aca="false">ROUNDUP(A196/12,0)</f>
        <v>16</v>
      </c>
      <c r="D196" s="26" t="n">
        <f aca="false">J195</f>
        <v>192240.69</v>
      </c>
      <c r="E196" s="26" t="n">
        <f aca="false">IF(D196&lt;=0,0,ROUND(D196*Calculator!$B$7/12,2))</f>
        <v>1041.3</v>
      </c>
      <c r="F196" s="26" t="n">
        <f aca="false">IF(D196&lt;=0,0,ROUND(MIN(D196,Calculator!$H$6-E196),2))</f>
        <v>1613.39</v>
      </c>
      <c r="G196" s="26" t="n">
        <f aca="false">ROUND(IF(A196&gt;=Calculator!$E$11,Calculator!$E$6,0)+IF(A196=Calculator!$E$8,Calculator!$E$7,0)+IF(MONTH(B196)=Calculator!$E$10,Calculator!$E$9,0),2)</f>
        <v>200</v>
      </c>
      <c r="H196" s="26" t="n">
        <f aca="false">IF(D196&lt;=0,0,ROUND(MIN(D196-F196,G196),2))</f>
        <v>200</v>
      </c>
      <c r="I196" s="26" t="n">
        <f aca="false">ROUND(E196+F196+H196,2)</f>
        <v>2854.69</v>
      </c>
      <c r="J196" s="26" t="n">
        <f aca="false">ROUND(MAX(0,D196-F196-H196),2)</f>
        <v>190427.3</v>
      </c>
      <c r="K196" s="26" t="n">
        <f aca="false">ROUND(E196+K195,2)</f>
        <v>334673.09</v>
      </c>
    </row>
    <row r="197" customFormat="false" ht="15" hidden="false" customHeight="true" outlineLevel="0" collapsed="false">
      <c r="A197" s="19" t="n">
        <f aca="false">A196+1</f>
        <v>192</v>
      </c>
      <c r="B197" s="18" t="n">
        <f aca="false">EDATE(B196,1)</f>
        <v>52110</v>
      </c>
      <c r="C197" s="19" t="n">
        <f aca="false">ROUNDUP(A197/12,0)</f>
        <v>16</v>
      </c>
      <c r="D197" s="26" t="n">
        <f aca="false">J196</f>
        <v>190427.3</v>
      </c>
      <c r="E197" s="26" t="n">
        <f aca="false">IF(D197&lt;=0,0,ROUND(D197*Calculator!$B$7/12,2))</f>
        <v>1031.48</v>
      </c>
      <c r="F197" s="26" t="n">
        <f aca="false">IF(D197&lt;=0,0,ROUND(MIN(D197,Calculator!$H$6-E197),2))</f>
        <v>1623.21</v>
      </c>
      <c r="G197" s="26" t="n">
        <f aca="false">ROUND(IF(A197&gt;=Calculator!$E$11,Calculator!$E$6,0)+IF(A197=Calculator!$E$8,Calculator!$E$7,0)+IF(MONTH(B197)=Calculator!$E$10,Calculator!$E$9,0),2)</f>
        <v>200</v>
      </c>
      <c r="H197" s="26" t="n">
        <f aca="false">IF(D197&lt;=0,0,ROUND(MIN(D197-F197,G197),2))</f>
        <v>200</v>
      </c>
      <c r="I197" s="26" t="n">
        <f aca="false">ROUND(E197+F197+H197,2)</f>
        <v>2854.69</v>
      </c>
      <c r="J197" s="26" t="n">
        <f aca="false">ROUND(MAX(0,D197-F197-H197),2)</f>
        <v>188604.09</v>
      </c>
      <c r="K197" s="26" t="n">
        <f aca="false">ROUND(E197+K196,2)</f>
        <v>335704.57</v>
      </c>
    </row>
    <row r="198" customFormat="false" ht="15" hidden="false" customHeight="true" outlineLevel="0" collapsed="false">
      <c r="A198" s="19" t="n">
        <f aca="false">A197+1</f>
        <v>193</v>
      </c>
      <c r="B198" s="18" t="n">
        <f aca="false">EDATE(B197,1)</f>
        <v>52140</v>
      </c>
      <c r="C198" s="19" t="n">
        <f aca="false">ROUNDUP(A198/12,0)</f>
        <v>17</v>
      </c>
      <c r="D198" s="26" t="n">
        <f aca="false">J197</f>
        <v>188604.09</v>
      </c>
      <c r="E198" s="26" t="n">
        <f aca="false">IF(D198&lt;=0,0,ROUND(D198*Calculator!$B$7/12,2))</f>
        <v>1021.61</v>
      </c>
      <c r="F198" s="26" t="n">
        <f aca="false">IF(D198&lt;=0,0,ROUND(MIN(D198,Calculator!$H$6-E198),2))</f>
        <v>1633.08</v>
      </c>
      <c r="G198" s="26" t="n">
        <f aca="false">ROUND(IF(A198&gt;=Calculator!$E$11,Calculator!$E$6,0)+IF(A198=Calculator!$E$8,Calculator!$E$7,0)+IF(MONTH(B198)=Calculator!$E$10,Calculator!$E$9,0),2)</f>
        <v>200</v>
      </c>
      <c r="H198" s="26" t="n">
        <f aca="false">IF(D198&lt;=0,0,ROUND(MIN(D198-F198,G198),2))</f>
        <v>200</v>
      </c>
      <c r="I198" s="26" t="n">
        <f aca="false">ROUND(E198+F198+H198,2)</f>
        <v>2854.69</v>
      </c>
      <c r="J198" s="26" t="n">
        <f aca="false">ROUND(MAX(0,D198-F198-H198),2)</f>
        <v>186771.01</v>
      </c>
      <c r="K198" s="26" t="n">
        <f aca="false">ROUND(E198+K197,2)</f>
        <v>336726.18</v>
      </c>
    </row>
    <row r="199" customFormat="false" ht="15" hidden="false" customHeight="true" outlineLevel="0" collapsed="false">
      <c r="A199" s="19" t="n">
        <f aca="false">A198+1</f>
        <v>194</v>
      </c>
      <c r="B199" s="18" t="n">
        <f aca="false">EDATE(B198,1)</f>
        <v>52171</v>
      </c>
      <c r="C199" s="19" t="n">
        <f aca="false">ROUNDUP(A199/12,0)</f>
        <v>17</v>
      </c>
      <c r="D199" s="26" t="n">
        <f aca="false">J198</f>
        <v>186771.01</v>
      </c>
      <c r="E199" s="26" t="n">
        <f aca="false">IF(D199&lt;=0,0,ROUND(D199*Calculator!$B$7/12,2))</f>
        <v>1011.68</v>
      </c>
      <c r="F199" s="26" t="n">
        <f aca="false">IF(D199&lt;=0,0,ROUND(MIN(D199,Calculator!$H$6-E199),2))</f>
        <v>1643.01</v>
      </c>
      <c r="G199" s="26" t="n">
        <f aca="false">ROUND(IF(A199&gt;=Calculator!$E$11,Calculator!$E$6,0)+IF(A199=Calculator!$E$8,Calculator!$E$7,0)+IF(MONTH(B199)=Calculator!$E$10,Calculator!$E$9,0),2)</f>
        <v>200</v>
      </c>
      <c r="H199" s="26" t="n">
        <f aca="false">IF(D199&lt;=0,0,ROUND(MIN(D199-F199,G199),2))</f>
        <v>200</v>
      </c>
      <c r="I199" s="26" t="n">
        <f aca="false">ROUND(E199+F199+H199,2)</f>
        <v>2854.69</v>
      </c>
      <c r="J199" s="26" t="n">
        <f aca="false">ROUND(MAX(0,D199-F199-H199),2)</f>
        <v>184928</v>
      </c>
      <c r="K199" s="26" t="n">
        <f aca="false">ROUND(E199+K198,2)</f>
        <v>337737.86</v>
      </c>
    </row>
    <row r="200" customFormat="false" ht="15" hidden="false" customHeight="true" outlineLevel="0" collapsed="false">
      <c r="A200" s="19" t="n">
        <f aca="false">A199+1</f>
        <v>195</v>
      </c>
      <c r="B200" s="18" t="n">
        <f aca="false">EDATE(B199,1)</f>
        <v>52201</v>
      </c>
      <c r="C200" s="19" t="n">
        <f aca="false">ROUNDUP(A200/12,0)</f>
        <v>17</v>
      </c>
      <c r="D200" s="26" t="n">
        <f aca="false">J199</f>
        <v>184928</v>
      </c>
      <c r="E200" s="26" t="n">
        <f aca="false">IF(D200&lt;=0,0,ROUND(D200*Calculator!$B$7/12,2))</f>
        <v>1001.69</v>
      </c>
      <c r="F200" s="26" t="n">
        <f aca="false">IF(D200&lt;=0,0,ROUND(MIN(D200,Calculator!$H$6-E200),2))</f>
        <v>1653</v>
      </c>
      <c r="G200" s="26" t="n">
        <f aca="false">ROUND(IF(A200&gt;=Calculator!$E$11,Calculator!$E$6,0)+IF(A200=Calculator!$E$8,Calculator!$E$7,0)+IF(MONTH(B200)=Calculator!$E$10,Calculator!$E$9,0),2)</f>
        <v>1200</v>
      </c>
      <c r="H200" s="26" t="n">
        <f aca="false">IF(D200&lt;=0,0,ROUND(MIN(D200-F200,G200),2))</f>
        <v>1200</v>
      </c>
      <c r="I200" s="26" t="n">
        <f aca="false">ROUND(E200+F200+H200,2)</f>
        <v>3854.69</v>
      </c>
      <c r="J200" s="26" t="n">
        <f aca="false">ROUND(MAX(0,D200-F200-H200),2)</f>
        <v>182075</v>
      </c>
      <c r="K200" s="26" t="n">
        <f aca="false">ROUND(E200+K199,2)</f>
        <v>338739.55</v>
      </c>
    </row>
    <row r="201" customFormat="false" ht="15" hidden="false" customHeight="true" outlineLevel="0" collapsed="false">
      <c r="A201" s="19" t="n">
        <f aca="false">A200+1</f>
        <v>196</v>
      </c>
      <c r="B201" s="18" t="n">
        <f aca="false">EDATE(B200,1)</f>
        <v>52232</v>
      </c>
      <c r="C201" s="19" t="n">
        <f aca="false">ROUNDUP(A201/12,0)</f>
        <v>17</v>
      </c>
      <c r="D201" s="26" t="n">
        <f aca="false">J200</f>
        <v>182075</v>
      </c>
      <c r="E201" s="26" t="n">
        <f aca="false">IF(D201&lt;=0,0,ROUND(D201*Calculator!$B$7/12,2))</f>
        <v>986.24</v>
      </c>
      <c r="F201" s="26" t="n">
        <f aca="false">IF(D201&lt;=0,0,ROUND(MIN(D201,Calculator!$H$6-E201),2))</f>
        <v>1668.45</v>
      </c>
      <c r="G201" s="26" t="n">
        <f aca="false">ROUND(IF(A201&gt;=Calculator!$E$11,Calculator!$E$6,0)+IF(A201=Calculator!$E$8,Calculator!$E$7,0)+IF(MONTH(B201)=Calculator!$E$10,Calculator!$E$9,0),2)</f>
        <v>200</v>
      </c>
      <c r="H201" s="26" t="n">
        <f aca="false">IF(D201&lt;=0,0,ROUND(MIN(D201-F201,G201),2))</f>
        <v>200</v>
      </c>
      <c r="I201" s="26" t="n">
        <f aca="false">ROUND(E201+F201+H201,2)</f>
        <v>2854.69</v>
      </c>
      <c r="J201" s="26" t="n">
        <f aca="false">ROUND(MAX(0,D201-F201-H201),2)</f>
        <v>180206.55</v>
      </c>
      <c r="K201" s="26" t="n">
        <f aca="false">ROUND(E201+K200,2)</f>
        <v>339725.79</v>
      </c>
    </row>
    <row r="202" customFormat="false" ht="15" hidden="false" customHeight="true" outlineLevel="0" collapsed="false">
      <c r="A202" s="19" t="n">
        <f aca="false">A201+1</f>
        <v>197</v>
      </c>
      <c r="B202" s="18" t="n">
        <f aca="false">EDATE(B201,1)</f>
        <v>52263</v>
      </c>
      <c r="C202" s="19" t="n">
        <f aca="false">ROUNDUP(A202/12,0)</f>
        <v>17</v>
      </c>
      <c r="D202" s="26" t="n">
        <f aca="false">J201</f>
        <v>180206.55</v>
      </c>
      <c r="E202" s="26" t="n">
        <f aca="false">IF(D202&lt;=0,0,ROUND(D202*Calculator!$B$7/12,2))</f>
        <v>976.12</v>
      </c>
      <c r="F202" s="26" t="n">
        <f aca="false">IF(D202&lt;=0,0,ROUND(MIN(D202,Calculator!$H$6-E202),2))</f>
        <v>1678.57</v>
      </c>
      <c r="G202" s="26" t="n">
        <f aca="false">ROUND(IF(A202&gt;=Calculator!$E$11,Calculator!$E$6,0)+IF(A202=Calculator!$E$8,Calculator!$E$7,0)+IF(MONTH(B202)=Calculator!$E$10,Calculator!$E$9,0),2)</f>
        <v>200</v>
      </c>
      <c r="H202" s="26" t="n">
        <f aca="false">IF(D202&lt;=0,0,ROUND(MIN(D202-F202,G202),2))</f>
        <v>200</v>
      </c>
      <c r="I202" s="26" t="n">
        <f aca="false">ROUND(E202+F202+H202,2)</f>
        <v>2854.69</v>
      </c>
      <c r="J202" s="26" t="n">
        <f aca="false">ROUND(MAX(0,D202-F202-H202),2)</f>
        <v>178327.98</v>
      </c>
      <c r="K202" s="26" t="n">
        <f aca="false">ROUND(E202+K201,2)</f>
        <v>340701.91</v>
      </c>
    </row>
    <row r="203" customFormat="false" ht="15" hidden="false" customHeight="true" outlineLevel="0" collapsed="false">
      <c r="A203" s="19" t="n">
        <f aca="false">A202+1</f>
        <v>198</v>
      </c>
      <c r="B203" s="18" t="n">
        <f aca="false">EDATE(B202,1)</f>
        <v>52291</v>
      </c>
      <c r="C203" s="19" t="n">
        <f aca="false">ROUNDUP(A203/12,0)</f>
        <v>17</v>
      </c>
      <c r="D203" s="26" t="n">
        <f aca="false">J202</f>
        <v>178327.98</v>
      </c>
      <c r="E203" s="26" t="n">
        <f aca="false">IF(D203&lt;=0,0,ROUND(D203*Calculator!$B$7/12,2))</f>
        <v>965.94</v>
      </c>
      <c r="F203" s="26" t="n">
        <f aca="false">IF(D203&lt;=0,0,ROUND(MIN(D203,Calculator!$H$6-E203),2))</f>
        <v>1688.75</v>
      </c>
      <c r="G203" s="26" t="n">
        <f aca="false">ROUND(IF(A203&gt;=Calculator!$E$11,Calculator!$E$6,0)+IF(A203=Calculator!$E$8,Calculator!$E$7,0)+IF(MONTH(B203)=Calculator!$E$10,Calculator!$E$9,0),2)</f>
        <v>200</v>
      </c>
      <c r="H203" s="26" t="n">
        <f aca="false">IF(D203&lt;=0,0,ROUND(MIN(D203-F203,G203),2))</f>
        <v>200</v>
      </c>
      <c r="I203" s="26" t="n">
        <f aca="false">ROUND(E203+F203+H203,2)</f>
        <v>2854.69</v>
      </c>
      <c r="J203" s="26" t="n">
        <f aca="false">ROUND(MAX(0,D203-F203-H203),2)</f>
        <v>176439.23</v>
      </c>
      <c r="K203" s="26" t="n">
        <f aca="false">ROUND(E203+K202,2)</f>
        <v>341667.85</v>
      </c>
    </row>
    <row r="204" customFormat="false" ht="15" hidden="false" customHeight="true" outlineLevel="0" collapsed="false">
      <c r="A204" s="19" t="n">
        <f aca="false">A203+1</f>
        <v>199</v>
      </c>
      <c r="B204" s="18" t="n">
        <f aca="false">EDATE(B203,1)</f>
        <v>52322</v>
      </c>
      <c r="C204" s="19" t="n">
        <f aca="false">ROUNDUP(A204/12,0)</f>
        <v>17</v>
      </c>
      <c r="D204" s="26" t="n">
        <f aca="false">J203</f>
        <v>176439.23</v>
      </c>
      <c r="E204" s="26" t="n">
        <f aca="false">IF(D204&lt;=0,0,ROUND(D204*Calculator!$B$7/12,2))</f>
        <v>955.71</v>
      </c>
      <c r="F204" s="26" t="n">
        <f aca="false">IF(D204&lt;=0,0,ROUND(MIN(D204,Calculator!$H$6-E204),2))</f>
        <v>1698.98</v>
      </c>
      <c r="G204" s="26" t="n">
        <f aca="false">ROUND(IF(A204&gt;=Calculator!$E$11,Calculator!$E$6,0)+IF(A204=Calculator!$E$8,Calculator!$E$7,0)+IF(MONTH(B204)=Calculator!$E$10,Calculator!$E$9,0),2)</f>
        <v>200</v>
      </c>
      <c r="H204" s="26" t="n">
        <f aca="false">IF(D204&lt;=0,0,ROUND(MIN(D204-F204,G204),2))</f>
        <v>200</v>
      </c>
      <c r="I204" s="26" t="n">
        <f aca="false">ROUND(E204+F204+H204,2)</f>
        <v>2854.69</v>
      </c>
      <c r="J204" s="26" t="n">
        <f aca="false">ROUND(MAX(0,D204-F204-H204),2)</f>
        <v>174540.25</v>
      </c>
      <c r="K204" s="26" t="n">
        <f aca="false">ROUND(E204+K203,2)</f>
        <v>342623.56</v>
      </c>
    </row>
    <row r="205" customFormat="false" ht="15" hidden="false" customHeight="true" outlineLevel="0" collapsed="false">
      <c r="A205" s="19" t="n">
        <f aca="false">A204+1</f>
        <v>200</v>
      </c>
      <c r="B205" s="18" t="n">
        <f aca="false">EDATE(B204,1)</f>
        <v>52352</v>
      </c>
      <c r="C205" s="19" t="n">
        <f aca="false">ROUNDUP(A205/12,0)</f>
        <v>17</v>
      </c>
      <c r="D205" s="26" t="n">
        <f aca="false">J204</f>
        <v>174540.25</v>
      </c>
      <c r="E205" s="26" t="n">
        <f aca="false">IF(D205&lt;=0,0,ROUND(D205*Calculator!$B$7/12,2))</f>
        <v>945.43</v>
      </c>
      <c r="F205" s="26" t="n">
        <f aca="false">IF(D205&lt;=0,0,ROUND(MIN(D205,Calculator!$H$6-E205),2))</f>
        <v>1709.26</v>
      </c>
      <c r="G205" s="26" t="n">
        <f aca="false">ROUND(IF(A205&gt;=Calculator!$E$11,Calculator!$E$6,0)+IF(A205=Calculator!$E$8,Calculator!$E$7,0)+IF(MONTH(B205)=Calculator!$E$10,Calculator!$E$9,0),2)</f>
        <v>200</v>
      </c>
      <c r="H205" s="26" t="n">
        <f aca="false">IF(D205&lt;=0,0,ROUND(MIN(D205-F205,G205),2))</f>
        <v>200</v>
      </c>
      <c r="I205" s="26" t="n">
        <f aca="false">ROUND(E205+F205+H205,2)</f>
        <v>2854.69</v>
      </c>
      <c r="J205" s="26" t="n">
        <f aca="false">ROUND(MAX(0,D205-F205-H205),2)</f>
        <v>172630.99</v>
      </c>
      <c r="K205" s="26" t="n">
        <f aca="false">ROUND(E205+K204,2)</f>
        <v>343568.99</v>
      </c>
    </row>
    <row r="206" customFormat="false" ht="15" hidden="false" customHeight="true" outlineLevel="0" collapsed="false">
      <c r="A206" s="19" t="n">
        <f aca="false">A205+1</f>
        <v>201</v>
      </c>
      <c r="B206" s="18" t="n">
        <f aca="false">EDATE(B205,1)</f>
        <v>52383</v>
      </c>
      <c r="C206" s="19" t="n">
        <f aca="false">ROUNDUP(A206/12,0)</f>
        <v>17</v>
      </c>
      <c r="D206" s="26" t="n">
        <f aca="false">J205</f>
        <v>172630.99</v>
      </c>
      <c r="E206" s="26" t="n">
        <f aca="false">IF(D206&lt;=0,0,ROUND(D206*Calculator!$B$7/12,2))</f>
        <v>935.08</v>
      </c>
      <c r="F206" s="26" t="n">
        <f aca="false">IF(D206&lt;=0,0,ROUND(MIN(D206,Calculator!$H$6-E206),2))</f>
        <v>1719.61</v>
      </c>
      <c r="G206" s="26" t="n">
        <f aca="false">ROUND(IF(A206&gt;=Calculator!$E$11,Calculator!$E$6,0)+IF(A206=Calculator!$E$8,Calculator!$E$7,0)+IF(MONTH(B206)=Calculator!$E$10,Calculator!$E$9,0),2)</f>
        <v>200</v>
      </c>
      <c r="H206" s="26" t="n">
        <f aca="false">IF(D206&lt;=0,0,ROUND(MIN(D206-F206,G206),2))</f>
        <v>200</v>
      </c>
      <c r="I206" s="26" t="n">
        <f aca="false">ROUND(E206+F206+H206,2)</f>
        <v>2854.69</v>
      </c>
      <c r="J206" s="26" t="n">
        <f aca="false">ROUND(MAX(0,D206-F206-H206),2)</f>
        <v>170711.38</v>
      </c>
      <c r="K206" s="26" t="n">
        <f aca="false">ROUND(E206+K205,2)</f>
        <v>344504.07</v>
      </c>
    </row>
    <row r="207" customFormat="false" ht="15" hidden="false" customHeight="true" outlineLevel="0" collapsed="false">
      <c r="A207" s="19" t="n">
        <f aca="false">A206+1</f>
        <v>202</v>
      </c>
      <c r="B207" s="18" t="n">
        <f aca="false">EDATE(B206,1)</f>
        <v>52413</v>
      </c>
      <c r="C207" s="19" t="n">
        <f aca="false">ROUNDUP(A207/12,0)</f>
        <v>17</v>
      </c>
      <c r="D207" s="26" t="n">
        <f aca="false">J206</f>
        <v>170711.38</v>
      </c>
      <c r="E207" s="26" t="n">
        <f aca="false">IF(D207&lt;=0,0,ROUND(D207*Calculator!$B$7/12,2))</f>
        <v>924.69</v>
      </c>
      <c r="F207" s="26" t="n">
        <f aca="false">IF(D207&lt;=0,0,ROUND(MIN(D207,Calculator!$H$6-E207),2))</f>
        <v>1730</v>
      </c>
      <c r="G207" s="26" t="n">
        <f aca="false">ROUND(IF(A207&gt;=Calculator!$E$11,Calculator!$E$6,0)+IF(A207=Calculator!$E$8,Calculator!$E$7,0)+IF(MONTH(B207)=Calculator!$E$10,Calculator!$E$9,0),2)</f>
        <v>200</v>
      </c>
      <c r="H207" s="26" t="n">
        <f aca="false">IF(D207&lt;=0,0,ROUND(MIN(D207-F207,G207),2))</f>
        <v>200</v>
      </c>
      <c r="I207" s="26" t="n">
        <f aca="false">ROUND(E207+F207+H207,2)</f>
        <v>2854.69</v>
      </c>
      <c r="J207" s="26" t="n">
        <f aca="false">ROUND(MAX(0,D207-F207-H207),2)</f>
        <v>168781.38</v>
      </c>
      <c r="K207" s="26" t="n">
        <f aca="false">ROUND(E207+K206,2)</f>
        <v>345428.76</v>
      </c>
    </row>
    <row r="208" customFormat="false" ht="15" hidden="false" customHeight="true" outlineLevel="0" collapsed="false">
      <c r="A208" s="19" t="n">
        <f aca="false">A207+1</f>
        <v>203</v>
      </c>
      <c r="B208" s="18" t="n">
        <f aca="false">EDATE(B207,1)</f>
        <v>52444</v>
      </c>
      <c r="C208" s="19" t="n">
        <f aca="false">ROUNDUP(A208/12,0)</f>
        <v>17</v>
      </c>
      <c r="D208" s="26" t="n">
        <f aca="false">J207</f>
        <v>168781.38</v>
      </c>
      <c r="E208" s="26" t="n">
        <f aca="false">IF(D208&lt;=0,0,ROUND(D208*Calculator!$B$7/12,2))</f>
        <v>914.23</v>
      </c>
      <c r="F208" s="26" t="n">
        <f aca="false">IF(D208&lt;=0,0,ROUND(MIN(D208,Calculator!$H$6-E208),2))</f>
        <v>1740.46</v>
      </c>
      <c r="G208" s="26" t="n">
        <f aca="false">ROUND(IF(A208&gt;=Calculator!$E$11,Calculator!$E$6,0)+IF(A208=Calculator!$E$8,Calculator!$E$7,0)+IF(MONTH(B208)=Calculator!$E$10,Calculator!$E$9,0),2)</f>
        <v>200</v>
      </c>
      <c r="H208" s="26" t="n">
        <f aca="false">IF(D208&lt;=0,0,ROUND(MIN(D208-F208,G208),2))</f>
        <v>200</v>
      </c>
      <c r="I208" s="26" t="n">
        <f aca="false">ROUND(E208+F208+H208,2)</f>
        <v>2854.69</v>
      </c>
      <c r="J208" s="26" t="n">
        <f aca="false">ROUND(MAX(0,D208-F208-H208),2)</f>
        <v>166840.92</v>
      </c>
      <c r="K208" s="26" t="n">
        <f aca="false">ROUND(E208+K207,2)</f>
        <v>346342.99</v>
      </c>
    </row>
    <row r="209" customFormat="false" ht="15" hidden="false" customHeight="true" outlineLevel="0" collapsed="false">
      <c r="A209" s="19" t="n">
        <f aca="false">A208+1</f>
        <v>204</v>
      </c>
      <c r="B209" s="18" t="n">
        <f aca="false">EDATE(B208,1)</f>
        <v>52475</v>
      </c>
      <c r="C209" s="19" t="n">
        <f aca="false">ROUNDUP(A209/12,0)</f>
        <v>17</v>
      </c>
      <c r="D209" s="26" t="n">
        <f aca="false">J208</f>
        <v>166840.92</v>
      </c>
      <c r="E209" s="26" t="n">
        <f aca="false">IF(D209&lt;=0,0,ROUND(D209*Calculator!$B$7/12,2))</f>
        <v>903.72</v>
      </c>
      <c r="F209" s="26" t="n">
        <f aca="false">IF(D209&lt;=0,0,ROUND(MIN(D209,Calculator!$H$6-E209),2))</f>
        <v>1750.97</v>
      </c>
      <c r="G209" s="26" t="n">
        <f aca="false">ROUND(IF(A209&gt;=Calculator!$E$11,Calculator!$E$6,0)+IF(A209=Calculator!$E$8,Calculator!$E$7,0)+IF(MONTH(B209)=Calculator!$E$10,Calculator!$E$9,0),2)</f>
        <v>200</v>
      </c>
      <c r="H209" s="26" t="n">
        <f aca="false">IF(D209&lt;=0,0,ROUND(MIN(D209-F209,G209),2))</f>
        <v>200</v>
      </c>
      <c r="I209" s="26" t="n">
        <f aca="false">ROUND(E209+F209+H209,2)</f>
        <v>2854.69</v>
      </c>
      <c r="J209" s="26" t="n">
        <f aca="false">ROUND(MAX(0,D209-F209-H209),2)</f>
        <v>164889.95</v>
      </c>
      <c r="K209" s="26" t="n">
        <f aca="false">ROUND(E209+K208,2)</f>
        <v>347246.71</v>
      </c>
    </row>
    <row r="210" customFormat="false" ht="15" hidden="false" customHeight="true" outlineLevel="0" collapsed="false">
      <c r="A210" s="19" t="n">
        <f aca="false">A209+1</f>
        <v>205</v>
      </c>
      <c r="B210" s="18" t="n">
        <f aca="false">EDATE(B209,1)</f>
        <v>52505</v>
      </c>
      <c r="C210" s="19" t="n">
        <f aca="false">ROUNDUP(A210/12,0)</f>
        <v>18</v>
      </c>
      <c r="D210" s="26" t="n">
        <f aca="false">J209</f>
        <v>164889.95</v>
      </c>
      <c r="E210" s="26" t="n">
        <f aca="false">IF(D210&lt;=0,0,ROUND(D210*Calculator!$B$7/12,2))</f>
        <v>893.15</v>
      </c>
      <c r="F210" s="26" t="n">
        <f aca="false">IF(D210&lt;=0,0,ROUND(MIN(D210,Calculator!$H$6-E210),2))</f>
        <v>1761.54</v>
      </c>
      <c r="G210" s="26" t="n">
        <f aca="false">ROUND(IF(A210&gt;=Calculator!$E$11,Calculator!$E$6,0)+IF(A210=Calculator!$E$8,Calculator!$E$7,0)+IF(MONTH(B210)=Calculator!$E$10,Calculator!$E$9,0),2)</f>
        <v>200</v>
      </c>
      <c r="H210" s="26" t="n">
        <f aca="false">IF(D210&lt;=0,0,ROUND(MIN(D210-F210,G210),2))</f>
        <v>200</v>
      </c>
      <c r="I210" s="26" t="n">
        <f aca="false">ROUND(E210+F210+H210,2)</f>
        <v>2854.69</v>
      </c>
      <c r="J210" s="26" t="n">
        <f aca="false">ROUND(MAX(0,D210-F210-H210),2)</f>
        <v>162928.41</v>
      </c>
      <c r="K210" s="26" t="n">
        <f aca="false">ROUND(E210+K209,2)</f>
        <v>348139.86</v>
      </c>
    </row>
    <row r="211" customFormat="false" ht="15" hidden="false" customHeight="true" outlineLevel="0" collapsed="false">
      <c r="A211" s="19" t="n">
        <f aca="false">A210+1</f>
        <v>206</v>
      </c>
      <c r="B211" s="18" t="n">
        <f aca="false">EDATE(B210,1)</f>
        <v>52536</v>
      </c>
      <c r="C211" s="19" t="n">
        <f aca="false">ROUNDUP(A211/12,0)</f>
        <v>18</v>
      </c>
      <c r="D211" s="26" t="n">
        <f aca="false">J210</f>
        <v>162928.41</v>
      </c>
      <c r="E211" s="26" t="n">
        <f aca="false">IF(D211&lt;=0,0,ROUND(D211*Calculator!$B$7/12,2))</f>
        <v>882.53</v>
      </c>
      <c r="F211" s="26" t="n">
        <f aca="false">IF(D211&lt;=0,0,ROUND(MIN(D211,Calculator!$H$6-E211),2))</f>
        <v>1772.16</v>
      </c>
      <c r="G211" s="26" t="n">
        <f aca="false">ROUND(IF(A211&gt;=Calculator!$E$11,Calculator!$E$6,0)+IF(A211=Calculator!$E$8,Calculator!$E$7,0)+IF(MONTH(B211)=Calculator!$E$10,Calculator!$E$9,0),2)</f>
        <v>200</v>
      </c>
      <c r="H211" s="26" t="n">
        <f aca="false">IF(D211&lt;=0,0,ROUND(MIN(D211-F211,G211),2))</f>
        <v>200</v>
      </c>
      <c r="I211" s="26" t="n">
        <f aca="false">ROUND(E211+F211+H211,2)</f>
        <v>2854.69</v>
      </c>
      <c r="J211" s="26" t="n">
        <f aca="false">ROUND(MAX(0,D211-F211-H211),2)</f>
        <v>160956.25</v>
      </c>
      <c r="K211" s="26" t="n">
        <f aca="false">ROUND(E211+K210,2)</f>
        <v>349022.39</v>
      </c>
    </row>
    <row r="212" customFormat="false" ht="15" hidden="false" customHeight="true" outlineLevel="0" collapsed="false">
      <c r="A212" s="19" t="n">
        <f aca="false">A211+1</f>
        <v>207</v>
      </c>
      <c r="B212" s="18" t="n">
        <f aca="false">EDATE(B211,1)</f>
        <v>52566</v>
      </c>
      <c r="C212" s="19" t="n">
        <f aca="false">ROUNDUP(A212/12,0)</f>
        <v>18</v>
      </c>
      <c r="D212" s="26" t="n">
        <f aca="false">J211</f>
        <v>160956.25</v>
      </c>
      <c r="E212" s="26" t="n">
        <f aca="false">IF(D212&lt;=0,0,ROUND(D212*Calculator!$B$7/12,2))</f>
        <v>871.85</v>
      </c>
      <c r="F212" s="26" t="n">
        <f aca="false">IF(D212&lt;=0,0,ROUND(MIN(D212,Calculator!$H$6-E212),2))</f>
        <v>1782.84</v>
      </c>
      <c r="G212" s="26" t="n">
        <f aca="false">ROUND(IF(A212&gt;=Calculator!$E$11,Calculator!$E$6,0)+IF(A212=Calculator!$E$8,Calculator!$E$7,0)+IF(MONTH(B212)=Calculator!$E$10,Calculator!$E$9,0),2)</f>
        <v>1200</v>
      </c>
      <c r="H212" s="26" t="n">
        <f aca="false">IF(D212&lt;=0,0,ROUND(MIN(D212-F212,G212),2))</f>
        <v>1200</v>
      </c>
      <c r="I212" s="26" t="n">
        <f aca="false">ROUND(E212+F212+H212,2)</f>
        <v>3854.69</v>
      </c>
      <c r="J212" s="26" t="n">
        <f aca="false">ROUND(MAX(0,D212-F212-H212),2)</f>
        <v>157973.41</v>
      </c>
      <c r="K212" s="26" t="n">
        <f aca="false">ROUND(E212+K211,2)</f>
        <v>349894.24</v>
      </c>
    </row>
    <row r="213" customFormat="false" ht="15" hidden="false" customHeight="true" outlineLevel="0" collapsed="false">
      <c r="A213" s="19" t="n">
        <f aca="false">A212+1</f>
        <v>208</v>
      </c>
      <c r="B213" s="18" t="n">
        <f aca="false">EDATE(B212,1)</f>
        <v>52597</v>
      </c>
      <c r="C213" s="19" t="n">
        <f aca="false">ROUNDUP(A213/12,0)</f>
        <v>18</v>
      </c>
      <c r="D213" s="26" t="n">
        <f aca="false">J212</f>
        <v>157973.41</v>
      </c>
      <c r="E213" s="26" t="n">
        <f aca="false">IF(D213&lt;=0,0,ROUND(D213*Calculator!$B$7/12,2))</f>
        <v>855.69</v>
      </c>
      <c r="F213" s="26" t="n">
        <f aca="false">IF(D213&lt;=0,0,ROUND(MIN(D213,Calculator!$H$6-E213),2))</f>
        <v>1799</v>
      </c>
      <c r="G213" s="26" t="n">
        <f aca="false">ROUND(IF(A213&gt;=Calculator!$E$11,Calculator!$E$6,0)+IF(A213=Calculator!$E$8,Calculator!$E$7,0)+IF(MONTH(B213)=Calculator!$E$10,Calculator!$E$9,0),2)</f>
        <v>200</v>
      </c>
      <c r="H213" s="26" t="n">
        <f aca="false">IF(D213&lt;=0,0,ROUND(MIN(D213-F213,G213),2))</f>
        <v>200</v>
      </c>
      <c r="I213" s="26" t="n">
        <f aca="false">ROUND(E213+F213+H213,2)</f>
        <v>2854.69</v>
      </c>
      <c r="J213" s="26" t="n">
        <f aca="false">ROUND(MAX(0,D213-F213-H213),2)</f>
        <v>155974.41</v>
      </c>
      <c r="K213" s="26" t="n">
        <f aca="false">ROUND(E213+K212,2)</f>
        <v>350749.93</v>
      </c>
    </row>
    <row r="214" customFormat="false" ht="15" hidden="false" customHeight="true" outlineLevel="0" collapsed="false">
      <c r="A214" s="19" t="n">
        <f aca="false">A213+1</f>
        <v>209</v>
      </c>
      <c r="B214" s="18" t="n">
        <f aca="false">EDATE(B213,1)</f>
        <v>52628</v>
      </c>
      <c r="C214" s="19" t="n">
        <f aca="false">ROUNDUP(A214/12,0)</f>
        <v>18</v>
      </c>
      <c r="D214" s="26" t="n">
        <f aca="false">J213</f>
        <v>155974.41</v>
      </c>
      <c r="E214" s="26" t="n">
        <f aca="false">IF(D214&lt;=0,0,ROUND(D214*Calculator!$B$7/12,2))</f>
        <v>844.86</v>
      </c>
      <c r="F214" s="26" t="n">
        <f aca="false">IF(D214&lt;=0,0,ROUND(MIN(D214,Calculator!$H$6-E214),2))</f>
        <v>1809.83</v>
      </c>
      <c r="G214" s="26" t="n">
        <f aca="false">ROUND(IF(A214&gt;=Calculator!$E$11,Calculator!$E$6,0)+IF(A214=Calculator!$E$8,Calculator!$E$7,0)+IF(MONTH(B214)=Calculator!$E$10,Calculator!$E$9,0),2)</f>
        <v>200</v>
      </c>
      <c r="H214" s="26" t="n">
        <f aca="false">IF(D214&lt;=0,0,ROUND(MIN(D214-F214,G214),2))</f>
        <v>200</v>
      </c>
      <c r="I214" s="26" t="n">
        <f aca="false">ROUND(E214+F214+H214,2)</f>
        <v>2854.69</v>
      </c>
      <c r="J214" s="26" t="n">
        <f aca="false">ROUND(MAX(0,D214-F214-H214),2)</f>
        <v>153964.58</v>
      </c>
      <c r="K214" s="26" t="n">
        <f aca="false">ROUND(E214+K213,2)</f>
        <v>351594.79</v>
      </c>
    </row>
    <row r="215" customFormat="false" ht="15" hidden="false" customHeight="true" outlineLevel="0" collapsed="false">
      <c r="A215" s="19" t="n">
        <f aca="false">A214+1</f>
        <v>210</v>
      </c>
      <c r="B215" s="18" t="n">
        <f aca="false">EDATE(B214,1)</f>
        <v>52657</v>
      </c>
      <c r="C215" s="19" t="n">
        <f aca="false">ROUNDUP(A215/12,0)</f>
        <v>18</v>
      </c>
      <c r="D215" s="26" t="n">
        <f aca="false">J214</f>
        <v>153964.58</v>
      </c>
      <c r="E215" s="26" t="n">
        <f aca="false">IF(D215&lt;=0,0,ROUND(D215*Calculator!$B$7/12,2))</f>
        <v>833.97</v>
      </c>
      <c r="F215" s="26" t="n">
        <f aca="false">IF(D215&lt;=0,0,ROUND(MIN(D215,Calculator!$H$6-E215),2))</f>
        <v>1820.72</v>
      </c>
      <c r="G215" s="26" t="n">
        <f aca="false">ROUND(IF(A215&gt;=Calculator!$E$11,Calculator!$E$6,0)+IF(A215=Calculator!$E$8,Calculator!$E$7,0)+IF(MONTH(B215)=Calculator!$E$10,Calculator!$E$9,0),2)</f>
        <v>200</v>
      </c>
      <c r="H215" s="26" t="n">
        <f aca="false">IF(D215&lt;=0,0,ROUND(MIN(D215-F215,G215),2))</f>
        <v>200</v>
      </c>
      <c r="I215" s="26" t="n">
        <f aca="false">ROUND(E215+F215+H215,2)</f>
        <v>2854.69</v>
      </c>
      <c r="J215" s="26" t="n">
        <f aca="false">ROUND(MAX(0,D215-F215-H215),2)</f>
        <v>151943.86</v>
      </c>
      <c r="K215" s="26" t="n">
        <f aca="false">ROUND(E215+K214,2)</f>
        <v>352428.76</v>
      </c>
    </row>
    <row r="216" customFormat="false" ht="15" hidden="false" customHeight="true" outlineLevel="0" collapsed="false">
      <c r="A216" s="19" t="n">
        <f aca="false">A215+1</f>
        <v>211</v>
      </c>
      <c r="B216" s="18" t="n">
        <f aca="false">EDATE(B215,1)</f>
        <v>52688</v>
      </c>
      <c r="C216" s="19" t="n">
        <f aca="false">ROUNDUP(A216/12,0)</f>
        <v>18</v>
      </c>
      <c r="D216" s="26" t="n">
        <f aca="false">J215</f>
        <v>151943.86</v>
      </c>
      <c r="E216" s="26" t="n">
        <f aca="false">IF(D216&lt;=0,0,ROUND(D216*Calculator!$B$7/12,2))</f>
        <v>823.03</v>
      </c>
      <c r="F216" s="26" t="n">
        <f aca="false">IF(D216&lt;=0,0,ROUND(MIN(D216,Calculator!$H$6-E216),2))</f>
        <v>1831.66</v>
      </c>
      <c r="G216" s="26" t="n">
        <f aca="false">ROUND(IF(A216&gt;=Calculator!$E$11,Calculator!$E$6,0)+IF(A216=Calculator!$E$8,Calculator!$E$7,0)+IF(MONTH(B216)=Calculator!$E$10,Calculator!$E$9,0),2)</f>
        <v>200</v>
      </c>
      <c r="H216" s="26" t="n">
        <f aca="false">IF(D216&lt;=0,0,ROUND(MIN(D216-F216,G216),2))</f>
        <v>200</v>
      </c>
      <c r="I216" s="26" t="n">
        <f aca="false">ROUND(E216+F216+H216,2)</f>
        <v>2854.69</v>
      </c>
      <c r="J216" s="26" t="n">
        <f aca="false">ROUND(MAX(0,D216-F216-H216),2)</f>
        <v>149912.2</v>
      </c>
      <c r="K216" s="26" t="n">
        <f aca="false">ROUND(E216+K215,2)</f>
        <v>353251.79</v>
      </c>
    </row>
    <row r="217" customFormat="false" ht="15" hidden="false" customHeight="true" outlineLevel="0" collapsed="false">
      <c r="A217" s="19" t="n">
        <f aca="false">A216+1</f>
        <v>212</v>
      </c>
      <c r="B217" s="18" t="n">
        <f aca="false">EDATE(B216,1)</f>
        <v>52718</v>
      </c>
      <c r="C217" s="19" t="n">
        <f aca="false">ROUNDUP(A217/12,0)</f>
        <v>18</v>
      </c>
      <c r="D217" s="26" t="n">
        <f aca="false">J216</f>
        <v>149912.2</v>
      </c>
      <c r="E217" s="26" t="n">
        <f aca="false">IF(D217&lt;=0,0,ROUND(D217*Calculator!$B$7/12,2))</f>
        <v>812.02</v>
      </c>
      <c r="F217" s="26" t="n">
        <f aca="false">IF(D217&lt;=0,0,ROUND(MIN(D217,Calculator!$H$6-E217),2))</f>
        <v>1842.67</v>
      </c>
      <c r="G217" s="26" t="n">
        <f aca="false">ROUND(IF(A217&gt;=Calculator!$E$11,Calculator!$E$6,0)+IF(A217=Calculator!$E$8,Calculator!$E$7,0)+IF(MONTH(B217)=Calculator!$E$10,Calculator!$E$9,0),2)</f>
        <v>200</v>
      </c>
      <c r="H217" s="26" t="n">
        <f aca="false">IF(D217&lt;=0,0,ROUND(MIN(D217-F217,G217),2))</f>
        <v>200</v>
      </c>
      <c r="I217" s="26" t="n">
        <f aca="false">ROUND(E217+F217+H217,2)</f>
        <v>2854.69</v>
      </c>
      <c r="J217" s="26" t="n">
        <f aca="false">ROUND(MAX(0,D217-F217-H217),2)</f>
        <v>147869.53</v>
      </c>
      <c r="K217" s="26" t="n">
        <f aca="false">ROUND(E217+K216,2)</f>
        <v>354063.81</v>
      </c>
    </row>
    <row r="218" customFormat="false" ht="15" hidden="false" customHeight="true" outlineLevel="0" collapsed="false">
      <c r="A218" s="19" t="n">
        <f aca="false">A217+1</f>
        <v>213</v>
      </c>
      <c r="B218" s="18" t="n">
        <f aca="false">EDATE(B217,1)</f>
        <v>52749</v>
      </c>
      <c r="C218" s="19" t="n">
        <f aca="false">ROUNDUP(A218/12,0)</f>
        <v>18</v>
      </c>
      <c r="D218" s="26" t="n">
        <f aca="false">J217</f>
        <v>147869.53</v>
      </c>
      <c r="E218" s="26" t="n">
        <f aca="false">IF(D218&lt;=0,0,ROUND(D218*Calculator!$B$7/12,2))</f>
        <v>800.96</v>
      </c>
      <c r="F218" s="26" t="n">
        <f aca="false">IF(D218&lt;=0,0,ROUND(MIN(D218,Calculator!$H$6-E218),2))</f>
        <v>1853.73</v>
      </c>
      <c r="G218" s="26" t="n">
        <f aca="false">ROUND(IF(A218&gt;=Calculator!$E$11,Calculator!$E$6,0)+IF(A218=Calculator!$E$8,Calculator!$E$7,0)+IF(MONTH(B218)=Calculator!$E$10,Calculator!$E$9,0),2)</f>
        <v>200</v>
      </c>
      <c r="H218" s="26" t="n">
        <f aca="false">IF(D218&lt;=0,0,ROUND(MIN(D218-F218,G218),2))</f>
        <v>200</v>
      </c>
      <c r="I218" s="26" t="n">
        <f aca="false">ROUND(E218+F218+H218,2)</f>
        <v>2854.69</v>
      </c>
      <c r="J218" s="26" t="n">
        <f aca="false">ROUND(MAX(0,D218-F218-H218),2)</f>
        <v>145815.8</v>
      </c>
      <c r="K218" s="26" t="n">
        <f aca="false">ROUND(E218+K217,2)</f>
        <v>354864.77</v>
      </c>
    </row>
    <row r="219" customFormat="false" ht="15" hidden="false" customHeight="true" outlineLevel="0" collapsed="false">
      <c r="A219" s="19" t="n">
        <f aca="false">A218+1</f>
        <v>214</v>
      </c>
      <c r="B219" s="18" t="n">
        <f aca="false">EDATE(B218,1)</f>
        <v>52779</v>
      </c>
      <c r="C219" s="19" t="n">
        <f aca="false">ROUNDUP(A219/12,0)</f>
        <v>18</v>
      </c>
      <c r="D219" s="26" t="n">
        <f aca="false">J218</f>
        <v>145815.8</v>
      </c>
      <c r="E219" s="26" t="n">
        <f aca="false">IF(D219&lt;=0,0,ROUND(D219*Calculator!$B$7/12,2))</f>
        <v>789.84</v>
      </c>
      <c r="F219" s="26" t="n">
        <f aca="false">IF(D219&lt;=0,0,ROUND(MIN(D219,Calculator!$H$6-E219),2))</f>
        <v>1864.85</v>
      </c>
      <c r="G219" s="26" t="n">
        <f aca="false">ROUND(IF(A219&gt;=Calculator!$E$11,Calculator!$E$6,0)+IF(A219=Calculator!$E$8,Calculator!$E$7,0)+IF(MONTH(B219)=Calculator!$E$10,Calculator!$E$9,0),2)</f>
        <v>200</v>
      </c>
      <c r="H219" s="26" t="n">
        <f aca="false">IF(D219&lt;=0,0,ROUND(MIN(D219-F219,G219),2))</f>
        <v>200</v>
      </c>
      <c r="I219" s="26" t="n">
        <f aca="false">ROUND(E219+F219+H219,2)</f>
        <v>2854.69</v>
      </c>
      <c r="J219" s="26" t="n">
        <f aca="false">ROUND(MAX(0,D219-F219-H219),2)</f>
        <v>143750.95</v>
      </c>
      <c r="K219" s="26" t="n">
        <f aca="false">ROUND(E219+K218,2)</f>
        <v>355654.61</v>
      </c>
    </row>
    <row r="220" customFormat="false" ht="15" hidden="false" customHeight="true" outlineLevel="0" collapsed="false">
      <c r="A220" s="19" t="n">
        <f aca="false">A219+1</f>
        <v>215</v>
      </c>
      <c r="B220" s="18" t="n">
        <f aca="false">EDATE(B219,1)</f>
        <v>52810</v>
      </c>
      <c r="C220" s="19" t="n">
        <f aca="false">ROUNDUP(A220/12,0)</f>
        <v>18</v>
      </c>
      <c r="D220" s="26" t="n">
        <f aca="false">J219</f>
        <v>143750.95</v>
      </c>
      <c r="E220" s="26" t="n">
        <f aca="false">IF(D220&lt;=0,0,ROUND(D220*Calculator!$B$7/12,2))</f>
        <v>778.65</v>
      </c>
      <c r="F220" s="26" t="n">
        <f aca="false">IF(D220&lt;=0,0,ROUND(MIN(D220,Calculator!$H$6-E220),2))</f>
        <v>1876.04</v>
      </c>
      <c r="G220" s="26" t="n">
        <f aca="false">ROUND(IF(A220&gt;=Calculator!$E$11,Calculator!$E$6,0)+IF(A220=Calculator!$E$8,Calculator!$E$7,0)+IF(MONTH(B220)=Calculator!$E$10,Calculator!$E$9,0),2)</f>
        <v>200</v>
      </c>
      <c r="H220" s="26" t="n">
        <f aca="false">IF(D220&lt;=0,0,ROUND(MIN(D220-F220,G220),2))</f>
        <v>200</v>
      </c>
      <c r="I220" s="26" t="n">
        <f aca="false">ROUND(E220+F220+H220,2)</f>
        <v>2854.69</v>
      </c>
      <c r="J220" s="26" t="n">
        <f aca="false">ROUND(MAX(0,D220-F220-H220),2)</f>
        <v>141674.91</v>
      </c>
      <c r="K220" s="26" t="n">
        <f aca="false">ROUND(E220+K219,2)</f>
        <v>356433.26</v>
      </c>
    </row>
    <row r="221" customFormat="false" ht="15" hidden="false" customHeight="true" outlineLevel="0" collapsed="false">
      <c r="A221" s="19" t="n">
        <f aca="false">A220+1</f>
        <v>216</v>
      </c>
      <c r="B221" s="18" t="n">
        <f aca="false">EDATE(B220,1)</f>
        <v>52841</v>
      </c>
      <c r="C221" s="19" t="n">
        <f aca="false">ROUNDUP(A221/12,0)</f>
        <v>18</v>
      </c>
      <c r="D221" s="26" t="n">
        <f aca="false">J220</f>
        <v>141674.91</v>
      </c>
      <c r="E221" s="26" t="n">
        <f aca="false">IF(D221&lt;=0,0,ROUND(D221*Calculator!$B$7/12,2))</f>
        <v>767.41</v>
      </c>
      <c r="F221" s="26" t="n">
        <f aca="false">IF(D221&lt;=0,0,ROUND(MIN(D221,Calculator!$H$6-E221),2))</f>
        <v>1887.28</v>
      </c>
      <c r="G221" s="26" t="n">
        <f aca="false">ROUND(IF(A221&gt;=Calculator!$E$11,Calculator!$E$6,0)+IF(A221=Calculator!$E$8,Calculator!$E$7,0)+IF(MONTH(B221)=Calculator!$E$10,Calculator!$E$9,0),2)</f>
        <v>200</v>
      </c>
      <c r="H221" s="26" t="n">
        <f aca="false">IF(D221&lt;=0,0,ROUND(MIN(D221-F221,G221),2))</f>
        <v>200</v>
      </c>
      <c r="I221" s="26" t="n">
        <f aca="false">ROUND(E221+F221+H221,2)</f>
        <v>2854.69</v>
      </c>
      <c r="J221" s="26" t="n">
        <f aca="false">ROUND(MAX(0,D221-F221-H221),2)</f>
        <v>139587.63</v>
      </c>
      <c r="K221" s="26" t="n">
        <f aca="false">ROUND(E221+K220,2)</f>
        <v>357200.67</v>
      </c>
    </row>
    <row r="222" customFormat="false" ht="15" hidden="false" customHeight="true" outlineLevel="0" collapsed="false">
      <c r="A222" s="19" t="n">
        <f aca="false">A221+1</f>
        <v>217</v>
      </c>
      <c r="B222" s="18" t="n">
        <f aca="false">EDATE(B221,1)</f>
        <v>52871</v>
      </c>
      <c r="C222" s="19" t="n">
        <f aca="false">ROUNDUP(A222/12,0)</f>
        <v>19</v>
      </c>
      <c r="D222" s="26" t="n">
        <f aca="false">J221</f>
        <v>139587.63</v>
      </c>
      <c r="E222" s="26" t="n">
        <f aca="false">IF(D222&lt;=0,0,ROUND(D222*Calculator!$B$7/12,2))</f>
        <v>756.1</v>
      </c>
      <c r="F222" s="26" t="n">
        <f aca="false">IF(D222&lt;=0,0,ROUND(MIN(D222,Calculator!$H$6-E222),2))</f>
        <v>1898.59</v>
      </c>
      <c r="G222" s="26" t="n">
        <f aca="false">ROUND(IF(A222&gt;=Calculator!$E$11,Calculator!$E$6,0)+IF(A222=Calculator!$E$8,Calculator!$E$7,0)+IF(MONTH(B222)=Calculator!$E$10,Calculator!$E$9,0),2)</f>
        <v>200</v>
      </c>
      <c r="H222" s="26" t="n">
        <f aca="false">IF(D222&lt;=0,0,ROUND(MIN(D222-F222,G222),2))</f>
        <v>200</v>
      </c>
      <c r="I222" s="26" t="n">
        <f aca="false">ROUND(E222+F222+H222,2)</f>
        <v>2854.69</v>
      </c>
      <c r="J222" s="26" t="n">
        <f aca="false">ROUND(MAX(0,D222-F222-H222),2)</f>
        <v>137489.04</v>
      </c>
      <c r="K222" s="26" t="n">
        <f aca="false">ROUND(E222+K221,2)</f>
        <v>357956.77</v>
      </c>
    </row>
    <row r="223" customFormat="false" ht="15" hidden="false" customHeight="true" outlineLevel="0" collapsed="false">
      <c r="A223" s="19" t="n">
        <f aca="false">A222+1</f>
        <v>218</v>
      </c>
      <c r="B223" s="18" t="n">
        <f aca="false">EDATE(B222,1)</f>
        <v>52902</v>
      </c>
      <c r="C223" s="19" t="n">
        <f aca="false">ROUNDUP(A223/12,0)</f>
        <v>19</v>
      </c>
      <c r="D223" s="26" t="n">
        <f aca="false">J222</f>
        <v>137489.04</v>
      </c>
      <c r="E223" s="26" t="n">
        <f aca="false">IF(D223&lt;=0,0,ROUND(D223*Calculator!$B$7/12,2))</f>
        <v>744.73</v>
      </c>
      <c r="F223" s="26" t="n">
        <f aca="false">IF(D223&lt;=0,0,ROUND(MIN(D223,Calculator!$H$6-E223),2))</f>
        <v>1909.96</v>
      </c>
      <c r="G223" s="26" t="n">
        <f aca="false">ROUND(IF(A223&gt;=Calculator!$E$11,Calculator!$E$6,0)+IF(A223=Calculator!$E$8,Calculator!$E$7,0)+IF(MONTH(B223)=Calculator!$E$10,Calculator!$E$9,0),2)</f>
        <v>200</v>
      </c>
      <c r="H223" s="26" t="n">
        <f aca="false">IF(D223&lt;=0,0,ROUND(MIN(D223-F223,G223),2))</f>
        <v>200</v>
      </c>
      <c r="I223" s="26" t="n">
        <f aca="false">ROUND(E223+F223+H223,2)</f>
        <v>2854.69</v>
      </c>
      <c r="J223" s="26" t="n">
        <f aca="false">ROUND(MAX(0,D223-F223-H223),2)</f>
        <v>135379.08</v>
      </c>
      <c r="K223" s="26" t="n">
        <f aca="false">ROUND(E223+K222,2)</f>
        <v>358701.5</v>
      </c>
    </row>
    <row r="224" customFormat="false" ht="15" hidden="false" customHeight="true" outlineLevel="0" collapsed="false">
      <c r="A224" s="19" t="n">
        <f aca="false">A223+1</f>
        <v>219</v>
      </c>
      <c r="B224" s="18" t="n">
        <f aca="false">EDATE(B223,1)</f>
        <v>52932</v>
      </c>
      <c r="C224" s="19" t="n">
        <f aca="false">ROUNDUP(A224/12,0)</f>
        <v>19</v>
      </c>
      <c r="D224" s="26" t="n">
        <f aca="false">J223</f>
        <v>135379.08</v>
      </c>
      <c r="E224" s="26" t="n">
        <f aca="false">IF(D224&lt;=0,0,ROUND(D224*Calculator!$B$7/12,2))</f>
        <v>733.3</v>
      </c>
      <c r="F224" s="26" t="n">
        <f aca="false">IF(D224&lt;=0,0,ROUND(MIN(D224,Calculator!$H$6-E224),2))</f>
        <v>1921.39</v>
      </c>
      <c r="G224" s="26" t="n">
        <f aca="false">ROUND(IF(A224&gt;=Calculator!$E$11,Calculator!$E$6,0)+IF(A224=Calculator!$E$8,Calculator!$E$7,0)+IF(MONTH(B224)=Calculator!$E$10,Calculator!$E$9,0),2)</f>
        <v>1200</v>
      </c>
      <c r="H224" s="26" t="n">
        <f aca="false">IF(D224&lt;=0,0,ROUND(MIN(D224-F224,G224),2))</f>
        <v>1200</v>
      </c>
      <c r="I224" s="26" t="n">
        <f aca="false">ROUND(E224+F224+H224,2)</f>
        <v>3854.69</v>
      </c>
      <c r="J224" s="26" t="n">
        <f aca="false">ROUND(MAX(0,D224-F224-H224),2)</f>
        <v>132257.69</v>
      </c>
      <c r="K224" s="26" t="n">
        <f aca="false">ROUND(E224+K223,2)</f>
        <v>359434.8</v>
      </c>
    </row>
    <row r="225" customFormat="false" ht="15" hidden="false" customHeight="true" outlineLevel="0" collapsed="false">
      <c r="A225" s="19" t="n">
        <f aca="false">A224+1</f>
        <v>220</v>
      </c>
      <c r="B225" s="18" t="n">
        <f aca="false">EDATE(B224,1)</f>
        <v>52963</v>
      </c>
      <c r="C225" s="19" t="n">
        <f aca="false">ROUNDUP(A225/12,0)</f>
        <v>19</v>
      </c>
      <c r="D225" s="26" t="n">
        <f aca="false">J224</f>
        <v>132257.69</v>
      </c>
      <c r="E225" s="26" t="n">
        <f aca="false">IF(D225&lt;=0,0,ROUND(D225*Calculator!$B$7/12,2))</f>
        <v>716.4</v>
      </c>
      <c r="F225" s="26" t="n">
        <f aca="false">IF(D225&lt;=0,0,ROUND(MIN(D225,Calculator!$H$6-E225),2))</f>
        <v>1938.29</v>
      </c>
      <c r="G225" s="26" t="n">
        <f aca="false">ROUND(IF(A225&gt;=Calculator!$E$11,Calculator!$E$6,0)+IF(A225=Calculator!$E$8,Calculator!$E$7,0)+IF(MONTH(B225)=Calculator!$E$10,Calculator!$E$9,0),2)</f>
        <v>200</v>
      </c>
      <c r="H225" s="26" t="n">
        <f aca="false">IF(D225&lt;=0,0,ROUND(MIN(D225-F225,G225),2))</f>
        <v>200</v>
      </c>
      <c r="I225" s="26" t="n">
        <f aca="false">ROUND(E225+F225+H225,2)</f>
        <v>2854.69</v>
      </c>
      <c r="J225" s="26" t="n">
        <f aca="false">ROUND(MAX(0,D225-F225-H225),2)</f>
        <v>130119.4</v>
      </c>
      <c r="K225" s="26" t="n">
        <f aca="false">ROUND(E225+K224,2)</f>
        <v>360151.2</v>
      </c>
    </row>
    <row r="226" customFormat="false" ht="15" hidden="false" customHeight="true" outlineLevel="0" collapsed="false">
      <c r="A226" s="19" t="n">
        <f aca="false">A225+1</f>
        <v>221</v>
      </c>
      <c r="B226" s="18" t="n">
        <f aca="false">EDATE(B225,1)</f>
        <v>52994</v>
      </c>
      <c r="C226" s="19" t="n">
        <f aca="false">ROUNDUP(A226/12,0)</f>
        <v>19</v>
      </c>
      <c r="D226" s="26" t="n">
        <f aca="false">J225</f>
        <v>130119.4</v>
      </c>
      <c r="E226" s="26" t="n">
        <f aca="false">IF(D226&lt;=0,0,ROUND(D226*Calculator!$B$7/12,2))</f>
        <v>704.81</v>
      </c>
      <c r="F226" s="26" t="n">
        <f aca="false">IF(D226&lt;=0,0,ROUND(MIN(D226,Calculator!$H$6-E226),2))</f>
        <v>1949.88</v>
      </c>
      <c r="G226" s="26" t="n">
        <f aca="false">ROUND(IF(A226&gt;=Calculator!$E$11,Calculator!$E$6,0)+IF(A226=Calculator!$E$8,Calculator!$E$7,0)+IF(MONTH(B226)=Calculator!$E$10,Calculator!$E$9,0),2)</f>
        <v>200</v>
      </c>
      <c r="H226" s="26" t="n">
        <f aca="false">IF(D226&lt;=0,0,ROUND(MIN(D226-F226,G226),2))</f>
        <v>200</v>
      </c>
      <c r="I226" s="26" t="n">
        <f aca="false">ROUND(E226+F226+H226,2)</f>
        <v>2854.69</v>
      </c>
      <c r="J226" s="26" t="n">
        <f aca="false">ROUND(MAX(0,D226-F226-H226),2)</f>
        <v>127969.52</v>
      </c>
      <c r="K226" s="26" t="n">
        <f aca="false">ROUND(E226+K225,2)</f>
        <v>360856.01</v>
      </c>
    </row>
    <row r="227" customFormat="false" ht="15" hidden="false" customHeight="true" outlineLevel="0" collapsed="false">
      <c r="A227" s="19" t="n">
        <f aca="false">A226+1</f>
        <v>222</v>
      </c>
      <c r="B227" s="18" t="n">
        <f aca="false">EDATE(B226,1)</f>
        <v>53022</v>
      </c>
      <c r="C227" s="19" t="n">
        <f aca="false">ROUNDUP(A227/12,0)</f>
        <v>19</v>
      </c>
      <c r="D227" s="26" t="n">
        <f aca="false">J226</f>
        <v>127969.52</v>
      </c>
      <c r="E227" s="26" t="n">
        <f aca="false">IF(D227&lt;=0,0,ROUND(D227*Calculator!$B$7/12,2))</f>
        <v>693.17</v>
      </c>
      <c r="F227" s="26" t="n">
        <f aca="false">IF(D227&lt;=0,0,ROUND(MIN(D227,Calculator!$H$6-E227),2))</f>
        <v>1961.52</v>
      </c>
      <c r="G227" s="26" t="n">
        <f aca="false">ROUND(IF(A227&gt;=Calculator!$E$11,Calculator!$E$6,0)+IF(A227=Calculator!$E$8,Calculator!$E$7,0)+IF(MONTH(B227)=Calculator!$E$10,Calculator!$E$9,0),2)</f>
        <v>200</v>
      </c>
      <c r="H227" s="26" t="n">
        <f aca="false">IF(D227&lt;=0,0,ROUND(MIN(D227-F227,G227),2))</f>
        <v>200</v>
      </c>
      <c r="I227" s="26" t="n">
        <f aca="false">ROUND(E227+F227+H227,2)</f>
        <v>2854.69</v>
      </c>
      <c r="J227" s="26" t="n">
        <f aca="false">ROUND(MAX(0,D227-F227-H227),2)</f>
        <v>125808</v>
      </c>
      <c r="K227" s="26" t="n">
        <f aca="false">ROUND(E227+K226,2)</f>
        <v>361549.18</v>
      </c>
    </row>
    <row r="228" customFormat="false" ht="15" hidden="false" customHeight="true" outlineLevel="0" collapsed="false">
      <c r="A228" s="19" t="n">
        <f aca="false">A227+1</f>
        <v>223</v>
      </c>
      <c r="B228" s="18" t="n">
        <f aca="false">EDATE(B227,1)</f>
        <v>53053</v>
      </c>
      <c r="C228" s="19" t="n">
        <f aca="false">ROUNDUP(A228/12,0)</f>
        <v>19</v>
      </c>
      <c r="D228" s="26" t="n">
        <f aca="false">J227</f>
        <v>125808</v>
      </c>
      <c r="E228" s="26" t="n">
        <f aca="false">IF(D228&lt;=0,0,ROUND(D228*Calculator!$B$7/12,2))</f>
        <v>681.46</v>
      </c>
      <c r="F228" s="26" t="n">
        <f aca="false">IF(D228&lt;=0,0,ROUND(MIN(D228,Calculator!$H$6-E228),2))</f>
        <v>1973.23</v>
      </c>
      <c r="G228" s="26" t="n">
        <f aca="false">ROUND(IF(A228&gt;=Calculator!$E$11,Calculator!$E$6,0)+IF(A228=Calculator!$E$8,Calculator!$E$7,0)+IF(MONTH(B228)=Calculator!$E$10,Calculator!$E$9,0),2)</f>
        <v>200</v>
      </c>
      <c r="H228" s="26" t="n">
        <f aca="false">IF(D228&lt;=0,0,ROUND(MIN(D228-F228,G228),2))</f>
        <v>200</v>
      </c>
      <c r="I228" s="26" t="n">
        <f aca="false">ROUND(E228+F228+H228,2)</f>
        <v>2854.69</v>
      </c>
      <c r="J228" s="26" t="n">
        <f aca="false">ROUND(MAX(0,D228-F228-H228),2)</f>
        <v>123634.77</v>
      </c>
      <c r="K228" s="26" t="n">
        <f aca="false">ROUND(E228+K227,2)</f>
        <v>362230.64</v>
      </c>
    </row>
    <row r="229" customFormat="false" ht="15" hidden="false" customHeight="true" outlineLevel="0" collapsed="false">
      <c r="A229" s="19" t="n">
        <f aca="false">A228+1</f>
        <v>224</v>
      </c>
      <c r="B229" s="18" t="n">
        <f aca="false">EDATE(B228,1)</f>
        <v>53083</v>
      </c>
      <c r="C229" s="19" t="n">
        <f aca="false">ROUNDUP(A229/12,0)</f>
        <v>19</v>
      </c>
      <c r="D229" s="26" t="n">
        <f aca="false">J228</f>
        <v>123634.77</v>
      </c>
      <c r="E229" s="26" t="n">
        <f aca="false">IF(D229&lt;=0,0,ROUND(D229*Calculator!$B$7/12,2))</f>
        <v>669.69</v>
      </c>
      <c r="F229" s="26" t="n">
        <f aca="false">IF(D229&lt;=0,0,ROUND(MIN(D229,Calculator!$H$6-E229),2))</f>
        <v>1985</v>
      </c>
      <c r="G229" s="26" t="n">
        <f aca="false">ROUND(IF(A229&gt;=Calculator!$E$11,Calculator!$E$6,0)+IF(A229=Calculator!$E$8,Calculator!$E$7,0)+IF(MONTH(B229)=Calculator!$E$10,Calculator!$E$9,0),2)</f>
        <v>200</v>
      </c>
      <c r="H229" s="26" t="n">
        <f aca="false">IF(D229&lt;=0,0,ROUND(MIN(D229-F229,G229),2))</f>
        <v>200</v>
      </c>
      <c r="I229" s="26" t="n">
        <f aca="false">ROUND(E229+F229+H229,2)</f>
        <v>2854.69</v>
      </c>
      <c r="J229" s="26" t="n">
        <f aca="false">ROUND(MAX(0,D229-F229-H229),2)</f>
        <v>121449.77</v>
      </c>
      <c r="K229" s="26" t="n">
        <f aca="false">ROUND(E229+K228,2)</f>
        <v>362900.33</v>
      </c>
    </row>
    <row r="230" customFormat="false" ht="15" hidden="false" customHeight="true" outlineLevel="0" collapsed="false">
      <c r="A230" s="19" t="n">
        <f aca="false">A229+1</f>
        <v>225</v>
      </c>
      <c r="B230" s="18" t="n">
        <f aca="false">EDATE(B229,1)</f>
        <v>53114</v>
      </c>
      <c r="C230" s="19" t="n">
        <f aca="false">ROUNDUP(A230/12,0)</f>
        <v>19</v>
      </c>
      <c r="D230" s="26" t="n">
        <f aca="false">J229</f>
        <v>121449.77</v>
      </c>
      <c r="E230" s="26" t="n">
        <f aca="false">IF(D230&lt;=0,0,ROUND(D230*Calculator!$B$7/12,2))</f>
        <v>657.85</v>
      </c>
      <c r="F230" s="26" t="n">
        <f aca="false">IF(D230&lt;=0,0,ROUND(MIN(D230,Calculator!$H$6-E230),2))</f>
        <v>1996.84</v>
      </c>
      <c r="G230" s="26" t="n">
        <f aca="false">ROUND(IF(A230&gt;=Calculator!$E$11,Calculator!$E$6,0)+IF(A230=Calculator!$E$8,Calculator!$E$7,0)+IF(MONTH(B230)=Calculator!$E$10,Calculator!$E$9,0),2)</f>
        <v>200</v>
      </c>
      <c r="H230" s="26" t="n">
        <f aca="false">IF(D230&lt;=0,0,ROUND(MIN(D230-F230,G230),2))</f>
        <v>200</v>
      </c>
      <c r="I230" s="26" t="n">
        <f aca="false">ROUND(E230+F230+H230,2)</f>
        <v>2854.69</v>
      </c>
      <c r="J230" s="26" t="n">
        <f aca="false">ROUND(MAX(0,D230-F230-H230),2)</f>
        <v>119252.93</v>
      </c>
      <c r="K230" s="26" t="n">
        <f aca="false">ROUND(E230+K229,2)</f>
        <v>363558.18</v>
      </c>
    </row>
    <row r="231" customFormat="false" ht="15" hidden="false" customHeight="true" outlineLevel="0" collapsed="false">
      <c r="A231" s="19" t="n">
        <f aca="false">A230+1</f>
        <v>226</v>
      </c>
      <c r="B231" s="18" t="n">
        <f aca="false">EDATE(B230,1)</f>
        <v>53144</v>
      </c>
      <c r="C231" s="19" t="n">
        <f aca="false">ROUNDUP(A231/12,0)</f>
        <v>19</v>
      </c>
      <c r="D231" s="26" t="n">
        <f aca="false">J230</f>
        <v>119252.93</v>
      </c>
      <c r="E231" s="26" t="n">
        <f aca="false">IF(D231&lt;=0,0,ROUND(D231*Calculator!$B$7/12,2))</f>
        <v>645.95</v>
      </c>
      <c r="F231" s="26" t="n">
        <f aca="false">IF(D231&lt;=0,0,ROUND(MIN(D231,Calculator!$H$6-E231),2))</f>
        <v>2008.74</v>
      </c>
      <c r="G231" s="26" t="n">
        <f aca="false">ROUND(IF(A231&gt;=Calculator!$E$11,Calculator!$E$6,0)+IF(A231=Calculator!$E$8,Calculator!$E$7,0)+IF(MONTH(B231)=Calculator!$E$10,Calculator!$E$9,0),2)</f>
        <v>200</v>
      </c>
      <c r="H231" s="26" t="n">
        <f aca="false">IF(D231&lt;=0,0,ROUND(MIN(D231-F231,G231),2))</f>
        <v>200</v>
      </c>
      <c r="I231" s="26" t="n">
        <f aca="false">ROUND(E231+F231+H231,2)</f>
        <v>2854.69</v>
      </c>
      <c r="J231" s="26" t="n">
        <f aca="false">ROUND(MAX(0,D231-F231-H231),2)</f>
        <v>117044.19</v>
      </c>
      <c r="K231" s="26" t="n">
        <f aca="false">ROUND(E231+K230,2)</f>
        <v>364204.13</v>
      </c>
    </row>
    <row r="232" customFormat="false" ht="15" hidden="false" customHeight="true" outlineLevel="0" collapsed="false">
      <c r="A232" s="19" t="n">
        <f aca="false">A231+1</f>
        <v>227</v>
      </c>
      <c r="B232" s="18" t="n">
        <f aca="false">EDATE(B231,1)</f>
        <v>53175</v>
      </c>
      <c r="C232" s="19" t="n">
        <f aca="false">ROUNDUP(A232/12,0)</f>
        <v>19</v>
      </c>
      <c r="D232" s="26" t="n">
        <f aca="false">J231</f>
        <v>117044.19</v>
      </c>
      <c r="E232" s="26" t="n">
        <f aca="false">IF(D232&lt;=0,0,ROUND(D232*Calculator!$B$7/12,2))</f>
        <v>633.99</v>
      </c>
      <c r="F232" s="26" t="n">
        <f aca="false">IF(D232&lt;=0,0,ROUND(MIN(D232,Calculator!$H$6-E232),2))</f>
        <v>2020.7</v>
      </c>
      <c r="G232" s="26" t="n">
        <f aca="false">ROUND(IF(A232&gt;=Calculator!$E$11,Calculator!$E$6,0)+IF(A232=Calculator!$E$8,Calculator!$E$7,0)+IF(MONTH(B232)=Calculator!$E$10,Calculator!$E$9,0),2)</f>
        <v>200</v>
      </c>
      <c r="H232" s="26" t="n">
        <f aca="false">IF(D232&lt;=0,0,ROUND(MIN(D232-F232,G232),2))</f>
        <v>200</v>
      </c>
      <c r="I232" s="26" t="n">
        <f aca="false">ROUND(E232+F232+H232,2)</f>
        <v>2854.69</v>
      </c>
      <c r="J232" s="26" t="n">
        <f aca="false">ROUND(MAX(0,D232-F232-H232),2)</f>
        <v>114823.49</v>
      </c>
      <c r="K232" s="26" t="n">
        <f aca="false">ROUND(E232+K231,2)</f>
        <v>364838.12</v>
      </c>
    </row>
    <row r="233" customFormat="false" ht="15" hidden="false" customHeight="true" outlineLevel="0" collapsed="false">
      <c r="A233" s="19" t="n">
        <f aca="false">A232+1</f>
        <v>228</v>
      </c>
      <c r="B233" s="18" t="n">
        <f aca="false">EDATE(B232,1)</f>
        <v>53206</v>
      </c>
      <c r="C233" s="19" t="n">
        <f aca="false">ROUNDUP(A233/12,0)</f>
        <v>19</v>
      </c>
      <c r="D233" s="26" t="n">
        <f aca="false">J232</f>
        <v>114823.49</v>
      </c>
      <c r="E233" s="26" t="n">
        <f aca="false">IF(D233&lt;=0,0,ROUND(D233*Calculator!$B$7/12,2))</f>
        <v>621.96</v>
      </c>
      <c r="F233" s="26" t="n">
        <f aca="false">IF(D233&lt;=0,0,ROUND(MIN(D233,Calculator!$H$6-E233),2))</f>
        <v>2032.73</v>
      </c>
      <c r="G233" s="26" t="n">
        <f aca="false">ROUND(IF(A233&gt;=Calculator!$E$11,Calculator!$E$6,0)+IF(A233=Calculator!$E$8,Calculator!$E$7,0)+IF(MONTH(B233)=Calculator!$E$10,Calculator!$E$9,0),2)</f>
        <v>200</v>
      </c>
      <c r="H233" s="26" t="n">
        <f aca="false">IF(D233&lt;=0,0,ROUND(MIN(D233-F233,G233),2))</f>
        <v>200</v>
      </c>
      <c r="I233" s="26" t="n">
        <f aca="false">ROUND(E233+F233+H233,2)</f>
        <v>2854.69</v>
      </c>
      <c r="J233" s="26" t="n">
        <f aca="false">ROUND(MAX(0,D233-F233-H233),2)</f>
        <v>112590.76</v>
      </c>
      <c r="K233" s="26" t="n">
        <f aca="false">ROUND(E233+K232,2)</f>
        <v>365460.08</v>
      </c>
    </row>
    <row r="234" customFormat="false" ht="15" hidden="false" customHeight="true" outlineLevel="0" collapsed="false">
      <c r="A234" s="19" t="n">
        <f aca="false">A233+1</f>
        <v>229</v>
      </c>
      <c r="B234" s="18" t="n">
        <f aca="false">EDATE(B233,1)</f>
        <v>53236</v>
      </c>
      <c r="C234" s="19" t="n">
        <f aca="false">ROUNDUP(A234/12,0)</f>
        <v>20</v>
      </c>
      <c r="D234" s="26" t="n">
        <f aca="false">J233</f>
        <v>112590.76</v>
      </c>
      <c r="E234" s="26" t="n">
        <f aca="false">IF(D234&lt;=0,0,ROUND(D234*Calculator!$B$7/12,2))</f>
        <v>609.87</v>
      </c>
      <c r="F234" s="26" t="n">
        <f aca="false">IF(D234&lt;=0,0,ROUND(MIN(D234,Calculator!$H$6-E234),2))</f>
        <v>2044.82</v>
      </c>
      <c r="G234" s="26" t="n">
        <f aca="false">ROUND(IF(A234&gt;=Calculator!$E$11,Calculator!$E$6,0)+IF(A234=Calculator!$E$8,Calculator!$E$7,0)+IF(MONTH(B234)=Calculator!$E$10,Calculator!$E$9,0),2)</f>
        <v>200</v>
      </c>
      <c r="H234" s="26" t="n">
        <f aca="false">IF(D234&lt;=0,0,ROUND(MIN(D234-F234,G234),2))</f>
        <v>200</v>
      </c>
      <c r="I234" s="26" t="n">
        <f aca="false">ROUND(E234+F234+H234,2)</f>
        <v>2854.69</v>
      </c>
      <c r="J234" s="26" t="n">
        <f aca="false">ROUND(MAX(0,D234-F234-H234),2)</f>
        <v>110345.94</v>
      </c>
      <c r="K234" s="26" t="n">
        <f aca="false">ROUND(E234+K233,2)</f>
        <v>366069.95</v>
      </c>
    </row>
    <row r="235" customFormat="false" ht="15" hidden="false" customHeight="true" outlineLevel="0" collapsed="false">
      <c r="A235" s="19" t="n">
        <f aca="false">A234+1</f>
        <v>230</v>
      </c>
      <c r="B235" s="18" t="n">
        <f aca="false">EDATE(B234,1)</f>
        <v>53267</v>
      </c>
      <c r="C235" s="19" t="n">
        <f aca="false">ROUNDUP(A235/12,0)</f>
        <v>20</v>
      </c>
      <c r="D235" s="26" t="n">
        <f aca="false">J234</f>
        <v>110345.94</v>
      </c>
      <c r="E235" s="26" t="n">
        <f aca="false">IF(D235&lt;=0,0,ROUND(D235*Calculator!$B$7/12,2))</f>
        <v>597.71</v>
      </c>
      <c r="F235" s="26" t="n">
        <f aca="false">IF(D235&lt;=0,0,ROUND(MIN(D235,Calculator!$H$6-E235),2))</f>
        <v>2056.98</v>
      </c>
      <c r="G235" s="26" t="n">
        <f aca="false">ROUND(IF(A235&gt;=Calculator!$E$11,Calculator!$E$6,0)+IF(A235=Calculator!$E$8,Calculator!$E$7,0)+IF(MONTH(B235)=Calculator!$E$10,Calculator!$E$9,0),2)</f>
        <v>200</v>
      </c>
      <c r="H235" s="26" t="n">
        <f aca="false">IF(D235&lt;=0,0,ROUND(MIN(D235-F235,G235),2))</f>
        <v>200</v>
      </c>
      <c r="I235" s="26" t="n">
        <f aca="false">ROUND(E235+F235+H235,2)</f>
        <v>2854.69</v>
      </c>
      <c r="J235" s="26" t="n">
        <f aca="false">ROUND(MAX(0,D235-F235-H235),2)</f>
        <v>108088.96</v>
      </c>
      <c r="K235" s="26" t="n">
        <f aca="false">ROUND(E235+K234,2)</f>
        <v>366667.66</v>
      </c>
    </row>
    <row r="236" customFormat="false" ht="15" hidden="false" customHeight="true" outlineLevel="0" collapsed="false">
      <c r="A236" s="19" t="n">
        <f aca="false">A235+1</f>
        <v>231</v>
      </c>
      <c r="B236" s="18" t="n">
        <f aca="false">EDATE(B235,1)</f>
        <v>53297</v>
      </c>
      <c r="C236" s="19" t="n">
        <f aca="false">ROUNDUP(A236/12,0)</f>
        <v>20</v>
      </c>
      <c r="D236" s="26" t="n">
        <f aca="false">J235</f>
        <v>108088.96</v>
      </c>
      <c r="E236" s="26" t="n">
        <f aca="false">IF(D236&lt;=0,0,ROUND(D236*Calculator!$B$7/12,2))</f>
        <v>585.48</v>
      </c>
      <c r="F236" s="26" t="n">
        <f aca="false">IF(D236&lt;=0,0,ROUND(MIN(D236,Calculator!$H$6-E236),2))</f>
        <v>2069.21</v>
      </c>
      <c r="G236" s="26" t="n">
        <f aca="false">ROUND(IF(A236&gt;=Calculator!$E$11,Calculator!$E$6,0)+IF(A236=Calculator!$E$8,Calculator!$E$7,0)+IF(MONTH(B236)=Calculator!$E$10,Calculator!$E$9,0),2)</f>
        <v>1200</v>
      </c>
      <c r="H236" s="26" t="n">
        <f aca="false">IF(D236&lt;=0,0,ROUND(MIN(D236-F236,G236),2))</f>
        <v>1200</v>
      </c>
      <c r="I236" s="26" t="n">
        <f aca="false">ROUND(E236+F236+H236,2)</f>
        <v>3854.69</v>
      </c>
      <c r="J236" s="26" t="n">
        <f aca="false">ROUND(MAX(0,D236-F236-H236),2)</f>
        <v>104819.75</v>
      </c>
      <c r="K236" s="26" t="n">
        <f aca="false">ROUND(E236+K235,2)</f>
        <v>367253.14</v>
      </c>
    </row>
    <row r="237" customFormat="false" ht="15" hidden="false" customHeight="true" outlineLevel="0" collapsed="false">
      <c r="A237" s="19" t="n">
        <f aca="false">A236+1</f>
        <v>232</v>
      </c>
      <c r="B237" s="18" t="n">
        <f aca="false">EDATE(B236,1)</f>
        <v>53328</v>
      </c>
      <c r="C237" s="19" t="n">
        <f aca="false">ROUNDUP(A237/12,0)</f>
        <v>20</v>
      </c>
      <c r="D237" s="26" t="n">
        <f aca="false">J236</f>
        <v>104819.75</v>
      </c>
      <c r="E237" s="26" t="n">
        <f aca="false">IF(D237&lt;=0,0,ROUND(D237*Calculator!$B$7/12,2))</f>
        <v>567.77</v>
      </c>
      <c r="F237" s="26" t="n">
        <f aca="false">IF(D237&lt;=0,0,ROUND(MIN(D237,Calculator!$H$6-E237),2))</f>
        <v>2086.92</v>
      </c>
      <c r="G237" s="26" t="n">
        <f aca="false">ROUND(IF(A237&gt;=Calculator!$E$11,Calculator!$E$6,0)+IF(A237=Calculator!$E$8,Calculator!$E$7,0)+IF(MONTH(B237)=Calculator!$E$10,Calculator!$E$9,0),2)</f>
        <v>200</v>
      </c>
      <c r="H237" s="26" t="n">
        <f aca="false">IF(D237&lt;=0,0,ROUND(MIN(D237-F237,G237),2))</f>
        <v>200</v>
      </c>
      <c r="I237" s="26" t="n">
        <f aca="false">ROUND(E237+F237+H237,2)</f>
        <v>2854.69</v>
      </c>
      <c r="J237" s="26" t="n">
        <f aca="false">ROUND(MAX(0,D237-F237-H237),2)</f>
        <v>102532.83</v>
      </c>
      <c r="K237" s="26" t="n">
        <f aca="false">ROUND(E237+K236,2)</f>
        <v>367820.91</v>
      </c>
    </row>
    <row r="238" customFormat="false" ht="15" hidden="false" customHeight="true" outlineLevel="0" collapsed="false">
      <c r="A238" s="19" t="n">
        <f aca="false">A237+1</f>
        <v>233</v>
      </c>
      <c r="B238" s="18" t="n">
        <f aca="false">EDATE(B237,1)</f>
        <v>53359</v>
      </c>
      <c r="C238" s="19" t="n">
        <f aca="false">ROUNDUP(A238/12,0)</f>
        <v>20</v>
      </c>
      <c r="D238" s="26" t="n">
        <f aca="false">J237</f>
        <v>102532.83</v>
      </c>
      <c r="E238" s="26" t="n">
        <f aca="false">IF(D238&lt;=0,0,ROUND(D238*Calculator!$B$7/12,2))</f>
        <v>555.39</v>
      </c>
      <c r="F238" s="26" t="n">
        <f aca="false">IF(D238&lt;=0,0,ROUND(MIN(D238,Calculator!$H$6-E238),2))</f>
        <v>2099.3</v>
      </c>
      <c r="G238" s="26" t="n">
        <f aca="false">ROUND(IF(A238&gt;=Calculator!$E$11,Calculator!$E$6,0)+IF(A238=Calculator!$E$8,Calculator!$E$7,0)+IF(MONTH(B238)=Calculator!$E$10,Calculator!$E$9,0),2)</f>
        <v>200</v>
      </c>
      <c r="H238" s="26" t="n">
        <f aca="false">IF(D238&lt;=0,0,ROUND(MIN(D238-F238,G238),2))</f>
        <v>200</v>
      </c>
      <c r="I238" s="26" t="n">
        <f aca="false">ROUND(E238+F238+H238,2)</f>
        <v>2854.69</v>
      </c>
      <c r="J238" s="26" t="n">
        <f aca="false">ROUND(MAX(0,D238-F238-H238),2)</f>
        <v>100233.53</v>
      </c>
      <c r="K238" s="26" t="n">
        <f aca="false">ROUND(E238+K237,2)</f>
        <v>368376.3</v>
      </c>
    </row>
    <row r="239" customFormat="false" ht="15" hidden="false" customHeight="true" outlineLevel="0" collapsed="false">
      <c r="A239" s="19" t="n">
        <f aca="false">A238+1</f>
        <v>234</v>
      </c>
      <c r="B239" s="18" t="n">
        <f aca="false">EDATE(B238,1)</f>
        <v>53387</v>
      </c>
      <c r="C239" s="19" t="n">
        <f aca="false">ROUNDUP(A239/12,0)</f>
        <v>20</v>
      </c>
      <c r="D239" s="26" t="n">
        <f aca="false">J238</f>
        <v>100233.53</v>
      </c>
      <c r="E239" s="26" t="n">
        <f aca="false">IF(D239&lt;=0,0,ROUND(D239*Calculator!$B$7/12,2))</f>
        <v>542.93</v>
      </c>
      <c r="F239" s="26" t="n">
        <f aca="false">IF(D239&lt;=0,0,ROUND(MIN(D239,Calculator!$H$6-E239),2))</f>
        <v>2111.76</v>
      </c>
      <c r="G239" s="26" t="n">
        <f aca="false">ROUND(IF(A239&gt;=Calculator!$E$11,Calculator!$E$6,0)+IF(A239=Calculator!$E$8,Calculator!$E$7,0)+IF(MONTH(B239)=Calculator!$E$10,Calculator!$E$9,0),2)</f>
        <v>200</v>
      </c>
      <c r="H239" s="26" t="n">
        <f aca="false">IF(D239&lt;=0,0,ROUND(MIN(D239-F239,G239),2))</f>
        <v>200</v>
      </c>
      <c r="I239" s="26" t="n">
        <f aca="false">ROUND(E239+F239+H239,2)</f>
        <v>2854.69</v>
      </c>
      <c r="J239" s="26" t="n">
        <f aca="false">ROUND(MAX(0,D239-F239-H239),2)</f>
        <v>97921.77</v>
      </c>
      <c r="K239" s="26" t="n">
        <f aca="false">ROUND(E239+K238,2)</f>
        <v>368919.23</v>
      </c>
    </row>
    <row r="240" customFormat="false" ht="15" hidden="false" customHeight="true" outlineLevel="0" collapsed="false">
      <c r="A240" s="19" t="n">
        <f aca="false">A239+1</f>
        <v>235</v>
      </c>
      <c r="B240" s="18" t="n">
        <f aca="false">EDATE(B239,1)</f>
        <v>53418</v>
      </c>
      <c r="C240" s="19" t="n">
        <f aca="false">ROUNDUP(A240/12,0)</f>
        <v>20</v>
      </c>
      <c r="D240" s="26" t="n">
        <f aca="false">J239</f>
        <v>97921.77</v>
      </c>
      <c r="E240" s="26" t="n">
        <f aca="false">IF(D240&lt;=0,0,ROUND(D240*Calculator!$B$7/12,2))</f>
        <v>530.41</v>
      </c>
      <c r="F240" s="26" t="n">
        <f aca="false">IF(D240&lt;=0,0,ROUND(MIN(D240,Calculator!$H$6-E240),2))</f>
        <v>2124.28</v>
      </c>
      <c r="G240" s="26" t="n">
        <f aca="false">ROUND(IF(A240&gt;=Calculator!$E$11,Calculator!$E$6,0)+IF(A240=Calculator!$E$8,Calculator!$E$7,0)+IF(MONTH(B240)=Calculator!$E$10,Calculator!$E$9,0),2)</f>
        <v>200</v>
      </c>
      <c r="H240" s="26" t="n">
        <f aca="false">IF(D240&lt;=0,0,ROUND(MIN(D240-F240,G240),2))</f>
        <v>200</v>
      </c>
      <c r="I240" s="26" t="n">
        <f aca="false">ROUND(E240+F240+H240,2)</f>
        <v>2854.69</v>
      </c>
      <c r="J240" s="26" t="n">
        <f aca="false">ROUND(MAX(0,D240-F240-H240),2)</f>
        <v>95597.49</v>
      </c>
      <c r="K240" s="26" t="n">
        <f aca="false">ROUND(E240+K239,2)</f>
        <v>369449.64</v>
      </c>
    </row>
    <row r="241" customFormat="false" ht="15" hidden="false" customHeight="true" outlineLevel="0" collapsed="false">
      <c r="A241" s="19" t="n">
        <f aca="false">A240+1</f>
        <v>236</v>
      </c>
      <c r="B241" s="18" t="n">
        <f aca="false">EDATE(B240,1)</f>
        <v>53448</v>
      </c>
      <c r="C241" s="19" t="n">
        <f aca="false">ROUNDUP(A241/12,0)</f>
        <v>20</v>
      </c>
      <c r="D241" s="26" t="n">
        <f aca="false">J240</f>
        <v>95597.49</v>
      </c>
      <c r="E241" s="26" t="n">
        <f aca="false">IF(D241&lt;=0,0,ROUND(D241*Calculator!$B$7/12,2))</f>
        <v>517.82</v>
      </c>
      <c r="F241" s="26" t="n">
        <f aca="false">IF(D241&lt;=0,0,ROUND(MIN(D241,Calculator!$H$6-E241),2))</f>
        <v>2136.87</v>
      </c>
      <c r="G241" s="26" t="n">
        <f aca="false">ROUND(IF(A241&gt;=Calculator!$E$11,Calculator!$E$6,0)+IF(A241=Calculator!$E$8,Calculator!$E$7,0)+IF(MONTH(B241)=Calculator!$E$10,Calculator!$E$9,0),2)</f>
        <v>200</v>
      </c>
      <c r="H241" s="26" t="n">
        <f aca="false">IF(D241&lt;=0,0,ROUND(MIN(D241-F241,G241),2))</f>
        <v>200</v>
      </c>
      <c r="I241" s="26" t="n">
        <f aca="false">ROUND(E241+F241+H241,2)</f>
        <v>2854.69</v>
      </c>
      <c r="J241" s="26" t="n">
        <f aca="false">ROUND(MAX(0,D241-F241-H241),2)</f>
        <v>93260.62</v>
      </c>
      <c r="K241" s="26" t="n">
        <f aca="false">ROUND(E241+K240,2)</f>
        <v>369967.46</v>
      </c>
    </row>
    <row r="242" customFormat="false" ht="15" hidden="false" customHeight="true" outlineLevel="0" collapsed="false">
      <c r="A242" s="19" t="n">
        <f aca="false">A241+1</f>
        <v>237</v>
      </c>
      <c r="B242" s="18" t="n">
        <f aca="false">EDATE(B241,1)</f>
        <v>53479</v>
      </c>
      <c r="C242" s="19" t="n">
        <f aca="false">ROUNDUP(A242/12,0)</f>
        <v>20</v>
      </c>
      <c r="D242" s="26" t="n">
        <f aca="false">J241</f>
        <v>93260.62</v>
      </c>
      <c r="E242" s="26" t="n">
        <f aca="false">IF(D242&lt;=0,0,ROUND(D242*Calculator!$B$7/12,2))</f>
        <v>505.16</v>
      </c>
      <c r="F242" s="26" t="n">
        <f aca="false">IF(D242&lt;=0,0,ROUND(MIN(D242,Calculator!$H$6-E242),2))</f>
        <v>2149.53</v>
      </c>
      <c r="G242" s="26" t="n">
        <f aca="false">ROUND(IF(A242&gt;=Calculator!$E$11,Calculator!$E$6,0)+IF(A242=Calculator!$E$8,Calculator!$E$7,0)+IF(MONTH(B242)=Calculator!$E$10,Calculator!$E$9,0),2)</f>
        <v>200</v>
      </c>
      <c r="H242" s="26" t="n">
        <f aca="false">IF(D242&lt;=0,0,ROUND(MIN(D242-F242,G242),2))</f>
        <v>200</v>
      </c>
      <c r="I242" s="26" t="n">
        <f aca="false">ROUND(E242+F242+H242,2)</f>
        <v>2854.69</v>
      </c>
      <c r="J242" s="26" t="n">
        <f aca="false">ROUND(MAX(0,D242-F242-H242),2)</f>
        <v>90911.09</v>
      </c>
      <c r="K242" s="26" t="n">
        <f aca="false">ROUND(E242+K241,2)</f>
        <v>370472.62</v>
      </c>
    </row>
    <row r="243" customFormat="false" ht="15" hidden="false" customHeight="true" outlineLevel="0" collapsed="false">
      <c r="A243" s="19" t="n">
        <f aca="false">A242+1</f>
        <v>238</v>
      </c>
      <c r="B243" s="18" t="n">
        <f aca="false">EDATE(B242,1)</f>
        <v>53509</v>
      </c>
      <c r="C243" s="19" t="n">
        <f aca="false">ROUNDUP(A243/12,0)</f>
        <v>20</v>
      </c>
      <c r="D243" s="26" t="n">
        <f aca="false">J242</f>
        <v>90911.09</v>
      </c>
      <c r="E243" s="26" t="n">
        <f aca="false">IF(D243&lt;=0,0,ROUND(D243*Calculator!$B$7/12,2))</f>
        <v>492.44</v>
      </c>
      <c r="F243" s="26" t="n">
        <f aca="false">IF(D243&lt;=0,0,ROUND(MIN(D243,Calculator!$H$6-E243),2))</f>
        <v>2162.25</v>
      </c>
      <c r="G243" s="26" t="n">
        <f aca="false">ROUND(IF(A243&gt;=Calculator!$E$11,Calculator!$E$6,0)+IF(A243=Calculator!$E$8,Calculator!$E$7,0)+IF(MONTH(B243)=Calculator!$E$10,Calculator!$E$9,0),2)</f>
        <v>200</v>
      </c>
      <c r="H243" s="26" t="n">
        <f aca="false">IF(D243&lt;=0,0,ROUND(MIN(D243-F243,G243),2))</f>
        <v>200</v>
      </c>
      <c r="I243" s="26" t="n">
        <f aca="false">ROUND(E243+F243+H243,2)</f>
        <v>2854.69</v>
      </c>
      <c r="J243" s="26" t="n">
        <f aca="false">ROUND(MAX(0,D243-F243-H243),2)</f>
        <v>88548.84</v>
      </c>
      <c r="K243" s="26" t="n">
        <f aca="false">ROUND(E243+K242,2)</f>
        <v>370965.06</v>
      </c>
    </row>
    <row r="244" customFormat="false" ht="15" hidden="false" customHeight="true" outlineLevel="0" collapsed="false">
      <c r="A244" s="19" t="n">
        <f aca="false">A243+1</f>
        <v>239</v>
      </c>
      <c r="B244" s="18" t="n">
        <f aca="false">EDATE(B243,1)</f>
        <v>53540</v>
      </c>
      <c r="C244" s="19" t="n">
        <f aca="false">ROUNDUP(A244/12,0)</f>
        <v>20</v>
      </c>
      <c r="D244" s="26" t="n">
        <f aca="false">J243</f>
        <v>88548.84</v>
      </c>
      <c r="E244" s="26" t="n">
        <f aca="false">IF(D244&lt;=0,0,ROUND(D244*Calculator!$B$7/12,2))</f>
        <v>479.64</v>
      </c>
      <c r="F244" s="26" t="n">
        <f aca="false">IF(D244&lt;=0,0,ROUND(MIN(D244,Calculator!$H$6-E244),2))</f>
        <v>2175.05</v>
      </c>
      <c r="G244" s="26" t="n">
        <f aca="false">ROUND(IF(A244&gt;=Calculator!$E$11,Calculator!$E$6,0)+IF(A244=Calculator!$E$8,Calculator!$E$7,0)+IF(MONTH(B244)=Calculator!$E$10,Calculator!$E$9,0),2)</f>
        <v>200</v>
      </c>
      <c r="H244" s="26" t="n">
        <f aca="false">IF(D244&lt;=0,0,ROUND(MIN(D244-F244,G244),2))</f>
        <v>200</v>
      </c>
      <c r="I244" s="26" t="n">
        <f aca="false">ROUND(E244+F244+H244,2)</f>
        <v>2854.69</v>
      </c>
      <c r="J244" s="26" t="n">
        <f aca="false">ROUND(MAX(0,D244-F244-H244),2)</f>
        <v>86173.79</v>
      </c>
      <c r="K244" s="26" t="n">
        <f aca="false">ROUND(E244+K243,2)</f>
        <v>371444.7</v>
      </c>
    </row>
    <row r="245" customFormat="false" ht="15" hidden="false" customHeight="true" outlineLevel="0" collapsed="false">
      <c r="A245" s="19" t="n">
        <f aca="false">A244+1</f>
        <v>240</v>
      </c>
      <c r="B245" s="18" t="n">
        <f aca="false">EDATE(B244,1)</f>
        <v>53571</v>
      </c>
      <c r="C245" s="19" t="n">
        <f aca="false">ROUNDUP(A245/12,0)</f>
        <v>20</v>
      </c>
      <c r="D245" s="26" t="n">
        <f aca="false">J244</f>
        <v>86173.79</v>
      </c>
      <c r="E245" s="26" t="n">
        <f aca="false">IF(D245&lt;=0,0,ROUND(D245*Calculator!$B$7/12,2))</f>
        <v>466.77</v>
      </c>
      <c r="F245" s="26" t="n">
        <f aca="false">IF(D245&lt;=0,0,ROUND(MIN(D245,Calculator!$H$6-E245),2))</f>
        <v>2187.92</v>
      </c>
      <c r="G245" s="26" t="n">
        <f aca="false">ROUND(IF(A245&gt;=Calculator!$E$11,Calculator!$E$6,0)+IF(A245=Calculator!$E$8,Calculator!$E$7,0)+IF(MONTH(B245)=Calculator!$E$10,Calculator!$E$9,0),2)</f>
        <v>200</v>
      </c>
      <c r="H245" s="26" t="n">
        <f aca="false">IF(D245&lt;=0,0,ROUND(MIN(D245-F245,G245),2))</f>
        <v>200</v>
      </c>
      <c r="I245" s="26" t="n">
        <f aca="false">ROUND(E245+F245+H245,2)</f>
        <v>2854.69</v>
      </c>
      <c r="J245" s="26" t="n">
        <f aca="false">ROUND(MAX(0,D245-F245-H245),2)</f>
        <v>83785.87</v>
      </c>
      <c r="K245" s="26" t="n">
        <f aca="false">ROUND(E245+K244,2)</f>
        <v>371911.47</v>
      </c>
    </row>
    <row r="246" customFormat="false" ht="15" hidden="false" customHeight="true" outlineLevel="0" collapsed="false">
      <c r="A246" s="19" t="n">
        <f aca="false">A245+1</f>
        <v>241</v>
      </c>
      <c r="B246" s="18" t="n">
        <f aca="false">EDATE(B245,1)</f>
        <v>53601</v>
      </c>
      <c r="C246" s="19" t="n">
        <f aca="false">ROUNDUP(A246/12,0)</f>
        <v>21</v>
      </c>
      <c r="D246" s="26" t="n">
        <f aca="false">J245</f>
        <v>83785.87</v>
      </c>
      <c r="E246" s="26" t="n">
        <f aca="false">IF(D246&lt;=0,0,ROUND(D246*Calculator!$B$7/12,2))</f>
        <v>453.84</v>
      </c>
      <c r="F246" s="26" t="n">
        <f aca="false">IF(D246&lt;=0,0,ROUND(MIN(D246,Calculator!$H$6-E246),2))</f>
        <v>2200.85</v>
      </c>
      <c r="G246" s="26" t="n">
        <f aca="false">ROUND(IF(A246&gt;=Calculator!$E$11,Calculator!$E$6,0)+IF(A246=Calculator!$E$8,Calculator!$E$7,0)+IF(MONTH(B246)=Calculator!$E$10,Calculator!$E$9,0),2)</f>
        <v>200</v>
      </c>
      <c r="H246" s="26" t="n">
        <f aca="false">IF(D246&lt;=0,0,ROUND(MIN(D246-F246,G246),2))</f>
        <v>200</v>
      </c>
      <c r="I246" s="26" t="n">
        <f aca="false">ROUND(E246+F246+H246,2)</f>
        <v>2854.69</v>
      </c>
      <c r="J246" s="26" t="n">
        <f aca="false">ROUND(MAX(0,D246-F246-H246),2)</f>
        <v>81385.02</v>
      </c>
      <c r="K246" s="26" t="n">
        <f aca="false">ROUND(E246+K245,2)</f>
        <v>372365.31</v>
      </c>
    </row>
    <row r="247" customFormat="false" ht="15" hidden="false" customHeight="true" outlineLevel="0" collapsed="false">
      <c r="A247" s="19" t="n">
        <f aca="false">A246+1</f>
        <v>242</v>
      </c>
      <c r="B247" s="18" t="n">
        <f aca="false">EDATE(B246,1)</f>
        <v>53632</v>
      </c>
      <c r="C247" s="19" t="n">
        <f aca="false">ROUNDUP(A247/12,0)</f>
        <v>21</v>
      </c>
      <c r="D247" s="26" t="n">
        <f aca="false">J246</f>
        <v>81385.02</v>
      </c>
      <c r="E247" s="26" t="n">
        <f aca="false">IF(D247&lt;=0,0,ROUND(D247*Calculator!$B$7/12,2))</f>
        <v>440.84</v>
      </c>
      <c r="F247" s="26" t="n">
        <f aca="false">IF(D247&lt;=0,0,ROUND(MIN(D247,Calculator!$H$6-E247),2))</f>
        <v>2213.85</v>
      </c>
      <c r="G247" s="26" t="n">
        <f aca="false">ROUND(IF(A247&gt;=Calculator!$E$11,Calculator!$E$6,0)+IF(A247=Calculator!$E$8,Calculator!$E$7,0)+IF(MONTH(B247)=Calculator!$E$10,Calculator!$E$9,0),2)</f>
        <v>200</v>
      </c>
      <c r="H247" s="26" t="n">
        <f aca="false">IF(D247&lt;=0,0,ROUND(MIN(D247-F247,G247),2))</f>
        <v>200</v>
      </c>
      <c r="I247" s="26" t="n">
        <f aca="false">ROUND(E247+F247+H247,2)</f>
        <v>2854.69</v>
      </c>
      <c r="J247" s="26" t="n">
        <f aca="false">ROUND(MAX(0,D247-F247-H247),2)</f>
        <v>78971.17</v>
      </c>
      <c r="K247" s="26" t="n">
        <f aca="false">ROUND(E247+K246,2)</f>
        <v>372806.15</v>
      </c>
    </row>
    <row r="248" customFormat="false" ht="15" hidden="false" customHeight="true" outlineLevel="0" collapsed="false">
      <c r="A248" s="19" t="n">
        <f aca="false">A247+1</f>
        <v>243</v>
      </c>
      <c r="B248" s="18" t="n">
        <f aca="false">EDATE(B247,1)</f>
        <v>53662</v>
      </c>
      <c r="C248" s="19" t="n">
        <f aca="false">ROUNDUP(A248/12,0)</f>
        <v>21</v>
      </c>
      <c r="D248" s="26" t="n">
        <f aca="false">J247</f>
        <v>78971.17</v>
      </c>
      <c r="E248" s="26" t="n">
        <f aca="false">IF(D248&lt;=0,0,ROUND(D248*Calculator!$B$7/12,2))</f>
        <v>427.76</v>
      </c>
      <c r="F248" s="26" t="n">
        <f aca="false">IF(D248&lt;=0,0,ROUND(MIN(D248,Calculator!$H$6-E248),2))</f>
        <v>2226.93</v>
      </c>
      <c r="G248" s="26" t="n">
        <f aca="false">ROUND(IF(A248&gt;=Calculator!$E$11,Calculator!$E$6,0)+IF(A248=Calculator!$E$8,Calculator!$E$7,0)+IF(MONTH(B248)=Calculator!$E$10,Calculator!$E$9,0),2)</f>
        <v>1200</v>
      </c>
      <c r="H248" s="26" t="n">
        <f aca="false">IF(D248&lt;=0,0,ROUND(MIN(D248-F248,G248),2))</f>
        <v>1200</v>
      </c>
      <c r="I248" s="26" t="n">
        <f aca="false">ROUND(E248+F248+H248,2)</f>
        <v>3854.69</v>
      </c>
      <c r="J248" s="26" t="n">
        <f aca="false">ROUND(MAX(0,D248-F248-H248),2)</f>
        <v>75544.24</v>
      </c>
      <c r="K248" s="26" t="n">
        <f aca="false">ROUND(E248+K247,2)</f>
        <v>373233.91</v>
      </c>
    </row>
    <row r="249" customFormat="false" ht="15" hidden="false" customHeight="true" outlineLevel="0" collapsed="false">
      <c r="A249" s="19" t="n">
        <f aca="false">A248+1</f>
        <v>244</v>
      </c>
      <c r="B249" s="18" t="n">
        <f aca="false">EDATE(B248,1)</f>
        <v>53693</v>
      </c>
      <c r="C249" s="19" t="n">
        <f aca="false">ROUNDUP(A249/12,0)</f>
        <v>21</v>
      </c>
      <c r="D249" s="26" t="n">
        <f aca="false">J248</f>
        <v>75544.24</v>
      </c>
      <c r="E249" s="26" t="n">
        <f aca="false">IF(D249&lt;=0,0,ROUND(D249*Calculator!$B$7/12,2))</f>
        <v>409.2</v>
      </c>
      <c r="F249" s="26" t="n">
        <f aca="false">IF(D249&lt;=0,0,ROUND(MIN(D249,Calculator!$H$6-E249),2))</f>
        <v>2245.49</v>
      </c>
      <c r="G249" s="26" t="n">
        <f aca="false">ROUND(IF(A249&gt;=Calculator!$E$11,Calculator!$E$6,0)+IF(A249=Calculator!$E$8,Calculator!$E$7,0)+IF(MONTH(B249)=Calculator!$E$10,Calculator!$E$9,0),2)</f>
        <v>200</v>
      </c>
      <c r="H249" s="26" t="n">
        <f aca="false">IF(D249&lt;=0,0,ROUND(MIN(D249-F249,G249),2))</f>
        <v>200</v>
      </c>
      <c r="I249" s="26" t="n">
        <f aca="false">ROUND(E249+F249+H249,2)</f>
        <v>2854.69</v>
      </c>
      <c r="J249" s="26" t="n">
        <f aca="false">ROUND(MAX(0,D249-F249-H249),2)</f>
        <v>73098.75</v>
      </c>
      <c r="K249" s="26" t="n">
        <f aca="false">ROUND(E249+K248,2)</f>
        <v>373643.11</v>
      </c>
    </row>
    <row r="250" customFormat="false" ht="15" hidden="false" customHeight="true" outlineLevel="0" collapsed="false">
      <c r="A250" s="19" t="n">
        <f aca="false">A249+1</f>
        <v>245</v>
      </c>
      <c r="B250" s="18" t="n">
        <f aca="false">EDATE(B249,1)</f>
        <v>53724</v>
      </c>
      <c r="C250" s="19" t="n">
        <f aca="false">ROUNDUP(A250/12,0)</f>
        <v>21</v>
      </c>
      <c r="D250" s="26" t="n">
        <f aca="false">J249</f>
        <v>73098.75</v>
      </c>
      <c r="E250" s="26" t="n">
        <f aca="false">IF(D250&lt;=0,0,ROUND(D250*Calculator!$B$7/12,2))</f>
        <v>395.95</v>
      </c>
      <c r="F250" s="26" t="n">
        <f aca="false">IF(D250&lt;=0,0,ROUND(MIN(D250,Calculator!$H$6-E250),2))</f>
        <v>2258.74</v>
      </c>
      <c r="G250" s="26" t="n">
        <f aca="false">ROUND(IF(A250&gt;=Calculator!$E$11,Calculator!$E$6,0)+IF(A250=Calculator!$E$8,Calculator!$E$7,0)+IF(MONTH(B250)=Calculator!$E$10,Calculator!$E$9,0),2)</f>
        <v>200</v>
      </c>
      <c r="H250" s="26" t="n">
        <f aca="false">IF(D250&lt;=0,0,ROUND(MIN(D250-F250,G250),2))</f>
        <v>200</v>
      </c>
      <c r="I250" s="26" t="n">
        <f aca="false">ROUND(E250+F250+H250,2)</f>
        <v>2854.69</v>
      </c>
      <c r="J250" s="26" t="n">
        <f aca="false">ROUND(MAX(0,D250-F250-H250),2)</f>
        <v>70640.01</v>
      </c>
      <c r="K250" s="26" t="n">
        <f aca="false">ROUND(E250+K249,2)</f>
        <v>374039.06</v>
      </c>
    </row>
    <row r="251" customFormat="false" ht="15" hidden="false" customHeight="true" outlineLevel="0" collapsed="false">
      <c r="A251" s="19" t="n">
        <f aca="false">A250+1</f>
        <v>246</v>
      </c>
      <c r="B251" s="18" t="n">
        <f aca="false">EDATE(B250,1)</f>
        <v>53752</v>
      </c>
      <c r="C251" s="19" t="n">
        <f aca="false">ROUNDUP(A251/12,0)</f>
        <v>21</v>
      </c>
      <c r="D251" s="26" t="n">
        <f aca="false">J250</f>
        <v>70640.01</v>
      </c>
      <c r="E251" s="26" t="n">
        <f aca="false">IF(D251&lt;=0,0,ROUND(D251*Calculator!$B$7/12,2))</f>
        <v>382.63</v>
      </c>
      <c r="F251" s="26" t="n">
        <f aca="false">IF(D251&lt;=0,0,ROUND(MIN(D251,Calculator!$H$6-E251),2))</f>
        <v>2272.06</v>
      </c>
      <c r="G251" s="26" t="n">
        <f aca="false">ROUND(IF(A251&gt;=Calculator!$E$11,Calculator!$E$6,0)+IF(A251=Calculator!$E$8,Calculator!$E$7,0)+IF(MONTH(B251)=Calculator!$E$10,Calculator!$E$9,0),2)</f>
        <v>200</v>
      </c>
      <c r="H251" s="26" t="n">
        <f aca="false">IF(D251&lt;=0,0,ROUND(MIN(D251-F251,G251),2))</f>
        <v>200</v>
      </c>
      <c r="I251" s="26" t="n">
        <f aca="false">ROUND(E251+F251+H251,2)</f>
        <v>2854.69</v>
      </c>
      <c r="J251" s="26" t="n">
        <f aca="false">ROUND(MAX(0,D251-F251-H251),2)</f>
        <v>68167.95</v>
      </c>
      <c r="K251" s="26" t="n">
        <f aca="false">ROUND(E251+K250,2)</f>
        <v>374421.69</v>
      </c>
    </row>
    <row r="252" customFormat="false" ht="15" hidden="false" customHeight="true" outlineLevel="0" collapsed="false">
      <c r="A252" s="19" t="n">
        <f aca="false">A251+1</f>
        <v>247</v>
      </c>
      <c r="B252" s="18" t="n">
        <f aca="false">EDATE(B251,1)</f>
        <v>53783</v>
      </c>
      <c r="C252" s="19" t="n">
        <f aca="false">ROUNDUP(A252/12,0)</f>
        <v>21</v>
      </c>
      <c r="D252" s="26" t="n">
        <f aca="false">J251</f>
        <v>68167.95</v>
      </c>
      <c r="E252" s="26" t="n">
        <f aca="false">IF(D252&lt;=0,0,ROUND(D252*Calculator!$B$7/12,2))</f>
        <v>369.24</v>
      </c>
      <c r="F252" s="26" t="n">
        <f aca="false">IF(D252&lt;=0,0,ROUND(MIN(D252,Calculator!$H$6-E252),2))</f>
        <v>2285.45</v>
      </c>
      <c r="G252" s="26" t="n">
        <f aca="false">ROUND(IF(A252&gt;=Calculator!$E$11,Calculator!$E$6,0)+IF(A252=Calculator!$E$8,Calculator!$E$7,0)+IF(MONTH(B252)=Calculator!$E$10,Calculator!$E$9,0),2)</f>
        <v>200</v>
      </c>
      <c r="H252" s="26" t="n">
        <f aca="false">IF(D252&lt;=0,0,ROUND(MIN(D252-F252,G252),2))</f>
        <v>200</v>
      </c>
      <c r="I252" s="26" t="n">
        <f aca="false">ROUND(E252+F252+H252,2)</f>
        <v>2854.69</v>
      </c>
      <c r="J252" s="26" t="n">
        <f aca="false">ROUND(MAX(0,D252-F252-H252),2)</f>
        <v>65682.5</v>
      </c>
      <c r="K252" s="26" t="n">
        <f aca="false">ROUND(E252+K251,2)</f>
        <v>374790.93</v>
      </c>
    </row>
    <row r="253" customFormat="false" ht="15" hidden="false" customHeight="true" outlineLevel="0" collapsed="false">
      <c r="A253" s="19" t="n">
        <f aca="false">A252+1</f>
        <v>248</v>
      </c>
      <c r="B253" s="18" t="n">
        <f aca="false">EDATE(B252,1)</f>
        <v>53813</v>
      </c>
      <c r="C253" s="19" t="n">
        <f aca="false">ROUNDUP(A253/12,0)</f>
        <v>21</v>
      </c>
      <c r="D253" s="26" t="n">
        <f aca="false">J252</f>
        <v>65682.5</v>
      </c>
      <c r="E253" s="26" t="n">
        <f aca="false">IF(D253&lt;=0,0,ROUND(D253*Calculator!$B$7/12,2))</f>
        <v>355.78</v>
      </c>
      <c r="F253" s="26" t="n">
        <f aca="false">IF(D253&lt;=0,0,ROUND(MIN(D253,Calculator!$H$6-E253),2))</f>
        <v>2298.91</v>
      </c>
      <c r="G253" s="26" t="n">
        <f aca="false">ROUND(IF(A253&gt;=Calculator!$E$11,Calculator!$E$6,0)+IF(A253=Calculator!$E$8,Calculator!$E$7,0)+IF(MONTH(B253)=Calculator!$E$10,Calculator!$E$9,0),2)</f>
        <v>200</v>
      </c>
      <c r="H253" s="26" t="n">
        <f aca="false">IF(D253&lt;=0,0,ROUND(MIN(D253-F253,G253),2))</f>
        <v>200</v>
      </c>
      <c r="I253" s="26" t="n">
        <f aca="false">ROUND(E253+F253+H253,2)</f>
        <v>2854.69</v>
      </c>
      <c r="J253" s="26" t="n">
        <f aca="false">ROUND(MAX(0,D253-F253-H253),2)</f>
        <v>63183.59</v>
      </c>
      <c r="K253" s="26" t="n">
        <f aca="false">ROUND(E253+K252,2)</f>
        <v>375146.71</v>
      </c>
    </row>
    <row r="254" customFormat="false" ht="15" hidden="false" customHeight="true" outlineLevel="0" collapsed="false">
      <c r="A254" s="19" t="n">
        <f aca="false">A253+1</f>
        <v>249</v>
      </c>
      <c r="B254" s="18" t="n">
        <f aca="false">EDATE(B253,1)</f>
        <v>53844</v>
      </c>
      <c r="C254" s="19" t="n">
        <f aca="false">ROUNDUP(A254/12,0)</f>
        <v>21</v>
      </c>
      <c r="D254" s="26" t="n">
        <f aca="false">J253</f>
        <v>63183.59</v>
      </c>
      <c r="E254" s="26" t="n">
        <f aca="false">IF(D254&lt;=0,0,ROUND(D254*Calculator!$B$7/12,2))</f>
        <v>342.24</v>
      </c>
      <c r="F254" s="26" t="n">
        <f aca="false">IF(D254&lt;=0,0,ROUND(MIN(D254,Calculator!$H$6-E254),2))</f>
        <v>2312.45</v>
      </c>
      <c r="G254" s="26" t="n">
        <f aca="false">ROUND(IF(A254&gt;=Calculator!$E$11,Calculator!$E$6,0)+IF(A254=Calculator!$E$8,Calculator!$E$7,0)+IF(MONTH(B254)=Calculator!$E$10,Calculator!$E$9,0),2)</f>
        <v>200</v>
      </c>
      <c r="H254" s="26" t="n">
        <f aca="false">IF(D254&lt;=0,0,ROUND(MIN(D254-F254,G254),2))</f>
        <v>200</v>
      </c>
      <c r="I254" s="26" t="n">
        <f aca="false">ROUND(E254+F254+H254,2)</f>
        <v>2854.69</v>
      </c>
      <c r="J254" s="26" t="n">
        <f aca="false">ROUND(MAX(0,D254-F254-H254),2)</f>
        <v>60671.14</v>
      </c>
      <c r="K254" s="26" t="n">
        <f aca="false">ROUND(E254+K253,2)</f>
        <v>375488.95</v>
      </c>
    </row>
    <row r="255" customFormat="false" ht="15" hidden="false" customHeight="true" outlineLevel="0" collapsed="false">
      <c r="A255" s="19" t="n">
        <f aca="false">A254+1</f>
        <v>250</v>
      </c>
      <c r="B255" s="18" t="n">
        <f aca="false">EDATE(B254,1)</f>
        <v>53874</v>
      </c>
      <c r="C255" s="19" t="n">
        <f aca="false">ROUNDUP(A255/12,0)</f>
        <v>21</v>
      </c>
      <c r="D255" s="26" t="n">
        <f aca="false">J254</f>
        <v>60671.14</v>
      </c>
      <c r="E255" s="26" t="n">
        <f aca="false">IF(D255&lt;=0,0,ROUND(D255*Calculator!$B$7/12,2))</f>
        <v>328.64</v>
      </c>
      <c r="F255" s="26" t="n">
        <f aca="false">IF(D255&lt;=0,0,ROUND(MIN(D255,Calculator!$H$6-E255),2))</f>
        <v>2326.05</v>
      </c>
      <c r="G255" s="26" t="n">
        <f aca="false">ROUND(IF(A255&gt;=Calculator!$E$11,Calculator!$E$6,0)+IF(A255=Calculator!$E$8,Calculator!$E$7,0)+IF(MONTH(B255)=Calculator!$E$10,Calculator!$E$9,0),2)</f>
        <v>200</v>
      </c>
      <c r="H255" s="26" t="n">
        <f aca="false">IF(D255&lt;=0,0,ROUND(MIN(D255-F255,G255),2))</f>
        <v>200</v>
      </c>
      <c r="I255" s="26" t="n">
        <f aca="false">ROUND(E255+F255+H255,2)</f>
        <v>2854.69</v>
      </c>
      <c r="J255" s="26" t="n">
        <f aca="false">ROUND(MAX(0,D255-F255-H255),2)</f>
        <v>58145.09</v>
      </c>
      <c r="K255" s="26" t="n">
        <f aca="false">ROUND(E255+K254,2)</f>
        <v>375817.59</v>
      </c>
    </row>
    <row r="256" customFormat="false" ht="15" hidden="false" customHeight="true" outlineLevel="0" collapsed="false">
      <c r="A256" s="19" t="n">
        <f aca="false">A255+1</f>
        <v>251</v>
      </c>
      <c r="B256" s="18" t="n">
        <f aca="false">EDATE(B255,1)</f>
        <v>53905</v>
      </c>
      <c r="C256" s="19" t="n">
        <f aca="false">ROUNDUP(A256/12,0)</f>
        <v>21</v>
      </c>
      <c r="D256" s="26" t="n">
        <f aca="false">J255</f>
        <v>58145.09</v>
      </c>
      <c r="E256" s="26" t="n">
        <f aca="false">IF(D256&lt;=0,0,ROUND(D256*Calculator!$B$7/12,2))</f>
        <v>314.95</v>
      </c>
      <c r="F256" s="26" t="n">
        <f aca="false">IF(D256&lt;=0,0,ROUND(MIN(D256,Calculator!$H$6-E256),2))</f>
        <v>2339.74</v>
      </c>
      <c r="G256" s="26" t="n">
        <f aca="false">ROUND(IF(A256&gt;=Calculator!$E$11,Calculator!$E$6,0)+IF(A256=Calculator!$E$8,Calculator!$E$7,0)+IF(MONTH(B256)=Calculator!$E$10,Calculator!$E$9,0),2)</f>
        <v>200</v>
      </c>
      <c r="H256" s="26" t="n">
        <f aca="false">IF(D256&lt;=0,0,ROUND(MIN(D256-F256,G256),2))</f>
        <v>200</v>
      </c>
      <c r="I256" s="26" t="n">
        <f aca="false">ROUND(E256+F256+H256,2)</f>
        <v>2854.69</v>
      </c>
      <c r="J256" s="26" t="n">
        <f aca="false">ROUND(MAX(0,D256-F256-H256),2)</f>
        <v>55605.35</v>
      </c>
      <c r="K256" s="26" t="n">
        <f aca="false">ROUND(E256+K255,2)</f>
        <v>376132.54</v>
      </c>
    </row>
    <row r="257" customFormat="false" ht="15" hidden="false" customHeight="true" outlineLevel="0" collapsed="false">
      <c r="A257" s="19" t="n">
        <f aca="false">A256+1</f>
        <v>252</v>
      </c>
      <c r="B257" s="18" t="n">
        <f aca="false">EDATE(B256,1)</f>
        <v>53936</v>
      </c>
      <c r="C257" s="19" t="n">
        <f aca="false">ROUNDUP(A257/12,0)</f>
        <v>21</v>
      </c>
      <c r="D257" s="26" t="n">
        <f aca="false">J256</f>
        <v>55605.35</v>
      </c>
      <c r="E257" s="26" t="n">
        <f aca="false">IF(D257&lt;=0,0,ROUND(D257*Calculator!$B$7/12,2))</f>
        <v>301.2</v>
      </c>
      <c r="F257" s="26" t="n">
        <f aca="false">IF(D257&lt;=0,0,ROUND(MIN(D257,Calculator!$H$6-E257),2))</f>
        <v>2353.49</v>
      </c>
      <c r="G257" s="26" t="n">
        <f aca="false">ROUND(IF(A257&gt;=Calculator!$E$11,Calculator!$E$6,0)+IF(A257=Calculator!$E$8,Calculator!$E$7,0)+IF(MONTH(B257)=Calculator!$E$10,Calculator!$E$9,0),2)</f>
        <v>200</v>
      </c>
      <c r="H257" s="26" t="n">
        <f aca="false">IF(D257&lt;=0,0,ROUND(MIN(D257-F257,G257),2))</f>
        <v>200</v>
      </c>
      <c r="I257" s="26" t="n">
        <f aca="false">ROUND(E257+F257+H257,2)</f>
        <v>2854.69</v>
      </c>
      <c r="J257" s="26" t="n">
        <f aca="false">ROUND(MAX(0,D257-F257-H257),2)</f>
        <v>53051.86</v>
      </c>
      <c r="K257" s="26" t="n">
        <f aca="false">ROUND(E257+K256,2)</f>
        <v>376433.74</v>
      </c>
    </row>
    <row r="258" customFormat="false" ht="15" hidden="false" customHeight="true" outlineLevel="0" collapsed="false">
      <c r="A258" s="19" t="n">
        <f aca="false">A257+1</f>
        <v>253</v>
      </c>
      <c r="B258" s="18" t="n">
        <f aca="false">EDATE(B257,1)</f>
        <v>53966</v>
      </c>
      <c r="C258" s="19" t="n">
        <f aca="false">ROUNDUP(A258/12,0)</f>
        <v>22</v>
      </c>
      <c r="D258" s="26" t="n">
        <f aca="false">J257</f>
        <v>53051.86</v>
      </c>
      <c r="E258" s="26" t="n">
        <f aca="false">IF(D258&lt;=0,0,ROUND(D258*Calculator!$B$7/12,2))</f>
        <v>287.36</v>
      </c>
      <c r="F258" s="26" t="n">
        <f aca="false">IF(D258&lt;=0,0,ROUND(MIN(D258,Calculator!$H$6-E258),2))</f>
        <v>2367.33</v>
      </c>
      <c r="G258" s="26" t="n">
        <f aca="false">ROUND(IF(A258&gt;=Calculator!$E$11,Calculator!$E$6,0)+IF(A258=Calculator!$E$8,Calculator!$E$7,0)+IF(MONTH(B258)=Calculator!$E$10,Calculator!$E$9,0),2)</f>
        <v>200</v>
      </c>
      <c r="H258" s="26" t="n">
        <f aca="false">IF(D258&lt;=0,0,ROUND(MIN(D258-F258,G258),2))</f>
        <v>200</v>
      </c>
      <c r="I258" s="26" t="n">
        <f aca="false">ROUND(E258+F258+H258,2)</f>
        <v>2854.69</v>
      </c>
      <c r="J258" s="26" t="n">
        <f aca="false">ROUND(MAX(0,D258-F258-H258),2)</f>
        <v>50484.53</v>
      </c>
      <c r="K258" s="26" t="n">
        <f aca="false">ROUND(E258+K257,2)</f>
        <v>376721.1</v>
      </c>
    </row>
    <row r="259" customFormat="false" ht="15" hidden="false" customHeight="true" outlineLevel="0" collapsed="false">
      <c r="A259" s="19" t="n">
        <f aca="false">A258+1</f>
        <v>254</v>
      </c>
      <c r="B259" s="18" t="n">
        <f aca="false">EDATE(B258,1)</f>
        <v>53997</v>
      </c>
      <c r="C259" s="19" t="n">
        <f aca="false">ROUNDUP(A259/12,0)</f>
        <v>22</v>
      </c>
      <c r="D259" s="26" t="n">
        <f aca="false">J258</f>
        <v>50484.53</v>
      </c>
      <c r="E259" s="26" t="n">
        <f aca="false">IF(D259&lt;=0,0,ROUND(D259*Calculator!$B$7/12,2))</f>
        <v>273.46</v>
      </c>
      <c r="F259" s="26" t="n">
        <f aca="false">IF(D259&lt;=0,0,ROUND(MIN(D259,Calculator!$H$6-E259),2))</f>
        <v>2381.23</v>
      </c>
      <c r="G259" s="26" t="n">
        <f aca="false">ROUND(IF(A259&gt;=Calculator!$E$11,Calculator!$E$6,0)+IF(A259=Calculator!$E$8,Calculator!$E$7,0)+IF(MONTH(B259)=Calculator!$E$10,Calculator!$E$9,0),2)</f>
        <v>200</v>
      </c>
      <c r="H259" s="26" t="n">
        <f aca="false">IF(D259&lt;=0,0,ROUND(MIN(D259-F259,G259),2))</f>
        <v>200</v>
      </c>
      <c r="I259" s="26" t="n">
        <f aca="false">ROUND(E259+F259+H259,2)</f>
        <v>2854.69</v>
      </c>
      <c r="J259" s="26" t="n">
        <f aca="false">ROUND(MAX(0,D259-F259-H259),2)</f>
        <v>47903.3</v>
      </c>
      <c r="K259" s="26" t="n">
        <f aca="false">ROUND(E259+K258,2)</f>
        <v>376994.56</v>
      </c>
    </row>
    <row r="260" customFormat="false" ht="15" hidden="false" customHeight="true" outlineLevel="0" collapsed="false">
      <c r="A260" s="19" t="n">
        <f aca="false">A259+1</f>
        <v>255</v>
      </c>
      <c r="B260" s="18" t="n">
        <f aca="false">EDATE(B259,1)</f>
        <v>54027</v>
      </c>
      <c r="C260" s="19" t="n">
        <f aca="false">ROUNDUP(A260/12,0)</f>
        <v>22</v>
      </c>
      <c r="D260" s="26" t="n">
        <f aca="false">J259</f>
        <v>47903.3</v>
      </c>
      <c r="E260" s="26" t="n">
        <f aca="false">IF(D260&lt;=0,0,ROUND(D260*Calculator!$B$7/12,2))</f>
        <v>259.48</v>
      </c>
      <c r="F260" s="26" t="n">
        <f aca="false">IF(D260&lt;=0,0,ROUND(MIN(D260,Calculator!$H$6-E260),2))</f>
        <v>2395.21</v>
      </c>
      <c r="G260" s="26" t="n">
        <f aca="false">ROUND(IF(A260&gt;=Calculator!$E$11,Calculator!$E$6,0)+IF(A260=Calculator!$E$8,Calculator!$E$7,0)+IF(MONTH(B260)=Calculator!$E$10,Calculator!$E$9,0),2)</f>
        <v>1200</v>
      </c>
      <c r="H260" s="26" t="n">
        <f aca="false">IF(D260&lt;=0,0,ROUND(MIN(D260-F260,G260),2))</f>
        <v>1200</v>
      </c>
      <c r="I260" s="26" t="n">
        <f aca="false">ROUND(E260+F260+H260,2)</f>
        <v>3854.69</v>
      </c>
      <c r="J260" s="26" t="n">
        <f aca="false">ROUND(MAX(0,D260-F260-H260),2)</f>
        <v>44308.09</v>
      </c>
      <c r="K260" s="26" t="n">
        <f aca="false">ROUND(E260+K259,2)</f>
        <v>377254.04</v>
      </c>
    </row>
    <row r="261" customFormat="false" ht="15" hidden="false" customHeight="true" outlineLevel="0" collapsed="false">
      <c r="A261" s="19" t="n">
        <f aca="false">A260+1</f>
        <v>256</v>
      </c>
      <c r="B261" s="18" t="n">
        <f aca="false">EDATE(B260,1)</f>
        <v>54058</v>
      </c>
      <c r="C261" s="19" t="n">
        <f aca="false">ROUNDUP(A261/12,0)</f>
        <v>22</v>
      </c>
      <c r="D261" s="26" t="n">
        <f aca="false">J260</f>
        <v>44308.09</v>
      </c>
      <c r="E261" s="26" t="n">
        <f aca="false">IF(D261&lt;=0,0,ROUND(D261*Calculator!$B$7/12,2))</f>
        <v>240</v>
      </c>
      <c r="F261" s="26" t="n">
        <f aca="false">IF(D261&lt;=0,0,ROUND(MIN(D261,Calculator!$H$6-E261),2))</f>
        <v>2414.69</v>
      </c>
      <c r="G261" s="26" t="n">
        <f aca="false">ROUND(IF(A261&gt;=Calculator!$E$11,Calculator!$E$6,0)+IF(A261=Calculator!$E$8,Calculator!$E$7,0)+IF(MONTH(B261)=Calculator!$E$10,Calculator!$E$9,0),2)</f>
        <v>200</v>
      </c>
      <c r="H261" s="26" t="n">
        <f aca="false">IF(D261&lt;=0,0,ROUND(MIN(D261-F261,G261),2))</f>
        <v>200</v>
      </c>
      <c r="I261" s="26" t="n">
        <f aca="false">ROUND(E261+F261+H261,2)</f>
        <v>2854.69</v>
      </c>
      <c r="J261" s="26" t="n">
        <f aca="false">ROUND(MAX(0,D261-F261-H261),2)</f>
        <v>41693.4</v>
      </c>
      <c r="K261" s="26" t="n">
        <f aca="false">ROUND(E261+K260,2)</f>
        <v>377494.04</v>
      </c>
    </row>
    <row r="262" customFormat="false" ht="15" hidden="false" customHeight="true" outlineLevel="0" collapsed="false">
      <c r="A262" s="19" t="n">
        <f aca="false">A261+1</f>
        <v>257</v>
      </c>
      <c r="B262" s="18" t="n">
        <f aca="false">EDATE(B261,1)</f>
        <v>54089</v>
      </c>
      <c r="C262" s="19" t="n">
        <f aca="false">ROUNDUP(A262/12,0)</f>
        <v>22</v>
      </c>
      <c r="D262" s="26" t="n">
        <f aca="false">J261</f>
        <v>41693.4</v>
      </c>
      <c r="E262" s="26" t="n">
        <f aca="false">IF(D262&lt;=0,0,ROUND(D262*Calculator!$B$7/12,2))</f>
        <v>225.84</v>
      </c>
      <c r="F262" s="26" t="n">
        <f aca="false">IF(D262&lt;=0,0,ROUND(MIN(D262,Calculator!$H$6-E262),2))</f>
        <v>2428.85</v>
      </c>
      <c r="G262" s="26" t="n">
        <f aca="false">ROUND(IF(A262&gt;=Calculator!$E$11,Calculator!$E$6,0)+IF(A262=Calculator!$E$8,Calculator!$E$7,0)+IF(MONTH(B262)=Calculator!$E$10,Calculator!$E$9,0),2)</f>
        <v>200</v>
      </c>
      <c r="H262" s="26" t="n">
        <f aca="false">IF(D262&lt;=0,0,ROUND(MIN(D262-F262,G262),2))</f>
        <v>200</v>
      </c>
      <c r="I262" s="26" t="n">
        <f aca="false">ROUND(E262+F262+H262,2)</f>
        <v>2854.69</v>
      </c>
      <c r="J262" s="26" t="n">
        <f aca="false">ROUND(MAX(0,D262-F262-H262),2)</f>
        <v>39064.55</v>
      </c>
      <c r="K262" s="26" t="n">
        <f aca="false">ROUND(E262+K261,2)</f>
        <v>377719.88</v>
      </c>
    </row>
    <row r="263" customFormat="false" ht="15" hidden="false" customHeight="true" outlineLevel="0" collapsed="false">
      <c r="A263" s="19" t="n">
        <f aca="false">A262+1</f>
        <v>258</v>
      </c>
      <c r="B263" s="18" t="n">
        <f aca="false">EDATE(B262,1)</f>
        <v>54118</v>
      </c>
      <c r="C263" s="19" t="n">
        <f aca="false">ROUNDUP(A263/12,0)</f>
        <v>22</v>
      </c>
      <c r="D263" s="26" t="n">
        <f aca="false">J262</f>
        <v>39064.55</v>
      </c>
      <c r="E263" s="26" t="n">
        <f aca="false">IF(D263&lt;=0,0,ROUND(D263*Calculator!$B$7/12,2))</f>
        <v>211.6</v>
      </c>
      <c r="F263" s="26" t="n">
        <f aca="false">IF(D263&lt;=0,0,ROUND(MIN(D263,Calculator!$H$6-E263),2))</f>
        <v>2443.09</v>
      </c>
      <c r="G263" s="26" t="n">
        <f aca="false">ROUND(IF(A263&gt;=Calculator!$E$11,Calculator!$E$6,0)+IF(A263=Calculator!$E$8,Calculator!$E$7,0)+IF(MONTH(B263)=Calculator!$E$10,Calculator!$E$9,0),2)</f>
        <v>200</v>
      </c>
      <c r="H263" s="26" t="n">
        <f aca="false">IF(D263&lt;=0,0,ROUND(MIN(D263-F263,G263),2))</f>
        <v>200</v>
      </c>
      <c r="I263" s="26" t="n">
        <f aca="false">ROUND(E263+F263+H263,2)</f>
        <v>2854.69</v>
      </c>
      <c r="J263" s="26" t="n">
        <f aca="false">ROUND(MAX(0,D263-F263-H263),2)</f>
        <v>36421.46</v>
      </c>
      <c r="K263" s="26" t="n">
        <f aca="false">ROUND(E263+K262,2)</f>
        <v>377931.48</v>
      </c>
    </row>
    <row r="264" customFormat="false" ht="15" hidden="false" customHeight="true" outlineLevel="0" collapsed="false">
      <c r="A264" s="19" t="n">
        <f aca="false">A263+1</f>
        <v>259</v>
      </c>
      <c r="B264" s="18" t="n">
        <f aca="false">EDATE(B263,1)</f>
        <v>54149</v>
      </c>
      <c r="C264" s="19" t="n">
        <f aca="false">ROUNDUP(A264/12,0)</f>
        <v>22</v>
      </c>
      <c r="D264" s="26" t="n">
        <f aca="false">J263</f>
        <v>36421.46</v>
      </c>
      <c r="E264" s="26" t="n">
        <f aca="false">IF(D264&lt;=0,0,ROUND(D264*Calculator!$B$7/12,2))</f>
        <v>197.28</v>
      </c>
      <c r="F264" s="26" t="n">
        <f aca="false">IF(D264&lt;=0,0,ROUND(MIN(D264,Calculator!$H$6-E264),2))</f>
        <v>2457.41</v>
      </c>
      <c r="G264" s="26" t="n">
        <f aca="false">ROUND(IF(A264&gt;=Calculator!$E$11,Calculator!$E$6,0)+IF(A264=Calculator!$E$8,Calculator!$E$7,0)+IF(MONTH(B264)=Calculator!$E$10,Calculator!$E$9,0),2)</f>
        <v>200</v>
      </c>
      <c r="H264" s="26" t="n">
        <f aca="false">IF(D264&lt;=0,0,ROUND(MIN(D264-F264,G264),2))</f>
        <v>200</v>
      </c>
      <c r="I264" s="26" t="n">
        <f aca="false">ROUND(E264+F264+H264,2)</f>
        <v>2854.69</v>
      </c>
      <c r="J264" s="26" t="n">
        <f aca="false">ROUND(MAX(0,D264-F264-H264),2)</f>
        <v>33764.05</v>
      </c>
      <c r="K264" s="26" t="n">
        <f aca="false">ROUND(E264+K263,2)</f>
        <v>378128.76</v>
      </c>
    </row>
    <row r="265" customFormat="false" ht="15" hidden="false" customHeight="true" outlineLevel="0" collapsed="false">
      <c r="A265" s="19" t="n">
        <f aca="false">A264+1</f>
        <v>260</v>
      </c>
      <c r="B265" s="18" t="n">
        <f aca="false">EDATE(B264,1)</f>
        <v>54179</v>
      </c>
      <c r="C265" s="19" t="n">
        <f aca="false">ROUNDUP(A265/12,0)</f>
        <v>22</v>
      </c>
      <c r="D265" s="26" t="n">
        <f aca="false">J264</f>
        <v>33764.05</v>
      </c>
      <c r="E265" s="26" t="n">
        <f aca="false">IF(D265&lt;=0,0,ROUND(D265*Calculator!$B$7/12,2))</f>
        <v>182.89</v>
      </c>
      <c r="F265" s="26" t="n">
        <f aca="false">IF(D265&lt;=0,0,ROUND(MIN(D265,Calculator!$H$6-E265),2))</f>
        <v>2471.8</v>
      </c>
      <c r="G265" s="26" t="n">
        <f aca="false">ROUND(IF(A265&gt;=Calculator!$E$11,Calculator!$E$6,0)+IF(A265=Calculator!$E$8,Calculator!$E$7,0)+IF(MONTH(B265)=Calculator!$E$10,Calculator!$E$9,0),2)</f>
        <v>200</v>
      </c>
      <c r="H265" s="26" t="n">
        <f aca="false">IF(D265&lt;=0,0,ROUND(MIN(D265-F265,G265),2))</f>
        <v>200</v>
      </c>
      <c r="I265" s="26" t="n">
        <f aca="false">ROUND(E265+F265+H265,2)</f>
        <v>2854.69</v>
      </c>
      <c r="J265" s="26" t="n">
        <f aca="false">ROUND(MAX(0,D265-F265-H265),2)</f>
        <v>31092.25</v>
      </c>
      <c r="K265" s="26" t="n">
        <f aca="false">ROUND(E265+K264,2)</f>
        <v>378311.65</v>
      </c>
    </row>
    <row r="266" customFormat="false" ht="15" hidden="false" customHeight="true" outlineLevel="0" collapsed="false">
      <c r="A266" s="19" t="n">
        <f aca="false">A265+1</f>
        <v>261</v>
      </c>
      <c r="B266" s="18" t="n">
        <f aca="false">EDATE(B265,1)</f>
        <v>54210</v>
      </c>
      <c r="C266" s="19" t="n">
        <f aca="false">ROUNDUP(A266/12,0)</f>
        <v>22</v>
      </c>
      <c r="D266" s="26" t="n">
        <f aca="false">J265</f>
        <v>31092.25</v>
      </c>
      <c r="E266" s="26" t="n">
        <f aca="false">IF(D266&lt;=0,0,ROUND(D266*Calculator!$B$7/12,2))</f>
        <v>168.42</v>
      </c>
      <c r="F266" s="26" t="n">
        <f aca="false">IF(D266&lt;=0,0,ROUND(MIN(D266,Calculator!$H$6-E266),2))</f>
        <v>2486.27</v>
      </c>
      <c r="G266" s="26" t="n">
        <f aca="false">ROUND(IF(A266&gt;=Calculator!$E$11,Calculator!$E$6,0)+IF(A266=Calculator!$E$8,Calculator!$E$7,0)+IF(MONTH(B266)=Calculator!$E$10,Calculator!$E$9,0),2)</f>
        <v>200</v>
      </c>
      <c r="H266" s="26" t="n">
        <f aca="false">IF(D266&lt;=0,0,ROUND(MIN(D266-F266,G266),2))</f>
        <v>200</v>
      </c>
      <c r="I266" s="26" t="n">
        <f aca="false">ROUND(E266+F266+H266,2)</f>
        <v>2854.69</v>
      </c>
      <c r="J266" s="26" t="n">
        <f aca="false">ROUND(MAX(0,D266-F266-H266),2)</f>
        <v>28405.98</v>
      </c>
      <c r="K266" s="26" t="n">
        <f aca="false">ROUND(E266+K265,2)</f>
        <v>378480.07</v>
      </c>
    </row>
    <row r="267" customFormat="false" ht="15" hidden="false" customHeight="true" outlineLevel="0" collapsed="false">
      <c r="A267" s="19" t="n">
        <f aca="false">A266+1</f>
        <v>262</v>
      </c>
      <c r="B267" s="18" t="n">
        <f aca="false">EDATE(B266,1)</f>
        <v>54240</v>
      </c>
      <c r="C267" s="19" t="n">
        <f aca="false">ROUNDUP(A267/12,0)</f>
        <v>22</v>
      </c>
      <c r="D267" s="26" t="n">
        <f aca="false">J266</f>
        <v>28405.98</v>
      </c>
      <c r="E267" s="26" t="n">
        <f aca="false">IF(D267&lt;=0,0,ROUND(D267*Calculator!$B$7/12,2))</f>
        <v>153.87</v>
      </c>
      <c r="F267" s="26" t="n">
        <f aca="false">IF(D267&lt;=0,0,ROUND(MIN(D267,Calculator!$H$6-E267),2))</f>
        <v>2500.82</v>
      </c>
      <c r="G267" s="26" t="n">
        <f aca="false">ROUND(IF(A267&gt;=Calculator!$E$11,Calculator!$E$6,0)+IF(A267=Calculator!$E$8,Calculator!$E$7,0)+IF(MONTH(B267)=Calculator!$E$10,Calculator!$E$9,0),2)</f>
        <v>200</v>
      </c>
      <c r="H267" s="26" t="n">
        <f aca="false">IF(D267&lt;=0,0,ROUND(MIN(D267-F267,G267),2))</f>
        <v>200</v>
      </c>
      <c r="I267" s="26" t="n">
        <f aca="false">ROUND(E267+F267+H267,2)</f>
        <v>2854.69</v>
      </c>
      <c r="J267" s="26" t="n">
        <f aca="false">ROUND(MAX(0,D267-F267-H267),2)</f>
        <v>25705.16</v>
      </c>
      <c r="K267" s="26" t="n">
        <f aca="false">ROUND(E267+K266,2)</f>
        <v>378633.94</v>
      </c>
    </row>
    <row r="268" customFormat="false" ht="15" hidden="false" customHeight="true" outlineLevel="0" collapsed="false">
      <c r="A268" s="19" t="n">
        <f aca="false">A267+1</f>
        <v>263</v>
      </c>
      <c r="B268" s="18" t="n">
        <f aca="false">EDATE(B267,1)</f>
        <v>54271</v>
      </c>
      <c r="C268" s="19" t="n">
        <f aca="false">ROUNDUP(A268/12,0)</f>
        <v>22</v>
      </c>
      <c r="D268" s="26" t="n">
        <f aca="false">J267</f>
        <v>25705.16</v>
      </c>
      <c r="E268" s="26" t="n">
        <f aca="false">IF(D268&lt;=0,0,ROUND(D268*Calculator!$B$7/12,2))</f>
        <v>139.24</v>
      </c>
      <c r="F268" s="26" t="n">
        <f aca="false">IF(D268&lt;=0,0,ROUND(MIN(D268,Calculator!$H$6-E268),2))</f>
        <v>2515.45</v>
      </c>
      <c r="G268" s="26" t="n">
        <f aca="false">ROUND(IF(A268&gt;=Calculator!$E$11,Calculator!$E$6,0)+IF(A268=Calculator!$E$8,Calculator!$E$7,0)+IF(MONTH(B268)=Calculator!$E$10,Calculator!$E$9,0),2)</f>
        <v>200</v>
      </c>
      <c r="H268" s="26" t="n">
        <f aca="false">IF(D268&lt;=0,0,ROUND(MIN(D268-F268,G268),2))</f>
        <v>200</v>
      </c>
      <c r="I268" s="26" t="n">
        <f aca="false">ROUND(E268+F268+H268,2)</f>
        <v>2854.69</v>
      </c>
      <c r="J268" s="26" t="n">
        <f aca="false">ROUND(MAX(0,D268-F268-H268),2)</f>
        <v>22989.71</v>
      </c>
      <c r="K268" s="26" t="n">
        <f aca="false">ROUND(E268+K267,2)</f>
        <v>378773.18</v>
      </c>
    </row>
    <row r="269" customFormat="false" ht="15" hidden="false" customHeight="true" outlineLevel="0" collapsed="false">
      <c r="A269" s="19" t="n">
        <f aca="false">A268+1</f>
        <v>264</v>
      </c>
      <c r="B269" s="18" t="n">
        <f aca="false">EDATE(B268,1)</f>
        <v>54302</v>
      </c>
      <c r="C269" s="19" t="n">
        <f aca="false">ROUNDUP(A269/12,0)</f>
        <v>22</v>
      </c>
      <c r="D269" s="26" t="n">
        <f aca="false">J268</f>
        <v>22989.71</v>
      </c>
      <c r="E269" s="26" t="n">
        <f aca="false">IF(D269&lt;=0,0,ROUND(D269*Calculator!$B$7/12,2))</f>
        <v>124.53</v>
      </c>
      <c r="F269" s="26" t="n">
        <f aca="false">IF(D269&lt;=0,0,ROUND(MIN(D269,Calculator!$H$6-E269),2))</f>
        <v>2530.16</v>
      </c>
      <c r="G269" s="26" t="n">
        <f aca="false">ROUND(IF(A269&gt;=Calculator!$E$11,Calculator!$E$6,0)+IF(A269=Calculator!$E$8,Calculator!$E$7,0)+IF(MONTH(B269)=Calculator!$E$10,Calculator!$E$9,0),2)</f>
        <v>200</v>
      </c>
      <c r="H269" s="26" t="n">
        <f aca="false">IF(D269&lt;=0,0,ROUND(MIN(D269-F269,G269),2))</f>
        <v>200</v>
      </c>
      <c r="I269" s="26" t="n">
        <f aca="false">ROUND(E269+F269+H269,2)</f>
        <v>2854.69</v>
      </c>
      <c r="J269" s="26" t="n">
        <f aca="false">ROUND(MAX(0,D269-F269-H269),2)</f>
        <v>20259.55</v>
      </c>
      <c r="K269" s="26" t="n">
        <f aca="false">ROUND(E269+K268,2)</f>
        <v>378897.71</v>
      </c>
    </row>
    <row r="270" customFormat="false" ht="15" hidden="false" customHeight="true" outlineLevel="0" collapsed="false">
      <c r="A270" s="19" t="n">
        <f aca="false">A269+1</f>
        <v>265</v>
      </c>
      <c r="B270" s="18" t="n">
        <f aca="false">EDATE(B269,1)</f>
        <v>54332</v>
      </c>
      <c r="C270" s="19" t="n">
        <f aca="false">ROUNDUP(A270/12,0)</f>
        <v>23</v>
      </c>
      <c r="D270" s="26" t="n">
        <f aca="false">J269</f>
        <v>20259.55</v>
      </c>
      <c r="E270" s="26" t="n">
        <f aca="false">IF(D270&lt;=0,0,ROUND(D270*Calculator!$B$7/12,2))</f>
        <v>109.74</v>
      </c>
      <c r="F270" s="26" t="n">
        <f aca="false">IF(D270&lt;=0,0,ROUND(MIN(D270,Calculator!$H$6-E270),2))</f>
        <v>2544.95</v>
      </c>
      <c r="G270" s="26" t="n">
        <f aca="false">ROUND(IF(A270&gt;=Calculator!$E$11,Calculator!$E$6,0)+IF(A270=Calculator!$E$8,Calculator!$E$7,0)+IF(MONTH(B270)=Calculator!$E$10,Calculator!$E$9,0),2)</f>
        <v>200</v>
      </c>
      <c r="H270" s="26" t="n">
        <f aca="false">IF(D270&lt;=0,0,ROUND(MIN(D270-F270,G270),2))</f>
        <v>200</v>
      </c>
      <c r="I270" s="26" t="n">
        <f aca="false">ROUND(E270+F270+H270,2)</f>
        <v>2854.69</v>
      </c>
      <c r="J270" s="26" t="n">
        <f aca="false">ROUND(MAX(0,D270-F270-H270),2)</f>
        <v>17514.6</v>
      </c>
      <c r="K270" s="26" t="n">
        <f aca="false">ROUND(E270+K269,2)</f>
        <v>379007.45</v>
      </c>
    </row>
    <row r="271" customFormat="false" ht="15" hidden="false" customHeight="true" outlineLevel="0" collapsed="false">
      <c r="A271" s="19" t="n">
        <f aca="false">A270+1</f>
        <v>266</v>
      </c>
      <c r="B271" s="18" t="n">
        <f aca="false">EDATE(B270,1)</f>
        <v>54363</v>
      </c>
      <c r="C271" s="19" t="n">
        <f aca="false">ROUNDUP(A271/12,0)</f>
        <v>23</v>
      </c>
      <c r="D271" s="26" t="n">
        <f aca="false">J270</f>
        <v>17514.6</v>
      </c>
      <c r="E271" s="26" t="n">
        <f aca="false">IF(D271&lt;=0,0,ROUND(D271*Calculator!$B$7/12,2))</f>
        <v>94.87</v>
      </c>
      <c r="F271" s="26" t="n">
        <f aca="false">IF(D271&lt;=0,0,ROUND(MIN(D271,Calculator!$H$6-E271),2))</f>
        <v>2559.82</v>
      </c>
      <c r="G271" s="26" t="n">
        <f aca="false">ROUND(IF(A271&gt;=Calculator!$E$11,Calculator!$E$6,0)+IF(A271=Calculator!$E$8,Calculator!$E$7,0)+IF(MONTH(B271)=Calculator!$E$10,Calculator!$E$9,0),2)</f>
        <v>200</v>
      </c>
      <c r="H271" s="26" t="n">
        <f aca="false">IF(D271&lt;=0,0,ROUND(MIN(D271-F271,G271),2))</f>
        <v>200</v>
      </c>
      <c r="I271" s="26" t="n">
        <f aca="false">ROUND(E271+F271+H271,2)</f>
        <v>2854.69</v>
      </c>
      <c r="J271" s="26" t="n">
        <f aca="false">ROUND(MAX(0,D271-F271-H271),2)</f>
        <v>14754.78</v>
      </c>
      <c r="K271" s="26" t="n">
        <f aca="false">ROUND(E271+K270,2)</f>
        <v>379102.32</v>
      </c>
    </row>
    <row r="272" customFormat="false" ht="15" hidden="false" customHeight="true" outlineLevel="0" collapsed="false">
      <c r="A272" s="19" t="n">
        <f aca="false">A271+1</f>
        <v>267</v>
      </c>
      <c r="B272" s="18" t="n">
        <f aca="false">EDATE(B271,1)</f>
        <v>54393</v>
      </c>
      <c r="C272" s="19" t="n">
        <f aca="false">ROUNDUP(A272/12,0)</f>
        <v>23</v>
      </c>
      <c r="D272" s="26" t="n">
        <f aca="false">J271</f>
        <v>14754.78</v>
      </c>
      <c r="E272" s="26" t="n">
        <f aca="false">IF(D272&lt;=0,0,ROUND(D272*Calculator!$B$7/12,2))</f>
        <v>79.92</v>
      </c>
      <c r="F272" s="26" t="n">
        <f aca="false">IF(D272&lt;=0,0,ROUND(MIN(D272,Calculator!$H$6-E272),2))</f>
        <v>2574.77</v>
      </c>
      <c r="G272" s="26" t="n">
        <f aca="false">ROUND(IF(A272&gt;=Calculator!$E$11,Calculator!$E$6,0)+IF(A272=Calculator!$E$8,Calculator!$E$7,0)+IF(MONTH(B272)=Calculator!$E$10,Calculator!$E$9,0),2)</f>
        <v>1200</v>
      </c>
      <c r="H272" s="26" t="n">
        <f aca="false">IF(D272&lt;=0,0,ROUND(MIN(D272-F272,G272),2))</f>
        <v>1200</v>
      </c>
      <c r="I272" s="26" t="n">
        <f aca="false">ROUND(E272+F272+H272,2)</f>
        <v>3854.69</v>
      </c>
      <c r="J272" s="26" t="n">
        <f aca="false">ROUND(MAX(0,D272-F272-H272),2)</f>
        <v>10980.01</v>
      </c>
      <c r="K272" s="26" t="n">
        <f aca="false">ROUND(E272+K271,2)</f>
        <v>379182.24</v>
      </c>
    </row>
    <row r="273" customFormat="false" ht="15" hidden="false" customHeight="true" outlineLevel="0" collapsed="false">
      <c r="A273" s="19" t="n">
        <f aca="false">A272+1</f>
        <v>268</v>
      </c>
      <c r="B273" s="18" t="n">
        <f aca="false">EDATE(B272,1)</f>
        <v>54424</v>
      </c>
      <c r="C273" s="19" t="n">
        <f aca="false">ROUNDUP(A273/12,0)</f>
        <v>23</v>
      </c>
      <c r="D273" s="26" t="n">
        <f aca="false">J272</f>
        <v>10980.01</v>
      </c>
      <c r="E273" s="26" t="n">
        <f aca="false">IF(D273&lt;=0,0,ROUND(D273*Calculator!$B$7/12,2))</f>
        <v>59.48</v>
      </c>
      <c r="F273" s="26" t="n">
        <f aca="false">IF(D273&lt;=0,0,ROUND(MIN(D273,Calculator!$H$6-E273),2))</f>
        <v>2595.21</v>
      </c>
      <c r="G273" s="26" t="n">
        <f aca="false">ROUND(IF(A273&gt;=Calculator!$E$11,Calculator!$E$6,0)+IF(A273=Calculator!$E$8,Calculator!$E$7,0)+IF(MONTH(B273)=Calculator!$E$10,Calculator!$E$9,0),2)</f>
        <v>200</v>
      </c>
      <c r="H273" s="26" t="n">
        <f aca="false">IF(D273&lt;=0,0,ROUND(MIN(D273-F273,G273),2))</f>
        <v>200</v>
      </c>
      <c r="I273" s="26" t="n">
        <f aca="false">ROUND(E273+F273+H273,2)</f>
        <v>2854.69</v>
      </c>
      <c r="J273" s="26" t="n">
        <f aca="false">ROUND(MAX(0,D273-F273-H273),2)</f>
        <v>8184.8</v>
      </c>
      <c r="K273" s="26" t="n">
        <f aca="false">ROUND(E273+K272,2)</f>
        <v>379241.72</v>
      </c>
    </row>
    <row r="274" customFormat="false" ht="15" hidden="false" customHeight="true" outlineLevel="0" collapsed="false">
      <c r="A274" s="19" t="n">
        <f aca="false">A273+1</f>
        <v>269</v>
      </c>
      <c r="B274" s="18" t="n">
        <f aca="false">EDATE(B273,1)</f>
        <v>54455</v>
      </c>
      <c r="C274" s="19" t="n">
        <f aca="false">ROUNDUP(A274/12,0)</f>
        <v>23</v>
      </c>
      <c r="D274" s="26" t="n">
        <f aca="false">J273</f>
        <v>8184.8</v>
      </c>
      <c r="E274" s="26" t="n">
        <f aca="false">IF(D274&lt;=0,0,ROUND(D274*Calculator!$B$7/12,2))</f>
        <v>44.33</v>
      </c>
      <c r="F274" s="26" t="n">
        <f aca="false">IF(D274&lt;=0,0,ROUND(MIN(D274,Calculator!$H$6-E274),2))</f>
        <v>2610.36</v>
      </c>
      <c r="G274" s="26" t="n">
        <f aca="false">ROUND(IF(A274&gt;=Calculator!$E$11,Calculator!$E$6,0)+IF(A274=Calculator!$E$8,Calculator!$E$7,0)+IF(MONTH(B274)=Calculator!$E$10,Calculator!$E$9,0),2)</f>
        <v>200</v>
      </c>
      <c r="H274" s="26" t="n">
        <f aca="false">IF(D274&lt;=0,0,ROUND(MIN(D274-F274,G274),2))</f>
        <v>200</v>
      </c>
      <c r="I274" s="26" t="n">
        <f aca="false">ROUND(E274+F274+H274,2)</f>
        <v>2854.69</v>
      </c>
      <c r="J274" s="26" t="n">
        <f aca="false">ROUND(MAX(0,D274-F274-H274),2)</f>
        <v>5374.44</v>
      </c>
      <c r="K274" s="26" t="n">
        <f aca="false">ROUND(E274+K273,2)</f>
        <v>379286.05</v>
      </c>
    </row>
    <row r="275" customFormat="false" ht="15" hidden="false" customHeight="true" outlineLevel="0" collapsed="false">
      <c r="A275" s="19" t="n">
        <f aca="false">A274+1</f>
        <v>270</v>
      </c>
      <c r="B275" s="18" t="n">
        <f aca="false">EDATE(B274,1)</f>
        <v>54483</v>
      </c>
      <c r="C275" s="19" t="n">
        <f aca="false">ROUNDUP(A275/12,0)</f>
        <v>23</v>
      </c>
      <c r="D275" s="26" t="n">
        <f aca="false">J274</f>
        <v>5374.44</v>
      </c>
      <c r="E275" s="26" t="n">
        <f aca="false">IF(D275&lt;=0,0,ROUND(D275*Calculator!$B$7/12,2))</f>
        <v>29.11</v>
      </c>
      <c r="F275" s="26" t="n">
        <f aca="false">IF(D275&lt;=0,0,ROUND(MIN(D275,Calculator!$H$6-E275),2))</f>
        <v>2625.58</v>
      </c>
      <c r="G275" s="26" t="n">
        <f aca="false">ROUND(IF(A275&gt;=Calculator!$E$11,Calculator!$E$6,0)+IF(A275=Calculator!$E$8,Calculator!$E$7,0)+IF(MONTH(B275)=Calculator!$E$10,Calculator!$E$9,0),2)</f>
        <v>200</v>
      </c>
      <c r="H275" s="26" t="n">
        <f aca="false">IF(D275&lt;=0,0,ROUND(MIN(D275-F275,G275),2))</f>
        <v>200</v>
      </c>
      <c r="I275" s="26" t="n">
        <f aca="false">ROUND(E275+F275+H275,2)</f>
        <v>2854.69</v>
      </c>
      <c r="J275" s="26" t="n">
        <f aca="false">ROUND(MAX(0,D275-F275-H275),2)</f>
        <v>2548.86</v>
      </c>
      <c r="K275" s="26" t="n">
        <f aca="false">ROUND(E275+K274,2)</f>
        <v>379315.16</v>
      </c>
    </row>
    <row r="276" customFormat="false" ht="15" hidden="false" customHeight="true" outlineLevel="0" collapsed="false">
      <c r="A276" s="19" t="n">
        <f aca="false">A275+1</f>
        <v>271</v>
      </c>
      <c r="B276" s="18" t="n">
        <f aca="false">EDATE(B275,1)</f>
        <v>54514</v>
      </c>
      <c r="C276" s="19" t="n">
        <f aca="false">ROUNDUP(A276/12,0)</f>
        <v>23</v>
      </c>
      <c r="D276" s="26" t="n">
        <f aca="false">J275</f>
        <v>2548.86</v>
      </c>
      <c r="E276" s="26" t="n">
        <f aca="false">IF(D276&lt;=0,0,ROUND(D276*Calculator!$B$7/12,2))</f>
        <v>13.81</v>
      </c>
      <c r="F276" s="26" t="n">
        <f aca="false">IF(D276&lt;=0,0,ROUND(MIN(D276,Calculator!$H$6-E276),2))</f>
        <v>2548.86</v>
      </c>
      <c r="G276" s="26" t="n">
        <f aca="false">ROUND(IF(A276&gt;=Calculator!$E$11,Calculator!$E$6,0)+IF(A276=Calculator!$E$8,Calculator!$E$7,0)+IF(MONTH(B276)=Calculator!$E$10,Calculator!$E$9,0),2)</f>
        <v>200</v>
      </c>
      <c r="H276" s="26" t="n">
        <f aca="false">IF(D276&lt;=0,0,ROUND(MIN(D276-F276,G276),2))</f>
        <v>0</v>
      </c>
      <c r="I276" s="26" t="n">
        <f aca="false">ROUND(E276+F276+H276,2)</f>
        <v>2562.67</v>
      </c>
      <c r="J276" s="26" t="n">
        <f aca="false">ROUND(MAX(0,D276-F276-H276),2)</f>
        <v>0</v>
      </c>
      <c r="K276" s="26" t="n">
        <f aca="false">ROUND(E276+K275,2)</f>
        <v>379328.97</v>
      </c>
    </row>
    <row r="277" customFormat="false" ht="15" hidden="false" customHeight="true" outlineLevel="0" collapsed="false">
      <c r="A277" s="19" t="n">
        <f aca="false">A276+1</f>
        <v>272</v>
      </c>
      <c r="B277" s="18" t="n">
        <f aca="false">EDATE(B276,1)</f>
        <v>54544</v>
      </c>
      <c r="C277" s="19" t="n">
        <f aca="false">ROUNDUP(A277/12,0)</f>
        <v>23</v>
      </c>
      <c r="D277" s="26" t="n">
        <f aca="false">J276</f>
        <v>0</v>
      </c>
      <c r="E277" s="26" t="n">
        <f aca="false">IF(D277&lt;=0,0,ROUND(D277*Calculator!$B$7/12,2))</f>
        <v>0</v>
      </c>
      <c r="F277" s="26" t="n">
        <f aca="false">IF(D277&lt;=0,0,ROUND(MIN(D277,Calculator!$H$6-E277),2))</f>
        <v>0</v>
      </c>
      <c r="G277" s="26" t="n">
        <f aca="false">ROUND(IF(A277&gt;=Calculator!$E$11,Calculator!$E$6,0)+IF(A277=Calculator!$E$8,Calculator!$E$7,0)+IF(MONTH(B277)=Calculator!$E$10,Calculator!$E$9,0),2)</f>
        <v>200</v>
      </c>
      <c r="H277" s="26" t="n">
        <f aca="false">IF(D277&lt;=0,0,ROUND(MIN(D277-F277,G277),2))</f>
        <v>0</v>
      </c>
      <c r="I277" s="26" t="n">
        <f aca="false">ROUND(E277+F277+H277,2)</f>
        <v>0</v>
      </c>
      <c r="J277" s="26" t="n">
        <f aca="false">ROUND(MAX(0,D277-F277-H277),2)</f>
        <v>0</v>
      </c>
      <c r="K277" s="26" t="n">
        <f aca="false">ROUND(E277+K276,2)</f>
        <v>379328.97</v>
      </c>
    </row>
    <row r="278" customFormat="false" ht="15" hidden="false" customHeight="true" outlineLevel="0" collapsed="false">
      <c r="A278" s="19" t="n">
        <f aca="false">A277+1</f>
        <v>273</v>
      </c>
      <c r="B278" s="18" t="n">
        <f aca="false">EDATE(B277,1)</f>
        <v>54575</v>
      </c>
      <c r="C278" s="19" t="n">
        <f aca="false">ROUNDUP(A278/12,0)</f>
        <v>23</v>
      </c>
      <c r="D278" s="26" t="n">
        <f aca="false">J277</f>
        <v>0</v>
      </c>
      <c r="E278" s="26" t="n">
        <f aca="false">IF(D278&lt;=0,0,ROUND(D278*Calculator!$B$7/12,2))</f>
        <v>0</v>
      </c>
      <c r="F278" s="26" t="n">
        <f aca="false">IF(D278&lt;=0,0,ROUND(MIN(D278,Calculator!$H$6-E278),2))</f>
        <v>0</v>
      </c>
      <c r="G278" s="26" t="n">
        <f aca="false">ROUND(IF(A278&gt;=Calculator!$E$11,Calculator!$E$6,0)+IF(A278=Calculator!$E$8,Calculator!$E$7,0)+IF(MONTH(B278)=Calculator!$E$10,Calculator!$E$9,0),2)</f>
        <v>200</v>
      </c>
      <c r="H278" s="26" t="n">
        <f aca="false">IF(D278&lt;=0,0,ROUND(MIN(D278-F278,G278),2))</f>
        <v>0</v>
      </c>
      <c r="I278" s="26" t="n">
        <f aca="false">ROUND(E278+F278+H278,2)</f>
        <v>0</v>
      </c>
      <c r="J278" s="26" t="n">
        <f aca="false">ROUND(MAX(0,D278-F278-H278),2)</f>
        <v>0</v>
      </c>
      <c r="K278" s="26" t="n">
        <f aca="false">ROUND(E278+K277,2)</f>
        <v>379328.97</v>
      </c>
    </row>
    <row r="279" customFormat="false" ht="15" hidden="false" customHeight="true" outlineLevel="0" collapsed="false">
      <c r="A279" s="19" t="n">
        <f aca="false">A278+1</f>
        <v>274</v>
      </c>
      <c r="B279" s="18" t="n">
        <f aca="false">EDATE(B278,1)</f>
        <v>54605</v>
      </c>
      <c r="C279" s="19" t="n">
        <f aca="false">ROUNDUP(A279/12,0)</f>
        <v>23</v>
      </c>
      <c r="D279" s="26" t="n">
        <f aca="false">J278</f>
        <v>0</v>
      </c>
      <c r="E279" s="26" t="n">
        <f aca="false">IF(D279&lt;=0,0,ROUND(D279*Calculator!$B$7/12,2))</f>
        <v>0</v>
      </c>
      <c r="F279" s="26" t="n">
        <f aca="false">IF(D279&lt;=0,0,ROUND(MIN(D279,Calculator!$H$6-E279),2))</f>
        <v>0</v>
      </c>
      <c r="G279" s="26" t="n">
        <f aca="false">ROUND(IF(A279&gt;=Calculator!$E$11,Calculator!$E$6,0)+IF(A279=Calculator!$E$8,Calculator!$E$7,0)+IF(MONTH(B279)=Calculator!$E$10,Calculator!$E$9,0),2)</f>
        <v>200</v>
      </c>
      <c r="H279" s="26" t="n">
        <f aca="false">IF(D279&lt;=0,0,ROUND(MIN(D279-F279,G279),2))</f>
        <v>0</v>
      </c>
      <c r="I279" s="26" t="n">
        <f aca="false">ROUND(E279+F279+H279,2)</f>
        <v>0</v>
      </c>
      <c r="J279" s="26" t="n">
        <f aca="false">ROUND(MAX(0,D279-F279-H279),2)</f>
        <v>0</v>
      </c>
      <c r="K279" s="26" t="n">
        <f aca="false">ROUND(E279+K278,2)</f>
        <v>379328.97</v>
      </c>
    </row>
    <row r="280" customFormat="false" ht="15" hidden="false" customHeight="true" outlineLevel="0" collapsed="false">
      <c r="A280" s="19" t="n">
        <f aca="false">A279+1</f>
        <v>275</v>
      </c>
      <c r="B280" s="18" t="n">
        <f aca="false">EDATE(B279,1)</f>
        <v>54636</v>
      </c>
      <c r="C280" s="19" t="n">
        <f aca="false">ROUNDUP(A280/12,0)</f>
        <v>23</v>
      </c>
      <c r="D280" s="26" t="n">
        <f aca="false">J279</f>
        <v>0</v>
      </c>
      <c r="E280" s="26" t="n">
        <f aca="false">IF(D280&lt;=0,0,ROUND(D280*Calculator!$B$7/12,2))</f>
        <v>0</v>
      </c>
      <c r="F280" s="26" t="n">
        <f aca="false">IF(D280&lt;=0,0,ROUND(MIN(D280,Calculator!$H$6-E280),2))</f>
        <v>0</v>
      </c>
      <c r="G280" s="26" t="n">
        <f aca="false">ROUND(IF(A280&gt;=Calculator!$E$11,Calculator!$E$6,0)+IF(A280=Calculator!$E$8,Calculator!$E$7,0)+IF(MONTH(B280)=Calculator!$E$10,Calculator!$E$9,0),2)</f>
        <v>200</v>
      </c>
      <c r="H280" s="26" t="n">
        <f aca="false">IF(D280&lt;=0,0,ROUND(MIN(D280-F280,G280),2))</f>
        <v>0</v>
      </c>
      <c r="I280" s="26" t="n">
        <f aca="false">ROUND(E280+F280+H280,2)</f>
        <v>0</v>
      </c>
      <c r="J280" s="26" t="n">
        <f aca="false">ROUND(MAX(0,D280-F280-H280),2)</f>
        <v>0</v>
      </c>
      <c r="K280" s="26" t="n">
        <f aca="false">ROUND(E280+K279,2)</f>
        <v>379328.97</v>
      </c>
    </row>
    <row r="281" customFormat="false" ht="15" hidden="false" customHeight="true" outlineLevel="0" collapsed="false">
      <c r="A281" s="19" t="n">
        <f aca="false">A280+1</f>
        <v>276</v>
      </c>
      <c r="B281" s="18" t="n">
        <f aca="false">EDATE(B280,1)</f>
        <v>54667</v>
      </c>
      <c r="C281" s="19" t="n">
        <f aca="false">ROUNDUP(A281/12,0)</f>
        <v>23</v>
      </c>
      <c r="D281" s="26" t="n">
        <f aca="false">J280</f>
        <v>0</v>
      </c>
      <c r="E281" s="26" t="n">
        <f aca="false">IF(D281&lt;=0,0,ROUND(D281*Calculator!$B$7/12,2))</f>
        <v>0</v>
      </c>
      <c r="F281" s="26" t="n">
        <f aca="false">IF(D281&lt;=0,0,ROUND(MIN(D281,Calculator!$H$6-E281),2))</f>
        <v>0</v>
      </c>
      <c r="G281" s="26" t="n">
        <f aca="false">ROUND(IF(A281&gt;=Calculator!$E$11,Calculator!$E$6,0)+IF(A281=Calculator!$E$8,Calculator!$E$7,0)+IF(MONTH(B281)=Calculator!$E$10,Calculator!$E$9,0),2)</f>
        <v>200</v>
      </c>
      <c r="H281" s="26" t="n">
        <f aca="false">IF(D281&lt;=0,0,ROUND(MIN(D281-F281,G281),2))</f>
        <v>0</v>
      </c>
      <c r="I281" s="26" t="n">
        <f aca="false">ROUND(E281+F281+H281,2)</f>
        <v>0</v>
      </c>
      <c r="J281" s="26" t="n">
        <f aca="false">ROUND(MAX(0,D281-F281-H281),2)</f>
        <v>0</v>
      </c>
      <c r="K281" s="26" t="n">
        <f aca="false">ROUND(E281+K280,2)</f>
        <v>379328.97</v>
      </c>
    </row>
    <row r="282" customFormat="false" ht="15" hidden="false" customHeight="true" outlineLevel="0" collapsed="false">
      <c r="A282" s="19" t="n">
        <f aca="false">A281+1</f>
        <v>277</v>
      </c>
      <c r="B282" s="18" t="n">
        <f aca="false">EDATE(B281,1)</f>
        <v>54697</v>
      </c>
      <c r="C282" s="19" t="n">
        <f aca="false">ROUNDUP(A282/12,0)</f>
        <v>24</v>
      </c>
      <c r="D282" s="26" t="n">
        <f aca="false">J281</f>
        <v>0</v>
      </c>
      <c r="E282" s="26" t="n">
        <f aca="false">IF(D282&lt;=0,0,ROUND(D282*Calculator!$B$7/12,2))</f>
        <v>0</v>
      </c>
      <c r="F282" s="26" t="n">
        <f aca="false">IF(D282&lt;=0,0,ROUND(MIN(D282,Calculator!$H$6-E282),2))</f>
        <v>0</v>
      </c>
      <c r="G282" s="26" t="n">
        <f aca="false">ROUND(IF(A282&gt;=Calculator!$E$11,Calculator!$E$6,0)+IF(A282=Calculator!$E$8,Calculator!$E$7,0)+IF(MONTH(B282)=Calculator!$E$10,Calculator!$E$9,0),2)</f>
        <v>200</v>
      </c>
      <c r="H282" s="26" t="n">
        <f aca="false">IF(D282&lt;=0,0,ROUND(MIN(D282-F282,G282),2))</f>
        <v>0</v>
      </c>
      <c r="I282" s="26" t="n">
        <f aca="false">ROUND(E282+F282+H282,2)</f>
        <v>0</v>
      </c>
      <c r="J282" s="26" t="n">
        <f aca="false">ROUND(MAX(0,D282-F282-H282),2)</f>
        <v>0</v>
      </c>
      <c r="K282" s="26" t="n">
        <f aca="false">ROUND(E282+K281,2)</f>
        <v>379328.97</v>
      </c>
    </row>
    <row r="283" customFormat="false" ht="15" hidden="false" customHeight="true" outlineLevel="0" collapsed="false">
      <c r="A283" s="19" t="n">
        <f aca="false">A282+1</f>
        <v>278</v>
      </c>
      <c r="B283" s="18" t="n">
        <f aca="false">EDATE(B282,1)</f>
        <v>54728</v>
      </c>
      <c r="C283" s="19" t="n">
        <f aca="false">ROUNDUP(A283/12,0)</f>
        <v>24</v>
      </c>
      <c r="D283" s="26" t="n">
        <f aca="false">J282</f>
        <v>0</v>
      </c>
      <c r="E283" s="26" t="n">
        <f aca="false">IF(D283&lt;=0,0,ROUND(D283*Calculator!$B$7/12,2))</f>
        <v>0</v>
      </c>
      <c r="F283" s="26" t="n">
        <f aca="false">IF(D283&lt;=0,0,ROUND(MIN(D283,Calculator!$H$6-E283),2))</f>
        <v>0</v>
      </c>
      <c r="G283" s="26" t="n">
        <f aca="false">ROUND(IF(A283&gt;=Calculator!$E$11,Calculator!$E$6,0)+IF(A283=Calculator!$E$8,Calculator!$E$7,0)+IF(MONTH(B283)=Calculator!$E$10,Calculator!$E$9,0),2)</f>
        <v>200</v>
      </c>
      <c r="H283" s="26" t="n">
        <f aca="false">IF(D283&lt;=0,0,ROUND(MIN(D283-F283,G283),2))</f>
        <v>0</v>
      </c>
      <c r="I283" s="26" t="n">
        <f aca="false">ROUND(E283+F283+H283,2)</f>
        <v>0</v>
      </c>
      <c r="J283" s="26" t="n">
        <f aca="false">ROUND(MAX(0,D283-F283-H283),2)</f>
        <v>0</v>
      </c>
      <c r="K283" s="26" t="n">
        <f aca="false">ROUND(E283+K282,2)</f>
        <v>379328.97</v>
      </c>
    </row>
    <row r="284" customFormat="false" ht="15" hidden="false" customHeight="true" outlineLevel="0" collapsed="false">
      <c r="A284" s="19" t="n">
        <f aca="false">A283+1</f>
        <v>279</v>
      </c>
      <c r="B284" s="18" t="n">
        <f aca="false">EDATE(B283,1)</f>
        <v>54758</v>
      </c>
      <c r="C284" s="19" t="n">
        <f aca="false">ROUNDUP(A284/12,0)</f>
        <v>24</v>
      </c>
      <c r="D284" s="26" t="n">
        <f aca="false">J283</f>
        <v>0</v>
      </c>
      <c r="E284" s="26" t="n">
        <f aca="false">IF(D284&lt;=0,0,ROUND(D284*Calculator!$B$7/12,2))</f>
        <v>0</v>
      </c>
      <c r="F284" s="26" t="n">
        <f aca="false">IF(D284&lt;=0,0,ROUND(MIN(D284,Calculator!$H$6-E284),2))</f>
        <v>0</v>
      </c>
      <c r="G284" s="26" t="n">
        <f aca="false">ROUND(IF(A284&gt;=Calculator!$E$11,Calculator!$E$6,0)+IF(A284=Calculator!$E$8,Calculator!$E$7,0)+IF(MONTH(B284)=Calculator!$E$10,Calculator!$E$9,0),2)</f>
        <v>1200</v>
      </c>
      <c r="H284" s="26" t="n">
        <f aca="false">IF(D284&lt;=0,0,ROUND(MIN(D284-F284,G284),2))</f>
        <v>0</v>
      </c>
      <c r="I284" s="26" t="n">
        <f aca="false">ROUND(E284+F284+H284,2)</f>
        <v>0</v>
      </c>
      <c r="J284" s="26" t="n">
        <f aca="false">ROUND(MAX(0,D284-F284-H284),2)</f>
        <v>0</v>
      </c>
      <c r="K284" s="26" t="n">
        <f aca="false">ROUND(E284+K283,2)</f>
        <v>379328.97</v>
      </c>
    </row>
    <row r="285" customFormat="false" ht="15" hidden="false" customHeight="true" outlineLevel="0" collapsed="false">
      <c r="A285" s="19" t="n">
        <f aca="false">A284+1</f>
        <v>280</v>
      </c>
      <c r="B285" s="18" t="n">
        <f aca="false">EDATE(B284,1)</f>
        <v>54789</v>
      </c>
      <c r="C285" s="19" t="n">
        <f aca="false">ROUNDUP(A285/12,0)</f>
        <v>24</v>
      </c>
      <c r="D285" s="26" t="n">
        <f aca="false">J284</f>
        <v>0</v>
      </c>
      <c r="E285" s="26" t="n">
        <f aca="false">IF(D285&lt;=0,0,ROUND(D285*Calculator!$B$7/12,2))</f>
        <v>0</v>
      </c>
      <c r="F285" s="26" t="n">
        <f aca="false">IF(D285&lt;=0,0,ROUND(MIN(D285,Calculator!$H$6-E285),2))</f>
        <v>0</v>
      </c>
      <c r="G285" s="26" t="n">
        <f aca="false">ROUND(IF(A285&gt;=Calculator!$E$11,Calculator!$E$6,0)+IF(A285=Calculator!$E$8,Calculator!$E$7,0)+IF(MONTH(B285)=Calculator!$E$10,Calculator!$E$9,0),2)</f>
        <v>200</v>
      </c>
      <c r="H285" s="26" t="n">
        <f aca="false">IF(D285&lt;=0,0,ROUND(MIN(D285-F285,G285),2))</f>
        <v>0</v>
      </c>
      <c r="I285" s="26" t="n">
        <f aca="false">ROUND(E285+F285+H285,2)</f>
        <v>0</v>
      </c>
      <c r="J285" s="26" t="n">
        <f aca="false">ROUND(MAX(0,D285-F285-H285),2)</f>
        <v>0</v>
      </c>
      <c r="K285" s="26" t="n">
        <f aca="false">ROUND(E285+K284,2)</f>
        <v>379328.97</v>
      </c>
    </row>
    <row r="286" customFormat="false" ht="15" hidden="false" customHeight="true" outlineLevel="0" collapsed="false">
      <c r="A286" s="19" t="n">
        <f aca="false">A285+1</f>
        <v>281</v>
      </c>
      <c r="B286" s="18" t="n">
        <f aca="false">EDATE(B285,1)</f>
        <v>54820</v>
      </c>
      <c r="C286" s="19" t="n">
        <f aca="false">ROUNDUP(A286/12,0)</f>
        <v>24</v>
      </c>
      <c r="D286" s="26" t="n">
        <f aca="false">J285</f>
        <v>0</v>
      </c>
      <c r="E286" s="26" t="n">
        <f aca="false">IF(D286&lt;=0,0,ROUND(D286*Calculator!$B$7/12,2))</f>
        <v>0</v>
      </c>
      <c r="F286" s="26" t="n">
        <f aca="false">IF(D286&lt;=0,0,ROUND(MIN(D286,Calculator!$H$6-E286),2))</f>
        <v>0</v>
      </c>
      <c r="G286" s="26" t="n">
        <f aca="false">ROUND(IF(A286&gt;=Calculator!$E$11,Calculator!$E$6,0)+IF(A286=Calculator!$E$8,Calculator!$E$7,0)+IF(MONTH(B286)=Calculator!$E$10,Calculator!$E$9,0),2)</f>
        <v>200</v>
      </c>
      <c r="H286" s="26" t="n">
        <f aca="false">IF(D286&lt;=0,0,ROUND(MIN(D286-F286,G286),2))</f>
        <v>0</v>
      </c>
      <c r="I286" s="26" t="n">
        <f aca="false">ROUND(E286+F286+H286,2)</f>
        <v>0</v>
      </c>
      <c r="J286" s="26" t="n">
        <f aca="false">ROUND(MAX(0,D286-F286-H286),2)</f>
        <v>0</v>
      </c>
      <c r="K286" s="26" t="n">
        <f aca="false">ROUND(E286+K285,2)</f>
        <v>379328.97</v>
      </c>
    </row>
    <row r="287" customFormat="false" ht="15" hidden="false" customHeight="true" outlineLevel="0" collapsed="false">
      <c r="A287" s="19" t="n">
        <f aca="false">A286+1</f>
        <v>282</v>
      </c>
      <c r="B287" s="18" t="n">
        <f aca="false">EDATE(B286,1)</f>
        <v>54848</v>
      </c>
      <c r="C287" s="19" t="n">
        <f aca="false">ROUNDUP(A287/12,0)</f>
        <v>24</v>
      </c>
      <c r="D287" s="26" t="n">
        <f aca="false">J286</f>
        <v>0</v>
      </c>
      <c r="E287" s="26" t="n">
        <f aca="false">IF(D287&lt;=0,0,ROUND(D287*Calculator!$B$7/12,2))</f>
        <v>0</v>
      </c>
      <c r="F287" s="26" t="n">
        <f aca="false">IF(D287&lt;=0,0,ROUND(MIN(D287,Calculator!$H$6-E287),2))</f>
        <v>0</v>
      </c>
      <c r="G287" s="26" t="n">
        <f aca="false">ROUND(IF(A287&gt;=Calculator!$E$11,Calculator!$E$6,0)+IF(A287=Calculator!$E$8,Calculator!$E$7,0)+IF(MONTH(B287)=Calculator!$E$10,Calculator!$E$9,0),2)</f>
        <v>200</v>
      </c>
      <c r="H287" s="26" t="n">
        <f aca="false">IF(D287&lt;=0,0,ROUND(MIN(D287-F287,G287),2))</f>
        <v>0</v>
      </c>
      <c r="I287" s="26" t="n">
        <f aca="false">ROUND(E287+F287+H287,2)</f>
        <v>0</v>
      </c>
      <c r="J287" s="26" t="n">
        <f aca="false">ROUND(MAX(0,D287-F287-H287),2)</f>
        <v>0</v>
      </c>
      <c r="K287" s="26" t="n">
        <f aca="false">ROUND(E287+K286,2)</f>
        <v>379328.97</v>
      </c>
    </row>
    <row r="288" customFormat="false" ht="15" hidden="false" customHeight="true" outlineLevel="0" collapsed="false">
      <c r="A288" s="19" t="n">
        <f aca="false">A287+1</f>
        <v>283</v>
      </c>
      <c r="B288" s="18" t="n">
        <f aca="false">EDATE(B287,1)</f>
        <v>54879</v>
      </c>
      <c r="C288" s="19" t="n">
        <f aca="false">ROUNDUP(A288/12,0)</f>
        <v>24</v>
      </c>
      <c r="D288" s="26" t="n">
        <f aca="false">J287</f>
        <v>0</v>
      </c>
      <c r="E288" s="26" t="n">
        <f aca="false">IF(D288&lt;=0,0,ROUND(D288*Calculator!$B$7/12,2))</f>
        <v>0</v>
      </c>
      <c r="F288" s="26" t="n">
        <f aca="false">IF(D288&lt;=0,0,ROUND(MIN(D288,Calculator!$H$6-E288),2))</f>
        <v>0</v>
      </c>
      <c r="G288" s="26" t="n">
        <f aca="false">ROUND(IF(A288&gt;=Calculator!$E$11,Calculator!$E$6,0)+IF(A288=Calculator!$E$8,Calculator!$E$7,0)+IF(MONTH(B288)=Calculator!$E$10,Calculator!$E$9,0),2)</f>
        <v>200</v>
      </c>
      <c r="H288" s="26" t="n">
        <f aca="false">IF(D288&lt;=0,0,ROUND(MIN(D288-F288,G288),2))</f>
        <v>0</v>
      </c>
      <c r="I288" s="26" t="n">
        <f aca="false">ROUND(E288+F288+H288,2)</f>
        <v>0</v>
      </c>
      <c r="J288" s="26" t="n">
        <f aca="false">ROUND(MAX(0,D288-F288-H288),2)</f>
        <v>0</v>
      </c>
      <c r="K288" s="26" t="n">
        <f aca="false">ROUND(E288+K287,2)</f>
        <v>379328.97</v>
      </c>
    </row>
    <row r="289" customFormat="false" ht="15" hidden="false" customHeight="true" outlineLevel="0" collapsed="false">
      <c r="A289" s="19" t="n">
        <f aca="false">A288+1</f>
        <v>284</v>
      </c>
      <c r="B289" s="18" t="n">
        <f aca="false">EDATE(B288,1)</f>
        <v>54909</v>
      </c>
      <c r="C289" s="19" t="n">
        <f aca="false">ROUNDUP(A289/12,0)</f>
        <v>24</v>
      </c>
      <c r="D289" s="26" t="n">
        <f aca="false">J288</f>
        <v>0</v>
      </c>
      <c r="E289" s="26" t="n">
        <f aca="false">IF(D289&lt;=0,0,ROUND(D289*Calculator!$B$7/12,2))</f>
        <v>0</v>
      </c>
      <c r="F289" s="26" t="n">
        <f aca="false">IF(D289&lt;=0,0,ROUND(MIN(D289,Calculator!$H$6-E289),2))</f>
        <v>0</v>
      </c>
      <c r="G289" s="26" t="n">
        <f aca="false">ROUND(IF(A289&gt;=Calculator!$E$11,Calculator!$E$6,0)+IF(A289=Calculator!$E$8,Calculator!$E$7,0)+IF(MONTH(B289)=Calculator!$E$10,Calculator!$E$9,0),2)</f>
        <v>200</v>
      </c>
      <c r="H289" s="26" t="n">
        <f aca="false">IF(D289&lt;=0,0,ROUND(MIN(D289-F289,G289),2))</f>
        <v>0</v>
      </c>
      <c r="I289" s="26" t="n">
        <f aca="false">ROUND(E289+F289+H289,2)</f>
        <v>0</v>
      </c>
      <c r="J289" s="26" t="n">
        <f aca="false">ROUND(MAX(0,D289-F289-H289),2)</f>
        <v>0</v>
      </c>
      <c r="K289" s="26" t="n">
        <f aca="false">ROUND(E289+K288,2)</f>
        <v>379328.97</v>
      </c>
    </row>
    <row r="290" customFormat="false" ht="15" hidden="false" customHeight="true" outlineLevel="0" collapsed="false">
      <c r="A290" s="19" t="n">
        <f aca="false">A289+1</f>
        <v>285</v>
      </c>
      <c r="B290" s="18" t="n">
        <f aca="false">EDATE(B289,1)</f>
        <v>54940</v>
      </c>
      <c r="C290" s="19" t="n">
        <f aca="false">ROUNDUP(A290/12,0)</f>
        <v>24</v>
      </c>
      <c r="D290" s="26" t="n">
        <f aca="false">J289</f>
        <v>0</v>
      </c>
      <c r="E290" s="26" t="n">
        <f aca="false">IF(D290&lt;=0,0,ROUND(D290*Calculator!$B$7/12,2))</f>
        <v>0</v>
      </c>
      <c r="F290" s="26" t="n">
        <f aca="false">IF(D290&lt;=0,0,ROUND(MIN(D290,Calculator!$H$6-E290),2))</f>
        <v>0</v>
      </c>
      <c r="G290" s="26" t="n">
        <f aca="false">ROUND(IF(A290&gt;=Calculator!$E$11,Calculator!$E$6,0)+IF(A290=Calculator!$E$8,Calculator!$E$7,0)+IF(MONTH(B290)=Calculator!$E$10,Calculator!$E$9,0),2)</f>
        <v>200</v>
      </c>
      <c r="H290" s="26" t="n">
        <f aca="false">IF(D290&lt;=0,0,ROUND(MIN(D290-F290,G290),2))</f>
        <v>0</v>
      </c>
      <c r="I290" s="26" t="n">
        <f aca="false">ROUND(E290+F290+H290,2)</f>
        <v>0</v>
      </c>
      <c r="J290" s="26" t="n">
        <f aca="false">ROUND(MAX(0,D290-F290-H290),2)</f>
        <v>0</v>
      </c>
      <c r="K290" s="26" t="n">
        <f aca="false">ROUND(E290+K289,2)</f>
        <v>379328.97</v>
      </c>
    </row>
    <row r="291" customFormat="false" ht="15" hidden="false" customHeight="true" outlineLevel="0" collapsed="false">
      <c r="A291" s="19" t="n">
        <f aca="false">A290+1</f>
        <v>286</v>
      </c>
      <c r="B291" s="18" t="n">
        <f aca="false">EDATE(B290,1)</f>
        <v>54970</v>
      </c>
      <c r="C291" s="19" t="n">
        <f aca="false">ROUNDUP(A291/12,0)</f>
        <v>24</v>
      </c>
      <c r="D291" s="26" t="n">
        <f aca="false">J290</f>
        <v>0</v>
      </c>
      <c r="E291" s="26" t="n">
        <f aca="false">IF(D291&lt;=0,0,ROUND(D291*Calculator!$B$7/12,2))</f>
        <v>0</v>
      </c>
      <c r="F291" s="26" t="n">
        <f aca="false">IF(D291&lt;=0,0,ROUND(MIN(D291,Calculator!$H$6-E291),2))</f>
        <v>0</v>
      </c>
      <c r="G291" s="26" t="n">
        <f aca="false">ROUND(IF(A291&gt;=Calculator!$E$11,Calculator!$E$6,0)+IF(A291=Calculator!$E$8,Calculator!$E$7,0)+IF(MONTH(B291)=Calculator!$E$10,Calculator!$E$9,0),2)</f>
        <v>200</v>
      </c>
      <c r="H291" s="26" t="n">
        <f aca="false">IF(D291&lt;=0,0,ROUND(MIN(D291-F291,G291),2))</f>
        <v>0</v>
      </c>
      <c r="I291" s="26" t="n">
        <f aca="false">ROUND(E291+F291+H291,2)</f>
        <v>0</v>
      </c>
      <c r="J291" s="26" t="n">
        <f aca="false">ROUND(MAX(0,D291-F291-H291),2)</f>
        <v>0</v>
      </c>
      <c r="K291" s="26" t="n">
        <f aca="false">ROUND(E291+K290,2)</f>
        <v>379328.97</v>
      </c>
    </row>
    <row r="292" customFormat="false" ht="15" hidden="false" customHeight="true" outlineLevel="0" collapsed="false">
      <c r="A292" s="19" t="n">
        <f aca="false">A291+1</f>
        <v>287</v>
      </c>
      <c r="B292" s="18" t="n">
        <f aca="false">EDATE(B291,1)</f>
        <v>55001</v>
      </c>
      <c r="C292" s="19" t="n">
        <f aca="false">ROUNDUP(A292/12,0)</f>
        <v>24</v>
      </c>
      <c r="D292" s="26" t="n">
        <f aca="false">J291</f>
        <v>0</v>
      </c>
      <c r="E292" s="26" t="n">
        <f aca="false">IF(D292&lt;=0,0,ROUND(D292*Calculator!$B$7/12,2))</f>
        <v>0</v>
      </c>
      <c r="F292" s="26" t="n">
        <f aca="false">IF(D292&lt;=0,0,ROUND(MIN(D292,Calculator!$H$6-E292),2))</f>
        <v>0</v>
      </c>
      <c r="G292" s="26" t="n">
        <f aca="false">ROUND(IF(A292&gt;=Calculator!$E$11,Calculator!$E$6,0)+IF(A292=Calculator!$E$8,Calculator!$E$7,0)+IF(MONTH(B292)=Calculator!$E$10,Calculator!$E$9,0),2)</f>
        <v>200</v>
      </c>
      <c r="H292" s="26" t="n">
        <f aca="false">IF(D292&lt;=0,0,ROUND(MIN(D292-F292,G292),2))</f>
        <v>0</v>
      </c>
      <c r="I292" s="26" t="n">
        <f aca="false">ROUND(E292+F292+H292,2)</f>
        <v>0</v>
      </c>
      <c r="J292" s="26" t="n">
        <f aca="false">ROUND(MAX(0,D292-F292-H292),2)</f>
        <v>0</v>
      </c>
      <c r="K292" s="26" t="n">
        <f aca="false">ROUND(E292+K291,2)</f>
        <v>379328.97</v>
      </c>
    </row>
    <row r="293" customFormat="false" ht="15" hidden="false" customHeight="true" outlineLevel="0" collapsed="false">
      <c r="A293" s="19" t="n">
        <f aca="false">A292+1</f>
        <v>288</v>
      </c>
      <c r="B293" s="18" t="n">
        <f aca="false">EDATE(B292,1)</f>
        <v>55032</v>
      </c>
      <c r="C293" s="19" t="n">
        <f aca="false">ROUNDUP(A293/12,0)</f>
        <v>24</v>
      </c>
      <c r="D293" s="26" t="n">
        <f aca="false">J292</f>
        <v>0</v>
      </c>
      <c r="E293" s="26" t="n">
        <f aca="false">IF(D293&lt;=0,0,ROUND(D293*Calculator!$B$7/12,2))</f>
        <v>0</v>
      </c>
      <c r="F293" s="26" t="n">
        <f aca="false">IF(D293&lt;=0,0,ROUND(MIN(D293,Calculator!$H$6-E293),2))</f>
        <v>0</v>
      </c>
      <c r="G293" s="26" t="n">
        <f aca="false">ROUND(IF(A293&gt;=Calculator!$E$11,Calculator!$E$6,0)+IF(A293=Calculator!$E$8,Calculator!$E$7,0)+IF(MONTH(B293)=Calculator!$E$10,Calculator!$E$9,0),2)</f>
        <v>200</v>
      </c>
      <c r="H293" s="26" t="n">
        <f aca="false">IF(D293&lt;=0,0,ROUND(MIN(D293-F293,G293),2))</f>
        <v>0</v>
      </c>
      <c r="I293" s="26" t="n">
        <f aca="false">ROUND(E293+F293+H293,2)</f>
        <v>0</v>
      </c>
      <c r="J293" s="26" t="n">
        <f aca="false">ROUND(MAX(0,D293-F293-H293),2)</f>
        <v>0</v>
      </c>
      <c r="K293" s="26" t="n">
        <f aca="false">ROUND(E293+K292,2)</f>
        <v>379328.97</v>
      </c>
    </row>
    <row r="294" customFormat="false" ht="15" hidden="false" customHeight="true" outlineLevel="0" collapsed="false">
      <c r="A294" s="19" t="n">
        <f aca="false">A293+1</f>
        <v>289</v>
      </c>
      <c r="B294" s="18" t="n">
        <f aca="false">EDATE(B293,1)</f>
        <v>55062</v>
      </c>
      <c r="C294" s="19" t="n">
        <f aca="false">ROUNDUP(A294/12,0)</f>
        <v>25</v>
      </c>
      <c r="D294" s="26" t="n">
        <f aca="false">J293</f>
        <v>0</v>
      </c>
      <c r="E294" s="26" t="n">
        <f aca="false">IF(D294&lt;=0,0,ROUND(D294*Calculator!$B$7/12,2))</f>
        <v>0</v>
      </c>
      <c r="F294" s="26" t="n">
        <f aca="false">IF(D294&lt;=0,0,ROUND(MIN(D294,Calculator!$H$6-E294),2))</f>
        <v>0</v>
      </c>
      <c r="G294" s="26" t="n">
        <f aca="false">ROUND(IF(A294&gt;=Calculator!$E$11,Calculator!$E$6,0)+IF(A294=Calculator!$E$8,Calculator!$E$7,0)+IF(MONTH(B294)=Calculator!$E$10,Calculator!$E$9,0),2)</f>
        <v>200</v>
      </c>
      <c r="H294" s="26" t="n">
        <f aca="false">IF(D294&lt;=0,0,ROUND(MIN(D294-F294,G294),2))</f>
        <v>0</v>
      </c>
      <c r="I294" s="26" t="n">
        <f aca="false">ROUND(E294+F294+H294,2)</f>
        <v>0</v>
      </c>
      <c r="J294" s="26" t="n">
        <f aca="false">ROUND(MAX(0,D294-F294-H294),2)</f>
        <v>0</v>
      </c>
      <c r="K294" s="26" t="n">
        <f aca="false">ROUND(E294+K293,2)</f>
        <v>379328.97</v>
      </c>
    </row>
    <row r="295" customFormat="false" ht="15" hidden="false" customHeight="true" outlineLevel="0" collapsed="false">
      <c r="A295" s="19" t="n">
        <f aca="false">A294+1</f>
        <v>290</v>
      </c>
      <c r="B295" s="18" t="n">
        <f aca="false">EDATE(B294,1)</f>
        <v>55093</v>
      </c>
      <c r="C295" s="19" t="n">
        <f aca="false">ROUNDUP(A295/12,0)</f>
        <v>25</v>
      </c>
      <c r="D295" s="26" t="n">
        <f aca="false">J294</f>
        <v>0</v>
      </c>
      <c r="E295" s="26" t="n">
        <f aca="false">IF(D295&lt;=0,0,ROUND(D295*Calculator!$B$7/12,2))</f>
        <v>0</v>
      </c>
      <c r="F295" s="26" t="n">
        <f aca="false">IF(D295&lt;=0,0,ROUND(MIN(D295,Calculator!$H$6-E295),2))</f>
        <v>0</v>
      </c>
      <c r="G295" s="26" t="n">
        <f aca="false">ROUND(IF(A295&gt;=Calculator!$E$11,Calculator!$E$6,0)+IF(A295=Calculator!$E$8,Calculator!$E$7,0)+IF(MONTH(B295)=Calculator!$E$10,Calculator!$E$9,0),2)</f>
        <v>200</v>
      </c>
      <c r="H295" s="26" t="n">
        <f aca="false">IF(D295&lt;=0,0,ROUND(MIN(D295-F295,G295),2))</f>
        <v>0</v>
      </c>
      <c r="I295" s="26" t="n">
        <f aca="false">ROUND(E295+F295+H295,2)</f>
        <v>0</v>
      </c>
      <c r="J295" s="26" t="n">
        <f aca="false">ROUND(MAX(0,D295-F295-H295),2)</f>
        <v>0</v>
      </c>
      <c r="K295" s="26" t="n">
        <f aca="false">ROUND(E295+K294,2)</f>
        <v>379328.97</v>
      </c>
    </row>
    <row r="296" customFormat="false" ht="15" hidden="false" customHeight="true" outlineLevel="0" collapsed="false">
      <c r="A296" s="19" t="n">
        <f aca="false">A295+1</f>
        <v>291</v>
      </c>
      <c r="B296" s="18" t="n">
        <f aca="false">EDATE(B295,1)</f>
        <v>55123</v>
      </c>
      <c r="C296" s="19" t="n">
        <f aca="false">ROUNDUP(A296/12,0)</f>
        <v>25</v>
      </c>
      <c r="D296" s="26" t="n">
        <f aca="false">J295</f>
        <v>0</v>
      </c>
      <c r="E296" s="26" t="n">
        <f aca="false">IF(D296&lt;=0,0,ROUND(D296*Calculator!$B$7/12,2))</f>
        <v>0</v>
      </c>
      <c r="F296" s="26" t="n">
        <f aca="false">IF(D296&lt;=0,0,ROUND(MIN(D296,Calculator!$H$6-E296),2))</f>
        <v>0</v>
      </c>
      <c r="G296" s="26" t="n">
        <f aca="false">ROUND(IF(A296&gt;=Calculator!$E$11,Calculator!$E$6,0)+IF(A296=Calculator!$E$8,Calculator!$E$7,0)+IF(MONTH(B296)=Calculator!$E$10,Calculator!$E$9,0),2)</f>
        <v>1200</v>
      </c>
      <c r="H296" s="26" t="n">
        <f aca="false">IF(D296&lt;=0,0,ROUND(MIN(D296-F296,G296),2))</f>
        <v>0</v>
      </c>
      <c r="I296" s="26" t="n">
        <f aca="false">ROUND(E296+F296+H296,2)</f>
        <v>0</v>
      </c>
      <c r="J296" s="26" t="n">
        <f aca="false">ROUND(MAX(0,D296-F296-H296),2)</f>
        <v>0</v>
      </c>
      <c r="K296" s="26" t="n">
        <f aca="false">ROUND(E296+K295,2)</f>
        <v>379328.97</v>
      </c>
    </row>
    <row r="297" customFormat="false" ht="15" hidden="false" customHeight="true" outlineLevel="0" collapsed="false">
      <c r="A297" s="19" t="n">
        <f aca="false">A296+1</f>
        <v>292</v>
      </c>
      <c r="B297" s="18" t="n">
        <f aca="false">EDATE(B296,1)</f>
        <v>55154</v>
      </c>
      <c r="C297" s="19" t="n">
        <f aca="false">ROUNDUP(A297/12,0)</f>
        <v>25</v>
      </c>
      <c r="D297" s="26" t="n">
        <f aca="false">J296</f>
        <v>0</v>
      </c>
      <c r="E297" s="26" t="n">
        <f aca="false">IF(D297&lt;=0,0,ROUND(D297*Calculator!$B$7/12,2))</f>
        <v>0</v>
      </c>
      <c r="F297" s="26" t="n">
        <f aca="false">IF(D297&lt;=0,0,ROUND(MIN(D297,Calculator!$H$6-E297),2))</f>
        <v>0</v>
      </c>
      <c r="G297" s="26" t="n">
        <f aca="false">ROUND(IF(A297&gt;=Calculator!$E$11,Calculator!$E$6,0)+IF(A297=Calculator!$E$8,Calculator!$E$7,0)+IF(MONTH(B297)=Calculator!$E$10,Calculator!$E$9,0),2)</f>
        <v>200</v>
      </c>
      <c r="H297" s="26" t="n">
        <f aca="false">IF(D297&lt;=0,0,ROUND(MIN(D297-F297,G297),2))</f>
        <v>0</v>
      </c>
      <c r="I297" s="26" t="n">
        <f aca="false">ROUND(E297+F297+H297,2)</f>
        <v>0</v>
      </c>
      <c r="J297" s="26" t="n">
        <f aca="false">ROUND(MAX(0,D297-F297-H297),2)</f>
        <v>0</v>
      </c>
      <c r="K297" s="26" t="n">
        <f aca="false">ROUND(E297+K296,2)</f>
        <v>379328.97</v>
      </c>
    </row>
    <row r="298" customFormat="false" ht="15" hidden="false" customHeight="true" outlineLevel="0" collapsed="false">
      <c r="A298" s="19" t="n">
        <f aca="false">A297+1</f>
        <v>293</v>
      </c>
      <c r="B298" s="18" t="n">
        <f aca="false">EDATE(B297,1)</f>
        <v>55185</v>
      </c>
      <c r="C298" s="19" t="n">
        <f aca="false">ROUNDUP(A298/12,0)</f>
        <v>25</v>
      </c>
      <c r="D298" s="26" t="n">
        <f aca="false">J297</f>
        <v>0</v>
      </c>
      <c r="E298" s="26" t="n">
        <f aca="false">IF(D298&lt;=0,0,ROUND(D298*Calculator!$B$7/12,2))</f>
        <v>0</v>
      </c>
      <c r="F298" s="26" t="n">
        <f aca="false">IF(D298&lt;=0,0,ROUND(MIN(D298,Calculator!$H$6-E298),2))</f>
        <v>0</v>
      </c>
      <c r="G298" s="26" t="n">
        <f aca="false">ROUND(IF(A298&gt;=Calculator!$E$11,Calculator!$E$6,0)+IF(A298=Calculator!$E$8,Calculator!$E$7,0)+IF(MONTH(B298)=Calculator!$E$10,Calculator!$E$9,0),2)</f>
        <v>200</v>
      </c>
      <c r="H298" s="26" t="n">
        <f aca="false">IF(D298&lt;=0,0,ROUND(MIN(D298-F298,G298),2))</f>
        <v>0</v>
      </c>
      <c r="I298" s="26" t="n">
        <f aca="false">ROUND(E298+F298+H298,2)</f>
        <v>0</v>
      </c>
      <c r="J298" s="26" t="n">
        <f aca="false">ROUND(MAX(0,D298-F298-H298),2)</f>
        <v>0</v>
      </c>
      <c r="K298" s="26" t="n">
        <f aca="false">ROUND(E298+K297,2)</f>
        <v>379328.97</v>
      </c>
    </row>
    <row r="299" customFormat="false" ht="15" hidden="false" customHeight="true" outlineLevel="0" collapsed="false">
      <c r="A299" s="19" t="n">
        <f aca="false">A298+1</f>
        <v>294</v>
      </c>
      <c r="B299" s="18" t="n">
        <f aca="false">EDATE(B298,1)</f>
        <v>55213</v>
      </c>
      <c r="C299" s="19" t="n">
        <f aca="false">ROUNDUP(A299/12,0)</f>
        <v>25</v>
      </c>
      <c r="D299" s="26" t="n">
        <f aca="false">J298</f>
        <v>0</v>
      </c>
      <c r="E299" s="26" t="n">
        <f aca="false">IF(D299&lt;=0,0,ROUND(D299*Calculator!$B$7/12,2))</f>
        <v>0</v>
      </c>
      <c r="F299" s="26" t="n">
        <f aca="false">IF(D299&lt;=0,0,ROUND(MIN(D299,Calculator!$H$6-E299),2))</f>
        <v>0</v>
      </c>
      <c r="G299" s="26" t="n">
        <f aca="false">ROUND(IF(A299&gt;=Calculator!$E$11,Calculator!$E$6,0)+IF(A299=Calculator!$E$8,Calculator!$E$7,0)+IF(MONTH(B299)=Calculator!$E$10,Calculator!$E$9,0),2)</f>
        <v>200</v>
      </c>
      <c r="H299" s="26" t="n">
        <f aca="false">IF(D299&lt;=0,0,ROUND(MIN(D299-F299,G299),2))</f>
        <v>0</v>
      </c>
      <c r="I299" s="26" t="n">
        <f aca="false">ROUND(E299+F299+H299,2)</f>
        <v>0</v>
      </c>
      <c r="J299" s="26" t="n">
        <f aca="false">ROUND(MAX(0,D299-F299-H299),2)</f>
        <v>0</v>
      </c>
      <c r="K299" s="26" t="n">
        <f aca="false">ROUND(E299+K298,2)</f>
        <v>379328.97</v>
      </c>
    </row>
    <row r="300" customFormat="false" ht="15" hidden="false" customHeight="true" outlineLevel="0" collapsed="false">
      <c r="A300" s="19" t="n">
        <f aca="false">A299+1</f>
        <v>295</v>
      </c>
      <c r="B300" s="18" t="n">
        <f aca="false">EDATE(B299,1)</f>
        <v>55244</v>
      </c>
      <c r="C300" s="19" t="n">
        <f aca="false">ROUNDUP(A300/12,0)</f>
        <v>25</v>
      </c>
      <c r="D300" s="26" t="n">
        <f aca="false">J299</f>
        <v>0</v>
      </c>
      <c r="E300" s="26" t="n">
        <f aca="false">IF(D300&lt;=0,0,ROUND(D300*Calculator!$B$7/12,2))</f>
        <v>0</v>
      </c>
      <c r="F300" s="26" t="n">
        <f aca="false">IF(D300&lt;=0,0,ROUND(MIN(D300,Calculator!$H$6-E300),2))</f>
        <v>0</v>
      </c>
      <c r="G300" s="26" t="n">
        <f aca="false">ROUND(IF(A300&gt;=Calculator!$E$11,Calculator!$E$6,0)+IF(A300=Calculator!$E$8,Calculator!$E$7,0)+IF(MONTH(B300)=Calculator!$E$10,Calculator!$E$9,0),2)</f>
        <v>200</v>
      </c>
      <c r="H300" s="26" t="n">
        <f aca="false">IF(D300&lt;=0,0,ROUND(MIN(D300-F300,G300),2))</f>
        <v>0</v>
      </c>
      <c r="I300" s="26" t="n">
        <f aca="false">ROUND(E300+F300+H300,2)</f>
        <v>0</v>
      </c>
      <c r="J300" s="26" t="n">
        <f aca="false">ROUND(MAX(0,D300-F300-H300),2)</f>
        <v>0</v>
      </c>
      <c r="K300" s="26" t="n">
        <f aca="false">ROUND(E300+K299,2)</f>
        <v>379328.97</v>
      </c>
    </row>
    <row r="301" customFormat="false" ht="15" hidden="false" customHeight="true" outlineLevel="0" collapsed="false">
      <c r="A301" s="19" t="n">
        <f aca="false">A300+1</f>
        <v>296</v>
      </c>
      <c r="B301" s="18" t="n">
        <f aca="false">EDATE(B300,1)</f>
        <v>55274</v>
      </c>
      <c r="C301" s="19" t="n">
        <f aca="false">ROUNDUP(A301/12,0)</f>
        <v>25</v>
      </c>
      <c r="D301" s="26" t="n">
        <f aca="false">J300</f>
        <v>0</v>
      </c>
      <c r="E301" s="26" t="n">
        <f aca="false">IF(D301&lt;=0,0,ROUND(D301*Calculator!$B$7/12,2))</f>
        <v>0</v>
      </c>
      <c r="F301" s="26" t="n">
        <f aca="false">IF(D301&lt;=0,0,ROUND(MIN(D301,Calculator!$H$6-E301),2))</f>
        <v>0</v>
      </c>
      <c r="G301" s="26" t="n">
        <f aca="false">ROUND(IF(A301&gt;=Calculator!$E$11,Calculator!$E$6,0)+IF(A301=Calculator!$E$8,Calculator!$E$7,0)+IF(MONTH(B301)=Calculator!$E$10,Calculator!$E$9,0),2)</f>
        <v>200</v>
      </c>
      <c r="H301" s="26" t="n">
        <f aca="false">IF(D301&lt;=0,0,ROUND(MIN(D301-F301,G301),2))</f>
        <v>0</v>
      </c>
      <c r="I301" s="26" t="n">
        <f aca="false">ROUND(E301+F301+H301,2)</f>
        <v>0</v>
      </c>
      <c r="J301" s="26" t="n">
        <f aca="false">ROUND(MAX(0,D301-F301-H301),2)</f>
        <v>0</v>
      </c>
      <c r="K301" s="26" t="n">
        <f aca="false">ROUND(E301+K300,2)</f>
        <v>379328.97</v>
      </c>
    </row>
    <row r="302" customFormat="false" ht="15" hidden="false" customHeight="true" outlineLevel="0" collapsed="false">
      <c r="A302" s="19" t="n">
        <f aca="false">A301+1</f>
        <v>297</v>
      </c>
      <c r="B302" s="18" t="n">
        <f aca="false">EDATE(B301,1)</f>
        <v>55305</v>
      </c>
      <c r="C302" s="19" t="n">
        <f aca="false">ROUNDUP(A302/12,0)</f>
        <v>25</v>
      </c>
      <c r="D302" s="26" t="n">
        <f aca="false">J301</f>
        <v>0</v>
      </c>
      <c r="E302" s="26" t="n">
        <f aca="false">IF(D302&lt;=0,0,ROUND(D302*Calculator!$B$7/12,2))</f>
        <v>0</v>
      </c>
      <c r="F302" s="26" t="n">
        <f aca="false">IF(D302&lt;=0,0,ROUND(MIN(D302,Calculator!$H$6-E302),2))</f>
        <v>0</v>
      </c>
      <c r="G302" s="26" t="n">
        <f aca="false">ROUND(IF(A302&gt;=Calculator!$E$11,Calculator!$E$6,0)+IF(A302=Calculator!$E$8,Calculator!$E$7,0)+IF(MONTH(B302)=Calculator!$E$10,Calculator!$E$9,0),2)</f>
        <v>200</v>
      </c>
      <c r="H302" s="26" t="n">
        <f aca="false">IF(D302&lt;=0,0,ROUND(MIN(D302-F302,G302),2))</f>
        <v>0</v>
      </c>
      <c r="I302" s="26" t="n">
        <f aca="false">ROUND(E302+F302+H302,2)</f>
        <v>0</v>
      </c>
      <c r="J302" s="26" t="n">
        <f aca="false">ROUND(MAX(0,D302-F302-H302),2)</f>
        <v>0</v>
      </c>
      <c r="K302" s="26" t="n">
        <f aca="false">ROUND(E302+K301,2)</f>
        <v>379328.97</v>
      </c>
    </row>
    <row r="303" customFormat="false" ht="15" hidden="false" customHeight="true" outlineLevel="0" collapsed="false">
      <c r="A303" s="19" t="n">
        <f aca="false">A302+1</f>
        <v>298</v>
      </c>
      <c r="B303" s="18" t="n">
        <f aca="false">EDATE(B302,1)</f>
        <v>55335</v>
      </c>
      <c r="C303" s="19" t="n">
        <f aca="false">ROUNDUP(A303/12,0)</f>
        <v>25</v>
      </c>
      <c r="D303" s="26" t="n">
        <f aca="false">J302</f>
        <v>0</v>
      </c>
      <c r="E303" s="26" t="n">
        <f aca="false">IF(D303&lt;=0,0,ROUND(D303*Calculator!$B$7/12,2))</f>
        <v>0</v>
      </c>
      <c r="F303" s="26" t="n">
        <f aca="false">IF(D303&lt;=0,0,ROUND(MIN(D303,Calculator!$H$6-E303),2))</f>
        <v>0</v>
      </c>
      <c r="G303" s="26" t="n">
        <f aca="false">ROUND(IF(A303&gt;=Calculator!$E$11,Calculator!$E$6,0)+IF(A303=Calculator!$E$8,Calculator!$E$7,0)+IF(MONTH(B303)=Calculator!$E$10,Calculator!$E$9,0),2)</f>
        <v>200</v>
      </c>
      <c r="H303" s="26" t="n">
        <f aca="false">IF(D303&lt;=0,0,ROUND(MIN(D303-F303,G303),2))</f>
        <v>0</v>
      </c>
      <c r="I303" s="26" t="n">
        <f aca="false">ROUND(E303+F303+H303,2)</f>
        <v>0</v>
      </c>
      <c r="J303" s="26" t="n">
        <f aca="false">ROUND(MAX(0,D303-F303-H303),2)</f>
        <v>0</v>
      </c>
      <c r="K303" s="26" t="n">
        <f aca="false">ROUND(E303+K302,2)</f>
        <v>379328.97</v>
      </c>
    </row>
    <row r="304" customFormat="false" ht="15" hidden="false" customHeight="true" outlineLevel="0" collapsed="false">
      <c r="A304" s="19" t="n">
        <f aca="false">A303+1</f>
        <v>299</v>
      </c>
      <c r="B304" s="18" t="n">
        <f aca="false">EDATE(B303,1)</f>
        <v>55366</v>
      </c>
      <c r="C304" s="19" t="n">
        <f aca="false">ROUNDUP(A304/12,0)</f>
        <v>25</v>
      </c>
      <c r="D304" s="26" t="n">
        <f aca="false">J303</f>
        <v>0</v>
      </c>
      <c r="E304" s="26" t="n">
        <f aca="false">IF(D304&lt;=0,0,ROUND(D304*Calculator!$B$7/12,2))</f>
        <v>0</v>
      </c>
      <c r="F304" s="26" t="n">
        <f aca="false">IF(D304&lt;=0,0,ROUND(MIN(D304,Calculator!$H$6-E304),2))</f>
        <v>0</v>
      </c>
      <c r="G304" s="26" t="n">
        <f aca="false">ROUND(IF(A304&gt;=Calculator!$E$11,Calculator!$E$6,0)+IF(A304=Calculator!$E$8,Calculator!$E$7,0)+IF(MONTH(B304)=Calculator!$E$10,Calculator!$E$9,0),2)</f>
        <v>200</v>
      </c>
      <c r="H304" s="26" t="n">
        <f aca="false">IF(D304&lt;=0,0,ROUND(MIN(D304-F304,G304),2))</f>
        <v>0</v>
      </c>
      <c r="I304" s="26" t="n">
        <f aca="false">ROUND(E304+F304+H304,2)</f>
        <v>0</v>
      </c>
      <c r="J304" s="26" t="n">
        <f aca="false">ROUND(MAX(0,D304-F304-H304),2)</f>
        <v>0</v>
      </c>
      <c r="K304" s="26" t="n">
        <f aca="false">ROUND(E304+K303,2)</f>
        <v>379328.97</v>
      </c>
    </row>
    <row r="305" customFormat="false" ht="15" hidden="false" customHeight="true" outlineLevel="0" collapsed="false">
      <c r="A305" s="19" t="n">
        <f aca="false">A304+1</f>
        <v>300</v>
      </c>
      <c r="B305" s="18" t="n">
        <f aca="false">EDATE(B304,1)</f>
        <v>55397</v>
      </c>
      <c r="C305" s="19" t="n">
        <f aca="false">ROUNDUP(A305/12,0)</f>
        <v>25</v>
      </c>
      <c r="D305" s="26" t="n">
        <f aca="false">J304</f>
        <v>0</v>
      </c>
      <c r="E305" s="26" t="n">
        <f aca="false">IF(D305&lt;=0,0,ROUND(D305*Calculator!$B$7/12,2))</f>
        <v>0</v>
      </c>
      <c r="F305" s="26" t="n">
        <f aca="false">IF(D305&lt;=0,0,ROUND(MIN(D305,Calculator!$H$6-E305),2))</f>
        <v>0</v>
      </c>
      <c r="G305" s="26" t="n">
        <f aca="false">ROUND(IF(A305&gt;=Calculator!$E$11,Calculator!$E$6,0)+IF(A305=Calculator!$E$8,Calculator!$E$7,0)+IF(MONTH(B305)=Calculator!$E$10,Calculator!$E$9,0),2)</f>
        <v>200</v>
      </c>
      <c r="H305" s="26" t="n">
        <f aca="false">IF(D305&lt;=0,0,ROUND(MIN(D305-F305,G305),2))</f>
        <v>0</v>
      </c>
      <c r="I305" s="26" t="n">
        <f aca="false">ROUND(E305+F305+H305,2)</f>
        <v>0</v>
      </c>
      <c r="J305" s="26" t="n">
        <f aca="false">ROUND(MAX(0,D305-F305-H305),2)</f>
        <v>0</v>
      </c>
      <c r="K305" s="26" t="n">
        <f aca="false">ROUND(E305+K304,2)</f>
        <v>379328.97</v>
      </c>
    </row>
    <row r="306" customFormat="false" ht="15" hidden="false" customHeight="true" outlineLevel="0" collapsed="false">
      <c r="A306" s="19" t="n">
        <f aca="false">A305+1</f>
        <v>301</v>
      </c>
      <c r="B306" s="18" t="n">
        <f aca="false">EDATE(B305,1)</f>
        <v>55427</v>
      </c>
      <c r="C306" s="19" t="n">
        <f aca="false">ROUNDUP(A306/12,0)</f>
        <v>26</v>
      </c>
      <c r="D306" s="26" t="n">
        <f aca="false">J305</f>
        <v>0</v>
      </c>
      <c r="E306" s="26" t="n">
        <f aca="false">IF(D306&lt;=0,0,ROUND(D306*Calculator!$B$7/12,2))</f>
        <v>0</v>
      </c>
      <c r="F306" s="26" t="n">
        <f aca="false">IF(D306&lt;=0,0,ROUND(MIN(D306,Calculator!$H$6-E306),2))</f>
        <v>0</v>
      </c>
      <c r="G306" s="26" t="n">
        <f aca="false">ROUND(IF(A306&gt;=Calculator!$E$11,Calculator!$E$6,0)+IF(A306=Calculator!$E$8,Calculator!$E$7,0)+IF(MONTH(B306)=Calculator!$E$10,Calculator!$E$9,0),2)</f>
        <v>200</v>
      </c>
      <c r="H306" s="26" t="n">
        <f aca="false">IF(D306&lt;=0,0,ROUND(MIN(D306-F306,G306),2))</f>
        <v>0</v>
      </c>
      <c r="I306" s="26" t="n">
        <f aca="false">ROUND(E306+F306+H306,2)</f>
        <v>0</v>
      </c>
      <c r="J306" s="26" t="n">
        <f aca="false">ROUND(MAX(0,D306-F306-H306),2)</f>
        <v>0</v>
      </c>
      <c r="K306" s="26" t="n">
        <f aca="false">ROUND(E306+K305,2)</f>
        <v>379328.97</v>
      </c>
    </row>
    <row r="307" customFormat="false" ht="15" hidden="false" customHeight="true" outlineLevel="0" collapsed="false">
      <c r="A307" s="19" t="n">
        <f aca="false">A306+1</f>
        <v>302</v>
      </c>
      <c r="B307" s="18" t="n">
        <f aca="false">EDATE(B306,1)</f>
        <v>55458</v>
      </c>
      <c r="C307" s="19" t="n">
        <f aca="false">ROUNDUP(A307/12,0)</f>
        <v>26</v>
      </c>
      <c r="D307" s="26" t="n">
        <f aca="false">J306</f>
        <v>0</v>
      </c>
      <c r="E307" s="26" t="n">
        <f aca="false">IF(D307&lt;=0,0,ROUND(D307*Calculator!$B$7/12,2))</f>
        <v>0</v>
      </c>
      <c r="F307" s="26" t="n">
        <f aca="false">IF(D307&lt;=0,0,ROUND(MIN(D307,Calculator!$H$6-E307),2))</f>
        <v>0</v>
      </c>
      <c r="G307" s="26" t="n">
        <f aca="false">ROUND(IF(A307&gt;=Calculator!$E$11,Calculator!$E$6,0)+IF(A307=Calculator!$E$8,Calculator!$E$7,0)+IF(MONTH(B307)=Calculator!$E$10,Calculator!$E$9,0),2)</f>
        <v>200</v>
      </c>
      <c r="H307" s="26" t="n">
        <f aca="false">IF(D307&lt;=0,0,ROUND(MIN(D307-F307,G307),2))</f>
        <v>0</v>
      </c>
      <c r="I307" s="26" t="n">
        <f aca="false">ROUND(E307+F307+H307,2)</f>
        <v>0</v>
      </c>
      <c r="J307" s="26" t="n">
        <f aca="false">ROUND(MAX(0,D307-F307-H307),2)</f>
        <v>0</v>
      </c>
      <c r="K307" s="26" t="n">
        <f aca="false">ROUND(E307+K306,2)</f>
        <v>379328.97</v>
      </c>
    </row>
    <row r="308" customFormat="false" ht="15" hidden="false" customHeight="true" outlineLevel="0" collapsed="false">
      <c r="A308" s="19" t="n">
        <f aca="false">A307+1</f>
        <v>303</v>
      </c>
      <c r="B308" s="18" t="n">
        <f aca="false">EDATE(B307,1)</f>
        <v>55488</v>
      </c>
      <c r="C308" s="19" t="n">
        <f aca="false">ROUNDUP(A308/12,0)</f>
        <v>26</v>
      </c>
      <c r="D308" s="26" t="n">
        <f aca="false">J307</f>
        <v>0</v>
      </c>
      <c r="E308" s="26" t="n">
        <f aca="false">IF(D308&lt;=0,0,ROUND(D308*Calculator!$B$7/12,2))</f>
        <v>0</v>
      </c>
      <c r="F308" s="26" t="n">
        <f aca="false">IF(D308&lt;=0,0,ROUND(MIN(D308,Calculator!$H$6-E308),2))</f>
        <v>0</v>
      </c>
      <c r="G308" s="26" t="n">
        <f aca="false">ROUND(IF(A308&gt;=Calculator!$E$11,Calculator!$E$6,0)+IF(A308=Calculator!$E$8,Calculator!$E$7,0)+IF(MONTH(B308)=Calculator!$E$10,Calculator!$E$9,0),2)</f>
        <v>1200</v>
      </c>
      <c r="H308" s="26" t="n">
        <f aca="false">IF(D308&lt;=0,0,ROUND(MIN(D308-F308,G308),2))</f>
        <v>0</v>
      </c>
      <c r="I308" s="26" t="n">
        <f aca="false">ROUND(E308+F308+H308,2)</f>
        <v>0</v>
      </c>
      <c r="J308" s="26" t="n">
        <f aca="false">ROUND(MAX(0,D308-F308-H308),2)</f>
        <v>0</v>
      </c>
      <c r="K308" s="26" t="n">
        <f aca="false">ROUND(E308+K307,2)</f>
        <v>379328.97</v>
      </c>
    </row>
    <row r="309" customFormat="false" ht="15" hidden="false" customHeight="true" outlineLevel="0" collapsed="false">
      <c r="A309" s="19" t="n">
        <f aca="false">A308+1</f>
        <v>304</v>
      </c>
      <c r="B309" s="18" t="n">
        <f aca="false">EDATE(B308,1)</f>
        <v>55519</v>
      </c>
      <c r="C309" s="19" t="n">
        <f aca="false">ROUNDUP(A309/12,0)</f>
        <v>26</v>
      </c>
      <c r="D309" s="26" t="n">
        <f aca="false">J308</f>
        <v>0</v>
      </c>
      <c r="E309" s="26" t="n">
        <f aca="false">IF(D309&lt;=0,0,ROUND(D309*Calculator!$B$7/12,2))</f>
        <v>0</v>
      </c>
      <c r="F309" s="26" t="n">
        <f aca="false">IF(D309&lt;=0,0,ROUND(MIN(D309,Calculator!$H$6-E309),2))</f>
        <v>0</v>
      </c>
      <c r="G309" s="26" t="n">
        <f aca="false">ROUND(IF(A309&gt;=Calculator!$E$11,Calculator!$E$6,0)+IF(A309=Calculator!$E$8,Calculator!$E$7,0)+IF(MONTH(B309)=Calculator!$E$10,Calculator!$E$9,0),2)</f>
        <v>200</v>
      </c>
      <c r="H309" s="26" t="n">
        <f aca="false">IF(D309&lt;=0,0,ROUND(MIN(D309-F309,G309),2))</f>
        <v>0</v>
      </c>
      <c r="I309" s="26" t="n">
        <f aca="false">ROUND(E309+F309+H309,2)</f>
        <v>0</v>
      </c>
      <c r="J309" s="26" t="n">
        <f aca="false">ROUND(MAX(0,D309-F309-H309),2)</f>
        <v>0</v>
      </c>
      <c r="K309" s="26" t="n">
        <f aca="false">ROUND(E309+K308,2)</f>
        <v>379328.97</v>
      </c>
    </row>
    <row r="310" customFormat="false" ht="15" hidden="false" customHeight="true" outlineLevel="0" collapsed="false">
      <c r="A310" s="19" t="n">
        <f aca="false">A309+1</f>
        <v>305</v>
      </c>
      <c r="B310" s="18" t="n">
        <f aca="false">EDATE(B309,1)</f>
        <v>55550</v>
      </c>
      <c r="C310" s="19" t="n">
        <f aca="false">ROUNDUP(A310/12,0)</f>
        <v>26</v>
      </c>
      <c r="D310" s="26" t="n">
        <f aca="false">J309</f>
        <v>0</v>
      </c>
      <c r="E310" s="26" t="n">
        <f aca="false">IF(D310&lt;=0,0,ROUND(D310*Calculator!$B$7/12,2))</f>
        <v>0</v>
      </c>
      <c r="F310" s="26" t="n">
        <f aca="false">IF(D310&lt;=0,0,ROUND(MIN(D310,Calculator!$H$6-E310),2))</f>
        <v>0</v>
      </c>
      <c r="G310" s="26" t="n">
        <f aca="false">ROUND(IF(A310&gt;=Calculator!$E$11,Calculator!$E$6,0)+IF(A310=Calculator!$E$8,Calculator!$E$7,0)+IF(MONTH(B310)=Calculator!$E$10,Calculator!$E$9,0),2)</f>
        <v>200</v>
      </c>
      <c r="H310" s="26" t="n">
        <f aca="false">IF(D310&lt;=0,0,ROUND(MIN(D310-F310,G310),2))</f>
        <v>0</v>
      </c>
      <c r="I310" s="26" t="n">
        <f aca="false">ROUND(E310+F310+H310,2)</f>
        <v>0</v>
      </c>
      <c r="J310" s="26" t="n">
        <f aca="false">ROUND(MAX(0,D310-F310-H310),2)</f>
        <v>0</v>
      </c>
      <c r="K310" s="26" t="n">
        <f aca="false">ROUND(E310+K309,2)</f>
        <v>379328.97</v>
      </c>
    </row>
    <row r="311" customFormat="false" ht="15" hidden="false" customHeight="true" outlineLevel="0" collapsed="false">
      <c r="A311" s="19" t="n">
        <f aca="false">A310+1</f>
        <v>306</v>
      </c>
      <c r="B311" s="18" t="n">
        <f aca="false">EDATE(B310,1)</f>
        <v>55579</v>
      </c>
      <c r="C311" s="19" t="n">
        <f aca="false">ROUNDUP(A311/12,0)</f>
        <v>26</v>
      </c>
      <c r="D311" s="26" t="n">
        <f aca="false">J310</f>
        <v>0</v>
      </c>
      <c r="E311" s="26" t="n">
        <f aca="false">IF(D311&lt;=0,0,ROUND(D311*Calculator!$B$7/12,2))</f>
        <v>0</v>
      </c>
      <c r="F311" s="26" t="n">
        <f aca="false">IF(D311&lt;=0,0,ROUND(MIN(D311,Calculator!$H$6-E311),2))</f>
        <v>0</v>
      </c>
      <c r="G311" s="26" t="n">
        <f aca="false">ROUND(IF(A311&gt;=Calculator!$E$11,Calculator!$E$6,0)+IF(A311=Calculator!$E$8,Calculator!$E$7,0)+IF(MONTH(B311)=Calculator!$E$10,Calculator!$E$9,0),2)</f>
        <v>200</v>
      </c>
      <c r="H311" s="26" t="n">
        <f aca="false">IF(D311&lt;=0,0,ROUND(MIN(D311-F311,G311),2))</f>
        <v>0</v>
      </c>
      <c r="I311" s="26" t="n">
        <f aca="false">ROUND(E311+F311+H311,2)</f>
        <v>0</v>
      </c>
      <c r="J311" s="26" t="n">
        <f aca="false">ROUND(MAX(0,D311-F311-H311),2)</f>
        <v>0</v>
      </c>
      <c r="K311" s="26" t="n">
        <f aca="false">ROUND(E311+K310,2)</f>
        <v>379328.97</v>
      </c>
    </row>
    <row r="312" customFormat="false" ht="15" hidden="false" customHeight="true" outlineLevel="0" collapsed="false">
      <c r="A312" s="19" t="n">
        <f aca="false">A311+1</f>
        <v>307</v>
      </c>
      <c r="B312" s="18" t="n">
        <f aca="false">EDATE(B311,1)</f>
        <v>55610</v>
      </c>
      <c r="C312" s="19" t="n">
        <f aca="false">ROUNDUP(A312/12,0)</f>
        <v>26</v>
      </c>
      <c r="D312" s="26" t="n">
        <f aca="false">J311</f>
        <v>0</v>
      </c>
      <c r="E312" s="26" t="n">
        <f aca="false">IF(D312&lt;=0,0,ROUND(D312*Calculator!$B$7/12,2))</f>
        <v>0</v>
      </c>
      <c r="F312" s="26" t="n">
        <f aca="false">IF(D312&lt;=0,0,ROUND(MIN(D312,Calculator!$H$6-E312),2))</f>
        <v>0</v>
      </c>
      <c r="G312" s="26" t="n">
        <f aca="false">ROUND(IF(A312&gt;=Calculator!$E$11,Calculator!$E$6,0)+IF(A312=Calculator!$E$8,Calculator!$E$7,0)+IF(MONTH(B312)=Calculator!$E$10,Calculator!$E$9,0),2)</f>
        <v>200</v>
      </c>
      <c r="H312" s="26" t="n">
        <f aca="false">IF(D312&lt;=0,0,ROUND(MIN(D312-F312,G312),2))</f>
        <v>0</v>
      </c>
      <c r="I312" s="26" t="n">
        <f aca="false">ROUND(E312+F312+H312,2)</f>
        <v>0</v>
      </c>
      <c r="J312" s="26" t="n">
        <f aca="false">ROUND(MAX(0,D312-F312-H312),2)</f>
        <v>0</v>
      </c>
      <c r="K312" s="26" t="n">
        <f aca="false">ROUND(E312+K311,2)</f>
        <v>379328.97</v>
      </c>
    </row>
    <row r="313" customFormat="false" ht="15" hidden="false" customHeight="true" outlineLevel="0" collapsed="false">
      <c r="A313" s="19" t="n">
        <f aca="false">A312+1</f>
        <v>308</v>
      </c>
      <c r="B313" s="18" t="n">
        <f aca="false">EDATE(B312,1)</f>
        <v>55640</v>
      </c>
      <c r="C313" s="19" t="n">
        <f aca="false">ROUNDUP(A313/12,0)</f>
        <v>26</v>
      </c>
      <c r="D313" s="26" t="n">
        <f aca="false">J312</f>
        <v>0</v>
      </c>
      <c r="E313" s="26" t="n">
        <f aca="false">IF(D313&lt;=0,0,ROUND(D313*Calculator!$B$7/12,2))</f>
        <v>0</v>
      </c>
      <c r="F313" s="26" t="n">
        <f aca="false">IF(D313&lt;=0,0,ROUND(MIN(D313,Calculator!$H$6-E313),2))</f>
        <v>0</v>
      </c>
      <c r="G313" s="26" t="n">
        <f aca="false">ROUND(IF(A313&gt;=Calculator!$E$11,Calculator!$E$6,0)+IF(A313=Calculator!$E$8,Calculator!$E$7,0)+IF(MONTH(B313)=Calculator!$E$10,Calculator!$E$9,0),2)</f>
        <v>200</v>
      </c>
      <c r="H313" s="26" t="n">
        <f aca="false">IF(D313&lt;=0,0,ROUND(MIN(D313-F313,G313),2))</f>
        <v>0</v>
      </c>
      <c r="I313" s="26" t="n">
        <f aca="false">ROUND(E313+F313+H313,2)</f>
        <v>0</v>
      </c>
      <c r="J313" s="26" t="n">
        <f aca="false">ROUND(MAX(0,D313-F313-H313),2)</f>
        <v>0</v>
      </c>
      <c r="K313" s="26" t="n">
        <f aca="false">ROUND(E313+K312,2)</f>
        <v>379328.97</v>
      </c>
    </row>
    <row r="314" customFormat="false" ht="15" hidden="false" customHeight="true" outlineLevel="0" collapsed="false">
      <c r="A314" s="19" t="n">
        <f aca="false">A313+1</f>
        <v>309</v>
      </c>
      <c r="B314" s="18" t="n">
        <f aca="false">EDATE(B313,1)</f>
        <v>55671</v>
      </c>
      <c r="C314" s="19" t="n">
        <f aca="false">ROUNDUP(A314/12,0)</f>
        <v>26</v>
      </c>
      <c r="D314" s="26" t="n">
        <f aca="false">J313</f>
        <v>0</v>
      </c>
      <c r="E314" s="26" t="n">
        <f aca="false">IF(D314&lt;=0,0,ROUND(D314*Calculator!$B$7/12,2))</f>
        <v>0</v>
      </c>
      <c r="F314" s="26" t="n">
        <f aca="false">IF(D314&lt;=0,0,ROUND(MIN(D314,Calculator!$H$6-E314),2))</f>
        <v>0</v>
      </c>
      <c r="G314" s="26" t="n">
        <f aca="false">ROUND(IF(A314&gt;=Calculator!$E$11,Calculator!$E$6,0)+IF(A314=Calculator!$E$8,Calculator!$E$7,0)+IF(MONTH(B314)=Calculator!$E$10,Calculator!$E$9,0),2)</f>
        <v>200</v>
      </c>
      <c r="H314" s="26" t="n">
        <f aca="false">IF(D314&lt;=0,0,ROUND(MIN(D314-F314,G314),2))</f>
        <v>0</v>
      </c>
      <c r="I314" s="26" t="n">
        <f aca="false">ROUND(E314+F314+H314,2)</f>
        <v>0</v>
      </c>
      <c r="J314" s="26" t="n">
        <f aca="false">ROUND(MAX(0,D314-F314-H314),2)</f>
        <v>0</v>
      </c>
      <c r="K314" s="26" t="n">
        <f aca="false">ROUND(E314+K313,2)</f>
        <v>379328.97</v>
      </c>
    </row>
    <row r="315" customFormat="false" ht="15" hidden="false" customHeight="true" outlineLevel="0" collapsed="false">
      <c r="A315" s="19" t="n">
        <f aca="false">A314+1</f>
        <v>310</v>
      </c>
      <c r="B315" s="18" t="n">
        <f aca="false">EDATE(B314,1)</f>
        <v>55701</v>
      </c>
      <c r="C315" s="19" t="n">
        <f aca="false">ROUNDUP(A315/12,0)</f>
        <v>26</v>
      </c>
      <c r="D315" s="26" t="n">
        <f aca="false">J314</f>
        <v>0</v>
      </c>
      <c r="E315" s="26" t="n">
        <f aca="false">IF(D315&lt;=0,0,ROUND(D315*Calculator!$B$7/12,2))</f>
        <v>0</v>
      </c>
      <c r="F315" s="26" t="n">
        <f aca="false">IF(D315&lt;=0,0,ROUND(MIN(D315,Calculator!$H$6-E315),2))</f>
        <v>0</v>
      </c>
      <c r="G315" s="26" t="n">
        <f aca="false">ROUND(IF(A315&gt;=Calculator!$E$11,Calculator!$E$6,0)+IF(A315=Calculator!$E$8,Calculator!$E$7,0)+IF(MONTH(B315)=Calculator!$E$10,Calculator!$E$9,0),2)</f>
        <v>200</v>
      </c>
      <c r="H315" s="26" t="n">
        <f aca="false">IF(D315&lt;=0,0,ROUND(MIN(D315-F315,G315),2))</f>
        <v>0</v>
      </c>
      <c r="I315" s="26" t="n">
        <f aca="false">ROUND(E315+F315+H315,2)</f>
        <v>0</v>
      </c>
      <c r="J315" s="26" t="n">
        <f aca="false">ROUND(MAX(0,D315-F315-H315),2)</f>
        <v>0</v>
      </c>
      <c r="K315" s="26" t="n">
        <f aca="false">ROUND(E315+K314,2)</f>
        <v>379328.97</v>
      </c>
    </row>
    <row r="316" customFormat="false" ht="15" hidden="false" customHeight="true" outlineLevel="0" collapsed="false">
      <c r="A316" s="19" t="n">
        <f aca="false">A315+1</f>
        <v>311</v>
      </c>
      <c r="B316" s="18" t="n">
        <f aca="false">EDATE(B315,1)</f>
        <v>55732</v>
      </c>
      <c r="C316" s="19" t="n">
        <f aca="false">ROUNDUP(A316/12,0)</f>
        <v>26</v>
      </c>
      <c r="D316" s="26" t="n">
        <f aca="false">J315</f>
        <v>0</v>
      </c>
      <c r="E316" s="26" t="n">
        <f aca="false">IF(D316&lt;=0,0,ROUND(D316*Calculator!$B$7/12,2))</f>
        <v>0</v>
      </c>
      <c r="F316" s="26" t="n">
        <f aca="false">IF(D316&lt;=0,0,ROUND(MIN(D316,Calculator!$H$6-E316),2))</f>
        <v>0</v>
      </c>
      <c r="G316" s="26" t="n">
        <f aca="false">ROUND(IF(A316&gt;=Calculator!$E$11,Calculator!$E$6,0)+IF(A316=Calculator!$E$8,Calculator!$E$7,0)+IF(MONTH(B316)=Calculator!$E$10,Calculator!$E$9,0),2)</f>
        <v>200</v>
      </c>
      <c r="H316" s="26" t="n">
        <f aca="false">IF(D316&lt;=0,0,ROUND(MIN(D316-F316,G316),2))</f>
        <v>0</v>
      </c>
      <c r="I316" s="26" t="n">
        <f aca="false">ROUND(E316+F316+H316,2)</f>
        <v>0</v>
      </c>
      <c r="J316" s="26" t="n">
        <f aca="false">ROUND(MAX(0,D316-F316-H316),2)</f>
        <v>0</v>
      </c>
      <c r="K316" s="26" t="n">
        <f aca="false">ROUND(E316+K315,2)</f>
        <v>379328.97</v>
      </c>
    </row>
    <row r="317" customFormat="false" ht="15" hidden="false" customHeight="true" outlineLevel="0" collapsed="false">
      <c r="A317" s="19" t="n">
        <f aca="false">A316+1</f>
        <v>312</v>
      </c>
      <c r="B317" s="18" t="n">
        <f aca="false">EDATE(B316,1)</f>
        <v>55763</v>
      </c>
      <c r="C317" s="19" t="n">
        <f aca="false">ROUNDUP(A317/12,0)</f>
        <v>26</v>
      </c>
      <c r="D317" s="26" t="n">
        <f aca="false">J316</f>
        <v>0</v>
      </c>
      <c r="E317" s="26" t="n">
        <f aca="false">IF(D317&lt;=0,0,ROUND(D317*Calculator!$B$7/12,2))</f>
        <v>0</v>
      </c>
      <c r="F317" s="26" t="n">
        <f aca="false">IF(D317&lt;=0,0,ROUND(MIN(D317,Calculator!$H$6-E317),2))</f>
        <v>0</v>
      </c>
      <c r="G317" s="26" t="n">
        <f aca="false">ROUND(IF(A317&gt;=Calculator!$E$11,Calculator!$E$6,0)+IF(A317=Calculator!$E$8,Calculator!$E$7,0)+IF(MONTH(B317)=Calculator!$E$10,Calculator!$E$9,0),2)</f>
        <v>200</v>
      </c>
      <c r="H317" s="26" t="n">
        <f aca="false">IF(D317&lt;=0,0,ROUND(MIN(D317-F317,G317),2))</f>
        <v>0</v>
      </c>
      <c r="I317" s="26" t="n">
        <f aca="false">ROUND(E317+F317+H317,2)</f>
        <v>0</v>
      </c>
      <c r="J317" s="26" t="n">
        <f aca="false">ROUND(MAX(0,D317-F317-H317),2)</f>
        <v>0</v>
      </c>
      <c r="K317" s="26" t="n">
        <f aca="false">ROUND(E317+K316,2)</f>
        <v>379328.97</v>
      </c>
    </row>
    <row r="318" customFormat="false" ht="15" hidden="false" customHeight="true" outlineLevel="0" collapsed="false">
      <c r="A318" s="19" t="n">
        <f aca="false">A317+1</f>
        <v>313</v>
      </c>
      <c r="B318" s="18" t="n">
        <f aca="false">EDATE(B317,1)</f>
        <v>55793</v>
      </c>
      <c r="C318" s="19" t="n">
        <f aca="false">ROUNDUP(A318/12,0)</f>
        <v>27</v>
      </c>
      <c r="D318" s="26" t="n">
        <f aca="false">J317</f>
        <v>0</v>
      </c>
      <c r="E318" s="26" t="n">
        <f aca="false">IF(D318&lt;=0,0,ROUND(D318*Calculator!$B$7/12,2))</f>
        <v>0</v>
      </c>
      <c r="F318" s="26" t="n">
        <f aca="false">IF(D318&lt;=0,0,ROUND(MIN(D318,Calculator!$H$6-E318),2))</f>
        <v>0</v>
      </c>
      <c r="G318" s="26" t="n">
        <f aca="false">ROUND(IF(A318&gt;=Calculator!$E$11,Calculator!$E$6,0)+IF(A318=Calculator!$E$8,Calculator!$E$7,0)+IF(MONTH(B318)=Calculator!$E$10,Calculator!$E$9,0),2)</f>
        <v>200</v>
      </c>
      <c r="H318" s="26" t="n">
        <f aca="false">IF(D318&lt;=0,0,ROUND(MIN(D318-F318,G318),2))</f>
        <v>0</v>
      </c>
      <c r="I318" s="26" t="n">
        <f aca="false">ROUND(E318+F318+H318,2)</f>
        <v>0</v>
      </c>
      <c r="J318" s="26" t="n">
        <f aca="false">ROUND(MAX(0,D318-F318-H318),2)</f>
        <v>0</v>
      </c>
      <c r="K318" s="26" t="n">
        <f aca="false">ROUND(E318+K317,2)</f>
        <v>379328.97</v>
      </c>
    </row>
    <row r="319" customFormat="false" ht="15" hidden="false" customHeight="true" outlineLevel="0" collapsed="false">
      <c r="A319" s="19" t="n">
        <f aca="false">A318+1</f>
        <v>314</v>
      </c>
      <c r="B319" s="18" t="n">
        <f aca="false">EDATE(B318,1)</f>
        <v>55824</v>
      </c>
      <c r="C319" s="19" t="n">
        <f aca="false">ROUNDUP(A319/12,0)</f>
        <v>27</v>
      </c>
      <c r="D319" s="26" t="n">
        <f aca="false">J318</f>
        <v>0</v>
      </c>
      <c r="E319" s="26" t="n">
        <f aca="false">IF(D319&lt;=0,0,ROUND(D319*Calculator!$B$7/12,2))</f>
        <v>0</v>
      </c>
      <c r="F319" s="26" t="n">
        <f aca="false">IF(D319&lt;=0,0,ROUND(MIN(D319,Calculator!$H$6-E319),2))</f>
        <v>0</v>
      </c>
      <c r="G319" s="26" t="n">
        <f aca="false">ROUND(IF(A319&gt;=Calculator!$E$11,Calculator!$E$6,0)+IF(A319=Calculator!$E$8,Calculator!$E$7,0)+IF(MONTH(B319)=Calculator!$E$10,Calculator!$E$9,0),2)</f>
        <v>200</v>
      </c>
      <c r="H319" s="26" t="n">
        <f aca="false">IF(D319&lt;=0,0,ROUND(MIN(D319-F319,G319),2))</f>
        <v>0</v>
      </c>
      <c r="I319" s="26" t="n">
        <f aca="false">ROUND(E319+F319+H319,2)</f>
        <v>0</v>
      </c>
      <c r="J319" s="26" t="n">
        <f aca="false">ROUND(MAX(0,D319-F319-H319),2)</f>
        <v>0</v>
      </c>
      <c r="K319" s="26" t="n">
        <f aca="false">ROUND(E319+K318,2)</f>
        <v>379328.97</v>
      </c>
    </row>
    <row r="320" customFormat="false" ht="15" hidden="false" customHeight="true" outlineLevel="0" collapsed="false">
      <c r="A320" s="19" t="n">
        <f aca="false">A319+1</f>
        <v>315</v>
      </c>
      <c r="B320" s="18" t="n">
        <f aca="false">EDATE(B319,1)</f>
        <v>55854</v>
      </c>
      <c r="C320" s="19" t="n">
        <f aca="false">ROUNDUP(A320/12,0)</f>
        <v>27</v>
      </c>
      <c r="D320" s="26" t="n">
        <f aca="false">J319</f>
        <v>0</v>
      </c>
      <c r="E320" s="26" t="n">
        <f aca="false">IF(D320&lt;=0,0,ROUND(D320*Calculator!$B$7/12,2))</f>
        <v>0</v>
      </c>
      <c r="F320" s="26" t="n">
        <f aca="false">IF(D320&lt;=0,0,ROUND(MIN(D320,Calculator!$H$6-E320),2))</f>
        <v>0</v>
      </c>
      <c r="G320" s="26" t="n">
        <f aca="false">ROUND(IF(A320&gt;=Calculator!$E$11,Calculator!$E$6,0)+IF(A320=Calculator!$E$8,Calculator!$E$7,0)+IF(MONTH(B320)=Calculator!$E$10,Calculator!$E$9,0),2)</f>
        <v>1200</v>
      </c>
      <c r="H320" s="26" t="n">
        <f aca="false">IF(D320&lt;=0,0,ROUND(MIN(D320-F320,G320),2))</f>
        <v>0</v>
      </c>
      <c r="I320" s="26" t="n">
        <f aca="false">ROUND(E320+F320+H320,2)</f>
        <v>0</v>
      </c>
      <c r="J320" s="26" t="n">
        <f aca="false">ROUND(MAX(0,D320-F320-H320),2)</f>
        <v>0</v>
      </c>
      <c r="K320" s="26" t="n">
        <f aca="false">ROUND(E320+K319,2)</f>
        <v>379328.97</v>
      </c>
    </row>
    <row r="321" customFormat="false" ht="15" hidden="false" customHeight="true" outlineLevel="0" collapsed="false">
      <c r="A321" s="19" t="n">
        <f aca="false">A320+1</f>
        <v>316</v>
      </c>
      <c r="B321" s="18" t="n">
        <f aca="false">EDATE(B320,1)</f>
        <v>55885</v>
      </c>
      <c r="C321" s="19" t="n">
        <f aca="false">ROUNDUP(A321/12,0)</f>
        <v>27</v>
      </c>
      <c r="D321" s="26" t="n">
        <f aca="false">J320</f>
        <v>0</v>
      </c>
      <c r="E321" s="26" t="n">
        <f aca="false">IF(D321&lt;=0,0,ROUND(D321*Calculator!$B$7/12,2))</f>
        <v>0</v>
      </c>
      <c r="F321" s="26" t="n">
        <f aca="false">IF(D321&lt;=0,0,ROUND(MIN(D321,Calculator!$H$6-E321),2))</f>
        <v>0</v>
      </c>
      <c r="G321" s="26" t="n">
        <f aca="false">ROUND(IF(A321&gt;=Calculator!$E$11,Calculator!$E$6,0)+IF(A321=Calculator!$E$8,Calculator!$E$7,0)+IF(MONTH(B321)=Calculator!$E$10,Calculator!$E$9,0),2)</f>
        <v>200</v>
      </c>
      <c r="H321" s="26" t="n">
        <f aca="false">IF(D321&lt;=0,0,ROUND(MIN(D321-F321,G321),2))</f>
        <v>0</v>
      </c>
      <c r="I321" s="26" t="n">
        <f aca="false">ROUND(E321+F321+H321,2)</f>
        <v>0</v>
      </c>
      <c r="J321" s="26" t="n">
        <f aca="false">ROUND(MAX(0,D321-F321-H321),2)</f>
        <v>0</v>
      </c>
      <c r="K321" s="26" t="n">
        <f aca="false">ROUND(E321+K320,2)</f>
        <v>379328.97</v>
      </c>
    </row>
    <row r="322" customFormat="false" ht="15" hidden="false" customHeight="true" outlineLevel="0" collapsed="false">
      <c r="A322" s="19" t="n">
        <f aca="false">A321+1</f>
        <v>317</v>
      </c>
      <c r="B322" s="18" t="n">
        <f aca="false">EDATE(B321,1)</f>
        <v>55916</v>
      </c>
      <c r="C322" s="19" t="n">
        <f aca="false">ROUNDUP(A322/12,0)</f>
        <v>27</v>
      </c>
      <c r="D322" s="26" t="n">
        <f aca="false">J321</f>
        <v>0</v>
      </c>
      <c r="E322" s="26" t="n">
        <f aca="false">IF(D322&lt;=0,0,ROUND(D322*Calculator!$B$7/12,2))</f>
        <v>0</v>
      </c>
      <c r="F322" s="26" t="n">
        <f aca="false">IF(D322&lt;=0,0,ROUND(MIN(D322,Calculator!$H$6-E322),2))</f>
        <v>0</v>
      </c>
      <c r="G322" s="26" t="n">
        <f aca="false">ROUND(IF(A322&gt;=Calculator!$E$11,Calculator!$E$6,0)+IF(A322=Calculator!$E$8,Calculator!$E$7,0)+IF(MONTH(B322)=Calculator!$E$10,Calculator!$E$9,0),2)</f>
        <v>200</v>
      </c>
      <c r="H322" s="26" t="n">
        <f aca="false">IF(D322&lt;=0,0,ROUND(MIN(D322-F322,G322),2))</f>
        <v>0</v>
      </c>
      <c r="I322" s="26" t="n">
        <f aca="false">ROUND(E322+F322+H322,2)</f>
        <v>0</v>
      </c>
      <c r="J322" s="26" t="n">
        <f aca="false">ROUND(MAX(0,D322-F322-H322),2)</f>
        <v>0</v>
      </c>
      <c r="K322" s="26" t="n">
        <f aca="false">ROUND(E322+K321,2)</f>
        <v>379328.97</v>
      </c>
    </row>
    <row r="323" customFormat="false" ht="15" hidden="false" customHeight="true" outlineLevel="0" collapsed="false">
      <c r="A323" s="19" t="n">
        <f aca="false">A322+1</f>
        <v>318</v>
      </c>
      <c r="B323" s="18" t="n">
        <f aca="false">EDATE(B322,1)</f>
        <v>55944</v>
      </c>
      <c r="C323" s="19" t="n">
        <f aca="false">ROUNDUP(A323/12,0)</f>
        <v>27</v>
      </c>
      <c r="D323" s="26" t="n">
        <f aca="false">J322</f>
        <v>0</v>
      </c>
      <c r="E323" s="26" t="n">
        <f aca="false">IF(D323&lt;=0,0,ROUND(D323*Calculator!$B$7/12,2))</f>
        <v>0</v>
      </c>
      <c r="F323" s="26" t="n">
        <f aca="false">IF(D323&lt;=0,0,ROUND(MIN(D323,Calculator!$H$6-E323),2))</f>
        <v>0</v>
      </c>
      <c r="G323" s="26" t="n">
        <f aca="false">ROUND(IF(A323&gt;=Calculator!$E$11,Calculator!$E$6,0)+IF(A323=Calculator!$E$8,Calculator!$E$7,0)+IF(MONTH(B323)=Calculator!$E$10,Calculator!$E$9,0),2)</f>
        <v>200</v>
      </c>
      <c r="H323" s="26" t="n">
        <f aca="false">IF(D323&lt;=0,0,ROUND(MIN(D323-F323,G323),2))</f>
        <v>0</v>
      </c>
      <c r="I323" s="26" t="n">
        <f aca="false">ROUND(E323+F323+H323,2)</f>
        <v>0</v>
      </c>
      <c r="J323" s="26" t="n">
        <f aca="false">ROUND(MAX(0,D323-F323-H323),2)</f>
        <v>0</v>
      </c>
      <c r="K323" s="26" t="n">
        <f aca="false">ROUND(E323+K322,2)</f>
        <v>379328.97</v>
      </c>
    </row>
    <row r="324" customFormat="false" ht="15" hidden="false" customHeight="true" outlineLevel="0" collapsed="false">
      <c r="A324" s="19" t="n">
        <f aca="false">A323+1</f>
        <v>319</v>
      </c>
      <c r="B324" s="18" t="n">
        <f aca="false">EDATE(B323,1)</f>
        <v>55975</v>
      </c>
      <c r="C324" s="19" t="n">
        <f aca="false">ROUNDUP(A324/12,0)</f>
        <v>27</v>
      </c>
      <c r="D324" s="26" t="n">
        <f aca="false">J323</f>
        <v>0</v>
      </c>
      <c r="E324" s="26" t="n">
        <f aca="false">IF(D324&lt;=0,0,ROUND(D324*Calculator!$B$7/12,2))</f>
        <v>0</v>
      </c>
      <c r="F324" s="26" t="n">
        <f aca="false">IF(D324&lt;=0,0,ROUND(MIN(D324,Calculator!$H$6-E324),2))</f>
        <v>0</v>
      </c>
      <c r="G324" s="26" t="n">
        <f aca="false">ROUND(IF(A324&gt;=Calculator!$E$11,Calculator!$E$6,0)+IF(A324=Calculator!$E$8,Calculator!$E$7,0)+IF(MONTH(B324)=Calculator!$E$10,Calculator!$E$9,0),2)</f>
        <v>200</v>
      </c>
      <c r="H324" s="26" t="n">
        <f aca="false">IF(D324&lt;=0,0,ROUND(MIN(D324-F324,G324),2))</f>
        <v>0</v>
      </c>
      <c r="I324" s="26" t="n">
        <f aca="false">ROUND(E324+F324+H324,2)</f>
        <v>0</v>
      </c>
      <c r="J324" s="26" t="n">
        <f aca="false">ROUND(MAX(0,D324-F324-H324),2)</f>
        <v>0</v>
      </c>
      <c r="K324" s="26" t="n">
        <f aca="false">ROUND(E324+K323,2)</f>
        <v>379328.97</v>
      </c>
    </row>
    <row r="325" customFormat="false" ht="15" hidden="false" customHeight="true" outlineLevel="0" collapsed="false">
      <c r="A325" s="19" t="n">
        <f aca="false">A324+1</f>
        <v>320</v>
      </c>
      <c r="B325" s="18" t="n">
        <f aca="false">EDATE(B324,1)</f>
        <v>56005</v>
      </c>
      <c r="C325" s="19" t="n">
        <f aca="false">ROUNDUP(A325/12,0)</f>
        <v>27</v>
      </c>
      <c r="D325" s="26" t="n">
        <f aca="false">J324</f>
        <v>0</v>
      </c>
      <c r="E325" s="26" t="n">
        <f aca="false">IF(D325&lt;=0,0,ROUND(D325*Calculator!$B$7/12,2))</f>
        <v>0</v>
      </c>
      <c r="F325" s="26" t="n">
        <f aca="false">IF(D325&lt;=0,0,ROUND(MIN(D325,Calculator!$H$6-E325),2))</f>
        <v>0</v>
      </c>
      <c r="G325" s="26" t="n">
        <f aca="false">ROUND(IF(A325&gt;=Calculator!$E$11,Calculator!$E$6,0)+IF(A325=Calculator!$E$8,Calculator!$E$7,0)+IF(MONTH(B325)=Calculator!$E$10,Calculator!$E$9,0),2)</f>
        <v>200</v>
      </c>
      <c r="H325" s="26" t="n">
        <f aca="false">IF(D325&lt;=0,0,ROUND(MIN(D325-F325,G325),2))</f>
        <v>0</v>
      </c>
      <c r="I325" s="26" t="n">
        <f aca="false">ROUND(E325+F325+H325,2)</f>
        <v>0</v>
      </c>
      <c r="J325" s="26" t="n">
        <f aca="false">ROUND(MAX(0,D325-F325-H325),2)</f>
        <v>0</v>
      </c>
      <c r="K325" s="26" t="n">
        <f aca="false">ROUND(E325+K324,2)</f>
        <v>379328.97</v>
      </c>
    </row>
    <row r="326" customFormat="false" ht="15" hidden="false" customHeight="true" outlineLevel="0" collapsed="false">
      <c r="A326" s="19" t="n">
        <f aca="false">A325+1</f>
        <v>321</v>
      </c>
      <c r="B326" s="18" t="n">
        <f aca="false">EDATE(B325,1)</f>
        <v>56036</v>
      </c>
      <c r="C326" s="19" t="n">
        <f aca="false">ROUNDUP(A326/12,0)</f>
        <v>27</v>
      </c>
      <c r="D326" s="26" t="n">
        <f aca="false">J325</f>
        <v>0</v>
      </c>
      <c r="E326" s="26" t="n">
        <f aca="false">IF(D326&lt;=0,0,ROUND(D326*Calculator!$B$7/12,2))</f>
        <v>0</v>
      </c>
      <c r="F326" s="26" t="n">
        <f aca="false">IF(D326&lt;=0,0,ROUND(MIN(D326,Calculator!$H$6-E326),2))</f>
        <v>0</v>
      </c>
      <c r="G326" s="26" t="n">
        <f aca="false">ROUND(IF(A326&gt;=Calculator!$E$11,Calculator!$E$6,0)+IF(A326=Calculator!$E$8,Calculator!$E$7,0)+IF(MONTH(B326)=Calculator!$E$10,Calculator!$E$9,0),2)</f>
        <v>200</v>
      </c>
      <c r="H326" s="26" t="n">
        <f aca="false">IF(D326&lt;=0,0,ROUND(MIN(D326-F326,G326),2))</f>
        <v>0</v>
      </c>
      <c r="I326" s="26" t="n">
        <f aca="false">ROUND(E326+F326+H326,2)</f>
        <v>0</v>
      </c>
      <c r="J326" s="26" t="n">
        <f aca="false">ROUND(MAX(0,D326-F326-H326),2)</f>
        <v>0</v>
      </c>
      <c r="K326" s="26" t="n">
        <f aca="false">ROUND(E326+K325,2)</f>
        <v>379328.97</v>
      </c>
    </row>
    <row r="327" customFormat="false" ht="15" hidden="false" customHeight="true" outlineLevel="0" collapsed="false">
      <c r="A327" s="19" t="n">
        <f aca="false">A326+1</f>
        <v>322</v>
      </c>
      <c r="B327" s="18" t="n">
        <f aca="false">EDATE(B326,1)</f>
        <v>56066</v>
      </c>
      <c r="C327" s="19" t="n">
        <f aca="false">ROUNDUP(A327/12,0)</f>
        <v>27</v>
      </c>
      <c r="D327" s="26" t="n">
        <f aca="false">J326</f>
        <v>0</v>
      </c>
      <c r="E327" s="26" t="n">
        <f aca="false">IF(D327&lt;=0,0,ROUND(D327*Calculator!$B$7/12,2))</f>
        <v>0</v>
      </c>
      <c r="F327" s="26" t="n">
        <f aca="false">IF(D327&lt;=0,0,ROUND(MIN(D327,Calculator!$H$6-E327),2))</f>
        <v>0</v>
      </c>
      <c r="G327" s="26" t="n">
        <f aca="false">ROUND(IF(A327&gt;=Calculator!$E$11,Calculator!$E$6,0)+IF(A327=Calculator!$E$8,Calculator!$E$7,0)+IF(MONTH(B327)=Calculator!$E$10,Calculator!$E$9,0),2)</f>
        <v>200</v>
      </c>
      <c r="H327" s="26" t="n">
        <f aca="false">IF(D327&lt;=0,0,ROUND(MIN(D327-F327,G327),2))</f>
        <v>0</v>
      </c>
      <c r="I327" s="26" t="n">
        <f aca="false">ROUND(E327+F327+H327,2)</f>
        <v>0</v>
      </c>
      <c r="J327" s="26" t="n">
        <f aca="false">ROUND(MAX(0,D327-F327-H327),2)</f>
        <v>0</v>
      </c>
      <c r="K327" s="26" t="n">
        <f aca="false">ROUND(E327+K326,2)</f>
        <v>379328.97</v>
      </c>
    </row>
    <row r="328" customFormat="false" ht="15" hidden="false" customHeight="true" outlineLevel="0" collapsed="false">
      <c r="A328" s="19" t="n">
        <f aca="false">A327+1</f>
        <v>323</v>
      </c>
      <c r="B328" s="18" t="n">
        <f aca="false">EDATE(B327,1)</f>
        <v>56097</v>
      </c>
      <c r="C328" s="19" t="n">
        <f aca="false">ROUNDUP(A328/12,0)</f>
        <v>27</v>
      </c>
      <c r="D328" s="26" t="n">
        <f aca="false">J327</f>
        <v>0</v>
      </c>
      <c r="E328" s="26" t="n">
        <f aca="false">IF(D328&lt;=0,0,ROUND(D328*Calculator!$B$7/12,2))</f>
        <v>0</v>
      </c>
      <c r="F328" s="26" t="n">
        <f aca="false">IF(D328&lt;=0,0,ROUND(MIN(D328,Calculator!$H$6-E328),2))</f>
        <v>0</v>
      </c>
      <c r="G328" s="26" t="n">
        <f aca="false">ROUND(IF(A328&gt;=Calculator!$E$11,Calculator!$E$6,0)+IF(A328=Calculator!$E$8,Calculator!$E$7,0)+IF(MONTH(B328)=Calculator!$E$10,Calculator!$E$9,0),2)</f>
        <v>200</v>
      </c>
      <c r="H328" s="26" t="n">
        <f aca="false">IF(D328&lt;=0,0,ROUND(MIN(D328-F328,G328),2))</f>
        <v>0</v>
      </c>
      <c r="I328" s="26" t="n">
        <f aca="false">ROUND(E328+F328+H328,2)</f>
        <v>0</v>
      </c>
      <c r="J328" s="26" t="n">
        <f aca="false">ROUND(MAX(0,D328-F328-H328),2)</f>
        <v>0</v>
      </c>
      <c r="K328" s="26" t="n">
        <f aca="false">ROUND(E328+K327,2)</f>
        <v>379328.97</v>
      </c>
    </row>
    <row r="329" customFormat="false" ht="15" hidden="false" customHeight="true" outlineLevel="0" collapsed="false">
      <c r="A329" s="19" t="n">
        <f aca="false">A328+1</f>
        <v>324</v>
      </c>
      <c r="B329" s="18" t="n">
        <f aca="false">EDATE(B328,1)</f>
        <v>56128</v>
      </c>
      <c r="C329" s="19" t="n">
        <f aca="false">ROUNDUP(A329/12,0)</f>
        <v>27</v>
      </c>
      <c r="D329" s="26" t="n">
        <f aca="false">J328</f>
        <v>0</v>
      </c>
      <c r="E329" s="26" t="n">
        <f aca="false">IF(D329&lt;=0,0,ROUND(D329*Calculator!$B$7/12,2))</f>
        <v>0</v>
      </c>
      <c r="F329" s="26" t="n">
        <f aca="false">IF(D329&lt;=0,0,ROUND(MIN(D329,Calculator!$H$6-E329),2))</f>
        <v>0</v>
      </c>
      <c r="G329" s="26" t="n">
        <f aca="false">ROUND(IF(A329&gt;=Calculator!$E$11,Calculator!$E$6,0)+IF(A329=Calculator!$E$8,Calculator!$E$7,0)+IF(MONTH(B329)=Calculator!$E$10,Calculator!$E$9,0),2)</f>
        <v>200</v>
      </c>
      <c r="H329" s="26" t="n">
        <f aca="false">IF(D329&lt;=0,0,ROUND(MIN(D329-F329,G329),2))</f>
        <v>0</v>
      </c>
      <c r="I329" s="26" t="n">
        <f aca="false">ROUND(E329+F329+H329,2)</f>
        <v>0</v>
      </c>
      <c r="J329" s="26" t="n">
        <f aca="false">ROUND(MAX(0,D329-F329-H329),2)</f>
        <v>0</v>
      </c>
      <c r="K329" s="26" t="n">
        <f aca="false">ROUND(E329+K328,2)</f>
        <v>379328.97</v>
      </c>
    </row>
    <row r="330" customFormat="false" ht="15" hidden="false" customHeight="true" outlineLevel="0" collapsed="false">
      <c r="A330" s="19" t="n">
        <f aca="false">A329+1</f>
        <v>325</v>
      </c>
      <c r="B330" s="18" t="n">
        <f aca="false">EDATE(B329,1)</f>
        <v>56158</v>
      </c>
      <c r="C330" s="19" t="n">
        <f aca="false">ROUNDUP(A330/12,0)</f>
        <v>28</v>
      </c>
      <c r="D330" s="26" t="n">
        <f aca="false">J329</f>
        <v>0</v>
      </c>
      <c r="E330" s="26" t="n">
        <f aca="false">IF(D330&lt;=0,0,ROUND(D330*Calculator!$B$7/12,2))</f>
        <v>0</v>
      </c>
      <c r="F330" s="26" t="n">
        <f aca="false">IF(D330&lt;=0,0,ROUND(MIN(D330,Calculator!$H$6-E330),2))</f>
        <v>0</v>
      </c>
      <c r="G330" s="26" t="n">
        <f aca="false">ROUND(IF(A330&gt;=Calculator!$E$11,Calculator!$E$6,0)+IF(A330=Calculator!$E$8,Calculator!$E$7,0)+IF(MONTH(B330)=Calculator!$E$10,Calculator!$E$9,0),2)</f>
        <v>200</v>
      </c>
      <c r="H330" s="26" t="n">
        <f aca="false">IF(D330&lt;=0,0,ROUND(MIN(D330-F330,G330),2))</f>
        <v>0</v>
      </c>
      <c r="I330" s="26" t="n">
        <f aca="false">ROUND(E330+F330+H330,2)</f>
        <v>0</v>
      </c>
      <c r="J330" s="26" t="n">
        <f aca="false">ROUND(MAX(0,D330-F330-H330),2)</f>
        <v>0</v>
      </c>
      <c r="K330" s="26" t="n">
        <f aca="false">ROUND(E330+K329,2)</f>
        <v>379328.97</v>
      </c>
    </row>
    <row r="331" customFormat="false" ht="15" hidden="false" customHeight="true" outlineLevel="0" collapsed="false">
      <c r="A331" s="19" t="n">
        <f aca="false">A330+1</f>
        <v>326</v>
      </c>
      <c r="B331" s="18" t="n">
        <f aca="false">EDATE(B330,1)</f>
        <v>56189</v>
      </c>
      <c r="C331" s="19" t="n">
        <f aca="false">ROUNDUP(A331/12,0)</f>
        <v>28</v>
      </c>
      <c r="D331" s="26" t="n">
        <f aca="false">J330</f>
        <v>0</v>
      </c>
      <c r="E331" s="26" t="n">
        <f aca="false">IF(D331&lt;=0,0,ROUND(D331*Calculator!$B$7/12,2))</f>
        <v>0</v>
      </c>
      <c r="F331" s="26" t="n">
        <f aca="false">IF(D331&lt;=0,0,ROUND(MIN(D331,Calculator!$H$6-E331),2))</f>
        <v>0</v>
      </c>
      <c r="G331" s="26" t="n">
        <f aca="false">ROUND(IF(A331&gt;=Calculator!$E$11,Calculator!$E$6,0)+IF(A331=Calculator!$E$8,Calculator!$E$7,0)+IF(MONTH(B331)=Calculator!$E$10,Calculator!$E$9,0),2)</f>
        <v>200</v>
      </c>
      <c r="H331" s="26" t="n">
        <f aca="false">IF(D331&lt;=0,0,ROUND(MIN(D331-F331,G331),2))</f>
        <v>0</v>
      </c>
      <c r="I331" s="26" t="n">
        <f aca="false">ROUND(E331+F331+H331,2)</f>
        <v>0</v>
      </c>
      <c r="J331" s="26" t="n">
        <f aca="false">ROUND(MAX(0,D331-F331-H331),2)</f>
        <v>0</v>
      </c>
      <c r="K331" s="26" t="n">
        <f aca="false">ROUND(E331+K330,2)</f>
        <v>379328.97</v>
      </c>
    </row>
    <row r="332" customFormat="false" ht="15" hidden="false" customHeight="true" outlineLevel="0" collapsed="false">
      <c r="A332" s="19" t="n">
        <f aca="false">A331+1</f>
        <v>327</v>
      </c>
      <c r="B332" s="18" t="n">
        <f aca="false">EDATE(B331,1)</f>
        <v>56219</v>
      </c>
      <c r="C332" s="19" t="n">
        <f aca="false">ROUNDUP(A332/12,0)</f>
        <v>28</v>
      </c>
      <c r="D332" s="26" t="n">
        <f aca="false">J331</f>
        <v>0</v>
      </c>
      <c r="E332" s="26" t="n">
        <f aca="false">IF(D332&lt;=0,0,ROUND(D332*Calculator!$B$7/12,2))</f>
        <v>0</v>
      </c>
      <c r="F332" s="26" t="n">
        <f aca="false">IF(D332&lt;=0,0,ROUND(MIN(D332,Calculator!$H$6-E332),2))</f>
        <v>0</v>
      </c>
      <c r="G332" s="26" t="n">
        <f aca="false">ROUND(IF(A332&gt;=Calculator!$E$11,Calculator!$E$6,0)+IF(A332=Calculator!$E$8,Calculator!$E$7,0)+IF(MONTH(B332)=Calculator!$E$10,Calculator!$E$9,0),2)</f>
        <v>1200</v>
      </c>
      <c r="H332" s="26" t="n">
        <f aca="false">IF(D332&lt;=0,0,ROUND(MIN(D332-F332,G332),2))</f>
        <v>0</v>
      </c>
      <c r="I332" s="26" t="n">
        <f aca="false">ROUND(E332+F332+H332,2)</f>
        <v>0</v>
      </c>
      <c r="J332" s="26" t="n">
        <f aca="false">ROUND(MAX(0,D332-F332-H332),2)</f>
        <v>0</v>
      </c>
      <c r="K332" s="26" t="n">
        <f aca="false">ROUND(E332+K331,2)</f>
        <v>379328.97</v>
      </c>
    </row>
    <row r="333" customFormat="false" ht="15" hidden="false" customHeight="true" outlineLevel="0" collapsed="false">
      <c r="A333" s="19" t="n">
        <f aca="false">A332+1</f>
        <v>328</v>
      </c>
      <c r="B333" s="18" t="n">
        <f aca="false">EDATE(B332,1)</f>
        <v>56250</v>
      </c>
      <c r="C333" s="19" t="n">
        <f aca="false">ROUNDUP(A333/12,0)</f>
        <v>28</v>
      </c>
      <c r="D333" s="26" t="n">
        <f aca="false">J332</f>
        <v>0</v>
      </c>
      <c r="E333" s="26" t="n">
        <f aca="false">IF(D333&lt;=0,0,ROUND(D333*Calculator!$B$7/12,2))</f>
        <v>0</v>
      </c>
      <c r="F333" s="26" t="n">
        <f aca="false">IF(D333&lt;=0,0,ROUND(MIN(D333,Calculator!$H$6-E333),2))</f>
        <v>0</v>
      </c>
      <c r="G333" s="26" t="n">
        <f aca="false">ROUND(IF(A333&gt;=Calculator!$E$11,Calculator!$E$6,0)+IF(A333=Calculator!$E$8,Calculator!$E$7,0)+IF(MONTH(B333)=Calculator!$E$10,Calculator!$E$9,0),2)</f>
        <v>200</v>
      </c>
      <c r="H333" s="26" t="n">
        <f aca="false">IF(D333&lt;=0,0,ROUND(MIN(D333-F333,G333),2))</f>
        <v>0</v>
      </c>
      <c r="I333" s="26" t="n">
        <f aca="false">ROUND(E333+F333+H333,2)</f>
        <v>0</v>
      </c>
      <c r="J333" s="26" t="n">
        <f aca="false">ROUND(MAX(0,D333-F333-H333),2)</f>
        <v>0</v>
      </c>
      <c r="K333" s="26" t="n">
        <f aca="false">ROUND(E333+K332,2)</f>
        <v>379328.97</v>
      </c>
    </row>
    <row r="334" customFormat="false" ht="15" hidden="false" customHeight="true" outlineLevel="0" collapsed="false">
      <c r="A334" s="19" t="n">
        <f aca="false">A333+1</f>
        <v>329</v>
      </c>
      <c r="B334" s="18" t="n">
        <f aca="false">EDATE(B333,1)</f>
        <v>56281</v>
      </c>
      <c r="C334" s="19" t="n">
        <f aca="false">ROUNDUP(A334/12,0)</f>
        <v>28</v>
      </c>
      <c r="D334" s="26" t="n">
        <f aca="false">J333</f>
        <v>0</v>
      </c>
      <c r="E334" s="26" t="n">
        <f aca="false">IF(D334&lt;=0,0,ROUND(D334*Calculator!$B$7/12,2))</f>
        <v>0</v>
      </c>
      <c r="F334" s="26" t="n">
        <f aca="false">IF(D334&lt;=0,0,ROUND(MIN(D334,Calculator!$H$6-E334),2))</f>
        <v>0</v>
      </c>
      <c r="G334" s="26" t="n">
        <f aca="false">ROUND(IF(A334&gt;=Calculator!$E$11,Calculator!$E$6,0)+IF(A334=Calculator!$E$8,Calculator!$E$7,0)+IF(MONTH(B334)=Calculator!$E$10,Calculator!$E$9,0),2)</f>
        <v>200</v>
      </c>
      <c r="H334" s="26" t="n">
        <f aca="false">IF(D334&lt;=0,0,ROUND(MIN(D334-F334,G334),2))</f>
        <v>0</v>
      </c>
      <c r="I334" s="26" t="n">
        <f aca="false">ROUND(E334+F334+H334,2)</f>
        <v>0</v>
      </c>
      <c r="J334" s="26" t="n">
        <f aca="false">ROUND(MAX(0,D334-F334-H334),2)</f>
        <v>0</v>
      </c>
      <c r="K334" s="26" t="n">
        <f aca="false">ROUND(E334+K333,2)</f>
        <v>379328.97</v>
      </c>
    </row>
    <row r="335" customFormat="false" ht="15" hidden="false" customHeight="true" outlineLevel="0" collapsed="false">
      <c r="A335" s="19" t="n">
        <f aca="false">A334+1</f>
        <v>330</v>
      </c>
      <c r="B335" s="18" t="n">
        <f aca="false">EDATE(B334,1)</f>
        <v>56309</v>
      </c>
      <c r="C335" s="19" t="n">
        <f aca="false">ROUNDUP(A335/12,0)</f>
        <v>28</v>
      </c>
      <c r="D335" s="26" t="n">
        <f aca="false">J334</f>
        <v>0</v>
      </c>
      <c r="E335" s="26" t="n">
        <f aca="false">IF(D335&lt;=0,0,ROUND(D335*Calculator!$B$7/12,2))</f>
        <v>0</v>
      </c>
      <c r="F335" s="26" t="n">
        <f aca="false">IF(D335&lt;=0,0,ROUND(MIN(D335,Calculator!$H$6-E335),2))</f>
        <v>0</v>
      </c>
      <c r="G335" s="26" t="n">
        <f aca="false">ROUND(IF(A335&gt;=Calculator!$E$11,Calculator!$E$6,0)+IF(A335=Calculator!$E$8,Calculator!$E$7,0)+IF(MONTH(B335)=Calculator!$E$10,Calculator!$E$9,0),2)</f>
        <v>200</v>
      </c>
      <c r="H335" s="26" t="n">
        <f aca="false">IF(D335&lt;=0,0,ROUND(MIN(D335-F335,G335),2))</f>
        <v>0</v>
      </c>
      <c r="I335" s="26" t="n">
        <f aca="false">ROUND(E335+F335+H335,2)</f>
        <v>0</v>
      </c>
      <c r="J335" s="26" t="n">
        <f aca="false">ROUND(MAX(0,D335-F335-H335),2)</f>
        <v>0</v>
      </c>
      <c r="K335" s="26" t="n">
        <f aca="false">ROUND(E335+K334,2)</f>
        <v>379328.97</v>
      </c>
    </row>
    <row r="336" customFormat="false" ht="15" hidden="false" customHeight="true" outlineLevel="0" collapsed="false">
      <c r="A336" s="19" t="n">
        <f aca="false">A335+1</f>
        <v>331</v>
      </c>
      <c r="B336" s="18" t="n">
        <f aca="false">EDATE(B335,1)</f>
        <v>56340</v>
      </c>
      <c r="C336" s="19" t="n">
        <f aca="false">ROUNDUP(A336/12,0)</f>
        <v>28</v>
      </c>
      <c r="D336" s="26" t="n">
        <f aca="false">J335</f>
        <v>0</v>
      </c>
      <c r="E336" s="26" t="n">
        <f aca="false">IF(D336&lt;=0,0,ROUND(D336*Calculator!$B$7/12,2))</f>
        <v>0</v>
      </c>
      <c r="F336" s="26" t="n">
        <f aca="false">IF(D336&lt;=0,0,ROUND(MIN(D336,Calculator!$H$6-E336),2))</f>
        <v>0</v>
      </c>
      <c r="G336" s="26" t="n">
        <f aca="false">ROUND(IF(A336&gt;=Calculator!$E$11,Calculator!$E$6,0)+IF(A336=Calculator!$E$8,Calculator!$E$7,0)+IF(MONTH(B336)=Calculator!$E$10,Calculator!$E$9,0),2)</f>
        <v>200</v>
      </c>
      <c r="H336" s="26" t="n">
        <f aca="false">IF(D336&lt;=0,0,ROUND(MIN(D336-F336,G336),2))</f>
        <v>0</v>
      </c>
      <c r="I336" s="26" t="n">
        <f aca="false">ROUND(E336+F336+H336,2)</f>
        <v>0</v>
      </c>
      <c r="J336" s="26" t="n">
        <f aca="false">ROUND(MAX(0,D336-F336-H336),2)</f>
        <v>0</v>
      </c>
      <c r="K336" s="26" t="n">
        <f aca="false">ROUND(E336+K335,2)</f>
        <v>379328.97</v>
      </c>
    </row>
    <row r="337" customFormat="false" ht="15" hidden="false" customHeight="true" outlineLevel="0" collapsed="false">
      <c r="A337" s="19" t="n">
        <f aca="false">A336+1</f>
        <v>332</v>
      </c>
      <c r="B337" s="18" t="n">
        <f aca="false">EDATE(B336,1)</f>
        <v>56370</v>
      </c>
      <c r="C337" s="19" t="n">
        <f aca="false">ROUNDUP(A337/12,0)</f>
        <v>28</v>
      </c>
      <c r="D337" s="26" t="n">
        <f aca="false">J336</f>
        <v>0</v>
      </c>
      <c r="E337" s="26" t="n">
        <f aca="false">IF(D337&lt;=0,0,ROUND(D337*Calculator!$B$7/12,2))</f>
        <v>0</v>
      </c>
      <c r="F337" s="26" t="n">
        <f aca="false">IF(D337&lt;=0,0,ROUND(MIN(D337,Calculator!$H$6-E337),2))</f>
        <v>0</v>
      </c>
      <c r="G337" s="26" t="n">
        <f aca="false">ROUND(IF(A337&gt;=Calculator!$E$11,Calculator!$E$6,0)+IF(A337=Calculator!$E$8,Calculator!$E$7,0)+IF(MONTH(B337)=Calculator!$E$10,Calculator!$E$9,0),2)</f>
        <v>200</v>
      </c>
      <c r="H337" s="26" t="n">
        <f aca="false">IF(D337&lt;=0,0,ROUND(MIN(D337-F337,G337),2))</f>
        <v>0</v>
      </c>
      <c r="I337" s="26" t="n">
        <f aca="false">ROUND(E337+F337+H337,2)</f>
        <v>0</v>
      </c>
      <c r="J337" s="26" t="n">
        <f aca="false">ROUND(MAX(0,D337-F337-H337),2)</f>
        <v>0</v>
      </c>
      <c r="K337" s="26" t="n">
        <f aca="false">ROUND(E337+K336,2)</f>
        <v>379328.97</v>
      </c>
    </row>
    <row r="338" customFormat="false" ht="15" hidden="false" customHeight="true" outlineLevel="0" collapsed="false">
      <c r="A338" s="19" t="n">
        <f aca="false">A337+1</f>
        <v>333</v>
      </c>
      <c r="B338" s="18" t="n">
        <f aca="false">EDATE(B337,1)</f>
        <v>56401</v>
      </c>
      <c r="C338" s="19" t="n">
        <f aca="false">ROUNDUP(A338/12,0)</f>
        <v>28</v>
      </c>
      <c r="D338" s="26" t="n">
        <f aca="false">J337</f>
        <v>0</v>
      </c>
      <c r="E338" s="26" t="n">
        <f aca="false">IF(D338&lt;=0,0,ROUND(D338*Calculator!$B$7/12,2))</f>
        <v>0</v>
      </c>
      <c r="F338" s="26" t="n">
        <f aca="false">IF(D338&lt;=0,0,ROUND(MIN(D338,Calculator!$H$6-E338),2))</f>
        <v>0</v>
      </c>
      <c r="G338" s="26" t="n">
        <f aca="false">ROUND(IF(A338&gt;=Calculator!$E$11,Calculator!$E$6,0)+IF(A338=Calculator!$E$8,Calculator!$E$7,0)+IF(MONTH(B338)=Calculator!$E$10,Calculator!$E$9,0),2)</f>
        <v>200</v>
      </c>
      <c r="H338" s="26" t="n">
        <f aca="false">IF(D338&lt;=0,0,ROUND(MIN(D338-F338,G338),2))</f>
        <v>0</v>
      </c>
      <c r="I338" s="26" t="n">
        <f aca="false">ROUND(E338+F338+H338,2)</f>
        <v>0</v>
      </c>
      <c r="J338" s="26" t="n">
        <f aca="false">ROUND(MAX(0,D338-F338-H338),2)</f>
        <v>0</v>
      </c>
      <c r="K338" s="26" t="n">
        <f aca="false">ROUND(E338+K337,2)</f>
        <v>379328.97</v>
      </c>
    </row>
    <row r="339" customFormat="false" ht="15" hidden="false" customHeight="true" outlineLevel="0" collapsed="false">
      <c r="A339" s="19" t="n">
        <f aca="false">A338+1</f>
        <v>334</v>
      </c>
      <c r="B339" s="18" t="n">
        <f aca="false">EDATE(B338,1)</f>
        <v>56431</v>
      </c>
      <c r="C339" s="19" t="n">
        <f aca="false">ROUNDUP(A339/12,0)</f>
        <v>28</v>
      </c>
      <c r="D339" s="26" t="n">
        <f aca="false">J338</f>
        <v>0</v>
      </c>
      <c r="E339" s="26" t="n">
        <f aca="false">IF(D339&lt;=0,0,ROUND(D339*Calculator!$B$7/12,2))</f>
        <v>0</v>
      </c>
      <c r="F339" s="26" t="n">
        <f aca="false">IF(D339&lt;=0,0,ROUND(MIN(D339,Calculator!$H$6-E339),2))</f>
        <v>0</v>
      </c>
      <c r="G339" s="26" t="n">
        <f aca="false">ROUND(IF(A339&gt;=Calculator!$E$11,Calculator!$E$6,0)+IF(A339=Calculator!$E$8,Calculator!$E$7,0)+IF(MONTH(B339)=Calculator!$E$10,Calculator!$E$9,0),2)</f>
        <v>200</v>
      </c>
      <c r="H339" s="26" t="n">
        <f aca="false">IF(D339&lt;=0,0,ROUND(MIN(D339-F339,G339),2))</f>
        <v>0</v>
      </c>
      <c r="I339" s="26" t="n">
        <f aca="false">ROUND(E339+F339+H339,2)</f>
        <v>0</v>
      </c>
      <c r="J339" s="26" t="n">
        <f aca="false">ROUND(MAX(0,D339-F339-H339),2)</f>
        <v>0</v>
      </c>
      <c r="K339" s="26" t="n">
        <f aca="false">ROUND(E339+K338,2)</f>
        <v>379328.97</v>
      </c>
    </row>
    <row r="340" customFormat="false" ht="15" hidden="false" customHeight="true" outlineLevel="0" collapsed="false">
      <c r="A340" s="19" t="n">
        <f aca="false">A339+1</f>
        <v>335</v>
      </c>
      <c r="B340" s="18" t="n">
        <f aca="false">EDATE(B339,1)</f>
        <v>56462</v>
      </c>
      <c r="C340" s="19" t="n">
        <f aca="false">ROUNDUP(A340/12,0)</f>
        <v>28</v>
      </c>
      <c r="D340" s="26" t="n">
        <f aca="false">J339</f>
        <v>0</v>
      </c>
      <c r="E340" s="26" t="n">
        <f aca="false">IF(D340&lt;=0,0,ROUND(D340*Calculator!$B$7/12,2))</f>
        <v>0</v>
      </c>
      <c r="F340" s="26" t="n">
        <f aca="false">IF(D340&lt;=0,0,ROUND(MIN(D340,Calculator!$H$6-E340),2))</f>
        <v>0</v>
      </c>
      <c r="G340" s="26" t="n">
        <f aca="false">ROUND(IF(A340&gt;=Calculator!$E$11,Calculator!$E$6,0)+IF(A340=Calculator!$E$8,Calculator!$E$7,0)+IF(MONTH(B340)=Calculator!$E$10,Calculator!$E$9,0),2)</f>
        <v>200</v>
      </c>
      <c r="H340" s="26" t="n">
        <f aca="false">IF(D340&lt;=0,0,ROUND(MIN(D340-F340,G340),2))</f>
        <v>0</v>
      </c>
      <c r="I340" s="26" t="n">
        <f aca="false">ROUND(E340+F340+H340,2)</f>
        <v>0</v>
      </c>
      <c r="J340" s="26" t="n">
        <f aca="false">ROUND(MAX(0,D340-F340-H340),2)</f>
        <v>0</v>
      </c>
      <c r="K340" s="26" t="n">
        <f aca="false">ROUND(E340+K339,2)</f>
        <v>379328.97</v>
      </c>
    </row>
    <row r="341" customFormat="false" ht="15" hidden="false" customHeight="true" outlineLevel="0" collapsed="false">
      <c r="A341" s="19" t="n">
        <f aca="false">A340+1</f>
        <v>336</v>
      </c>
      <c r="B341" s="18" t="n">
        <f aca="false">EDATE(B340,1)</f>
        <v>56493</v>
      </c>
      <c r="C341" s="19" t="n">
        <f aca="false">ROUNDUP(A341/12,0)</f>
        <v>28</v>
      </c>
      <c r="D341" s="26" t="n">
        <f aca="false">J340</f>
        <v>0</v>
      </c>
      <c r="E341" s="26" t="n">
        <f aca="false">IF(D341&lt;=0,0,ROUND(D341*Calculator!$B$7/12,2))</f>
        <v>0</v>
      </c>
      <c r="F341" s="26" t="n">
        <f aca="false">IF(D341&lt;=0,0,ROUND(MIN(D341,Calculator!$H$6-E341),2))</f>
        <v>0</v>
      </c>
      <c r="G341" s="26" t="n">
        <f aca="false">ROUND(IF(A341&gt;=Calculator!$E$11,Calculator!$E$6,0)+IF(A341=Calculator!$E$8,Calculator!$E$7,0)+IF(MONTH(B341)=Calculator!$E$10,Calculator!$E$9,0),2)</f>
        <v>200</v>
      </c>
      <c r="H341" s="26" t="n">
        <f aca="false">IF(D341&lt;=0,0,ROUND(MIN(D341-F341,G341),2))</f>
        <v>0</v>
      </c>
      <c r="I341" s="26" t="n">
        <f aca="false">ROUND(E341+F341+H341,2)</f>
        <v>0</v>
      </c>
      <c r="J341" s="26" t="n">
        <f aca="false">ROUND(MAX(0,D341-F341-H341),2)</f>
        <v>0</v>
      </c>
      <c r="K341" s="26" t="n">
        <f aca="false">ROUND(E341+K340,2)</f>
        <v>379328.97</v>
      </c>
    </row>
    <row r="342" customFormat="false" ht="15" hidden="false" customHeight="true" outlineLevel="0" collapsed="false">
      <c r="A342" s="19" t="n">
        <f aca="false">A341+1</f>
        <v>337</v>
      </c>
      <c r="B342" s="18" t="n">
        <f aca="false">EDATE(B341,1)</f>
        <v>56523</v>
      </c>
      <c r="C342" s="19" t="n">
        <f aca="false">ROUNDUP(A342/12,0)</f>
        <v>29</v>
      </c>
      <c r="D342" s="26" t="n">
        <f aca="false">J341</f>
        <v>0</v>
      </c>
      <c r="E342" s="26" t="n">
        <f aca="false">IF(D342&lt;=0,0,ROUND(D342*Calculator!$B$7/12,2))</f>
        <v>0</v>
      </c>
      <c r="F342" s="26" t="n">
        <f aca="false">IF(D342&lt;=0,0,ROUND(MIN(D342,Calculator!$H$6-E342),2))</f>
        <v>0</v>
      </c>
      <c r="G342" s="26" t="n">
        <f aca="false">ROUND(IF(A342&gt;=Calculator!$E$11,Calculator!$E$6,0)+IF(A342=Calculator!$E$8,Calculator!$E$7,0)+IF(MONTH(B342)=Calculator!$E$10,Calculator!$E$9,0),2)</f>
        <v>200</v>
      </c>
      <c r="H342" s="26" t="n">
        <f aca="false">IF(D342&lt;=0,0,ROUND(MIN(D342-F342,G342),2))</f>
        <v>0</v>
      </c>
      <c r="I342" s="26" t="n">
        <f aca="false">ROUND(E342+F342+H342,2)</f>
        <v>0</v>
      </c>
      <c r="J342" s="26" t="n">
        <f aca="false">ROUND(MAX(0,D342-F342-H342),2)</f>
        <v>0</v>
      </c>
      <c r="K342" s="26" t="n">
        <f aca="false">ROUND(E342+K341,2)</f>
        <v>379328.97</v>
      </c>
    </row>
    <row r="343" customFormat="false" ht="15" hidden="false" customHeight="true" outlineLevel="0" collapsed="false">
      <c r="A343" s="19" t="n">
        <f aca="false">A342+1</f>
        <v>338</v>
      </c>
      <c r="B343" s="18" t="n">
        <f aca="false">EDATE(B342,1)</f>
        <v>56554</v>
      </c>
      <c r="C343" s="19" t="n">
        <f aca="false">ROUNDUP(A343/12,0)</f>
        <v>29</v>
      </c>
      <c r="D343" s="26" t="n">
        <f aca="false">J342</f>
        <v>0</v>
      </c>
      <c r="E343" s="26" t="n">
        <f aca="false">IF(D343&lt;=0,0,ROUND(D343*Calculator!$B$7/12,2))</f>
        <v>0</v>
      </c>
      <c r="F343" s="26" t="n">
        <f aca="false">IF(D343&lt;=0,0,ROUND(MIN(D343,Calculator!$H$6-E343),2))</f>
        <v>0</v>
      </c>
      <c r="G343" s="26" t="n">
        <f aca="false">ROUND(IF(A343&gt;=Calculator!$E$11,Calculator!$E$6,0)+IF(A343=Calculator!$E$8,Calculator!$E$7,0)+IF(MONTH(B343)=Calculator!$E$10,Calculator!$E$9,0),2)</f>
        <v>200</v>
      </c>
      <c r="H343" s="26" t="n">
        <f aca="false">IF(D343&lt;=0,0,ROUND(MIN(D343-F343,G343),2))</f>
        <v>0</v>
      </c>
      <c r="I343" s="26" t="n">
        <f aca="false">ROUND(E343+F343+H343,2)</f>
        <v>0</v>
      </c>
      <c r="J343" s="26" t="n">
        <f aca="false">ROUND(MAX(0,D343-F343-H343),2)</f>
        <v>0</v>
      </c>
      <c r="K343" s="26" t="n">
        <f aca="false">ROUND(E343+K342,2)</f>
        <v>379328.97</v>
      </c>
    </row>
    <row r="344" customFormat="false" ht="15" hidden="false" customHeight="true" outlineLevel="0" collapsed="false">
      <c r="A344" s="19" t="n">
        <f aca="false">A343+1</f>
        <v>339</v>
      </c>
      <c r="B344" s="18" t="n">
        <f aca="false">EDATE(B343,1)</f>
        <v>56584</v>
      </c>
      <c r="C344" s="19" t="n">
        <f aca="false">ROUNDUP(A344/12,0)</f>
        <v>29</v>
      </c>
      <c r="D344" s="26" t="n">
        <f aca="false">J343</f>
        <v>0</v>
      </c>
      <c r="E344" s="26" t="n">
        <f aca="false">IF(D344&lt;=0,0,ROUND(D344*Calculator!$B$7/12,2))</f>
        <v>0</v>
      </c>
      <c r="F344" s="26" t="n">
        <f aca="false">IF(D344&lt;=0,0,ROUND(MIN(D344,Calculator!$H$6-E344),2))</f>
        <v>0</v>
      </c>
      <c r="G344" s="26" t="n">
        <f aca="false">ROUND(IF(A344&gt;=Calculator!$E$11,Calculator!$E$6,0)+IF(A344=Calculator!$E$8,Calculator!$E$7,0)+IF(MONTH(B344)=Calculator!$E$10,Calculator!$E$9,0),2)</f>
        <v>1200</v>
      </c>
      <c r="H344" s="26" t="n">
        <f aca="false">IF(D344&lt;=0,0,ROUND(MIN(D344-F344,G344),2))</f>
        <v>0</v>
      </c>
      <c r="I344" s="26" t="n">
        <f aca="false">ROUND(E344+F344+H344,2)</f>
        <v>0</v>
      </c>
      <c r="J344" s="26" t="n">
        <f aca="false">ROUND(MAX(0,D344-F344-H344),2)</f>
        <v>0</v>
      </c>
      <c r="K344" s="26" t="n">
        <f aca="false">ROUND(E344+K343,2)</f>
        <v>379328.97</v>
      </c>
    </row>
    <row r="345" customFormat="false" ht="15" hidden="false" customHeight="true" outlineLevel="0" collapsed="false">
      <c r="A345" s="19" t="n">
        <f aca="false">A344+1</f>
        <v>340</v>
      </c>
      <c r="B345" s="18" t="n">
        <f aca="false">EDATE(B344,1)</f>
        <v>56615</v>
      </c>
      <c r="C345" s="19" t="n">
        <f aca="false">ROUNDUP(A345/12,0)</f>
        <v>29</v>
      </c>
      <c r="D345" s="26" t="n">
        <f aca="false">J344</f>
        <v>0</v>
      </c>
      <c r="E345" s="26" t="n">
        <f aca="false">IF(D345&lt;=0,0,ROUND(D345*Calculator!$B$7/12,2))</f>
        <v>0</v>
      </c>
      <c r="F345" s="26" t="n">
        <f aca="false">IF(D345&lt;=0,0,ROUND(MIN(D345,Calculator!$H$6-E345),2))</f>
        <v>0</v>
      </c>
      <c r="G345" s="26" t="n">
        <f aca="false">ROUND(IF(A345&gt;=Calculator!$E$11,Calculator!$E$6,0)+IF(A345=Calculator!$E$8,Calculator!$E$7,0)+IF(MONTH(B345)=Calculator!$E$10,Calculator!$E$9,0),2)</f>
        <v>200</v>
      </c>
      <c r="H345" s="26" t="n">
        <f aca="false">IF(D345&lt;=0,0,ROUND(MIN(D345-F345,G345),2))</f>
        <v>0</v>
      </c>
      <c r="I345" s="26" t="n">
        <f aca="false">ROUND(E345+F345+H345,2)</f>
        <v>0</v>
      </c>
      <c r="J345" s="26" t="n">
        <f aca="false">ROUND(MAX(0,D345-F345-H345),2)</f>
        <v>0</v>
      </c>
      <c r="K345" s="26" t="n">
        <f aca="false">ROUND(E345+K344,2)</f>
        <v>379328.97</v>
      </c>
    </row>
    <row r="346" customFormat="false" ht="15" hidden="false" customHeight="true" outlineLevel="0" collapsed="false">
      <c r="A346" s="19" t="n">
        <f aca="false">A345+1</f>
        <v>341</v>
      </c>
      <c r="B346" s="18" t="n">
        <f aca="false">EDATE(B345,1)</f>
        <v>56646</v>
      </c>
      <c r="C346" s="19" t="n">
        <f aca="false">ROUNDUP(A346/12,0)</f>
        <v>29</v>
      </c>
      <c r="D346" s="26" t="n">
        <f aca="false">J345</f>
        <v>0</v>
      </c>
      <c r="E346" s="26" t="n">
        <f aca="false">IF(D346&lt;=0,0,ROUND(D346*Calculator!$B$7/12,2))</f>
        <v>0</v>
      </c>
      <c r="F346" s="26" t="n">
        <f aca="false">IF(D346&lt;=0,0,ROUND(MIN(D346,Calculator!$H$6-E346),2))</f>
        <v>0</v>
      </c>
      <c r="G346" s="26" t="n">
        <f aca="false">ROUND(IF(A346&gt;=Calculator!$E$11,Calculator!$E$6,0)+IF(A346=Calculator!$E$8,Calculator!$E$7,0)+IF(MONTH(B346)=Calculator!$E$10,Calculator!$E$9,0),2)</f>
        <v>200</v>
      </c>
      <c r="H346" s="26" t="n">
        <f aca="false">IF(D346&lt;=0,0,ROUND(MIN(D346-F346,G346),2))</f>
        <v>0</v>
      </c>
      <c r="I346" s="26" t="n">
        <f aca="false">ROUND(E346+F346+H346,2)</f>
        <v>0</v>
      </c>
      <c r="J346" s="26" t="n">
        <f aca="false">ROUND(MAX(0,D346-F346-H346),2)</f>
        <v>0</v>
      </c>
      <c r="K346" s="26" t="n">
        <f aca="false">ROUND(E346+K345,2)</f>
        <v>379328.97</v>
      </c>
    </row>
    <row r="347" customFormat="false" ht="15" hidden="false" customHeight="true" outlineLevel="0" collapsed="false">
      <c r="A347" s="19" t="n">
        <f aca="false">A346+1</f>
        <v>342</v>
      </c>
      <c r="B347" s="18" t="n">
        <f aca="false">EDATE(B346,1)</f>
        <v>56674</v>
      </c>
      <c r="C347" s="19" t="n">
        <f aca="false">ROUNDUP(A347/12,0)</f>
        <v>29</v>
      </c>
      <c r="D347" s="26" t="n">
        <f aca="false">J346</f>
        <v>0</v>
      </c>
      <c r="E347" s="26" t="n">
        <f aca="false">IF(D347&lt;=0,0,ROUND(D347*Calculator!$B$7/12,2))</f>
        <v>0</v>
      </c>
      <c r="F347" s="26" t="n">
        <f aca="false">IF(D347&lt;=0,0,ROUND(MIN(D347,Calculator!$H$6-E347),2))</f>
        <v>0</v>
      </c>
      <c r="G347" s="26" t="n">
        <f aca="false">ROUND(IF(A347&gt;=Calculator!$E$11,Calculator!$E$6,0)+IF(A347=Calculator!$E$8,Calculator!$E$7,0)+IF(MONTH(B347)=Calculator!$E$10,Calculator!$E$9,0),2)</f>
        <v>200</v>
      </c>
      <c r="H347" s="26" t="n">
        <f aca="false">IF(D347&lt;=0,0,ROUND(MIN(D347-F347,G347),2))</f>
        <v>0</v>
      </c>
      <c r="I347" s="26" t="n">
        <f aca="false">ROUND(E347+F347+H347,2)</f>
        <v>0</v>
      </c>
      <c r="J347" s="26" t="n">
        <f aca="false">ROUND(MAX(0,D347-F347-H347),2)</f>
        <v>0</v>
      </c>
      <c r="K347" s="26" t="n">
        <f aca="false">ROUND(E347+K346,2)</f>
        <v>379328.97</v>
      </c>
    </row>
    <row r="348" customFormat="false" ht="15" hidden="false" customHeight="true" outlineLevel="0" collapsed="false">
      <c r="A348" s="19" t="n">
        <f aca="false">A347+1</f>
        <v>343</v>
      </c>
      <c r="B348" s="18" t="n">
        <f aca="false">EDATE(B347,1)</f>
        <v>56705</v>
      </c>
      <c r="C348" s="19" t="n">
        <f aca="false">ROUNDUP(A348/12,0)</f>
        <v>29</v>
      </c>
      <c r="D348" s="26" t="n">
        <f aca="false">J347</f>
        <v>0</v>
      </c>
      <c r="E348" s="26" t="n">
        <f aca="false">IF(D348&lt;=0,0,ROUND(D348*Calculator!$B$7/12,2))</f>
        <v>0</v>
      </c>
      <c r="F348" s="26" t="n">
        <f aca="false">IF(D348&lt;=0,0,ROUND(MIN(D348,Calculator!$H$6-E348),2))</f>
        <v>0</v>
      </c>
      <c r="G348" s="26" t="n">
        <f aca="false">ROUND(IF(A348&gt;=Calculator!$E$11,Calculator!$E$6,0)+IF(A348=Calculator!$E$8,Calculator!$E$7,0)+IF(MONTH(B348)=Calculator!$E$10,Calculator!$E$9,0),2)</f>
        <v>200</v>
      </c>
      <c r="H348" s="26" t="n">
        <f aca="false">IF(D348&lt;=0,0,ROUND(MIN(D348-F348,G348),2))</f>
        <v>0</v>
      </c>
      <c r="I348" s="26" t="n">
        <f aca="false">ROUND(E348+F348+H348,2)</f>
        <v>0</v>
      </c>
      <c r="J348" s="26" t="n">
        <f aca="false">ROUND(MAX(0,D348-F348-H348),2)</f>
        <v>0</v>
      </c>
      <c r="K348" s="26" t="n">
        <f aca="false">ROUND(E348+K347,2)</f>
        <v>379328.97</v>
      </c>
    </row>
    <row r="349" customFormat="false" ht="15" hidden="false" customHeight="true" outlineLevel="0" collapsed="false">
      <c r="A349" s="19" t="n">
        <f aca="false">A348+1</f>
        <v>344</v>
      </c>
      <c r="B349" s="18" t="n">
        <f aca="false">EDATE(B348,1)</f>
        <v>56735</v>
      </c>
      <c r="C349" s="19" t="n">
        <f aca="false">ROUNDUP(A349/12,0)</f>
        <v>29</v>
      </c>
      <c r="D349" s="26" t="n">
        <f aca="false">J348</f>
        <v>0</v>
      </c>
      <c r="E349" s="26" t="n">
        <f aca="false">IF(D349&lt;=0,0,ROUND(D349*Calculator!$B$7/12,2))</f>
        <v>0</v>
      </c>
      <c r="F349" s="26" t="n">
        <f aca="false">IF(D349&lt;=0,0,ROUND(MIN(D349,Calculator!$H$6-E349),2))</f>
        <v>0</v>
      </c>
      <c r="G349" s="26" t="n">
        <f aca="false">ROUND(IF(A349&gt;=Calculator!$E$11,Calculator!$E$6,0)+IF(A349=Calculator!$E$8,Calculator!$E$7,0)+IF(MONTH(B349)=Calculator!$E$10,Calculator!$E$9,0),2)</f>
        <v>200</v>
      </c>
      <c r="H349" s="26" t="n">
        <f aca="false">IF(D349&lt;=0,0,ROUND(MIN(D349-F349,G349),2))</f>
        <v>0</v>
      </c>
      <c r="I349" s="26" t="n">
        <f aca="false">ROUND(E349+F349+H349,2)</f>
        <v>0</v>
      </c>
      <c r="J349" s="26" t="n">
        <f aca="false">ROUND(MAX(0,D349-F349-H349),2)</f>
        <v>0</v>
      </c>
      <c r="K349" s="26" t="n">
        <f aca="false">ROUND(E349+K348,2)</f>
        <v>379328.97</v>
      </c>
    </row>
    <row r="350" customFormat="false" ht="15" hidden="false" customHeight="true" outlineLevel="0" collapsed="false">
      <c r="A350" s="19" t="n">
        <f aca="false">A349+1</f>
        <v>345</v>
      </c>
      <c r="B350" s="18" t="n">
        <f aca="false">EDATE(B349,1)</f>
        <v>56766</v>
      </c>
      <c r="C350" s="19" t="n">
        <f aca="false">ROUNDUP(A350/12,0)</f>
        <v>29</v>
      </c>
      <c r="D350" s="26" t="n">
        <f aca="false">J349</f>
        <v>0</v>
      </c>
      <c r="E350" s="26" t="n">
        <f aca="false">IF(D350&lt;=0,0,ROUND(D350*Calculator!$B$7/12,2))</f>
        <v>0</v>
      </c>
      <c r="F350" s="26" t="n">
        <f aca="false">IF(D350&lt;=0,0,ROUND(MIN(D350,Calculator!$H$6-E350),2))</f>
        <v>0</v>
      </c>
      <c r="G350" s="26" t="n">
        <f aca="false">ROUND(IF(A350&gt;=Calculator!$E$11,Calculator!$E$6,0)+IF(A350=Calculator!$E$8,Calculator!$E$7,0)+IF(MONTH(B350)=Calculator!$E$10,Calculator!$E$9,0),2)</f>
        <v>200</v>
      </c>
      <c r="H350" s="26" t="n">
        <f aca="false">IF(D350&lt;=0,0,ROUND(MIN(D350-F350,G350),2))</f>
        <v>0</v>
      </c>
      <c r="I350" s="26" t="n">
        <f aca="false">ROUND(E350+F350+H350,2)</f>
        <v>0</v>
      </c>
      <c r="J350" s="26" t="n">
        <f aca="false">ROUND(MAX(0,D350-F350-H350),2)</f>
        <v>0</v>
      </c>
      <c r="K350" s="26" t="n">
        <f aca="false">ROUND(E350+K349,2)</f>
        <v>379328.97</v>
      </c>
    </row>
    <row r="351" customFormat="false" ht="15" hidden="false" customHeight="true" outlineLevel="0" collapsed="false">
      <c r="A351" s="19" t="n">
        <f aca="false">A350+1</f>
        <v>346</v>
      </c>
      <c r="B351" s="18" t="n">
        <f aca="false">EDATE(B350,1)</f>
        <v>56796</v>
      </c>
      <c r="C351" s="19" t="n">
        <f aca="false">ROUNDUP(A351/12,0)</f>
        <v>29</v>
      </c>
      <c r="D351" s="26" t="n">
        <f aca="false">J350</f>
        <v>0</v>
      </c>
      <c r="E351" s="26" t="n">
        <f aca="false">IF(D351&lt;=0,0,ROUND(D351*Calculator!$B$7/12,2))</f>
        <v>0</v>
      </c>
      <c r="F351" s="26" t="n">
        <f aca="false">IF(D351&lt;=0,0,ROUND(MIN(D351,Calculator!$H$6-E351),2))</f>
        <v>0</v>
      </c>
      <c r="G351" s="26" t="n">
        <f aca="false">ROUND(IF(A351&gt;=Calculator!$E$11,Calculator!$E$6,0)+IF(A351=Calculator!$E$8,Calculator!$E$7,0)+IF(MONTH(B351)=Calculator!$E$10,Calculator!$E$9,0),2)</f>
        <v>200</v>
      </c>
      <c r="H351" s="26" t="n">
        <f aca="false">IF(D351&lt;=0,0,ROUND(MIN(D351-F351,G351),2))</f>
        <v>0</v>
      </c>
      <c r="I351" s="26" t="n">
        <f aca="false">ROUND(E351+F351+H351,2)</f>
        <v>0</v>
      </c>
      <c r="J351" s="26" t="n">
        <f aca="false">ROUND(MAX(0,D351-F351-H351),2)</f>
        <v>0</v>
      </c>
      <c r="K351" s="26" t="n">
        <f aca="false">ROUND(E351+K350,2)</f>
        <v>379328.97</v>
      </c>
    </row>
    <row r="352" customFormat="false" ht="15" hidden="false" customHeight="true" outlineLevel="0" collapsed="false">
      <c r="A352" s="19" t="n">
        <f aca="false">A351+1</f>
        <v>347</v>
      </c>
      <c r="B352" s="18" t="n">
        <f aca="false">EDATE(B351,1)</f>
        <v>56827</v>
      </c>
      <c r="C352" s="19" t="n">
        <f aca="false">ROUNDUP(A352/12,0)</f>
        <v>29</v>
      </c>
      <c r="D352" s="26" t="n">
        <f aca="false">J351</f>
        <v>0</v>
      </c>
      <c r="E352" s="26" t="n">
        <f aca="false">IF(D352&lt;=0,0,ROUND(D352*Calculator!$B$7/12,2))</f>
        <v>0</v>
      </c>
      <c r="F352" s="26" t="n">
        <f aca="false">IF(D352&lt;=0,0,ROUND(MIN(D352,Calculator!$H$6-E352),2))</f>
        <v>0</v>
      </c>
      <c r="G352" s="26" t="n">
        <f aca="false">ROUND(IF(A352&gt;=Calculator!$E$11,Calculator!$E$6,0)+IF(A352=Calculator!$E$8,Calculator!$E$7,0)+IF(MONTH(B352)=Calculator!$E$10,Calculator!$E$9,0),2)</f>
        <v>200</v>
      </c>
      <c r="H352" s="26" t="n">
        <f aca="false">IF(D352&lt;=0,0,ROUND(MIN(D352-F352,G352),2))</f>
        <v>0</v>
      </c>
      <c r="I352" s="26" t="n">
        <f aca="false">ROUND(E352+F352+H352,2)</f>
        <v>0</v>
      </c>
      <c r="J352" s="26" t="n">
        <f aca="false">ROUND(MAX(0,D352-F352-H352),2)</f>
        <v>0</v>
      </c>
      <c r="K352" s="26" t="n">
        <f aca="false">ROUND(E352+K351,2)</f>
        <v>379328.97</v>
      </c>
    </row>
    <row r="353" customFormat="false" ht="15" hidden="false" customHeight="true" outlineLevel="0" collapsed="false">
      <c r="A353" s="19" t="n">
        <f aca="false">A352+1</f>
        <v>348</v>
      </c>
      <c r="B353" s="18" t="n">
        <f aca="false">EDATE(B352,1)</f>
        <v>56858</v>
      </c>
      <c r="C353" s="19" t="n">
        <f aca="false">ROUNDUP(A353/12,0)</f>
        <v>29</v>
      </c>
      <c r="D353" s="26" t="n">
        <f aca="false">J352</f>
        <v>0</v>
      </c>
      <c r="E353" s="26" t="n">
        <f aca="false">IF(D353&lt;=0,0,ROUND(D353*Calculator!$B$7/12,2))</f>
        <v>0</v>
      </c>
      <c r="F353" s="26" t="n">
        <f aca="false">IF(D353&lt;=0,0,ROUND(MIN(D353,Calculator!$H$6-E353),2))</f>
        <v>0</v>
      </c>
      <c r="G353" s="26" t="n">
        <f aca="false">ROUND(IF(A353&gt;=Calculator!$E$11,Calculator!$E$6,0)+IF(A353=Calculator!$E$8,Calculator!$E$7,0)+IF(MONTH(B353)=Calculator!$E$10,Calculator!$E$9,0),2)</f>
        <v>200</v>
      </c>
      <c r="H353" s="26" t="n">
        <f aca="false">IF(D353&lt;=0,0,ROUND(MIN(D353-F353,G353),2))</f>
        <v>0</v>
      </c>
      <c r="I353" s="26" t="n">
        <f aca="false">ROUND(E353+F353+H353,2)</f>
        <v>0</v>
      </c>
      <c r="J353" s="26" t="n">
        <f aca="false">ROUND(MAX(0,D353-F353-H353),2)</f>
        <v>0</v>
      </c>
      <c r="K353" s="26" t="n">
        <f aca="false">ROUND(E353+K352,2)</f>
        <v>379328.97</v>
      </c>
    </row>
    <row r="354" customFormat="false" ht="15" hidden="false" customHeight="true" outlineLevel="0" collapsed="false">
      <c r="A354" s="19" t="n">
        <f aca="false">A353+1</f>
        <v>349</v>
      </c>
      <c r="B354" s="18" t="n">
        <f aca="false">EDATE(B353,1)</f>
        <v>56888</v>
      </c>
      <c r="C354" s="19" t="n">
        <f aca="false">ROUNDUP(A354/12,0)</f>
        <v>30</v>
      </c>
      <c r="D354" s="26" t="n">
        <f aca="false">J353</f>
        <v>0</v>
      </c>
      <c r="E354" s="26" t="n">
        <f aca="false">IF(D354&lt;=0,0,ROUND(D354*Calculator!$B$7/12,2))</f>
        <v>0</v>
      </c>
      <c r="F354" s="26" t="n">
        <f aca="false">IF(D354&lt;=0,0,ROUND(MIN(D354,Calculator!$H$6-E354),2))</f>
        <v>0</v>
      </c>
      <c r="G354" s="26" t="n">
        <f aca="false">ROUND(IF(A354&gt;=Calculator!$E$11,Calculator!$E$6,0)+IF(A354=Calculator!$E$8,Calculator!$E$7,0)+IF(MONTH(B354)=Calculator!$E$10,Calculator!$E$9,0),2)</f>
        <v>200</v>
      </c>
      <c r="H354" s="26" t="n">
        <f aca="false">IF(D354&lt;=0,0,ROUND(MIN(D354-F354,G354),2))</f>
        <v>0</v>
      </c>
      <c r="I354" s="26" t="n">
        <f aca="false">ROUND(E354+F354+H354,2)</f>
        <v>0</v>
      </c>
      <c r="J354" s="26" t="n">
        <f aca="false">ROUND(MAX(0,D354-F354-H354),2)</f>
        <v>0</v>
      </c>
      <c r="K354" s="26" t="n">
        <f aca="false">ROUND(E354+K353,2)</f>
        <v>379328.97</v>
      </c>
    </row>
    <row r="355" customFormat="false" ht="15" hidden="false" customHeight="true" outlineLevel="0" collapsed="false">
      <c r="A355" s="19" t="n">
        <f aca="false">A354+1</f>
        <v>350</v>
      </c>
      <c r="B355" s="18" t="n">
        <f aca="false">EDATE(B354,1)</f>
        <v>56919</v>
      </c>
      <c r="C355" s="19" t="n">
        <f aca="false">ROUNDUP(A355/12,0)</f>
        <v>30</v>
      </c>
      <c r="D355" s="26" t="n">
        <f aca="false">J354</f>
        <v>0</v>
      </c>
      <c r="E355" s="26" t="n">
        <f aca="false">IF(D355&lt;=0,0,ROUND(D355*Calculator!$B$7/12,2))</f>
        <v>0</v>
      </c>
      <c r="F355" s="26" t="n">
        <f aca="false">IF(D355&lt;=0,0,ROUND(MIN(D355,Calculator!$H$6-E355),2))</f>
        <v>0</v>
      </c>
      <c r="G355" s="26" t="n">
        <f aca="false">ROUND(IF(A355&gt;=Calculator!$E$11,Calculator!$E$6,0)+IF(A355=Calculator!$E$8,Calculator!$E$7,0)+IF(MONTH(B355)=Calculator!$E$10,Calculator!$E$9,0),2)</f>
        <v>200</v>
      </c>
      <c r="H355" s="26" t="n">
        <f aca="false">IF(D355&lt;=0,0,ROUND(MIN(D355-F355,G355),2))</f>
        <v>0</v>
      </c>
      <c r="I355" s="26" t="n">
        <f aca="false">ROUND(E355+F355+H355,2)</f>
        <v>0</v>
      </c>
      <c r="J355" s="26" t="n">
        <f aca="false">ROUND(MAX(0,D355-F355-H355),2)</f>
        <v>0</v>
      </c>
      <c r="K355" s="26" t="n">
        <f aca="false">ROUND(E355+K354,2)</f>
        <v>379328.97</v>
      </c>
    </row>
    <row r="356" customFormat="false" ht="15" hidden="false" customHeight="true" outlineLevel="0" collapsed="false">
      <c r="A356" s="19" t="n">
        <f aca="false">A355+1</f>
        <v>351</v>
      </c>
      <c r="B356" s="18" t="n">
        <f aca="false">EDATE(B355,1)</f>
        <v>56949</v>
      </c>
      <c r="C356" s="19" t="n">
        <f aca="false">ROUNDUP(A356/12,0)</f>
        <v>30</v>
      </c>
      <c r="D356" s="26" t="n">
        <f aca="false">J355</f>
        <v>0</v>
      </c>
      <c r="E356" s="26" t="n">
        <f aca="false">IF(D356&lt;=0,0,ROUND(D356*Calculator!$B$7/12,2))</f>
        <v>0</v>
      </c>
      <c r="F356" s="26" t="n">
        <f aca="false">IF(D356&lt;=0,0,ROUND(MIN(D356,Calculator!$H$6-E356),2))</f>
        <v>0</v>
      </c>
      <c r="G356" s="26" t="n">
        <f aca="false">ROUND(IF(A356&gt;=Calculator!$E$11,Calculator!$E$6,0)+IF(A356=Calculator!$E$8,Calculator!$E$7,0)+IF(MONTH(B356)=Calculator!$E$10,Calculator!$E$9,0),2)</f>
        <v>1200</v>
      </c>
      <c r="H356" s="26" t="n">
        <f aca="false">IF(D356&lt;=0,0,ROUND(MIN(D356-F356,G356),2))</f>
        <v>0</v>
      </c>
      <c r="I356" s="26" t="n">
        <f aca="false">ROUND(E356+F356+H356,2)</f>
        <v>0</v>
      </c>
      <c r="J356" s="26" t="n">
        <f aca="false">ROUND(MAX(0,D356-F356-H356),2)</f>
        <v>0</v>
      </c>
      <c r="K356" s="26" t="n">
        <f aca="false">ROUND(E356+K355,2)</f>
        <v>379328.97</v>
      </c>
    </row>
    <row r="357" customFormat="false" ht="15" hidden="false" customHeight="true" outlineLevel="0" collapsed="false">
      <c r="A357" s="19" t="n">
        <f aca="false">A356+1</f>
        <v>352</v>
      </c>
      <c r="B357" s="18" t="n">
        <f aca="false">EDATE(B356,1)</f>
        <v>56980</v>
      </c>
      <c r="C357" s="19" t="n">
        <f aca="false">ROUNDUP(A357/12,0)</f>
        <v>30</v>
      </c>
      <c r="D357" s="26" t="n">
        <f aca="false">J356</f>
        <v>0</v>
      </c>
      <c r="E357" s="26" t="n">
        <f aca="false">IF(D357&lt;=0,0,ROUND(D357*Calculator!$B$7/12,2))</f>
        <v>0</v>
      </c>
      <c r="F357" s="26" t="n">
        <f aca="false">IF(D357&lt;=0,0,ROUND(MIN(D357,Calculator!$H$6-E357),2))</f>
        <v>0</v>
      </c>
      <c r="G357" s="26" t="n">
        <f aca="false">ROUND(IF(A357&gt;=Calculator!$E$11,Calculator!$E$6,0)+IF(A357=Calculator!$E$8,Calculator!$E$7,0)+IF(MONTH(B357)=Calculator!$E$10,Calculator!$E$9,0),2)</f>
        <v>200</v>
      </c>
      <c r="H357" s="26" t="n">
        <f aca="false">IF(D357&lt;=0,0,ROUND(MIN(D357-F357,G357),2))</f>
        <v>0</v>
      </c>
      <c r="I357" s="26" t="n">
        <f aca="false">ROUND(E357+F357+H357,2)</f>
        <v>0</v>
      </c>
      <c r="J357" s="26" t="n">
        <f aca="false">ROUND(MAX(0,D357-F357-H357),2)</f>
        <v>0</v>
      </c>
      <c r="K357" s="26" t="n">
        <f aca="false">ROUND(E357+K356,2)</f>
        <v>379328.97</v>
      </c>
    </row>
    <row r="358" customFormat="false" ht="15" hidden="false" customHeight="true" outlineLevel="0" collapsed="false">
      <c r="A358" s="19" t="n">
        <f aca="false">A357+1</f>
        <v>353</v>
      </c>
      <c r="B358" s="18" t="n">
        <f aca="false">EDATE(B357,1)</f>
        <v>57011</v>
      </c>
      <c r="C358" s="19" t="n">
        <f aca="false">ROUNDUP(A358/12,0)</f>
        <v>30</v>
      </c>
      <c r="D358" s="26" t="n">
        <f aca="false">J357</f>
        <v>0</v>
      </c>
      <c r="E358" s="26" t="n">
        <f aca="false">IF(D358&lt;=0,0,ROUND(D358*Calculator!$B$7/12,2))</f>
        <v>0</v>
      </c>
      <c r="F358" s="26" t="n">
        <f aca="false">IF(D358&lt;=0,0,ROUND(MIN(D358,Calculator!$H$6-E358),2))</f>
        <v>0</v>
      </c>
      <c r="G358" s="26" t="n">
        <f aca="false">ROUND(IF(A358&gt;=Calculator!$E$11,Calculator!$E$6,0)+IF(A358=Calculator!$E$8,Calculator!$E$7,0)+IF(MONTH(B358)=Calculator!$E$10,Calculator!$E$9,0),2)</f>
        <v>200</v>
      </c>
      <c r="H358" s="26" t="n">
        <f aca="false">IF(D358&lt;=0,0,ROUND(MIN(D358-F358,G358),2))</f>
        <v>0</v>
      </c>
      <c r="I358" s="26" t="n">
        <f aca="false">ROUND(E358+F358+H358,2)</f>
        <v>0</v>
      </c>
      <c r="J358" s="26" t="n">
        <f aca="false">ROUND(MAX(0,D358-F358-H358),2)</f>
        <v>0</v>
      </c>
      <c r="K358" s="26" t="n">
        <f aca="false">ROUND(E358+K357,2)</f>
        <v>379328.97</v>
      </c>
    </row>
    <row r="359" customFormat="false" ht="15" hidden="false" customHeight="true" outlineLevel="0" collapsed="false">
      <c r="A359" s="19" t="n">
        <f aca="false">A358+1</f>
        <v>354</v>
      </c>
      <c r="B359" s="18" t="n">
        <f aca="false">EDATE(B358,1)</f>
        <v>57040</v>
      </c>
      <c r="C359" s="19" t="n">
        <f aca="false">ROUNDUP(A359/12,0)</f>
        <v>30</v>
      </c>
      <c r="D359" s="26" t="n">
        <f aca="false">J358</f>
        <v>0</v>
      </c>
      <c r="E359" s="26" t="n">
        <f aca="false">IF(D359&lt;=0,0,ROUND(D359*Calculator!$B$7/12,2))</f>
        <v>0</v>
      </c>
      <c r="F359" s="26" t="n">
        <f aca="false">IF(D359&lt;=0,0,ROUND(MIN(D359,Calculator!$H$6-E359),2))</f>
        <v>0</v>
      </c>
      <c r="G359" s="26" t="n">
        <f aca="false">ROUND(IF(A359&gt;=Calculator!$E$11,Calculator!$E$6,0)+IF(A359=Calculator!$E$8,Calculator!$E$7,0)+IF(MONTH(B359)=Calculator!$E$10,Calculator!$E$9,0),2)</f>
        <v>200</v>
      </c>
      <c r="H359" s="26" t="n">
        <f aca="false">IF(D359&lt;=0,0,ROUND(MIN(D359-F359,G359),2))</f>
        <v>0</v>
      </c>
      <c r="I359" s="26" t="n">
        <f aca="false">ROUND(E359+F359+H359,2)</f>
        <v>0</v>
      </c>
      <c r="J359" s="26" t="n">
        <f aca="false">ROUND(MAX(0,D359-F359-H359),2)</f>
        <v>0</v>
      </c>
      <c r="K359" s="26" t="n">
        <f aca="false">ROUND(E359+K358,2)</f>
        <v>379328.97</v>
      </c>
    </row>
    <row r="360" customFormat="false" ht="15" hidden="false" customHeight="true" outlineLevel="0" collapsed="false">
      <c r="A360" s="19" t="n">
        <f aca="false">A359+1</f>
        <v>355</v>
      </c>
      <c r="B360" s="18" t="n">
        <f aca="false">EDATE(B359,1)</f>
        <v>57071</v>
      </c>
      <c r="C360" s="19" t="n">
        <f aca="false">ROUNDUP(A360/12,0)</f>
        <v>30</v>
      </c>
      <c r="D360" s="26" t="n">
        <f aca="false">J359</f>
        <v>0</v>
      </c>
      <c r="E360" s="26" t="n">
        <f aca="false">IF(D360&lt;=0,0,ROUND(D360*Calculator!$B$7/12,2))</f>
        <v>0</v>
      </c>
      <c r="F360" s="26" t="n">
        <f aca="false">IF(D360&lt;=0,0,ROUND(MIN(D360,Calculator!$H$6-E360),2))</f>
        <v>0</v>
      </c>
      <c r="G360" s="26" t="n">
        <f aca="false">ROUND(IF(A360&gt;=Calculator!$E$11,Calculator!$E$6,0)+IF(A360=Calculator!$E$8,Calculator!$E$7,0)+IF(MONTH(B360)=Calculator!$E$10,Calculator!$E$9,0),2)</f>
        <v>200</v>
      </c>
      <c r="H360" s="26" t="n">
        <f aca="false">IF(D360&lt;=0,0,ROUND(MIN(D360-F360,G360),2))</f>
        <v>0</v>
      </c>
      <c r="I360" s="26" t="n">
        <f aca="false">ROUND(E360+F360+H360,2)</f>
        <v>0</v>
      </c>
      <c r="J360" s="26" t="n">
        <f aca="false">ROUND(MAX(0,D360-F360-H360),2)</f>
        <v>0</v>
      </c>
      <c r="K360" s="26" t="n">
        <f aca="false">ROUND(E360+K359,2)</f>
        <v>379328.97</v>
      </c>
    </row>
    <row r="361" customFormat="false" ht="15" hidden="false" customHeight="true" outlineLevel="0" collapsed="false">
      <c r="A361" s="19" t="n">
        <f aca="false">A360+1</f>
        <v>356</v>
      </c>
      <c r="B361" s="18" t="n">
        <f aca="false">EDATE(B360,1)</f>
        <v>57101</v>
      </c>
      <c r="C361" s="19" t="n">
        <f aca="false">ROUNDUP(A361/12,0)</f>
        <v>30</v>
      </c>
      <c r="D361" s="26" t="n">
        <f aca="false">J360</f>
        <v>0</v>
      </c>
      <c r="E361" s="26" t="n">
        <f aca="false">IF(D361&lt;=0,0,ROUND(D361*Calculator!$B$7/12,2))</f>
        <v>0</v>
      </c>
      <c r="F361" s="26" t="n">
        <f aca="false">IF(D361&lt;=0,0,ROUND(MIN(D361,Calculator!$H$6-E361),2))</f>
        <v>0</v>
      </c>
      <c r="G361" s="26" t="n">
        <f aca="false">ROUND(IF(A361&gt;=Calculator!$E$11,Calculator!$E$6,0)+IF(A361=Calculator!$E$8,Calculator!$E$7,0)+IF(MONTH(B361)=Calculator!$E$10,Calculator!$E$9,0),2)</f>
        <v>200</v>
      </c>
      <c r="H361" s="26" t="n">
        <f aca="false">IF(D361&lt;=0,0,ROUND(MIN(D361-F361,G361),2))</f>
        <v>0</v>
      </c>
      <c r="I361" s="26" t="n">
        <f aca="false">ROUND(E361+F361+H361,2)</f>
        <v>0</v>
      </c>
      <c r="J361" s="26" t="n">
        <f aca="false">ROUND(MAX(0,D361-F361-H361),2)</f>
        <v>0</v>
      </c>
      <c r="K361" s="26" t="n">
        <f aca="false">ROUND(E361+K360,2)</f>
        <v>379328.97</v>
      </c>
    </row>
    <row r="362" customFormat="false" ht="15" hidden="false" customHeight="true" outlineLevel="0" collapsed="false">
      <c r="A362" s="19" t="n">
        <f aca="false">A361+1</f>
        <v>357</v>
      </c>
      <c r="B362" s="18" t="n">
        <f aca="false">EDATE(B361,1)</f>
        <v>57132</v>
      </c>
      <c r="C362" s="19" t="n">
        <f aca="false">ROUNDUP(A362/12,0)</f>
        <v>30</v>
      </c>
      <c r="D362" s="26" t="n">
        <f aca="false">J361</f>
        <v>0</v>
      </c>
      <c r="E362" s="26" t="n">
        <f aca="false">IF(D362&lt;=0,0,ROUND(D362*Calculator!$B$7/12,2))</f>
        <v>0</v>
      </c>
      <c r="F362" s="26" t="n">
        <f aca="false">IF(D362&lt;=0,0,ROUND(MIN(D362,Calculator!$H$6-E362),2))</f>
        <v>0</v>
      </c>
      <c r="G362" s="26" t="n">
        <f aca="false">ROUND(IF(A362&gt;=Calculator!$E$11,Calculator!$E$6,0)+IF(A362=Calculator!$E$8,Calculator!$E$7,0)+IF(MONTH(B362)=Calculator!$E$10,Calculator!$E$9,0),2)</f>
        <v>200</v>
      </c>
      <c r="H362" s="26" t="n">
        <f aca="false">IF(D362&lt;=0,0,ROUND(MIN(D362-F362,G362),2))</f>
        <v>0</v>
      </c>
      <c r="I362" s="26" t="n">
        <f aca="false">ROUND(E362+F362+H362,2)</f>
        <v>0</v>
      </c>
      <c r="J362" s="26" t="n">
        <f aca="false">ROUND(MAX(0,D362-F362-H362),2)</f>
        <v>0</v>
      </c>
      <c r="K362" s="26" t="n">
        <f aca="false">ROUND(E362+K361,2)</f>
        <v>379328.97</v>
      </c>
    </row>
    <row r="363" customFormat="false" ht="15" hidden="false" customHeight="true" outlineLevel="0" collapsed="false">
      <c r="A363" s="19" t="n">
        <f aca="false">A362+1</f>
        <v>358</v>
      </c>
      <c r="B363" s="18" t="n">
        <f aca="false">EDATE(B362,1)</f>
        <v>57162</v>
      </c>
      <c r="C363" s="19" t="n">
        <f aca="false">ROUNDUP(A363/12,0)</f>
        <v>30</v>
      </c>
      <c r="D363" s="26" t="n">
        <f aca="false">J362</f>
        <v>0</v>
      </c>
      <c r="E363" s="26" t="n">
        <f aca="false">IF(D363&lt;=0,0,ROUND(D363*Calculator!$B$7/12,2))</f>
        <v>0</v>
      </c>
      <c r="F363" s="26" t="n">
        <f aca="false">IF(D363&lt;=0,0,ROUND(MIN(D363,Calculator!$H$6-E363),2))</f>
        <v>0</v>
      </c>
      <c r="G363" s="26" t="n">
        <f aca="false">ROUND(IF(A363&gt;=Calculator!$E$11,Calculator!$E$6,0)+IF(A363=Calculator!$E$8,Calculator!$E$7,0)+IF(MONTH(B363)=Calculator!$E$10,Calculator!$E$9,0),2)</f>
        <v>200</v>
      </c>
      <c r="H363" s="26" t="n">
        <f aca="false">IF(D363&lt;=0,0,ROUND(MIN(D363-F363,G363),2))</f>
        <v>0</v>
      </c>
      <c r="I363" s="26" t="n">
        <f aca="false">ROUND(E363+F363+H363,2)</f>
        <v>0</v>
      </c>
      <c r="J363" s="26" t="n">
        <f aca="false">ROUND(MAX(0,D363-F363-H363),2)</f>
        <v>0</v>
      </c>
      <c r="K363" s="26" t="n">
        <f aca="false">ROUND(E363+K362,2)</f>
        <v>379328.97</v>
      </c>
    </row>
    <row r="364" customFormat="false" ht="15" hidden="false" customHeight="true" outlineLevel="0" collapsed="false">
      <c r="A364" s="19" t="n">
        <f aca="false">A363+1</f>
        <v>359</v>
      </c>
      <c r="B364" s="18" t="n">
        <f aca="false">EDATE(B363,1)</f>
        <v>57193</v>
      </c>
      <c r="C364" s="19" t="n">
        <f aca="false">ROUNDUP(A364/12,0)</f>
        <v>30</v>
      </c>
      <c r="D364" s="26" t="n">
        <f aca="false">J363</f>
        <v>0</v>
      </c>
      <c r="E364" s="26" t="n">
        <f aca="false">IF(D364&lt;=0,0,ROUND(D364*Calculator!$B$7/12,2))</f>
        <v>0</v>
      </c>
      <c r="F364" s="26" t="n">
        <f aca="false">IF(D364&lt;=0,0,ROUND(MIN(D364,Calculator!$H$6-E364),2))</f>
        <v>0</v>
      </c>
      <c r="G364" s="26" t="n">
        <f aca="false">ROUND(IF(A364&gt;=Calculator!$E$11,Calculator!$E$6,0)+IF(A364=Calculator!$E$8,Calculator!$E$7,0)+IF(MONTH(B364)=Calculator!$E$10,Calculator!$E$9,0),2)</f>
        <v>200</v>
      </c>
      <c r="H364" s="26" t="n">
        <f aca="false">IF(D364&lt;=0,0,ROUND(MIN(D364-F364,G364),2))</f>
        <v>0</v>
      </c>
      <c r="I364" s="26" t="n">
        <f aca="false">ROUND(E364+F364+H364,2)</f>
        <v>0</v>
      </c>
      <c r="J364" s="26" t="n">
        <f aca="false">ROUND(MAX(0,D364-F364-H364),2)</f>
        <v>0</v>
      </c>
      <c r="K364" s="26" t="n">
        <f aca="false">ROUND(E364+K363,2)</f>
        <v>379328.97</v>
      </c>
    </row>
    <row r="365" customFormat="false" ht="15" hidden="false" customHeight="true" outlineLevel="0" collapsed="false">
      <c r="A365" s="19" t="n">
        <f aca="false">A364+1</f>
        <v>360</v>
      </c>
      <c r="B365" s="18" t="n">
        <f aca="false">EDATE(B364,1)</f>
        <v>57224</v>
      </c>
      <c r="C365" s="19" t="n">
        <f aca="false">ROUNDUP(A365/12,0)</f>
        <v>30</v>
      </c>
      <c r="D365" s="26" t="n">
        <f aca="false">J364</f>
        <v>0</v>
      </c>
      <c r="E365" s="26" t="n">
        <f aca="false">IF(D365&lt;=0,0,ROUND(D365*Calculator!$B$7/12,2))</f>
        <v>0</v>
      </c>
      <c r="F365" s="26" t="n">
        <f aca="false">IF(D365&lt;=0,0,ROUND(MIN(D365,Calculator!$H$6-E365),2))</f>
        <v>0</v>
      </c>
      <c r="G365" s="26" t="n">
        <f aca="false">ROUND(IF(A365&gt;=Calculator!$E$11,Calculator!$E$6,0)+IF(A365=Calculator!$E$8,Calculator!$E$7,0)+IF(MONTH(B365)=Calculator!$E$10,Calculator!$E$9,0),2)</f>
        <v>200</v>
      </c>
      <c r="H365" s="26" t="n">
        <f aca="false">IF(D365&lt;=0,0,ROUND(MIN(D365-F365,G365),2))</f>
        <v>0</v>
      </c>
      <c r="I365" s="26" t="n">
        <f aca="false">ROUND(E365+F365+H365,2)</f>
        <v>0</v>
      </c>
      <c r="J365" s="26" t="n">
        <f aca="false">ROUND(MAX(0,D365-F365-H365),2)</f>
        <v>0</v>
      </c>
      <c r="K365" s="26" t="n">
        <f aca="false">ROUND(E365+K364,2)</f>
        <v>379328.97</v>
      </c>
    </row>
    <row r="366" customFormat="false" ht="15" hidden="false" customHeight="true" outlineLevel="0" collapsed="false">
      <c r="A366" s="19" t="n">
        <f aca="false">A365+1</f>
        <v>361</v>
      </c>
      <c r="B366" s="18" t="n">
        <f aca="false">EDATE(B365,1)</f>
        <v>57254</v>
      </c>
      <c r="C366" s="19" t="n">
        <f aca="false">ROUNDUP(A366/12,0)</f>
        <v>31</v>
      </c>
      <c r="D366" s="26" t="n">
        <f aca="false">J365</f>
        <v>0</v>
      </c>
      <c r="E366" s="26" t="n">
        <f aca="false">IF(D366&lt;=0,0,ROUND(D366*Calculator!$B$7/12,2))</f>
        <v>0</v>
      </c>
      <c r="F366" s="26" t="n">
        <f aca="false">IF(D366&lt;=0,0,ROUND(MIN(D366,Calculator!$H$6-E366),2))</f>
        <v>0</v>
      </c>
      <c r="G366" s="26" t="n">
        <f aca="false">ROUND(IF(A366&gt;=Calculator!$E$11,Calculator!$E$6,0)+IF(A366=Calculator!$E$8,Calculator!$E$7,0)+IF(MONTH(B366)=Calculator!$E$10,Calculator!$E$9,0),2)</f>
        <v>200</v>
      </c>
      <c r="H366" s="26" t="n">
        <f aca="false">IF(D366&lt;=0,0,ROUND(MIN(D366-F366,G366),2))</f>
        <v>0</v>
      </c>
      <c r="I366" s="26" t="n">
        <f aca="false">ROUND(E366+F366+H366,2)</f>
        <v>0</v>
      </c>
      <c r="J366" s="26" t="n">
        <f aca="false">ROUND(MAX(0,D366-F366-H366),2)</f>
        <v>0</v>
      </c>
      <c r="K366" s="26" t="n">
        <f aca="false">ROUND(E366+K365,2)</f>
        <v>379328.97</v>
      </c>
    </row>
    <row r="367" customFormat="false" ht="15" hidden="false" customHeight="true" outlineLevel="0" collapsed="false">
      <c r="A367" s="19" t="n">
        <f aca="false">A366+1</f>
        <v>362</v>
      </c>
      <c r="B367" s="18" t="n">
        <f aca="false">EDATE(B366,1)</f>
        <v>57285</v>
      </c>
      <c r="C367" s="19" t="n">
        <f aca="false">ROUNDUP(A367/12,0)</f>
        <v>31</v>
      </c>
      <c r="D367" s="26" t="n">
        <f aca="false">J366</f>
        <v>0</v>
      </c>
      <c r="E367" s="26" t="n">
        <f aca="false">IF(D367&lt;=0,0,ROUND(D367*Calculator!$B$7/12,2))</f>
        <v>0</v>
      </c>
      <c r="F367" s="26" t="n">
        <f aca="false">IF(D367&lt;=0,0,ROUND(MIN(D367,Calculator!$H$6-E367),2))</f>
        <v>0</v>
      </c>
      <c r="G367" s="26" t="n">
        <f aca="false">ROUND(IF(A367&gt;=Calculator!$E$11,Calculator!$E$6,0)+IF(A367=Calculator!$E$8,Calculator!$E$7,0)+IF(MONTH(B367)=Calculator!$E$10,Calculator!$E$9,0),2)</f>
        <v>200</v>
      </c>
      <c r="H367" s="26" t="n">
        <f aca="false">IF(D367&lt;=0,0,ROUND(MIN(D367-F367,G367),2))</f>
        <v>0</v>
      </c>
      <c r="I367" s="26" t="n">
        <f aca="false">ROUND(E367+F367+H367,2)</f>
        <v>0</v>
      </c>
      <c r="J367" s="26" t="n">
        <f aca="false">ROUND(MAX(0,D367-F367-H367),2)</f>
        <v>0</v>
      </c>
      <c r="K367" s="26" t="n">
        <f aca="false">ROUND(E367+K366,2)</f>
        <v>379328.97</v>
      </c>
    </row>
    <row r="368" customFormat="false" ht="15" hidden="false" customHeight="true" outlineLevel="0" collapsed="false">
      <c r="A368" s="19" t="n">
        <f aca="false">A367+1</f>
        <v>363</v>
      </c>
      <c r="B368" s="18" t="n">
        <f aca="false">EDATE(B367,1)</f>
        <v>57315</v>
      </c>
      <c r="C368" s="19" t="n">
        <f aca="false">ROUNDUP(A368/12,0)</f>
        <v>31</v>
      </c>
      <c r="D368" s="26" t="n">
        <f aca="false">J367</f>
        <v>0</v>
      </c>
      <c r="E368" s="26" t="n">
        <f aca="false">IF(D368&lt;=0,0,ROUND(D368*Calculator!$B$7/12,2))</f>
        <v>0</v>
      </c>
      <c r="F368" s="26" t="n">
        <f aca="false">IF(D368&lt;=0,0,ROUND(MIN(D368,Calculator!$H$6-E368),2))</f>
        <v>0</v>
      </c>
      <c r="G368" s="26" t="n">
        <f aca="false">ROUND(IF(A368&gt;=Calculator!$E$11,Calculator!$E$6,0)+IF(A368=Calculator!$E$8,Calculator!$E$7,0)+IF(MONTH(B368)=Calculator!$E$10,Calculator!$E$9,0),2)</f>
        <v>1200</v>
      </c>
      <c r="H368" s="26" t="n">
        <f aca="false">IF(D368&lt;=0,0,ROUND(MIN(D368-F368,G368),2))</f>
        <v>0</v>
      </c>
      <c r="I368" s="26" t="n">
        <f aca="false">ROUND(E368+F368+H368,2)</f>
        <v>0</v>
      </c>
      <c r="J368" s="26" t="n">
        <f aca="false">ROUND(MAX(0,D368-F368-H368),2)</f>
        <v>0</v>
      </c>
      <c r="K368" s="26" t="n">
        <f aca="false">ROUND(E368+K367,2)</f>
        <v>379328.97</v>
      </c>
    </row>
    <row r="369" customFormat="false" ht="15" hidden="false" customHeight="true" outlineLevel="0" collapsed="false">
      <c r="A369" s="19" t="n">
        <f aca="false">A368+1</f>
        <v>364</v>
      </c>
      <c r="B369" s="18" t="n">
        <f aca="false">EDATE(B368,1)</f>
        <v>57346</v>
      </c>
      <c r="C369" s="19" t="n">
        <f aca="false">ROUNDUP(A369/12,0)</f>
        <v>31</v>
      </c>
      <c r="D369" s="26" t="n">
        <f aca="false">J368</f>
        <v>0</v>
      </c>
      <c r="E369" s="26" t="n">
        <f aca="false">IF(D369&lt;=0,0,ROUND(D369*Calculator!$B$7/12,2))</f>
        <v>0</v>
      </c>
      <c r="F369" s="26" t="n">
        <f aca="false">IF(D369&lt;=0,0,ROUND(MIN(D369,Calculator!$H$6-E369),2))</f>
        <v>0</v>
      </c>
      <c r="G369" s="26" t="n">
        <f aca="false">ROUND(IF(A369&gt;=Calculator!$E$11,Calculator!$E$6,0)+IF(A369=Calculator!$E$8,Calculator!$E$7,0)+IF(MONTH(B369)=Calculator!$E$10,Calculator!$E$9,0),2)</f>
        <v>200</v>
      </c>
      <c r="H369" s="26" t="n">
        <f aca="false">IF(D369&lt;=0,0,ROUND(MIN(D369-F369,G369),2))</f>
        <v>0</v>
      </c>
      <c r="I369" s="26" t="n">
        <f aca="false">ROUND(E369+F369+H369,2)</f>
        <v>0</v>
      </c>
      <c r="J369" s="26" t="n">
        <f aca="false">ROUND(MAX(0,D369-F369-H369),2)</f>
        <v>0</v>
      </c>
      <c r="K369" s="26" t="n">
        <f aca="false">ROUND(E369+K368,2)</f>
        <v>379328.97</v>
      </c>
    </row>
    <row r="370" customFormat="false" ht="15" hidden="false" customHeight="true" outlineLevel="0" collapsed="false">
      <c r="A370" s="19" t="n">
        <f aca="false">A369+1</f>
        <v>365</v>
      </c>
      <c r="B370" s="18" t="n">
        <f aca="false">EDATE(B369,1)</f>
        <v>57377</v>
      </c>
      <c r="C370" s="19" t="n">
        <f aca="false">ROUNDUP(A370/12,0)</f>
        <v>31</v>
      </c>
      <c r="D370" s="26" t="n">
        <f aca="false">J369</f>
        <v>0</v>
      </c>
      <c r="E370" s="26" t="n">
        <f aca="false">IF(D370&lt;=0,0,ROUND(D370*Calculator!$B$7/12,2))</f>
        <v>0</v>
      </c>
      <c r="F370" s="26" t="n">
        <f aca="false">IF(D370&lt;=0,0,ROUND(MIN(D370,Calculator!$H$6-E370),2))</f>
        <v>0</v>
      </c>
      <c r="G370" s="26" t="n">
        <f aca="false">ROUND(IF(A370&gt;=Calculator!$E$11,Calculator!$E$6,0)+IF(A370=Calculator!$E$8,Calculator!$E$7,0)+IF(MONTH(B370)=Calculator!$E$10,Calculator!$E$9,0),2)</f>
        <v>200</v>
      </c>
      <c r="H370" s="26" t="n">
        <f aca="false">IF(D370&lt;=0,0,ROUND(MIN(D370-F370,G370),2))</f>
        <v>0</v>
      </c>
      <c r="I370" s="26" t="n">
        <f aca="false">ROUND(E370+F370+H370,2)</f>
        <v>0</v>
      </c>
      <c r="J370" s="26" t="n">
        <f aca="false">ROUND(MAX(0,D370-F370-H370),2)</f>
        <v>0</v>
      </c>
      <c r="K370" s="26" t="n">
        <f aca="false">ROUND(E370+K369,2)</f>
        <v>379328.97</v>
      </c>
    </row>
    <row r="371" customFormat="false" ht="15" hidden="false" customHeight="true" outlineLevel="0" collapsed="false">
      <c r="A371" s="19" t="n">
        <f aca="false">A370+1</f>
        <v>366</v>
      </c>
      <c r="B371" s="18" t="n">
        <f aca="false">EDATE(B370,1)</f>
        <v>57405</v>
      </c>
      <c r="C371" s="19" t="n">
        <f aca="false">ROUNDUP(A371/12,0)</f>
        <v>31</v>
      </c>
      <c r="D371" s="26" t="n">
        <f aca="false">J370</f>
        <v>0</v>
      </c>
      <c r="E371" s="26" t="n">
        <f aca="false">IF(D371&lt;=0,0,ROUND(D371*Calculator!$B$7/12,2))</f>
        <v>0</v>
      </c>
      <c r="F371" s="26" t="n">
        <f aca="false">IF(D371&lt;=0,0,ROUND(MIN(D371,Calculator!$H$6-E371),2))</f>
        <v>0</v>
      </c>
      <c r="G371" s="26" t="n">
        <f aca="false">ROUND(IF(A371&gt;=Calculator!$E$11,Calculator!$E$6,0)+IF(A371=Calculator!$E$8,Calculator!$E$7,0)+IF(MONTH(B371)=Calculator!$E$10,Calculator!$E$9,0),2)</f>
        <v>200</v>
      </c>
      <c r="H371" s="26" t="n">
        <f aca="false">IF(D371&lt;=0,0,ROUND(MIN(D371-F371,G371),2))</f>
        <v>0</v>
      </c>
      <c r="I371" s="26" t="n">
        <f aca="false">ROUND(E371+F371+H371,2)</f>
        <v>0</v>
      </c>
      <c r="J371" s="26" t="n">
        <f aca="false">ROUND(MAX(0,D371-F371-H371),2)</f>
        <v>0</v>
      </c>
      <c r="K371" s="26" t="n">
        <f aca="false">ROUND(E371+K370,2)</f>
        <v>379328.97</v>
      </c>
    </row>
    <row r="372" customFormat="false" ht="15" hidden="false" customHeight="true" outlineLevel="0" collapsed="false">
      <c r="A372" s="19" t="n">
        <f aca="false">A371+1</f>
        <v>367</v>
      </c>
      <c r="B372" s="18" t="n">
        <f aca="false">EDATE(B371,1)</f>
        <v>57436</v>
      </c>
      <c r="C372" s="19" t="n">
        <f aca="false">ROUNDUP(A372/12,0)</f>
        <v>31</v>
      </c>
      <c r="D372" s="26" t="n">
        <f aca="false">J371</f>
        <v>0</v>
      </c>
      <c r="E372" s="26" t="n">
        <f aca="false">IF(D372&lt;=0,0,ROUND(D372*Calculator!$B$7/12,2))</f>
        <v>0</v>
      </c>
      <c r="F372" s="26" t="n">
        <f aca="false">IF(D372&lt;=0,0,ROUND(MIN(D372,Calculator!$H$6-E372),2))</f>
        <v>0</v>
      </c>
      <c r="G372" s="26" t="n">
        <f aca="false">ROUND(IF(A372&gt;=Calculator!$E$11,Calculator!$E$6,0)+IF(A372=Calculator!$E$8,Calculator!$E$7,0)+IF(MONTH(B372)=Calculator!$E$10,Calculator!$E$9,0),2)</f>
        <v>200</v>
      </c>
      <c r="H372" s="26" t="n">
        <f aca="false">IF(D372&lt;=0,0,ROUND(MIN(D372-F372,G372),2))</f>
        <v>0</v>
      </c>
      <c r="I372" s="26" t="n">
        <f aca="false">ROUND(E372+F372+H372,2)</f>
        <v>0</v>
      </c>
      <c r="J372" s="26" t="n">
        <f aca="false">ROUND(MAX(0,D372-F372-H372),2)</f>
        <v>0</v>
      </c>
      <c r="K372" s="26" t="n">
        <f aca="false">ROUND(E372+K371,2)</f>
        <v>379328.97</v>
      </c>
    </row>
    <row r="373" customFormat="false" ht="15" hidden="false" customHeight="true" outlineLevel="0" collapsed="false">
      <c r="A373" s="19" t="n">
        <f aca="false">A372+1</f>
        <v>368</v>
      </c>
      <c r="B373" s="18" t="n">
        <f aca="false">EDATE(B372,1)</f>
        <v>57466</v>
      </c>
      <c r="C373" s="19" t="n">
        <f aca="false">ROUNDUP(A373/12,0)</f>
        <v>31</v>
      </c>
      <c r="D373" s="26" t="n">
        <f aca="false">J372</f>
        <v>0</v>
      </c>
      <c r="E373" s="26" t="n">
        <f aca="false">IF(D373&lt;=0,0,ROUND(D373*Calculator!$B$7/12,2))</f>
        <v>0</v>
      </c>
      <c r="F373" s="26" t="n">
        <f aca="false">IF(D373&lt;=0,0,ROUND(MIN(D373,Calculator!$H$6-E373),2))</f>
        <v>0</v>
      </c>
      <c r="G373" s="26" t="n">
        <f aca="false">ROUND(IF(A373&gt;=Calculator!$E$11,Calculator!$E$6,0)+IF(A373=Calculator!$E$8,Calculator!$E$7,0)+IF(MONTH(B373)=Calculator!$E$10,Calculator!$E$9,0),2)</f>
        <v>200</v>
      </c>
      <c r="H373" s="26" t="n">
        <f aca="false">IF(D373&lt;=0,0,ROUND(MIN(D373-F373,G373),2))</f>
        <v>0</v>
      </c>
      <c r="I373" s="26" t="n">
        <f aca="false">ROUND(E373+F373+H373,2)</f>
        <v>0</v>
      </c>
      <c r="J373" s="26" t="n">
        <f aca="false">ROUND(MAX(0,D373-F373-H373),2)</f>
        <v>0</v>
      </c>
      <c r="K373" s="26" t="n">
        <f aca="false">ROUND(E373+K372,2)</f>
        <v>379328.97</v>
      </c>
    </row>
    <row r="374" customFormat="false" ht="15" hidden="false" customHeight="true" outlineLevel="0" collapsed="false">
      <c r="A374" s="19" t="n">
        <f aca="false">A373+1</f>
        <v>369</v>
      </c>
      <c r="B374" s="18" t="n">
        <f aca="false">EDATE(B373,1)</f>
        <v>57497</v>
      </c>
      <c r="C374" s="19" t="n">
        <f aca="false">ROUNDUP(A374/12,0)</f>
        <v>31</v>
      </c>
      <c r="D374" s="26" t="n">
        <f aca="false">J373</f>
        <v>0</v>
      </c>
      <c r="E374" s="26" t="n">
        <f aca="false">IF(D374&lt;=0,0,ROUND(D374*Calculator!$B$7/12,2))</f>
        <v>0</v>
      </c>
      <c r="F374" s="26" t="n">
        <f aca="false">IF(D374&lt;=0,0,ROUND(MIN(D374,Calculator!$H$6-E374),2))</f>
        <v>0</v>
      </c>
      <c r="G374" s="26" t="n">
        <f aca="false">ROUND(IF(A374&gt;=Calculator!$E$11,Calculator!$E$6,0)+IF(A374=Calculator!$E$8,Calculator!$E$7,0)+IF(MONTH(B374)=Calculator!$E$10,Calculator!$E$9,0),2)</f>
        <v>200</v>
      </c>
      <c r="H374" s="26" t="n">
        <f aca="false">IF(D374&lt;=0,0,ROUND(MIN(D374-F374,G374),2))</f>
        <v>0</v>
      </c>
      <c r="I374" s="26" t="n">
        <f aca="false">ROUND(E374+F374+H374,2)</f>
        <v>0</v>
      </c>
      <c r="J374" s="26" t="n">
        <f aca="false">ROUND(MAX(0,D374-F374-H374),2)</f>
        <v>0</v>
      </c>
      <c r="K374" s="26" t="n">
        <f aca="false">ROUND(E374+K373,2)</f>
        <v>379328.97</v>
      </c>
    </row>
    <row r="375" customFormat="false" ht="15" hidden="false" customHeight="true" outlineLevel="0" collapsed="false">
      <c r="A375" s="19" t="n">
        <f aca="false">A374+1</f>
        <v>370</v>
      </c>
      <c r="B375" s="18" t="n">
        <f aca="false">EDATE(B374,1)</f>
        <v>57527</v>
      </c>
      <c r="C375" s="19" t="n">
        <f aca="false">ROUNDUP(A375/12,0)</f>
        <v>31</v>
      </c>
      <c r="D375" s="26" t="n">
        <f aca="false">J374</f>
        <v>0</v>
      </c>
      <c r="E375" s="26" t="n">
        <f aca="false">IF(D375&lt;=0,0,ROUND(D375*Calculator!$B$7/12,2))</f>
        <v>0</v>
      </c>
      <c r="F375" s="26" t="n">
        <f aca="false">IF(D375&lt;=0,0,ROUND(MIN(D375,Calculator!$H$6-E375),2))</f>
        <v>0</v>
      </c>
      <c r="G375" s="26" t="n">
        <f aca="false">ROUND(IF(A375&gt;=Calculator!$E$11,Calculator!$E$6,0)+IF(A375=Calculator!$E$8,Calculator!$E$7,0)+IF(MONTH(B375)=Calculator!$E$10,Calculator!$E$9,0),2)</f>
        <v>200</v>
      </c>
      <c r="H375" s="26" t="n">
        <f aca="false">IF(D375&lt;=0,0,ROUND(MIN(D375-F375,G375),2))</f>
        <v>0</v>
      </c>
      <c r="I375" s="26" t="n">
        <f aca="false">ROUND(E375+F375+H375,2)</f>
        <v>0</v>
      </c>
      <c r="J375" s="26" t="n">
        <f aca="false">ROUND(MAX(0,D375-F375-H375),2)</f>
        <v>0</v>
      </c>
      <c r="K375" s="26" t="n">
        <f aca="false">ROUND(E375+K374,2)</f>
        <v>379328.97</v>
      </c>
    </row>
    <row r="376" customFormat="false" ht="15" hidden="false" customHeight="true" outlineLevel="0" collapsed="false">
      <c r="A376" s="19" t="n">
        <f aca="false">A375+1</f>
        <v>371</v>
      </c>
      <c r="B376" s="18" t="n">
        <f aca="false">EDATE(B375,1)</f>
        <v>57558</v>
      </c>
      <c r="C376" s="19" t="n">
        <f aca="false">ROUNDUP(A376/12,0)</f>
        <v>31</v>
      </c>
      <c r="D376" s="26" t="n">
        <f aca="false">J375</f>
        <v>0</v>
      </c>
      <c r="E376" s="26" t="n">
        <f aca="false">IF(D376&lt;=0,0,ROUND(D376*Calculator!$B$7/12,2))</f>
        <v>0</v>
      </c>
      <c r="F376" s="26" t="n">
        <f aca="false">IF(D376&lt;=0,0,ROUND(MIN(D376,Calculator!$H$6-E376),2))</f>
        <v>0</v>
      </c>
      <c r="G376" s="26" t="n">
        <f aca="false">ROUND(IF(A376&gt;=Calculator!$E$11,Calculator!$E$6,0)+IF(A376=Calculator!$E$8,Calculator!$E$7,0)+IF(MONTH(B376)=Calculator!$E$10,Calculator!$E$9,0),2)</f>
        <v>200</v>
      </c>
      <c r="H376" s="26" t="n">
        <f aca="false">IF(D376&lt;=0,0,ROUND(MIN(D376-F376,G376),2))</f>
        <v>0</v>
      </c>
      <c r="I376" s="26" t="n">
        <f aca="false">ROUND(E376+F376+H376,2)</f>
        <v>0</v>
      </c>
      <c r="J376" s="26" t="n">
        <f aca="false">ROUND(MAX(0,D376-F376-H376),2)</f>
        <v>0</v>
      </c>
      <c r="K376" s="26" t="n">
        <f aca="false">ROUND(E376+K375,2)</f>
        <v>379328.97</v>
      </c>
    </row>
    <row r="377" customFormat="false" ht="15" hidden="false" customHeight="true" outlineLevel="0" collapsed="false">
      <c r="A377" s="19" t="n">
        <f aca="false">A376+1</f>
        <v>372</v>
      </c>
      <c r="B377" s="18" t="n">
        <f aca="false">EDATE(B376,1)</f>
        <v>57589</v>
      </c>
      <c r="C377" s="19" t="n">
        <f aca="false">ROUNDUP(A377/12,0)</f>
        <v>31</v>
      </c>
      <c r="D377" s="26" t="n">
        <f aca="false">J376</f>
        <v>0</v>
      </c>
      <c r="E377" s="26" t="n">
        <f aca="false">IF(D377&lt;=0,0,ROUND(D377*Calculator!$B$7/12,2))</f>
        <v>0</v>
      </c>
      <c r="F377" s="26" t="n">
        <f aca="false">IF(D377&lt;=0,0,ROUND(MIN(D377,Calculator!$H$6-E377),2))</f>
        <v>0</v>
      </c>
      <c r="G377" s="26" t="n">
        <f aca="false">ROUND(IF(A377&gt;=Calculator!$E$11,Calculator!$E$6,0)+IF(A377=Calculator!$E$8,Calculator!$E$7,0)+IF(MONTH(B377)=Calculator!$E$10,Calculator!$E$9,0),2)</f>
        <v>200</v>
      </c>
      <c r="H377" s="26" t="n">
        <f aca="false">IF(D377&lt;=0,0,ROUND(MIN(D377-F377,G377),2))</f>
        <v>0</v>
      </c>
      <c r="I377" s="26" t="n">
        <f aca="false">ROUND(E377+F377+H377,2)</f>
        <v>0</v>
      </c>
      <c r="J377" s="26" t="n">
        <f aca="false">ROUND(MAX(0,D377-F377-H377),2)</f>
        <v>0</v>
      </c>
      <c r="K377" s="26" t="n">
        <f aca="false">ROUND(E377+K376,2)</f>
        <v>379328.97</v>
      </c>
    </row>
    <row r="378" customFormat="false" ht="15" hidden="false" customHeight="true" outlineLevel="0" collapsed="false">
      <c r="A378" s="19" t="n">
        <f aca="false">A377+1</f>
        <v>373</v>
      </c>
      <c r="B378" s="18" t="n">
        <f aca="false">EDATE(B377,1)</f>
        <v>57619</v>
      </c>
      <c r="C378" s="19" t="n">
        <f aca="false">ROUNDUP(A378/12,0)</f>
        <v>32</v>
      </c>
      <c r="D378" s="26" t="n">
        <f aca="false">J377</f>
        <v>0</v>
      </c>
      <c r="E378" s="26" t="n">
        <f aca="false">IF(D378&lt;=0,0,ROUND(D378*Calculator!$B$7/12,2))</f>
        <v>0</v>
      </c>
      <c r="F378" s="26" t="n">
        <f aca="false">IF(D378&lt;=0,0,ROUND(MIN(D378,Calculator!$H$6-E378),2))</f>
        <v>0</v>
      </c>
      <c r="G378" s="26" t="n">
        <f aca="false">ROUND(IF(A378&gt;=Calculator!$E$11,Calculator!$E$6,0)+IF(A378=Calculator!$E$8,Calculator!$E$7,0)+IF(MONTH(B378)=Calculator!$E$10,Calculator!$E$9,0),2)</f>
        <v>200</v>
      </c>
      <c r="H378" s="26" t="n">
        <f aca="false">IF(D378&lt;=0,0,ROUND(MIN(D378-F378,G378),2))</f>
        <v>0</v>
      </c>
      <c r="I378" s="26" t="n">
        <f aca="false">ROUND(E378+F378+H378,2)</f>
        <v>0</v>
      </c>
      <c r="J378" s="26" t="n">
        <f aca="false">ROUND(MAX(0,D378-F378-H378),2)</f>
        <v>0</v>
      </c>
      <c r="K378" s="26" t="n">
        <f aca="false">ROUND(E378+K377,2)</f>
        <v>379328.97</v>
      </c>
    </row>
    <row r="379" customFormat="false" ht="15" hidden="false" customHeight="true" outlineLevel="0" collapsed="false">
      <c r="A379" s="19" t="n">
        <f aca="false">A378+1</f>
        <v>374</v>
      </c>
      <c r="B379" s="18" t="n">
        <f aca="false">EDATE(B378,1)</f>
        <v>57650</v>
      </c>
      <c r="C379" s="19" t="n">
        <f aca="false">ROUNDUP(A379/12,0)</f>
        <v>32</v>
      </c>
      <c r="D379" s="26" t="n">
        <f aca="false">J378</f>
        <v>0</v>
      </c>
      <c r="E379" s="26" t="n">
        <f aca="false">IF(D379&lt;=0,0,ROUND(D379*Calculator!$B$7/12,2))</f>
        <v>0</v>
      </c>
      <c r="F379" s="26" t="n">
        <f aca="false">IF(D379&lt;=0,0,ROUND(MIN(D379,Calculator!$H$6-E379),2))</f>
        <v>0</v>
      </c>
      <c r="G379" s="26" t="n">
        <f aca="false">ROUND(IF(A379&gt;=Calculator!$E$11,Calculator!$E$6,0)+IF(A379=Calculator!$E$8,Calculator!$E$7,0)+IF(MONTH(B379)=Calculator!$E$10,Calculator!$E$9,0),2)</f>
        <v>200</v>
      </c>
      <c r="H379" s="26" t="n">
        <f aca="false">IF(D379&lt;=0,0,ROUND(MIN(D379-F379,G379),2))</f>
        <v>0</v>
      </c>
      <c r="I379" s="26" t="n">
        <f aca="false">ROUND(E379+F379+H379,2)</f>
        <v>0</v>
      </c>
      <c r="J379" s="26" t="n">
        <f aca="false">ROUND(MAX(0,D379-F379-H379),2)</f>
        <v>0</v>
      </c>
      <c r="K379" s="26" t="n">
        <f aca="false">ROUND(E379+K378,2)</f>
        <v>379328.97</v>
      </c>
    </row>
    <row r="380" customFormat="false" ht="15" hidden="false" customHeight="true" outlineLevel="0" collapsed="false">
      <c r="A380" s="19" t="n">
        <f aca="false">A379+1</f>
        <v>375</v>
      </c>
      <c r="B380" s="18" t="n">
        <f aca="false">EDATE(B379,1)</f>
        <v>57680</v>
      </c>
      <c r="C380" s="19" t="n">
        <f aca="false">ROUNDUP(A380/12,0)</f>
        <v>32</v>
      </c>
      <c r="D380" s="26" t="n">
        <f aca="false">J379</f>
        <v>0</v>
      </c>
      <c r="E380" s="26" t="n">
        <f aca="false">IF(D380&lt;=0,0,ROUND(D380*Calculator!$B$7/12,2))</f>
        <v>0</v>
      </c>
      <c r="F380" s="26" t="n">
        <f aca="false">IF(D380&lt;=0,0,ROUND(MIN(D380,Calculator!$H$6-E380),2))</f>
        <v>0</v>
      </c>
      <c r="G380" s="26" t="n">
        <f aca="false">ROUND(IF(A380&gt;=Calculator!$E$11,Calculator!$E$6,0)+IF(A380=Calculator!$E$8,Calculator!$E$7,0)+IF(MONTH(B380)=Calculator!$E$10,Calculator!$E$9,0),2)</f>
        <v>1200</v>
      </c>
      <c r="H380" s="26" t="n">
        <f aca="false">IF(D380&lt;=0,0,ROUND(MIN(D380-F380,G380),2))</f>
        <v>0</v>
      </c>
      <c r="I380" s="26" t="n">
        <f aca="false">ROUND(E380+F380+H380,2)</f>
        <v>0</v>
      </c>
      <c r="J380" s="26" t="n">
        <f aca="false">ROUND(MAX(0,D380-F380-H380),2)</f>
        <v>0</v>
      </c>
      <c r="K380" s="26" t="n">
        <f aca="false">ROUND(E380+K379,2)</f>
        <v>379328.97</v>
      </c>
    </row>
    <row r="381" customFormat="false" ht="15" hidden="false" customHeight="true" outlineLevel="0" collapsed="false">
      <c r="A381" s="19" t="n">
        <f aca="false">A380+1</f>
        <v>376</v>
      </c>
      <c r="B381" s="18" t="n">
        <f aca="false">EDATE(B380,1)</f>
        <v>57711</v>
      </c>
      <c r="C381" s="19" t="n">
        <f aca="false">ROUNDUP(A381/12,0)</f>
        <v>32</v>
      </c>
      <c r="D381" s="26" t="n">
        <f aca="false">J380</f>
        <v>0</v>
      </c>
      <c r="E381" s="26" t="n">
        <f aca="false">IF(D381&lt;=0,0,ROUND(D381*Calculator!$B$7/12,2))</f>
        <v>0</v>
      </c>
      <c r="F381" s="26" t="n">
        <f aca="false">IF(D381&lt;=0,0,ROUND(MIN(D381,Calculator!$H$6-E381),2))</f>
        <v>0</v>
      </c>
      <c r="G381" s="26" t="n">
        <f aca="false">ROUND(IF(A381&gt;=Calculator!$E$11,Calculator!$E$6,0)+IF(A381=Calculator!$E$8,Calculator!$E$7,0)+IF(MONTH(B381)=Calculator!$E$10,Calculator!$E$9,0),2)</f>
        <v>200</v>
      </c>
      <c r="H381" s="26" t="n">
        <f aca="false">IF(D381&lt;=0,0,ROUND(MIN(D381-F381,G381),2))</f>
        <v>0</v>
      </c>
      <c r="I381" s="26" t="n">
        <f aca="false">ROUND(E381+F381+H381,2)</f>
        <v>0</v>
      </c>
      <c r="J381" s="26" t="n">
        <f aca="false">ROUND(MAX(0,D381-F381-H381),2)</f>
        <v>0</v>
      </c>
      <c r="K381" s="26" t="n">
        <f aca="false">ROUND(E381+K380,2)</f>
        <v>379328.97</v>
      </c>
    </row>
    <row r="382" customFormat="false" ht="15" hidden="false" customHeight="true" outlineLevel="0" collapsed="false">
      <c r="A382" s="19" t="n">
        <f aca="false">A381+1</f>
        <v>377</v>
      </c>
      <c r="B382" s="18" t="n">
        <f aca="false">EDATE(B381,1)</f>
        <v>57742</v>
      </c>
      <c r="C382" s="19" t="n">
        <f aca="false">ROUNDUP(A382/12,0)</f>
        <v>32</v>
      </c>
      <c r="D382" s="26" t="n">
        <f aca="false">J381</f>
        <v>0</v>
      </c>
      <c r="E382" s="26" t="n">
        <f aca="false">IF(D382&lt;=0,0,ROUND(D382*Calculator!$B$7/12,2))</f>
        <v>0</v>
      </c>
      <c r="F382" s="26" t="n">
        <f aca="false">IF(D382&lt;=0,0,ROUND(MIN(D382,Calculator!$H$6-E382),2))</f>
        <v>0</v>
      </c>
      <c r="G382" s="26" t="n">
        <f aca="false">ROUND(IF(A382&gt;=Calculator!$E$11,Calculator!$E$6,0)+IF(A382=Calculator!$E$8,Calculator!$E$7,0)+IF(MONTH(B382)=Calculator!$E$10,Calculator!$E$9,0),2)</f>
        <v>200</v>
      </c>
      <c r="H382" s="26" t="n">
        <f aca="false">IF(D382&lt;=0,0,ROUND(MIN(D382-F382,G382),2))</f>
        <v>0</v>
      </c>
      <c r="I382" s="26" t="n">
        <f aca="false">ROUND(E382+F382+H382,2)</f>
        <v>0</v>
      </c>
      <c r="J382" s="26" t="n">
        <f aca="false">ROUND(MAX(0,D382-F382-H382),2)</f>
        <v>0</v>
      </c>
      <c r="K382" s="26" t="n">
        <f aca="false">ROUND(E382+K381,2)</f>
        <v>379328.97</v>
      </c>
    </row>
    <row r="383" customFormat="false" ht="15" hidden="false" customHeight="true" outlineLevel="0" collapsed="false">
      <c r="A383" s="19" t="n">
        <f aca="false">A382+1</f>
        <v>378</v>
      </c>
      <c r="B383" s="18" t="n">
        <f aca="false">EDATE(B382,1)</f>
        <v>57770</v>
      </c>
      <c r="C383" s="19" t="n">
        <f aca="false">ROUNDUP(A383/12,0)</f>
        <v>32</v>
      </c>
      <c r="D383" s="26" t="n">
        <f aca="false">J382</f>
        <v>0</v>
      </c>
      <c r="E383" s="26" t="n">
        <f aca="false">IF(D383&lt;=0,0,ROUND(D383*Calculator!$B$7/12,2))</f>
        <v>0</v>
      </c>
      <c r="F383" s="26" t="n">
        <f aca="false">IF(D383&lt;=0,0,ROUND(MIN(D383,Calculator!$H$6-E383),2))</f>
        <v>0</v>
      </c>
      <c r="G383" s="26" t="n">
        <f aca="false">ROUND(IF(A383&gt;=Calculator!$E$11,Calculator!$E$6,0)+IF(A383=Calculator!$E$8,Calculator!$E$7,0)+IF(MONTH(B383)=Calculator!$E$10,Calculator!$E$9,0),2)</f>
        <v>200</v>
      </c>
      <c r="H383" s="26" t="n">
        <f aca="false">IF(D383&lt;=0,0,ROUND(MIN(D383-F383,G383),2))</f>
        <v>0</v>
      </c>
      <c r="I383" s="26" t="n">
        <f aca="false">ROUND(E383+F383+H383,2)</f>
        <v>0</v>
      </c>
      <c r="J383" s="26" t="n">
        <f aca="false">ROUND(MAX(0,D383-F383-H383),2)</f>
        <v>0</v>
      </c>
      <c r="K383" s="26" t="n">
        <f aca="false">ROUND(E383+K382,2)</f>
        <v>379328.97</v>
      </c>
    </row>
    <row r="384" customFormat="false" ht="15" hidden="false" customHeight="true" outlineLevel="0" collapsed="false">
      <c r="A384" s="19" t="n">
        <f aca="false">A383+1</f>
        <v>379</v>
      </c>
      <c r="B384" s="18" t="n">
        <f aca="false">EDATE(B383,1)</f>
        <v>57801</v>
      </c>
      <c r="C384" s="19" t="n">
        <f aca="false">ROUNDUP(A384/12,0)</f>
        <v>32</v>
      </c>
      <c r="D384" s="26" t="n">
        <f aca="false">J383</f>
        <v>0</v>
      </c>
      <c r="E384" s="26" t="n">
        <f aca="false">IF(D384&lt;=0,0,ROUND(D384*Calculator!$B$7/12,2))</f>
        <v>0</v>
      </c>
      <c r="F384" s="26" t="n">
        <f aca="false">IF(D384&lt;=0,0,ROUND(MIN(D384,Calculator!$H$6-E384),2))</f>
        <v>0</v>
      </c>
      <c r="G384" s="26" t="n">
        <f aca="false">ROUND(IF(A384&gt;=Calculator!$E$11,Calculator!$E$6,0)+IF(A384=Calculator!$E$8,Calculator!$E$7,0)+IF(MONTH(B384)=Calculator!$E$10,Calculator!$E$9,0),2)</f>
        <v>200</v>
      </c>
      <c r="H384" s="26" t="n">
        <f aca="false">IF(D384&lt;=0,0,ROUND(MIN(D384-F384,G384),2))</f>
        <v>0</v>
      </c>
      <c r="I384" s="26" t="n">
        <f aca="false">ROUND(E384+F384+H384,2)</f>
        <v>0</v>
      </c>
      <c r="J384" s="26" t="n">
        <f aca="false">ROUND(MAX(0,D384-F384-H384),2)</f>
        <v>0</v>
      </c>
      <c r="K384" s="26" t="n">
        <f aca="false">ROUND(E384+K383,2)</f>
        <v>379328.97</v>
      </c>
    </row>
    <row r="385" customFormat="false" ht="15" hidden="false" customHeight="true" outlineLevel="0" collapsed="false">
      <c r="A385" s="19" t="n">
        <f aca="false">A384+1</f>
        <v>380</v>
      </c>
      <c r="B385" s="18" t="n">
        <f aca="false">EDATE(B384,1)</f>
        <v>57831</v>
      </c>
      <c r="C385" s="19" t="n">
        <f aca="false">ROUNDUP(A385/12,0)</f>
        <v>32</v>
      </c>
      <c r="D385" s="26" t="n">
        <f aca="false">J384</f>
        <v>0</v>
      </c>
      <c r="E385" s="26" t="n">
        <f aca="false">IF(D385&lt;=0,0,ROUND(D385*Calculator!$B$7/12,2))</f>
        <v>0</v>
      </c>
      <c r="F385" s="26" t="n">
        <f aca="false">IF(D385&lt;=0,0,ROUND(MIN(D385,Calculator!$H$6-E385),2))</f>
        <v>0</v>
      </c>
      <c r="G385" s="26" t="n">
        <f aca="false">ROUND(IF(A385&gt;=Calculator!$E$11,Calculator!$E$6,0)+IF(A385=Calculator!$E$8,Calculator!$E$7,0)+IF(MONTH(B385)=Calculator!$E$10,Calculator!$E$9,0),2)</f>
        <v>200</v>
      </c>
      <c r="H385" s="26" t="n">
        <f aca="false">IF(D385&lt;=0,0,ROUND(MIN(D385-F385,G385),2))</f>
        <v>0</v>
      </c>
      <c r="I385" s="26" t="n">
        <f aca="false">ROUND(E385+F385+H385,2)</f>
        <v>0</v>
      </c>
      <c r="J385" s="26" t="n">
        <f aca="false">ROUND(MAX(0,D385-F385-H385),2)</f>
        <v>0</v>
      </c>
      <c r="K385" s="26" t="n">
        <f aca="false">ROUND(E385+K384,2)</f>
        <v>379328.97</v>
      </c>
    </row>
    <row r="386" customFormat="false" ht="15" hidden="false" customHeight="true" outlineLevel="0" collapsed="false">
      <c r="A386" s="19" t="n">
        <f aca="false">A385+1</f>
        <v>381</v>
      </c>
      <c r="B386" s="18" t="n">
        <f aca="false">EDATE(B385,1)</f>
        <v>57862</v>
      </c>
      <c r="C386" s="19" t="n">
        <f aca="false">ROUNDUP(A386/12,0)</f>
        <v>32</v>
      </c>
      <c r="D386" s="26" t="n">
        <f aca="false">J385</f>
        <v>0</v>
      </c>
      <c r="E386" s="26" t="n">
        <f aca="false">IF(D386&lt;=0,0,ROUND(D386*Calculator!$B$7/12,2))</f>
        <v>0</v>
      </c>
      <c r="F386" s="26" t="n">
        <f aca="false">IF(D386&lt;=0,0,ROUND(MIN(D386,Calculator!$H$6-E386),2))</f>
        <v>0</v>
      </c>
      <c r="G386" s="26" t="n">
        <f aca="false">ROUND(IF(A386&gt;=Calculator!$E$11,Calculator!$E$6,0)+IF(A386=Calculator!$E$8,Calculator!$E$7,0)+IF(MONTH(B386)=Calculator!$E$10,Calculator!$E$9,0),2)</f>
        <v>200</v>
      </c>
      <c r="H386" s="26" t="n">
        <f aca="false">IF(D386&lt;=0,0,ROUND(MIN(D386-F386,G386),2))</f>
        <v>0</v>
      </c>
      <c r="I386" s="26" t="n">
        <f aca="false">ROUND(E386+F386+H386,2)</f>
        <v>0</v>
      </c>
      <c r="J386" s="26" t="n">
        <f aca="false">ROUND(MAX(0,D386-F386-H386),2)</f>
        <v>0</v>
      </c>
      <c r="K386" s="26" t="n">
        <f aca="false">ROUND(E386+K385,2)</f>
        <v>379328.97</v>
      </c>
    </row>
    <row r="387" customFormat="false" ht="15" hidden="false" customHeight="true" outlineLevel="0" collapsed="false">
      <c r="A387" s="19" t="n">
        <f aca="false">A386+1</f>
        <v>382</v>
      </c>
      <c r="B387" s="18" t="n">
        <f aca="false">EDATE(B386,1)</f>
        <v>57892</v>
      </c>
      <c r="C387" s="19" t="n">
        <f aca="false">ROUNDUP(A387/12,0)</f>
        <v>32</v>
      </c>
      <c r="D387" s="26" t="n">
        <f aca="false">J386</f>
        <v>0</v>
      </c>
      <c r="E387" s="26" t="n">
        <f aca="false">IF(D387&lt;=0,0,ROUND(D387*Calculator!$B$7/12,2))</f>
        <v>0</v>
      </c>
      <c r="F387" s="26" t="n">
        <f aca="false">IF(D387&lt;=0,0,ROUND(MIN(D387,Calculator!$H$6-E387),2))</f>
        <v>0</v>
      </c>
      <c r="G387" s="26" t="n">
        <f aca="false">ROUND(IF(A387&gt;=Calculator!$E$11,Calculator!$E$6,0)+IF(A387=Calculator!$E$8,Calculator!$E$7,0)+IF(MONTH(B387)=Calculator!$E$10,Calculator!$E$9,0),2)</f>
        <v>200</v>
      </c>
      <c r="H387" s="26" t="n">
        <f aca="false">IF(D387&lt;=0,0,ROUND(MIN(D387-F387,G387),2))</f>
        <v>0</v>
      </c>
      <c r="I387" s="26" t="n">
        <f aca="false">ROUND(E387+F387+H387,2)</f>
        <v>0</v>
      </c>
      <c r="J387" s="26" t="n">
        <f aca="false">ROUND(MAX(0,D387-F387-H387),2)</f>
        <v>0</v>
      </c>
      <c r="K387" s="26" t="n">
        <f aca="false">ROUND(E387+K386,2)</f>
        <v>379328.97</v>
      </c>
    </row>
    <row r="388" customFormat="false" ht="15" hidden="false" customHeight="true" outlineLevel="0" collapsed="false">
      <c r="A388" s="19" t="n">
        <f aca="false">A387+1</f>
        <v>383</v>
      </c>
      <c r="B388" s="18" t="n">
        <f aca="false">EDATE(B387,1)</f>
        <v>57923</v>
      </c>
      <c r="C388" s="19" t="n">
        <f aca="false">ROUNDUP(A388/12,0)</f>
        <v>32</v>
      </c>
      <c r="D388" s="26" t="n">
        <f aca="false">J387</f>
        <v>0</v>
      </c>
      <c r="E388" s="26" t="n">
        <f aca="false">IF(D388&lt;=0,0,ROUND(D388*Calculator!$B$7/12,2))</f>
        <v>0</v>
      </c>
      <c r="F388" s="26" t="n">
        <f aca="false">IF(D388&lt;=0,0,ROUND(MIN(D388,Calculator!$H$6-E388),2))</f>
        <v>0</v>
      </c>
      <c r="G388" s="26" t="n">
        <f aca="false">ROUND(IF(A388&gt;=Calculator!$E$11,Calculator!$E$6,0)+IF(A388=Calculator!$E$8,Calculator!$E$7,0)+IF(MONTH(B388)=Calculator!$E$10,Calculator!$E$9,0),2)</f>
        <v>200</v>
      </c>
      <c r="H388" s="26" t="n">
        <f aca="false">IF(D388&lt;=0,0,ROUND(MIN(D388-F388,G388),2))</f>
        <v>0</v>
      </c>
      <c r="I388" s="26" t="n">
        <f aca="false">ROUND(E388+F388+H388,2)</f>
        <v>0</v>
      </c>
      <c r="J388" s="26" t="n">
        <f aca="false">ROUND(MAX(0,D388-F388-H388),2)</f>
        <v>0</v>
      </c>
      <c r="K388" s="26" t="n">
        <f aca="false">ROUND(E388+K387,2)</f>
        <v>379328.97</v>
      </c>
    </row>
    <row r="389" customFormat="false" ht="15" hidden="false" customHeight="true" outlineLevel="0" collapsed="false">
      <c r="A389" s="19" t="n">
        <f aca="false">A388+1</f>
        <v>384</v>
      </c>
      <c r="B389" s="18" t="n">
        <f aca="false">EDATE(B388,1)</f>
        <v>57954</v>
      </c>
      <c r="C389" s="19" t="n">
        <f aca="false">ROUNDUP(A389/12,0)</f>
        <v>32</v>
      </c>
      <c r="D389" s="26" t="n">
        <f aca="false">J388</f>
        <v>0</v>
      </c>
      <c r="E389" s="26" t="n">
        <f aca="false">IF(D389&lt;=0,0,ROUND(D389*Calculator!$B$7/12,2))</f>
        <v>0</v>
      </c>
      <c r="F389" s="26" t="n">
        <f aca="false">IF(D389&lt;=0,0,ROUND(MIN(D389,Calculator!$H$6-E389),2))</f>
        <v>0</v>
      </c>
      <c r="G389" s="26" t="n">
        <f aca="false">ROUND(IF(A389&gt;=Calculator!$E$11,Calculator!$E$6,0)+IF(A389=Calculator!$E$8,Calculator!$E$7,0)+IF(MONTH(B389)=Calculator!$E$10,Calculator!$E$9,0),2)</f>
        <v>200</v>
      </c>
      <c r="H389" s="26" t="n">
        <f aca="false">IF(D389&lt;=0,0,ROUND(MIN(D389-F389,G389),2))</f>
        <v>0</v>
      </c>
      <c r="I389" s="26" t="n">
        <f aca="false">ROUND(E389+F389+H389,2)</f>
        <v>0</v>
      </c>
      <c r="J389" s="26" t="n">
        <f aca="false">ROUND(MAX(0,D389-F389-H389),2)</f>
        <v>0</v>
      </c>
      <c r="K389" s="26" t="n">
        <f aca="false">ROUND(E389+K388,2)</f>
        <v>379328.97</v>
      </c>
    </row>
    <row r="390" customFormat="false" ht="15" hidden="false" customHeight="true" outlineLevel="0" collapsed="false">
      <c r="A390" s="19" t="n">
        <f aca="false">A389+1</f>
        <v>385</v>
      </c>
      <c r="B390" s="18" t="n">
        <f aca="false">EDATE(B389,1)</f>
        <v>57984</v>
      </c>
      <c r="C390" s="19" t="n">
        <f aca="false">ROUNDUP(A390/12,0)</f>
        <v>33</v>
      </c>
      <c r="D390" s="26" t="n">
        <f aca="false">J389</f>
        <v>0</v>
      </c>
      <c r="E390" s="26" t="n">
        <f aca="false">IF(D390&lt;=0,0,ROUND(D390*Calculator!$B$7/12,2))</f>
        <v>0</v>
      </c>
      <c r="F390" s="26" t="n">
        <f aca="false">IF(D390&lt;=0,0,ROUND(MIN(D390,Calculator!$H$6-E390),2))</f>
        <v>0</v>
      </c>
      <c r="G390" s="26" t="n">
        <f aca="false">ROUND(IF(A390&gt;=Calculator!$E$11,Calculator!$E$6,0)+IF(A390=Calculator!$E$8,Calculator!$E$7,0)+IF(MONTH(B390)=Calculator!$E$10,Calculator!$E$9,0),2)</f>
        <v>200</v>
      </c>
      <c r="H390" s="26" t="n">
        <f aca="false">IF(D390&lt;=0,0,ROUND(MIN(D390-F390,G390),2))</f>
        <v>0</v>
      </c>
      <c r="I390" s="26" t="n">
        <f aca="false">ROUND(E390+F390+H390,2)</f>
        <v>0</v>
      </c>
      <c r="J390" s="26" t="n">
        <f aca="false">ROUND(MAX(0,D390-F390-H390),2)</f>
        <v>0</v>
      </c>
      <c r="K390" s="26" t="n">
        <f aca="false">ROUND(E390+K389,2)</f>
        <v>379328.97</v>
      </c>
    </row>
    <row r="391" customFormat="false" ht="15" hidden="false" customHeight="true" outlineLevel="0" collapsed="false">
      <c r="A391" s="19" t="n">
        <f aca="false">A390+1</f>
        <v>386</v>
      </c>
      <c r="B391" s="18" t="n">
        <f aca="false">EDATE(B390,1)</f>
        <v>58015</v>
      </c>
      <c r="C391" s="19" t="n">
        <f aca="false">ROUNDUP(A391/12,0)</f>
        <v>33</v>
      </c>
      <c r="D391" s="26" t="n">
        <f aca="false">J390</f>
        <v>0</v>
      </c>
      <c r="E391" s="26" t="n">
        <f aca="false">IF(D391&lt;=0,0,ROUND(D391*Calculator!$B$7/12,2))</f>
        <v>0</v>
      </c>
      <c r="F391" s="26" t="n">
        <f aca="false">IF(D391&lt;=0,0,ROUND(MIN(D391,Calculator!$H$6-E391),2))</f>
        <v>0</v>
      </c>
      <c r="G391" s="26" t="n">
        <f aca="false">ROUND(IF(A391&gt;=Calculator!$E$11,Calculator!$E$6,0)+IF(A391=Calculator!$E$8,Calculator!$E$7,0)+IF(MONTH(B391)=Calculator!$E$10,Calculator!$E$9,0),2)</f>
        <v>200</v>
      </c>
      <c r="H391" s="26" t="n">
        <f aca="false">IF(D391&lt;=0,0,ROUND(MIN(D391-F391,G391),2))</f>
        <v>0</v>
      </c>
      <c r="I391" s="26" t="n">
        <f aca="false">ROUND(E391+F391+H391,2)</f>
        <v>0</v>
      </c>
      <c r="J391" s="26" t="n">
        <f aca="false">ROUND(MAX(0,D391-F391-H391),2)</f>
        <v>0</v>
      </c>
      <c r="K391" s="26" t="n">
        <f aca="false">ROUND(E391+K390,2)</f>
        <v>379328.97</v>
      </c>
    </row>
    <row r="392" customFormat="false" ht="15" hidden="false" customHeight="true" outlineLevel="0" collapsed="false">
      <c r="A392" s="19" t="n">
        <f aca="false">A391+1</f>
        <v>387</v>
      </c>
      <c r="B392" s="18" t="n">
        <f aca="false">EDATE(B391,1)</f>
        <v>58045</v>
      </c>
      <c r="C392" s="19" t="n">
        <f aca="false">ROUNDUP(A392/12,0)</f>
        <v>33</v>
      </c>
      <c r="D392" s="26" t="n">
        <f aca="false">J391</f>
        <v>0</v>
      </c>
      <c r="E392" s="26" t="n">
        <f aca="false">IF(D392&lt;=0,0,ROUND(D392*Calculator!$B$7/12,2))</f>
        <v>0</v>
      </c>
      <c r="F392" s="26" t="n">
        <f aca="false">IF(D392&lt;=0,0,ROUND(MIN(D392,Calculator!$H$6-E392),2))</f>
        <v>0</v>
      </c>
      <c r="G392" s="26" t="n">
        <f aca="false">ROUND(IF(A392&gt;=Calculator!$E$11,Calculator!$E$6,0)+IF(A392=Calculator!$E$8,Calculator!$E$7,0)+IF(MONTH(B392)=Calculator!$E$10,Calculator!$E$9,0),2)</f>
        <v>1200</v>
      </c>
      <c r="H392" s="26" t="n">
        <f aca="false">IF(D392&lt;=0,0,ROUND(MIN(D392-F392,G392),2))</f>
        <v>0</v>
      </c>
      <c r="I392" s="26" t="n">
        <f aca="false">ROUND(E392+F392+H392,2)</f>
        <v>0</v>
      </c>
      <c r="J392" s="26" t="n">
        <f aca="false">ROUND(MAX(0,D392-F392-H392),2)</f>
        <v>0</v>
      </c>
      <c r="K392" s="26" t="n">
        <f aca="false">ROUND(E392+K391,2)</f>
        <v>379328.97</v>
      </c>
    </row>
    <row r="393" customFormat="false" ht="15" hidden="false" customHeight="true" outlineLevel="0" collapsed="false">
      <c r="A393" s="19" t="n">
        <f aca="false">A392+1</f>
        <v>388</v>
      </c>
      <c r="B393" s="18" t="n">
        <f aca="false">EDATE(B392,1)</f>
        <v>58076</v>
      </c>
      <c r="C393" s="19" t="n">
        <f aca="false">ROUNDUP(A393/12,0)</f>
        <v>33</v>
      </c>
      <c r="D393" s="26" t="n">
        <f aca="false">J392</f>
        <v>0</v>
      </c>
      <c r="E393" s="26" t="n">
        <f aca="false">IF(D393&lt;=0,0,ROUND(D393*Calculator!$B$7/12,2))</f>
        <v>0</v>
      </c>
      <c r="F393" s="26" t="n">
        <f aca="false">IF(D393&lt;=0,0,ROUND(MIN(D393,Calculator!$H$6-E393),2))</f>
        <v>0</v>
      </c>
      <c r="G393" s="26" t="n">
        <f aca="false">ROUND(IF(A393&gt;=Calculator!$E$11,Calculator!$E$6,0)+IF(A393=Calculator!$E$8,Calculator!$E$7,0)+IF(MONTH(B393)=Calculator!$E$10,Calculator!$E$9,0),2)</f>
        <v>200</v>
      </c>
      <c r="H393" s="26" t="n">
        <f aca="false">IF(D393&lt;=0,0,ROUND(MIN(D393-F393,G393),2))</f>
        <v>0</v>
      </c>
      <c r="I393" s="26" t="n">
        <f aca="false">ROUND(E393+F393+H393,2)</f>
        <v>0</v>
      </c>
      <c r="J393" s="26" t="n">
        <f aca="false">ROUND(MAX(0,D393-F393-H393),2)</f>
        <v>0</v>
      </c>
      <c r="K393" s="26" t="n">
        <f aca="false">ROUND(E393+K392,2)</f>
        <v>379328.97</v>
      </c>
    </row>
    <row r="394" customFormat="false" ht="15" hidden="false" customHeight="true" outlineLevel="0" collapsed="false">
      <c r="A394" s="19" t="n">
        <f aca="false">A393+1</f>
        <v>389</v>
      </c>
      <c r="B394" s="18" t="n">
        <f aca="false">EDATE(B393,1)</f>
        <v>58107</v>
      </c>
      <c r="C394" s="19" t="n">
        <f aca="false">ROUNDUP(A394/12,0)</f>
        <v>33</v>
      </c>
      <c r="D394" s="26" t="n">
        <f aca="false">J393</f>
        <v>0</v>
      </c>
      <c r="E394" s="26" t="n">
        <f aca="false">IF(D394&lt;=0,0,ROUND(D394*Calculator!$B$7/12,2))</f>
        <v>0</v>
      </c>
      <c r="F394" s="26" t="n">
        <f aca="false">IF(D394&lt;=0,0,ROUND(MIN(D394,Calculator!$H$6-E394),2))</f>
        <v>0</v>
      </c>
      <c r="G394" s="26" t="n">
        <f aca="false">ROUND(IF(A394&gt;=Calculator!$E$11,Calculator!$E$6,0)+IF(A394=Calculator!$E$8,Calculator!$E$7,0)+IF(MONTH(B394)=Calculator!$E$10,Calculator!$E$9,0),2)</f>
        <v>200</v>
      </c>
      <c r="H394" s="26" t="n">
        <f aca="false">IF(D394&lt;=0,0,ROUND(MIN(D394-F394,G394),2))</f>
        <v>0</v>
      </c>
      <c r="I394" s="26" t="n">
        <f aca="false">ROUND(E394+F394+H394,2)</f>
        <v>0</v>
      </c>
      <c r="J394" s="26" t="n">
        <f aca="false">ROUND(MAX(0,D394-F394-H394),2)</f>
        <v>0</v>
      </c>
      <c r="K394" s="26" t="n">
        <f aca="false">ROUND(E394+K393,2)</f>
        <v>379328.97</v>
      </c>
    </row>
    <row r="395" customFormat="false" ht="15" hidden="false" customHeight="true" outlineLevel="0" collapsed="false">
      <c r="A395" s="19" t="n">
        <f aca="false">A394+1</f>
        <v>390</v>
      </c>
      <c r="B395" s="18" t="n">
        <f aca="false">EDATE(B394,1)</f>
        <v>58135</v>
      </c>
      <c r="C395" s="19" t="n">
        <f aca="false">ROUNDUP(A395/12,0)</f>
        <v>33</v>
      </c>
      <c r="D395" s="26" t="n">
        <f aca="false">J394</f>
        <v>0</v>
      </c>
      <c r="E395" s="26" t="n">
        <f aca="false">IF(D395&lt;=0,0,ROUND(D395*Calculator!$B$7/12,2))</f>
        <v>0</v>
      </c>
      <c r="F395" s="26" t="n">
        <f aca="false">IF(D395&lt;=0,0,ROUND(MIN(D395,Calculator!$H$6-E395),2))</f>
        <v>0</v>
      </c>
      <c r="G395" s="26" t="n">
        <f aca="false">ROUND(IF(A395&gt;=Calculator!$E$11,Calculator!$E$6,0)+IF(A395=Calculator!$E$8,Calculator!$E$7,0)+IF(MONTH(B395)=Calculator!$E$10,Calculator!$E$9,0),2)</f>
        <v>200</v>
      </c>
      <c r="H395" s="26" t="n">
        <f aca="false">IF(D395&lt;=0,0,ROUND(MIN(D395-F395,G395),2))</f>
        <v>0</v>
      </c>
      <c r="I395" s="26" t="n">
        <f aca="false">ROUND(E395+F395+H395,2)</f>
        <v>0</v>
      </c>
      <c r="J395" s="26" t="n">
        <f aca="false">ROUND(MAX(0,D395-F395-H395),2)</f>
        <v>0</v>
      </c>
      <c r="K395" s="26" t="n">
        <f aca="false">ROUND(E395+K394,2)</f>
        <v>379328.97</v>
      </c>
    </row>
    <row r="396" customFormat="false" ht="15" hidden="false" customHeight="true" outlineLevel="0" collapsed="false">
      <c r="A396" s="19" t="n">
        <f aca="false">A395+1</f>
        <v>391</v>
      </c>
      <c r="B396" s="18" t="n">
        <f aca="false">EDATE(B395,1)</f>
        <v>58166</v>
      </c>
      <c r="C396" s="19" t="n">
        <f aca="false">ROUNDUP(A396/12,0)</f>
        <v>33</v>
      </c>
      <c r="D396" s="26" t="n">
        <f aca="false">J395</f>
        <v>0</v>
      </c>
      <c r="E396" s="26" t="n">
        <f aca="false">IF(D396&lt;=0,0,ROUND(D396*Calculator!$B$7/12,2))</f>
        <v>0</v>
      </c>
      <c r="F396" s="26" t="n">
        <f aca="false">IF(D396&lt;=0,0,ROUND(MIN(D396,Calculator!$H$6-E396),2))</f>
        <v>0</v>
      </c>
      <c r="G396" s="26" t="n">
        <f aca="false">ROUND(IF(A396&gt;=Calculator!$E$11,Calculator!$E$6,0)+IF(A396=Calculator!$E$8,Calculator!$E$7,0)+IF(MONTH(B396)=Calculator!$E$10,Calculator!$E$9,0),2)</f>
        <v>200</v>
      </c>
      <c r="H396" s="26" t="n">
        <f aca="false">IF(D396&lt;=0,0,ROUND(MIN(D396-F396,G396),2))</f>
        <v>0</v>
      </c>
      <c r="I396" s="26" t="n">
        <f aca="false">ROUND(E396+F396+H396,2)</f>
        <v>0</v>
      </c>
      <c r="J396" s="26" t="n">
        <f aca="false">ROUND(MAX(0,D396-F396-H396),2)</f>
        <v>0</v>
      </c>
      <c r="K396" s="26" t="n">
        <f aca="false">ROUND(E396+K395,2)</f>
        <v>379328.97</v>
      </c>
    </row>
    <row r="397" customFormat="false" ht="15" hidden="false" customHeight="true" outlineLevel="0" collapsed="false">
      <c r="A397" s="19" t="n">
        <f aca="false">A396+1</f>
        <v>392</v>
      </c>
      <c r="B397" s="18" t="n">
        <f aca="false">EDATE(B396,1)</f>
        <v>58196</v>
      </c>
      <c r="C397" s="19" t="n">
        <f aca="false">ROUNDUP(A397/12,0)</f>
        <v>33</v>
      </c>
      <c r="D397" s="26" t="n">
        <f aca="false">J396</f>
        <v>0</v>
      </c>
      <c r="E397" s="26" t="n">
        <f aca="false">IF(D397&lt;=0,0,ROUND(D397*Calculator!$B$7/12,2))</f>
        <v>0</v>
      </c>
      <c r="F397" s="26" t="n">
        <f aca="false">IF(D397&lt;=0,0,ROUND(MIN(D397,Calculator!$H$6-E397),2))</f>
        <v>0</v>
      </c>
      <c r="G397" s="26" t="n">
        <f aca="false">ROUND(IF(A397&gt;=Calculator!$E$11,Calculator!$E$6,0)+IF(A397=Calculator!$E$8,Calculator!$E$7,0)+IF(MONTH(B397)=Calculator!$E$10,Calculator!$E$9,0),2)</f>
        <v>200</v>
      </c>
      <c r="H397" s="26" t="n">
        <f aca="false">IF(D397&lt;=0,0,ROUND(MIN(D397-F397,G397),2))</f>
        <v>0</v>
      </c>
      <c r="I397" s="26" t="n">
        <f aca="false">ROUND(E397+F397+H397,2)</f>
        <v>0</v>
      </c>
      <c r="J397" s="26" t="n">
        <f aca="false">ROUND(MAX(0,D397-F397-H397),2)</f>
        <v>0</v>
      </c>
      <c r="K397" s="26" t="n">
        <f aca="false">ROUND(E397+K396,2)</f>
        <v>379328.97</v>
      </c>
    </row>
    <row r="398" customFormat="false" ht="15" hidden="false" customHeight="true" outlineLevel="0" collapsed="false">
      <c r="A398" s="19" t="n">
        <f aca="false">A397+1</f>
        <v>393</v>
      </c>
      <c r="B398" s="18" t="n">
        <f aca="false">EDATE(B397,1)</f>
        <v>58227</v>
      </c>
      <c r="C398" s="19" t="n">
        <f aca="false">ROUNDUP(A398/12,0)</f>
        <v>33</v>
      </c>
      <c r="D398" s="26" t="n">
        <f aca="false">J397</f>
        <v>0</v>
      </c>
      <c r="E398" s="26" t="n">
        <f aca="false">IF(D398&lt;=0,0,ROUND(D398*Calculator!$B$7/12,2))</f>
        <v>0</v>
      </c>
      <c r="F398" s="26" t="n">
        <f aca="false">IF(D398&lt;=0,0,ROUND(MIN(D398,Calculator!$H$6-E398),2))</f>
        <v>0</v>
      </c>
      <c r="G398" s="26" t="n">
        <f aca="false">ROUND(IF(A398&gt;=Calculator!$E$11,Calculator!$E$6,0)+IF(A398=Calculator!$E$8,Calculator!$E$7,0)+IF(MONTH(B398)=Calculator!$E$10,Calculator!$E$9,0),2)</f>
        <v>200</v>
      </c>
      <c r="H398" s="26" t="n">
        <f aca="false">IF(D398&lt;=0,0,ROUND(MIN(D398-F398,G398),2))</f>
        <v>0</v>
      </c>
      <c r="I398" s="26" t="n">
        <f aca="false">ROUND(E398+F398+H398,2)</f>
        <v>0</v>
      </c>
      <c r="J398" s="26" t="n">
        <f aca="false">ROUND(MAX(0,D398-F398-H398),2)</f>
        <v>0</v>
      </c>
      <c r="K398" s="26" t="n">
        <f aca="false">ROUND(E398+K397,2)</f>
        <v>379328.97</v>
      </c>
    </row>
    <row r="399" customFormat="false" ht="15" hidden="false" customHeight="true" outlineLevel="0" collapsed="false">
      <c r="A399" s="19" t="n">
        <f aca="false">A398+1</f>
        <v>394</v>
      </c>
      <c r="B399" s="18" t="n">
        <f aca="false">EDATE(B398,1)</f>
        <v>58257</v>
      </c>
      <c r="C399" s="19" t="n">
        <f aca="false">ROUNDUP(A399/12,0)</f>
        <v>33</v>
      </c>
      <c r="D399" s="26" t="n">
        <f aca="false">J398</f>
        <v>0</v>
      </c>
      <c r="E399" s="26" t="n">
        <f aca="false">IF(D399&lt;=0,0,ROUND(D399*Calculator!$B$7/12,2))</f>
        <v>0</v>
      </c>
      <c r="F399" s="26" t="n">
        <f aca="false">IF(D399&lt;=0,0,ROUND(MIN(D399,Calculator!$H$6-E399),2))</f>
        <v>0</v>
      </c>
      <c r="G399" s="26" t="n">
        <f aca="false">ROUND(IF(A399&gt;=Calculator!$E$11,Calculator!$E$6,0)+IF(A399=Calculator!$E$8,Calculator!$E$7,0)+IF(MONTH(B399)=Calculator!$E$10,Calculator!$E$9,0),2)</f>
        <v>200</v>
      </c>
      <c r="H399" s="26" t="n">
        <f aca="false">IF(D399&lt;=0,0,ROUND(MIN(D399-F399,G399),2))</f>
        <v>0</v>
      </c>
      <c r="I399" s="26" t="n">
        <f aca="false">ROUND(E399+F399+H399,2)</f>
        <v>0</v>
      </c>
      <c r="J399" s="26" t="n">
        <f aca="false">ROUND(MAX(0,D399-F399-H399),2)</f>
        <v>0</v>
      </c>
      <c r="K399" s="26" t="n">
        <f aca="false">ROUND(E399+K398,2)</f>
        <v>379328.97</v>
      </c>
    </row>
    <row r="400" customFormat="false" ht="15" hidden="false" customHeight="true" outlineLevel="0" collapsed="false">
      <c r="A400" s="19" t="n">
        <f aca="false">A399+1</f>
        <v>395</v>
      </c>
      <c r="B400" s="18" t="n">
        <f aca="false">EDATE(B399,1)</f>
        <v>58288</v>
      </c>
      <c r="C400" s="19" t="n">
        <f aca="false">ROUNDUP(A400/12,0)</f>
        <v>33</v>
      </c>
      <c r="D400" s="26" t="n">
        <f aca="false">J399</f>
        <v>0</v>
      </c>
      <c r="E400" s="26" t="n">
        <f aca="false">IF(D400&lt;=0,0,ROUND(D400*Calculator!$B$7/12,2))</f>
        <v>0</v>
      </c>
      <c r="F400" s="26" t="n">
        <f aca="false">IF(D400&lt;=0,0,ROUND(MIN(D400,Calculator!$H$6-E400),2))</f>
        <v>0</v>
      </c>
      <c r="G400" s="26" t="n">
        <f aca="false">ROUND(IF(A400&gt;=Calculator!$E$11,Calculator!$E$6,0)+IF(A400=Calculator!$E$8,Calculator!$E$7,0)+IF(MONTH(B400)=Calculator!$E$10,Calculator!$E$9,0),2)</f>
        <v>200</v>
      </c>
      <c r="H400" s="26" t="n">
        <f aca="false">IF(D400&lt;=0,0,ROUND(MIN(D400-F400,G400),2))</f>
        <v>0</v>
      </c>
      <c r="I400" s="26" t="n">
        <f aca="false">ROUND(E400+F400+H400,2)</f>
        <v>0</v>
      </c>
      <c r="J400" s="26" t="n">
        <f aca="false">ROUND(MAX(0,D400-F400-H400),2)</f>
        <v>0</v>
      </c>
      <c r="K400" s="26" t="n">
        <f aca="false">ROUND(E400+K399,2)</f>
        <v>379328.97</v>
      </c>
    </row>
    <row r="401" customFormat="false" ht="15" hidden="false" customHeight="true" outlineLevel="0" collapsed="false">
      <c r="A401" s="19" t="n">
        <f aca="false">A400+1</f>
        <v>396</v>
      </c>
      <c r="B401" s="18" t="n">
        <f aca="false">EDATE(B400,1)</f>
        <v>58319</v>
      </c>
      <c r="C401" s="19" t="n">
        <f aca="false">ROUNDUP(A401/12,0)</f>
        <v>33</v>
      </c>
      <c r="D401" s="26" t="n">
        <f aca="false">J400</f>
        <v>0</v>
      </c>
      <c r="E401" s="26" t="n">
        <f aca="false">IF(D401&lt;=0,0,ROUND(D401*Calculator!$B$7/12,2))</f>
        <v>0</v>
      </c>
      <c r="F401" s="26" t="n">
        <f aca="false">IF(D401&lt;=0,0,ROUND(MIN(D401,Calculator!$H$6-E401),2))</f>
        <v>0</v>
      </c>
      <c r="G401" s="26" t="n">
        <f aca="false">ROUND(IF(A401&gt;=Calculator!$E$11,Calculator!$E$6,0)+IF(A401=Calculator!$E$8,Calculator!$E$7,0)+IF(MONTH(B401)=Calculator!$E$10,Calculator!$E$9,0),2)</f>
        <v>200</v>
      </c>
      <c r="H401" s="26" t="n">
        <f aca="false">IF(D401&lt;=0,0,ROUND(MIN(D401-F401,G401),2))</f>
        <v>0</v>
      </c>
      <c r="I401" s="26" t="n">
        <f aca="false">ROUND(E401+F401+H401,2)</f>
        <v>0</v>
      </c>
      <c r="J401" s="26" t="n">
        <f aca="false">ROUND(MAX(0,D401-F401-H401),2)</f>
        <v>0</v>
      </c>
      <c r="K401" s="26" t="n">
        <f aca="false">ROUND(E401+K400,2)</f>
        <v>379328.97</v>
      </c>
    </row>
    <row r="402" customFormat="false" ht="15" hidden="false" customHeight="true" outlineLevel="0" collapsed="false">
      <c r="A402" s="19" t="n">
        <f aca="false">A401+1</f>
        <v>397</v>
      </c>
      <c r="B402" s="18" t="n">
        <f aca="false">EDATE(B401,1)</f>
        <v>58349</v>
      </c>
      <c r="C402" s="19" t="n">
        <f aca="false">ROUNDUP(A402/12,0)</f>
        <v>34</v>
      </c>
      <c r="D402" s="26" t="n">
        <f aca="false">J401</f>
        <v>0</v>
      </c>
      <c r="E402" s="26" t="n">
        <f aca="false">IF(D402&lt;=0,0,ROUND(D402*Calculator!$B$7/12,2))</f>
        <v>0</v>
      </c>
      <c r="F402" s="26" t="n">
        <f aca="false">IF(D402&lt;=0,0,ROUND(MIN(D402,Calculator!$H$6-E402),2))</f>
        <v>0</v>
      </c>
      <c r="G402" s="26" t="n">
        <f aca="false">ROUND(IF(A402&gt;=Calculator!$E$11,Calculator!$E$6,0)+IF(A402=Calculator!$E$8,Calculator!$E$7,0)+IF(MONTH(B402)=Calculator!$E$10,Calculator!$E$9,0),2)</f>
        <v>200</v>
      </c>
      <c r="H402" s="26" t="n">
        <f aca="false">IF(D402&lt;=0,0,ROUND(MIN(D402-F402,G402),2))</f>
        <v>0</v>
      </c>
      <c r="I402" s="26" t="n">
        <f aca="false">ROUND(E402+F402+H402,2)</f>
        <v>0</v>
      </c>
      <c r="J402" s="26" t="n">
        <f aca="false">ROUND(MAX(0,D402-F402-H402),2)</f>
        <v>0</v>
      </c>
      <c r="K402" s="26" t="n">
        <f aca="false">ROUND(E402+K401,2)</f>
        <v>379328.97</v>
      </c>
    </row>
    <row r="403" customFormat="false" ht="15" hidden="false" customHeight="true" outlineLevel="0" collapsed="false">
      <c r="A403" s="19" t="n">
        <f aca="false">A402+1</f>
        <v>398</v>
      </c>
      <c r="B403" s="18" t="n">
        <f aca="false">EDATE(B402,1)</f>
        <v>58380</v>
      </c>
      <c r="C403" s="19" t="n">
        <f aca="false">ROUNDUP(A403/12,0)</f>
        <v>34</v>
      </c>
      <c r="D403" s="26" t="n">
        <f aca="false">J402</f>
        <v>0</v>
      </c>
      <c r="E403" s="26" t="n">
        <f aca="false">IF(D403&lt;=0,0,ROUND(D403*Calculator!$B$7/12,2))</f>
        <v>0</v>
      </c>
      <c r="F403" s="26" t="n">
        <f aca="false">IF(D403&lt;=0,0,ROUND(MIN(D403,Calculator!$H$6-E403),2))</f>
        <v>0</v>
      </c>
      <c r="G403" s="26" t="n">
        <f aca="false">ROUND(IF(A403&gt;=Calculator!$E$11,Calculator!$E$6,0)+IF(A403=Calculator!$E$8,Calculator!$E$7,0)+IF(MONTH(B403)=Calculator!$E$10,Calculator!$E$9,0),2)</f>
        <v>200</v>
      </c>
      <c r="H403" s="26" t="n">
        <f aca="false">IF(D403&lt;=0,0,ROUND(MIN(D403-F403,G403),2))</f>
        <v>0</v>
      </c>
      <c r="I403" s="26" t="n">
        <f aca="false">ROUND(E403+F403+H403,2)</f>
        <v>0</v>
      </c>
      <c r="J403" s="26" t="n">
        <f aca="false">ROUND(MAX(0,D403-F403-H403),2)</f>
        <v>0</v>
      </c>
      <c r="K403" s="26" t="n">
        <f aca="false">ROUND(E403+K402,2)</f>
        <v>379328.97</v>
      </c>
    </row>
    <row r="404" customFormat="false" ht="15" hidden="false" customHeight="true" outlineLevel="0" collapsed="false">
      <c r="A404" s="19" t="n">
        <f aca="false">A403+1</f>
        <v>399</v>
      </c>
      <c r="B404" s="18" t="n">
        <f aca="false">EDATE(B403,1)</f>
        <v>58410</v>
      </c>
      <c r="C404" s="19" t="n">
        <f aca="false">ROUNDUP(A404/12,0)</f>
        <v>34</v>
      </c>
      <c r="D404" s="26" t="n">
        <f aca="false">J403</f>
        <v>0</v>
      </c>
      <c r="E404" s="26" t="n">
        <f aca="false">IF(D404&lt;=0,0,ROUND(D404*Calculator!$B$7/12,2))</f>
        <v>0</v>
      </c>
      <c r="F404" s="26" t="n">
        <f aca="false">IF(D404&lt;=0,0,ROUND(MIN(D404,Calculator!$H$6-E404),2))</f>
        <v>0</v>
      </c>
      <c r="G404" s="26" t="n">
        <f aca="false">ROUND(IF(A404&gt;=Calculator!$E$11,Calculator!$E$6,0)+IF(A404=Calculator!$E$8,Calculator!$E$7,0)+IF(MONTH(B404)=Calculator!$E$10,Calculator!$E$9,0),2)</f>
        <v>1200</v>
      </c>
      <c r="H404" s="26" t="n">
        <f aca="false">IF(D404&lt;=0,0,ROUND(MIN(D404-F404,G404),2))</f>
        <v>0</v>
      </c>
      <c r="I404" s="26" t="n">
        <f aca="false">ROUND(E404+F404+H404,2)</f>
        <v>0</v>
      </c>
      <c r="J404" s="26" t="n">
        <f aca="false">ROUND(MAX(0,D404-F404-H404),2)</f>
        <v>0</v>
      </c>
      <c r="K404" s="26" t="n">
        <f aca="false">ROUND(E404+K403,2)</f>
        <v>379328.97</v>
      </c>
    </row>
    <row r="405" customFormat="false" ht="15" hidden="false" customHeight="true" outlineLevel="0" collapsed="false">
      <c r="A405" s="19" t="n">
        <f aca="false">A404+1</f>
        <v>400</v>
      </c>
      <c r="B405" s="18" t="n">
        <f aca="false">EDATE(B404,1)</f>
        <v>58441</v>
      </c>
      <c r="C405" s="19" t="n">
        <f aca="false">ROUNDUP(A405/12,0)</f>
        <v>34</v>
      </c>
      <c r="D405" s="26" t="n">
        <f aca="false">J404</f>
        <v>0</v>
      </c>
      <c r="E405" s="26" t="n">
        <f aca="false">IF(D405&lt;=0,0,ROUND(D405*Calculator!$B$7/12,2))</f>
        <v>0</v>
      </c>
      <c r="F405" s="26" t="n">
        <f aca="false">IF(D405&lt;=0,0,ROUND(MIN(D405,Calculator!$H$6-E405),2))</f>
        <v>0</v>
      </c>
      <c r="G405" s="26" t="n">
        <f aca="false">ROUND(IF(A405&gt;=Calculator!$E$11,Calculator!$E$6,0)+IF(A405=Calculator!$E$8,Calculator!$E$7,0)+IF(MONTH(B405)=Calculator!$E$10,Calculator!$E$9,0),2)</f>
        <v>200</v>
      </c>
      <c r="H405" s="26" t="n">
        <f aca="false">IF(D405&lt;=0,0,ROUND(MIN(D405-F405,G405),2))</f>
        <v>0</v>
      </c>
      <c r="I405" s="26" t="n">
        <f aca="false">ROUND(E405+F405+H405,2)</f>
        <v>0</v>
      </c>
      <c r="J405" s="26" t="n">
        <f aca="false">ROUND(MAX(0,D405-F405-H405),2)</f>
        <v>0</v>
      </c>
      <c r="K405" s="26" t="n">
        <f aca="false">ROUND(E405+K404,2)</f>
        <v>379328.97</v>
      </c>
    </row>
    <row r="406" customFormat="false" ht="15" hidden="false" customHeight="true" outlineLevel="0" collapsed="false">
      <c r="A406" s="19" t="n">
        <f aca="false">A405+1</f>
        <v>401</v>
      </c>
      <c r="B406" s="18" t="n">
        <f aca="false">EDATE(B405,1)</f>
        <v>58472</v>
      </c>
      <c r="C406" s="19" t="n">
        <f aca="false">ROUNDUP(A406/12,0)</f>
        <v>34</v>
      </c>
      <c r="D406" s="26" t="n">
        <f aca="false">J405</f>
        <v>0</v>
      </c>
      <c r="E406" s="26" t="n">
        <f aca="false">IF(D406&lt;=0,0,ROUND(D406*Calculator!$B$7/12,2))</f>
        <v>0</v>
      </c>
      <c r="F406" s="26" t="n">
        <f aca="false">IF(D406&lt;=0,0,ROUND(MIN(D406,Calculator!$H$6-E406),2))</f>
        <v>0</v>
      </c>
      <c r="G406" s="26" t="n">
        <f aca="false">ROUND(IF(A406&gt;=Calculator!$E$11,Calculator!$E$6,0)+IF(A406=Calculator!$E$8,Calculator!$E$7,0)+IF(MONTH(B406)=Calculator!$E$10,Calculator!$E$9,0),2)</f>
        <v>200</v>
      </c>
      <c r="H406" s="26" t="n">
        <f aca="false">IF(D406&lt;=0,0,ROUND(MIN(D406-F406,G406),2))</f>
        <v>0</v>
      </c>
      <c r="I406" s="26" t="n">
        <f aca="false">ROUND(E406+F406+H406,2)</f>
        <v>0</v>
      </c>
      <c r="J406" s="26" t="n">
        <f aca="false">ROUND(MAX(0,D406-F406-H406),2)</f>
        <v>0</v>
      </c>
      <c r="K406" s="26" t="n">
        <f aca="false">ROUND(E406+K405,2)</f>
        <v>379328.97</v>
      </c>
    </row>
    <row r="407" customFormat="false" ht="15" hidden="false" customHeight="true" outlineLevel="0" collapsed="false">
      <c r="A407" s="19" t="n">
        <f aca="false">A406+1</f>
        <v>402</v>
      </c>
      <c r="B407" s="18" t="n">
        <f aca="false">EDATE(B406,1)</f>
        <v>58501</v>
      </c>
      <c r="C407" s="19" t="n">
        <f aca="false">ROUNDUP(A407/12,0)</f>
        <v>34</v>
      </c>
      <c r="D407" s="26" t="n">
        <f aca="false">J406</f>
        <v>0</v>
      </c>
      <c r="E407" s="26" t="n">
        <f aca="false">IF(D407&lt;=0,0,ROUND(D407*Calculator!$B$7/12,2))</f>
        <v>0</v>
      </c>
      <c r="F407" s="26" t="n">
        <f aca="false">IF(D407&lt;=0,0,ROUND(MIN(D407,Calculator!$H$6-E407),2))</f>
        <v>0</v>
      </c>
      <c r="G407" s="26" t="n">
        <f aca="false">ROUND(IF(A407&gt;=Calculator!$E$11,Calculator!$E$6,0)+IF(A407=Calculator!$E$8,Calculator!$E$7,0)+IF(MONTH(B407)=Calculator!$E$10,Calculator!$E$9,0),2)</f>
        <v>200</v>
      </c>
      <c r="H407" s="26" t="n">
        <f aca="false">IF(D407&lt;=0,0,ROUND(MIN(D407-F407,G407),2))</f>
        <v>0</v>
      </c>
      <c r="I407" s="26" t="n">
        <f aca="false">ROUND(E407+F407+H407,2)</f>
        <v>0</v>
      </c>
      <c r="J407" s="26" t="n">
        <f aca="false">ROUND(MAX(0,D407-F407-H407),2)</f>
        <v>0</v>
      </c>
      <c r="K407" s="26" t="n">
        <f aca="false">ROUND(E407+K406,2)</f>
        <v>379328.97</v>
      </c>
    </row>
    <row r="408" customFormat="false" ht="15" hidden="false" customHeight="true" outlineLevel="0" collapsed="false">
      <c r="A408" s="19" t="n">
        <f aca="false">A407+1</f>
        <v>403</v>
      </c>
      <c r="B408" s="18" t="n">
        <f aca="false">EDATE(B407,1)</f>
        <v>58532</v>
      </c>
      <c r="C408" s="19" t="n">
        <f aca="false">ROUNDUP(A408/12,0)</f>
        <v>34</v>
      </c>
      <c r="D408" s="26" t="n">
        <f aca="false">J407</f>
        <v>0</v>
      </c>
      <c r="E408" s="26" t="n">
        <f aca="false">IF(D408&lt;=0,0,ROUND(D408*Calculator!$B$7/12,2))</f>
        <v>0</v>
      </c>
      <c r="F408" s="26" t="n">
        <f aca="false">IF(D408&lt;=0,0,ROUND(MIN(D408,Calculator!$H$6-E408),2))</f>
        <v>0</v>
      </c>
      <c r="G408" s="26" t="n">
        <f aca="false">ROUND(IF(A408&gt;=Calculator!$E$11,Calculator!$E$6,0)+IF(A408=Calculator!$E$8,Calculator!$E$7,0)+IF(MONTH(B408)=Calculator!$E$10,Calculator!$E$9,0),2)</f>
        <v>200</v>
      </c>
      <c r="H408" s="26" t="n">
        <f aca="false">IF(D408&lt;=0,0,ROUND(MIN(D408-F408,G408),2))</f>
        <v>0</v>
      </c>
      <c r="I408" s="26" t="n">
        <f aca="false">ROUND(E408+F408+H408,2)</f>
        <v>0</v>
      </c>
      <c r="J408" s="26" t="n">
        <f aca="false">ROUND(MAX(0,D408-F408-H408),2)</f>
        <v>0</v>
      </c>
      <c r="K408" s="26" t="n">
        <f aca="false">ROUND(E408+K407,2)</f>
        <v>379328.97</v>
      </c>
    </row>
    <row r="409" customFormat="false" ht="15" hidden="false" customHeight="true" outlineLevel="0" collapsed="false">
      <c r="A409" s="19" t="n">
        <f aca="false">A408+1</f>
        <v>404</v>
      </c>
      <c r="B409" s="18" t="n">
        <f aca="false">EDATE(B408,1)</f>
        <v>58562</v>
      </c>
      <c r="C409" s="19" t="n">
        <f aca="false">ROUNDUP(A409/12,0)</f>
        <v>34</v>
      </c>
      <c r="D409" s="26" t="n">
        <f aca="false">J408</f>
        <v>0</v>
      </c>
      <c r="E409" s="26" t="n">
        <f aca="false">IF(D409&lt;=0,0,ROUND(D409*Calculator!$B$7/12,2))</f>
        <v>0</v>
      </c>
      <c r="F409" s="26" t="n">
        <f aca="false">IF(D409&lt;=0,0,ROUND(MIN(D409,Calculator!$H$6-E409),2))</f>
        <v>0</v>
      </c>
      <c r="G409" s="26" t="n">
        <f aca="false">ROUND(IF(A409&gt;=Calculator!$E$11,Calculator!$E$6,0)+IF(A409=Calculator!$E$8,Calculator!$E$7,0)+IF(MONTH(B409)=Calculator!$E$10,Calculator!$E$9,0),2)</f>
        <v>200</v>
      </c>
      <c r="H409" s="26" t="n">
        <f aca="false">IF(D409&lt;=0,0,ROUND(MIN(D409-F409,G409),2))</f>
        <v>0</v>
      </c>
      <c r="I409" s="26" t="n">
        <f aca="false">ROUND(E409+F409+H409,2)</f>
        <v>0</v>
      </c>
      <c r="J409" s="26" t="n">
        <f aca="false">ROUND(MAX(0,D409-F409-H409),2)</f>
        <v>0</v>
      </c>
      <c r="K409" s="26" t="n">
        <f aca="false">ROUND(E409+K408,2)</f>
        <v>379328.97</v>
      </c>
    </row>
    <row r="410" customFormat="false" ht="15" hidden="false" customHeight="true" outlineLevel="0" collapsed="false">
      <c r="A410" s="19" t="n">
        <f aca="false">A409+1</f>
        <v>405</v>
      </c>
      <c r="B410" s="18" t="n">
        <f aca="false">EDATE(B409,1)</f>
        <v>58593</v>
      </c>
      <c r="C410" s="19" t="n">
        <f aca="false">ROUNDUP(A410/12,0)</f>
        <v>34</v>
      </c>
      <c r="D410" s="26" t="n">
        <f aca="false">J409</f>
        <v>0</v>
      </c>
      <c r="E410" s="26" t="n">
        <f aca="false">IF(D410&lt;=0,0,ROUND(D410*Calculator!$B$7/12,2))</f>
        <v>0</v>
      </c>
      <c r="F410" s="26" t="n">
        <f aca="false">IF(D410&lt;=0,0,ROUND(MIN(D410,Calculator!$H$6-E410),2))</f>
        <v>0</v>
      </c>
      <c r="G410" s="26" t="n">
        <f aca="false">ROUND(IF(A410&gt;=Calculator!$E$11,Calculator!$E$6,0)+IF(A410=Calculator!$E$8,Calculator!$E$7,0)+IF(MONTH(B410)=Calculator!$E$10,Calculator!$E$9,0),2)</f>
        <v>200</v>
      </c>
      <c r="H410" s="26" t="n">
        <f aca="false">IF(D410&lt;=0,0,ROUND(MIN(D410-F410,G410),2))</f>
        <v>0</v>
      </c>
      <c r="I410" s="26" t="n">
        <f aca="false">ROUND(E410+F410+H410,2)</f>
        <v>0</v>
      </c>
      <c r="J410" s="26" t="n">
        <f aca="false">ROUND(MAX(0,D410-F410-H410),2)</f>
        <v>0</v>
      </c>
      <c r="K410" s="26" t="n">
        <f aca="false">ROUND(E410+K409,2)</f>
        <v>379328.97</v>
      </c>
    </row>
    <row r="411" customFormat="false" ht="15" hidden="false" customHeight="true" outlineLevel="0" collapsed="false">
      <c r="A411" s="19" t="n">
        <f aca="false">A410+1</f>
        <v>406</v>
      </c>
      <c r="B411" s="18" t="n">
        <f aca="false">EDATE(B410,1)</f>
        <v>58623</v>
      </c>
      <c r="C411" s="19" t="n">
        <f aca="false">ROUNDUP(A411/12,0)</f>
        <v>34</v>
      </c>
      <c r="D411" s="26" t="n">
        <f aca="false">J410</f>
        <v>0</v>
      </c>
      <c r="E411" s="26" t="n">
        <f aca="false">IF(D411&lt;=0,0,ROUND(D411*Calculator!$B$7/12,2))</f>
        <v>0</v>
      </c>
      <c r="F411" s="26" t="n">
        <f aca="false">IF(D411&lt;=0,0,ROUND(MIN(D411,Calculator!$H$6-E411),2))</f>
        <v>0</v>
      </c>
      <c r="G411" s="26" t="n">
        <f aca="false">ROUND(IF(A411&gt;=Calculator!$E$11,Calculator!$E$6,0)+IF(A411=Calculator!$E$8,Calculator!$E$7,0)+IF(MONTH(B411)=Calculator!$E$10,Calculator!$E$9,0),2)</f>
        <v>200</v>
      </c>
      <c r="H411" s="26" t="n">
        <f aca="false">IF(D411&lt;=0,0,ROUND(MIN(D411-F411,G411),2))</f>
        <v>0</v>
      </c>
      <c r="I411" s="26" t="n">
        <f aca="false">ROUND(E411+F411+H411,2)</f>
        <v>0</v>
      </c>
      <c r="J411" s="26" t="n">
        <f aca="false">ROUND(MAX(0,D411-F411-H411),2)</f>
        <v>0</v>
      </c>
      <c r="K411" s="26" t="n">
        <f aca="false">ROUND(E411+K410,2)</f>
        <v>379328.97</v>
      </c>
    </row>
    <row r="412" customFormat="false" ht="15" hidden="false" customHeight="true" outlineLevel="0" collapsed="false">
      <c r="A412" s="19" t="n">
        <f aca="false">A411+1</f>
        <v>407</v>
      </c>
      <c r="B412" s="18" t="n">
        <f aca="false">EDATE(B411,1)</f>
        <v>58654</v>
      </c>
      <c r="C412" s="19" t="n">
        <f aca="false">ROUNDUP(A412/12,0)</f>
        <v>34</v>
      </c>
      <c r="D412" s="26" t="n">
        <f aca="false">J411</f>
        <v>0</v>
      </c>
      <c r="E412" s="26" t="n">
        <f aca="false">IF(D412&lt;=0,0,ROUND(D412*Calculator!$B$7/12,2))</f>
        <v>0</v>
      </c>
      <c r="F412" s="26" t="n">
        <f aca="false">IF(D412&lt;=0,0,ROUND(MIN(D412,Calculator!$H$6-E412),2))</f>
        <v>0</v>
      </c>
      <c r="G412" s="26" t="n">
        <f aca="false">ROUND(IF(A412&gt;=Calculator!$E$11,Calculator!$E$6,0)+IF(A412=Calculator!$E$8,Calculator!$E$7,0)+IF(MONTH(B412)=Calculator!$E$10,Calculator!$E$9,0),2)</f>
        <v>200</v>
      </c>
      <c r="H412" s="26" t="n">
        <f aca="false">IF(D412&lt;=0,0,ROUND(MIN(D412-F412,G412),2))</f>
        <v>0</v>
      </c>
      <c r="I412" s="26" t="n">
        <f aca="false">ROUND(E412+F412+H412,2)</f>
        <v>0</v>
      </c>
      <c r="J412" s="26" t="n">
        <f aca="false">ROUND(MAX(0,D412-F412-H412),2)</f>
        <v>0</v>
      </c>
      <c r="K412" s="26" t="n">
        <f aca="false">ROUND(E412+K411,2)</f>
        <v>379328.97</v>
      </c>
    </row>
    <row r="413" customFormat="false" ht="15" hidden="false" customHeight="true" outlineLevel="0" collapsed="false">
      <c r="A413" s="19" t="n">
        <f aca="false">A412+1</f>
        <v>408</v>
      </c>
      <c r="B413" s="18" t="n">
        <f aca="false">EDATE(B412,1)</f>
        <v>58685</v>
      </c>
      <c r="C413" s="19" t="n">
        <f aca="false">ROUNDUP(A413/12,0)</f>
        <v>34</v>
      </c>
      <c r="D413" s="26" t="n">
        <f aca="false">J412</f>
        <v>0</v>
      </c>
      <c r="E413" s="26" t="n">
        <f aca="false">IF(D413&lt;=0,0,ROUND(D413*Calculator!$B$7/12,2))</f>
        <v>0</v>
      </c>
      <c r="F413" s="26" t="n">
        <f aca="false">IF(D413&lt;=0,0,ROUND(MIN(D413,Calculator!$H$6-E413),2))</f>
        <v>0</v>
      </c>
      <c r="G413" s="26" t="n">
        <f aca="false">ROUND(IF(A413&gt;=Calculator!$E$11,Calculator!$E$6,0)+IF(A413=Calculator!$E$8,Calculator!$E$7,0)+IF(MONTH(B413)=Calculator!$E$10,Calculator!$E$9,0),2)</f>
        <v>200</v>
      </c>
      <c r="H413" s="26" t="n">
        <f aca="false">IF(D413&lt;=0,0,ROUND(MIN(D413-F413,G413),2))</f>
        <v>0</v>
      </c>
      <c r="I413" s="26" t="n">
        <f aca="false">ROUND(E413+F413+H413,2)</f>
        <v>0</v>
      </c>
      <c r="J413" s="26" t="n">
        <f aca="false">ROUND(MAX(0,D413-F413-H413),2)</f>
        <v>0</v>
      </c>
      <c r="K413" s="26" t="n">
        <f aca="false">ROUND(E413+K412,2)</f>
        <v>379328.97</v>
      </c>
    </row>
    <row r="414" customFormat="false" ht="15" hidden="false" customHeight="true" outlineLevel="0" collapsed="false">
      <c r="A414" s="19" t="n">
        <f aca="false">A413+1</f>
        <v>409</v>
      </c>
      <c r="B414" s="18" t="n">
        <f aca="false">EDATE(B413,1)</f>
        <v>58715</v>
      </c>
      <c r="C414" s="19" t="n">
        <f aca="false">ROUNDUP(A414/12,0)</f>
        <v>35</v>
      </c>
      <c r="D414" s="26" t="n">
        <f aca="false">J413</f>
        <v>0</v>
      </c>
      <c r="E414" s="26" t="n">
        <f aca="false">IF(D414&lt;=0,0,ROUND(D414*Calculator!$B$7/12,2))</f>
        <v>0</v>
      </c>
      <c r="F414" s="26" t="n">
        <f aca="false">IF(D414&lt;=0,0,ROUND(MIN(D414,Calculator!$H$6-E414),2))</f>
        <v>0</v>
      </c>
      <c r="G414" s="26" t="n">
        <f aca="false">ROUND(IF(A414&gt;=Calculator!$E$11,Calculator!$E$6,0)+IF(A414=Calculator!$E$8,Calculator!$E$7,0)+IF(MONTH(B414)=Calculator!$E$10,Calculator!$E$9,0),2)</f>
        <v>200</v>
      </c>
      <c r="H414" s="26" t="n">
        <f aca="false">IF(D414&lt;=0,0,ROUND(MIN(D414-F414,G414),2))</f>
        <v>0</v>
      </c>
      <c r="I414" s="26" t="n">
        <f aca="false">ROUND(E414+F414+H414,2)</f>
        <v>0</v>
      </c>
      <c r="J414" s="26" t="n">
        <f aca="false">ROUND(MAX(0,D414-F414-H414),2)</f>
        <v>0</v>
      </c>
      <c r="K414" s="26" t="n">
        <f aca="false">ROUND(E414+K413,2)</f>
        <v>379328.97</v>
      </c>
    </row>
    <row r="415" customFormat="false" ht="15" hidden="false" customHeight="true" outlineLevel="0" collapsed="false">
      <c r="A415" s="19" t="n">
        <f aca="false">A414+1</f>
        <v>410</v>
      </c>
      <c r="B415" s="18" t="n">
        <f aca="false">EDATE(B414,1)</f>
        <v>58746</v>
      </c>
      <c r="C415" s="19" t="n">
        <f aca="false">ROUNDUP(A415/12,0)</f>
        <v>35</v>
      </c>
      <c r="D415" s="26" t="n">
        <f aca="false">J414</f>
        <v>0</v>
      </c>
      <c r="E415" s="26" t="n">
        <f aca="false">IF(D415&lt;=0,0,ROUND(D415*Calculator!$B$7/12,2))</f>
        <v>0</v>
      </c>
      <c r="F415" s="26" t="n">
        <f aca="false">IF(D415&lt;=0,0,ROUND(MIN(D415,Calculator!$H$6-E415),2))</f>
        <v>0</v>
      </c>
      <c r="G415" s="26" t="n">
        <f aca="false">ROUND(IF(A415&gt;=Calculator!$E$11,Calculator!$E$6,0)+IF(A415=Calculator!$E$8,Calculator!$E$7,0)+IF(MONTH(B415)=Calculator!$E$10,Calculator!$E$9,0),2)</f>
        <v>200</v>
      </c>
      <c r="H415" s="26" t="n">
        <f aca="false">IF(D415&lt;=0,0,ROUND(MIN(D415-F415,G415),2))</f>
        <v>0</v>
      </c>
      <c r="I415" s="26" t="n">
        <f aca="false">ROUND(E415+F415+H415,2)</f>
        <v>0</v>
      </c>
      <c r="J415" s="26" t="n">
        <f aca="false">ROUND(MAX(0,D415-F415-H415),2)</f>
        <v>0</v>
      </c>
      <c r="K415" s="26" t="n">
        <f aca="false">ROUND(E415+K414,2)</f>
        <v>379328.97</v>
      </c>
    </row>
    <row r="416" customFormat="false" ht="15" hidden="false" customHeight="true" outlineLevel="0" collapsed="false">
      <c r="A416" s="19" t="n">
        <f aca="false">A415+1</f>
        <v>411</v>
      </c>
      <c r="B416" s="18" t="n">
        <f aca="false">EDATE(B415,1)</f>
        <v>58776</v>
      </c>
      <c r="C416" s="19" t="n">
        <f aca="false">ROUNDUP(A416/12,0)</f>
        <v>35</v>
      </c>
      <c r="D416" s="26" t="n">
        <f aca="false">J415</f>
        <v>0</v>
      </c>
      <c r="E416" s="26" t="n">
        <f aca="false">IF(D416&lt;=0,0,ROUND(D416*Calculator!$B$7/12,2))</f>
        <v>0</v>
      </c>
      <c r="F416" s="26" t="n">
        <f aca="false">IF(D416&lt;=0,0,ROUND(MIN(D416,Calculator!$H$6-E416),2))</f>
        <v>0</v>
      </c>
      <c r="G416" s="26" t="n">
        <f aca="false">ROUND(IF(A416&gt;=Calculator!$E$11,Calculator!$E$6,0)+IF(A416=Calculator!$E$8,Calculator!$E$7,0)+IF(MONTH(B416)=Calculator!$E$10,Calculator!$E$9,0),2)</f>
        <v>1200</v>
      </c>
      <c r="H416" s="26" t="n">
        <f aca="false">IF(D416&lt;=0,0,ROUND(MIN(D416-F416,G416),2))</f>
        <v>0</v>
      </c>
      <c r="I416" s="26" t="n">
        <f aca="false">ROUND(E416+F416+H416,2)</f>
        <v>0</v>
      </c>
      <c r="J416" s="26" t="n">
        <f aca="false">ROUND(MAX(0,D416-F416-H416),2)</f>
        <v>0</v>
      </c>
      <c r="K416" s="26" t="n">
        <f aca="false">ROUND(E416+K415,2)</f>
        <v>379328.97</v>
      </c>
    </row>
    <row r="417" customFormat="false" ht="15" hidden="false" customHeight="true" outlineLevel="0" collapsed="false">
      <c r="A417" s="19" t="n">
        <f aca="false">A416+1</f>
        <v>412</v>
      </c>
      <c r="B417" s="18" t="n">
        <f aca="false">EDATE(B416,1)</f>
        <v>58807</v>
      </c>
      <c r="C417" s="19" t="n">
        <f aca="false">ROUNDUP(A417/12,0)</f>
        <v>35</v>
      </c>
      <c r="D417" s="26" t="n">
        <f aca="false">J416</f>
        <v>0</v>
      </c>
      <c r="E417" s="26" t="n">
        <f aca="false">IF(D417&lt;=0,0,ROUND(D417*Calculator!$B$7/12,2))</f>
        <v>0</v>
      </c>
      <c r="F417" s="26" t="n">
        <f aca="false">IF(D417&lt;=0,0,ROUND(MIN(D417,Calculator!$H$6-E417),2))</f>
        <v>0</v>
      </c>
      <c r="G417" s="26" t="n">
        <f aca="false">ROUND(IF(A417&gt;=Calculator!$E$11,Calculator!$E$6,0)+IF(A417=Calculator!$E$8,Calculator!$E$7,0)+IF(MONTH(B417)=Calculator!$E$10,Calculator!$E$9,0),2)</f>
        <v>200</v>
      </c>
      <c r="H417" s="26" t="n">
        <f aca="false">IF(D417&lt;=0,0,ROUND(MIN(D417-F417,G417),2))</f>
        <v>0</v>
      </c>
      <c r="I417" s="26" t="n">
        <f aca="false">ROUND(E417+F417+H417,2)</f>
        <v>0</v>
      </c>
      <c r="J417" s="26" t="n">
        <f aca="false">ROUND(MAX(0,D417-F417-H417),2)</f>
        <v>0</v>
      </c>
      <c r="K417" s="26" t="n">
        <f aca="false">ROUND(E417+K416,2)</f>
        <v>379328.97</v>
      </c>
    </row>
    <row r="418" customFormat="false" ht="15" hidden="false" customHeight="true" outlineLevel="0" collapsed="false">
      <c r="A418" s="19" t="n">
        <f aca="false">A417+1</f>
        <v>413</v>
      </c>
      <c r="B418" s="18" t="n">
        <f aca="false">EDATE(B417,1)</f>
        <v>58838</v>
      </c>
      <c r="C418" s="19" t="n">
        <f aca="false">ROUNDUP(A418/12,0)</f>
        <v>35</v>
      </c>
      <c r="D418" s="26" t="n">
        <f aca="false">J417</f>
        <v>0</v>
      </c>
      <c r="E418" s="26" t="n">
        <f aca="false">IF(D418&lt;=0,0,ROUND(D418*Calculator!$B$7/12,2))</f>
        <v>0</v>
      </c>
      <c r="F418" s="26" t="n">
        <f aca="false">IF(D418&lt;=0,0,ROUND(MIN(D418,Calculator!$H$6-E418),2))</f>
        <v>0</v>
      </c>
      <c r="G418" s="26" t="n">
        <f aca="false">ROUND(IF(A418&gt;=Calculator!$E$11,Calculator!$E$6,0)+IF(A418=Calculator!$E$8,Calculator!$E$7,0)+IF(MONTH(B418)=Calculator!$E$10,Calculator!$E$9,0),2)</f>
        <v>200</v>
      </c>
      <c r="H418" s="26" t="n">
        <f aca="false">IF(D418&lt;=0,0,ROUND(MIN(D418-F418,G418),2))</f>
        <v>0</v>
      </c>
      <c r="I418" s="26" t="n">
        <f aca="false">ROUND(E418+F418+H418,2)</f>
        <v>0</v>
      </c>
      <c r="J418" s="26" t="n">
        <f aca="false">ROUND(MAX(0,D418-F418-H418),2)</f>
        <v>0</v>
      </c>
      <c r="K418" s="26" t="n">
        <f aca="false">ROUND(E418+K417,2)</f>
        <v>379328.97</v>
      </c>
    </row>
    <row r="419" customFormat="false" ht="15" hidden="false" customHeight="true" outlineLevel="0" collapsed="false">
      <c r="A419" s="19" t="n">
        <f aca="false">A418+1</f>
        <v>414</v>
      </c>
      <c r="B419" s="18" t="n">
        <f aca="false">EDATE(B418,1)</f>
        <v>58866</v>
      </c>
      <c r="C419" s="19" t="n">
        <f aca="false">ROUNDUP(A419/12,0)</f>
        <v>35</v>
      </c>
      <c r="D419" s="26" t="n">
        <f aca="false">J418</f>
        <v>0</v>
      </c>
      <c r="E419" s="26" t="n">
        <f aca="false">IF(D419&lt;=0,0,ROUND(D419*Calculator!$B$7/12,2))</f>
        <v>0</v>
      </c>
      <c r="F419" s="26" t="n">
        <f aca="false">IF(D419&lt;=0,0,ROUND(MIN(D419,Calculator!$H$6-E419),2))</f>
        <v>0</v>
      </c>
      <c r="G419" s="26" t="n">
        <f aca="false">ROUND(IF(A419&gt;=Calculator!$E$11,Calculator!$E$6,0)+IF(A419=Calculator!$E$8,Calculator!$E$7,0)+IF(MONTH(B419)=Calculator!$E$10,Calculator!$E$9,0),2)</f>
        <v>200</v>
      </c>
      <c r="H419" s="26" t="n">
        <f aca="false">IF(D419&lt;=0,0,ROUND(MIN(D419-F419,G419),2))</f>
        <v>0</v>
      </c>
      <c r="I419" s="26" t="n">
        <f aca="false">ROUND(E419+F419+H419,2)</f>
        <v>0</v>
      </c>
      <c r="J419" s="26" t="n">
        <f aca="false">ROUND(MAX(0,D419-F419-H419),2)</f>
        <v>0</v>
      </c>
      <c r="K419" s="26" t="n">
        <f aca="false">ROUND(E419+K418,2)</f>
        <v>379328.97</v>
      </c>
    </row>
    <row r="420" customFormat="false" ht="15" hidden="false" customHeight="true" outlineLevel="0" collapsed="false">
      <c r="A420" s="19" t="n">
        <f aca="false">A419+1</f>
        <v>415</v>
      </c>
      <c r="B420" s="18" t="n">
        <f aca="false">EDATE(B419,1)</f>
        <v>58897</v>
      </c>
      <c r="C420" s="19" t="n">
        <f aca="false">ROUNDUP(A420/12,0)</f>
        <v>35</v>
      </c>
      <c r="D420" s="26" t="n">
        <f aca="false">J419</f>
        <v>0</v>
      </c>
      <c r="E420" s="26" t="n">
        <f aca="false">IF(D420&lt;=0,0,ROUND(D420*Calculator!$B$7/12,2))</f>
        <v>0</v>
      </c>
      <c r="F420" s="26" t="n">
        <f aca="false">IF(D420&lt;=0,0,ROUND(MIN(D420,Calculator!$H$6-E420),2))</f>
        <v>0</v>
      </c>
      <c r="G420" s="26" t="n">
        <f aca="false">ROUND(IF(A420&gt;=Calculator!$E$11,Calculator!$E$6,0)+IF(A420=Calculator!$E$8,Calculator!$E$7,0)+IF(MONTH(B420)=Calculator!$E$10,Calculator!$E$9,0),2)</f>
        <v>200</v>
      </c>
      <c r="H420" s="26" t="n">
        <f aca="false">IF(D420&lt;=0,0,ROUND(MIN(D420-F420,G420),2))</f>
        <v>0</v>
      </c>
      <c r="I420" s="26" t="n">
        <f aca="false">ROUND(E420+F420+H420,2)</f>
        <v>0</v>
      </c>
      <c r="J420" s="26" t="n">
        <f aca="false">ROUND(MAX(0,D420-F420-H420),2)</f>
        <v>0</v>
      </c>
      <c r="K420" s="26" t="n">
        <f aca="false">ROUND(E420+K419,2)</f>
        <v>379328.97</v>
      </c>
    </row>
    <row r="421" customFormat="false" ht="15" hidden="false" customHeight="true" outlineLevel="0" collapsed="false">
      <c r="A421" s="19" t="n">
        <f aca="false">A420+1</f>
        <v>416</v>
      </c>
      <c r="B421" s="18" t="n">
        <f aca="false">EDATE(B420,1)</f>
        <v>58927</v>
      </c>
      <c r="C421" s="19" t="n">
        <f aca="false">ROUNDUP(A421/12,0)</f>
        <v>35</v>
      </c>
      <c r="D421" s="26" t="n">
        <f aca="false">J420</f>
        <v>0</v>
      </c>
      <c r="E421" s="26" t="n">
        <f aca="false">IF(D421&lt;=0,0,ROUND(D421*Calculator!$B$7/12,2))</f>
        <v>0</v>
      </c>
      <c r="F421" s="26" t="n">
        <f aca="false">IF(D421&lt;=0,0,ROUND(MIN(D421,Calculator!$H$6-E421),2))</f>
        <v>0</v>
      </c>
      <c r="G421" s="26" t="n">
        <f aca="false">ROUND(IF(A421&gt;=Calculator!$E$11,Calculator!$E$6,0)+IF(A421=Calculator!$E$8,Calculator!$E$7,0)+IF(MONTH(B421)=Calculator!$E$10,Calculator!$E$9,0),2)</f>
        <v>200</v>
      </c>
      <c r="H421" s="26" t="n">
        <f aca="false">IF(D421&lt;=0,0,ROUND(MIN(D421-F421,G421),2))</f>
        <v>0</v>
      </c>
      <c r="I421" s="26" t="n">
        <f aca="false">ROUND(E421+F421+H421,2)</f>
        <v>0</v>
      </c>
      <c r="J421" s="26" t="n">
        <f aca="false">ROUND(MAX(0,D421-F421-H421),2)</f>
        <v>0</v>
      </c>
      <c r="K421" s="26" t="n">
        <f aca="false">ROUND(E421+K420,2)</f>
        <v>379328.97</v>
      </c>
    </row>
    <row r="422" customFormat="false" ht="15" hidden="false" customHeight="true" outlineLevel="0" collapsed="false">
      <c r="A422" s="19" t="n">
        <f aca="false">A421+1</f>
        <v>417</v>
      </c>
      <c r="B422" s="18" t="n">
        <f aca="false">EDATE(B421,1)</f>
        <v>58958</v>
      </c>
      <c r="C422" s="19" t="n">
        <f aca="false">ROUNDUP(A422/12,0)</f>
        <v>35</v>
      </c>
      <c r="D422" s="26" t="n">
        <f aca="false">J421</f>
        <v>0</v>
      </c>
      <c r="E422" s="26" t="n">
        <f aca="false">IF(D422&lt;=0,0,ROUND(D422*Calculator!$B$7/12,2))</f>
        <v>0</v>
      </c>
      <c r="F422" s="26" t="n">
        <f aca="false">IF(D422&lt;=0,0,ROUND(MIN(D422,Calculator!$H$6-E422),2))</f>
        <v>0</v>
      </c>
      <c r="G422" s="26" t="n">
        <f aca="false">ROUND(IF(A422&gt;=Calculator!$E$11,Calculator!$E$6,0)+IF(A422=Calculator!$E$8,Calculator!$E$7,0)+IF(MONTH(B422)=Calculator!$E$10,Calculator!$E$9,0),2)</f>
        <v>200</v>
      </c>
      <c r="H422" s="26" t="n">
        <f aca="false">IF(D422&lt;=0,0,ROUND(MIN(D422-F422,G422),2))</f>
        <v>0</v>
      </c>
      <c r="I422" s="26" t="n">
        <f aca="false">ROUND(E422+F422+H422,2)</f>
        <v>0</v>
      </c>
      <c r="J422" s="26" t="n">
        <f aca="false">ROUND(MAX(0,D422-F422-H422),2)</f>
        <v>0</v>
      </c>
      <c r="K422" s="26" t="n">
        <f aca="false">ROUND(E422+K421,2)</f>
        <v>379328.97</v>
      </c>
    </row>
    <row r="423" customFormat="false" ht="15" hidden="false" customHeight="true" outlineLevel="0" collapsed="false">
      <c r="A423" s="19" t="n">
        <f aca="false">A422+1</f>
        <v>418</v>
      </c>
      <c r="B423" s="18" t="n">
        <f aca="false">EDATE(B422,1)</f>
        <v>58988</v>
      </c>
      <c r="C423" s="19" t="n">
        <f aca="false">ROUNDUP(A423/12,0)</f>
        <v>35</v>
      </c>
      <c r="D423" s="26" t="n">
        <f aca="false">J422</f>
        <v>0</v>
      </c>
      <c r="E423" s="26" t="n">
        <f aca="false">IF(D423&lt;=0,0,ROUND(D423*Calculator!$B$7/12,2))</f>
        <v>0</v>
      </c>
      <c r="F423" s="26" t="n">
        <f aca="false">IF(D423&lt;=0,0,ROUND(MIN(D423,Calculator!$H$6-E423),2))</f>
        <v>0</v>
      </c>
      <c r="G423" s="26" t="n">
        <f aca="false">ROUND(IF(A423&gt;=Calculator!$E$11,Calculator!$E$6,0)+IF(A423=Calculator!$E$8,Calculator!$E$7,0)+IF(MONTH(B423)=Calculator!$E$10,Calculator!$E$9,0),2)</f>
        <v>200</v>
      </c>
      <c r="H423" s="26" t="n">
        <f aca="false">IF(D423&lt;=0,0,ROUND(MIN(D423-F423,G423),2))</f>
        <v>0</v>
      </c>
      <c r="I423" s="26" t="n">
        <f aca="false">ROUND(E423+F423+H423,2)</f>
        <v>0</v>
      </c>
      <c r="J423" s="26" t="n">
        <f aca="false">ROUND(MAX(0,D423-F423-H423),2)</f>
        <v>0</v>
      </c>
      <c r="K423" s="26" t="n">
        <f aca="false">ROUND(E423+K422,2)</f>
        <v>379328.97</v>
      </c>
    </row>
    <row r="424" customFormat="false" ht="15" hidden="false" customHeight="true" outlineLevel="0" collapsed="false">
      <c r="A424" s="19" t="n">
        <f aca="false">A423+1</f>
        <v>419</v>
      </c>
      <c r="B424" s="18" t="n">
        <f aca="false">EDATE(B423,1)</f>
        <v>59019</v>
      </c>
      <c r="C424" s="19" t="n">
        <f aca="false">ROUNDUP(A424/12,0)</f>
        <v>35</v>
      </c>
      <c r="D424" s="26" t="n">
        <f aca="false">J423</f>
        <v>0</v>
      </c>
      <c r="E424" s="26" t="n">
        <f aca="false">IF(D424&lt;=0,0,ROUND(D424*Calculator!$B$7/12,2))</f>
        <v>0</v>
      </c>
      <c r="F424" s="26" t="n">
        <f aca="false">IF(D424&lt;=0,0,ROUND(MIN(D424,Calculator!$H$6-E424),2))</f>
        <v>0</v>
      </c>
      <c r="G424" s="26" t="n">
        <f aca="false">ROUND(IF(A424&gt;=Calculator!$E$11,Calculator!$E$6,0)+IF(A424=Calculator!$E$8,Calculator!$E$7,0)+IF(MONTH(B424)=Calculator!$E$10,Calculator!$E$9,0),2)</f>
        <v>200</v>
      </c>
      <c r="H424" s="26" t="n">
        <f aca="false">IF(D424&lt;=0,0,ROUND(MIN(D424-F424,G424),2))</f>
        <v>0</v>
      </c>
      <c r="I424" s="26" t="n">
        <f aca="false">ROUND(E424+F424+H424,2)</f>
        <v>0</v>
      </c>
      <c r="J424" s="26" t="n">
        <f aca="false">ROUND(MAX(0,D424-F424-H424),2)</f>
        <v>0</v>
      </c>
      <c r="K424" s="26" t="n">
        <f aca="false">ROUND(E424+K423,2)</f>
        <v>379328.97</v>
      </c>
    </row>
    <row r="425" customFormat="false" ht="15" hidden="false" customHeight="true" outlineLevel="0" collapsed="false">
      <c r="A425" s="19" t="n">
        <f aca="false">A424+1</f>
        <v>420</v>
      </c>
      <c r="B425" s="18" t="n">
        <f aca="false">EDATE(B424,1)</f>
        <v>59050</v>
      </c>
      <c r="C425" s="19" t="n">
        <f aca="false">ROUNDUP(A425/12,0)</f>
        <v>35</v>
      </c>
      <c r="D425" s="26" t="n">
        <f aca="false">J424</f>
        <v>0</v>
      </c>
      <c r="E425" s="26" t="n">
        <f aca="false">IF(D425&lt;=0,0,ROUND(D425*Calculator!$B$7/12,2))</f>
        <v>0</v>
      </c>
      <c r="F425" s="26" t="n">
        <f aca="false">IF(D425&lt;=0,0,ROUND(MIN(D425,Calculator!$H$6-E425),2))</f>
        <v>0</v>
      </c>
      <c r="G425" s="26" t="n">
        <f aca="false">ROUND(IF(A425&gt;=Calculator!$E$11,Calculator!$E$6,0)+IF(A425=Calculator!$E$8,Calculator!$E$7,0)+IF(MONTH(B425)=Calculator!$E$10,Calculator!$E$9,0),2)</f>
        <v>200</v>
      </c>
      <c r="H425" s="26" t="n">
        <f aca="false">IF(D425&lt;=0,0,ROUND(MIN(D425-F425,G425),2))</f>
        <v>0</v>
      </c>
      <c r="I425" s="26" t="n">
        <f aca="false">ROUND(E425+F425+H425,2)</f>
        <v>0</v>
      </c>
      <c r="J425" s="26" t="n">
        <f aca="false">ROUND(MAX(0,D425-F425-H425),2)</f>
        <v>0</v>
      </c>
      <c r="K425" s="26" t="n">
        <f aca="false">ROUND(E425+K424,2)</f>
        <v>379328.97</v>
      </c>
    </row>
    <row r="426" customFormat="false" ht="15" hidden="false" customHeight="true" outlineLevel="0" collapsed="false">
      <c r="A426" s="19" t="n">
        <f aca="false">A425+1</f>
        <v>421</v>
      </c>
      <c r="B426" s="18" t="n">
        <f aca="false">EDATE(B425,1)</f>
        <v>59080</v>
      </c>
      <c r="C426" s="19" t="n">
        <f aca="false">ROUNDUP(A426/12,0)</f>
        <v>36</v>
      </c>
      <c r="D426" s="26" t="n">
        <f aca="false">J425</f>
        <v>0</v>
      </c>
      <c r="E426" s="26" t="n">
        <f aca="false">IF(D426&lt;=0,0,ROUND(D426*Calculator!$B$7/12,2))</f>
        <v>0</v>
      </c>
      <c r="F426" s="26" t="n">
        <f aca="false">IF(D426&lt;=0,0,ROUND(MIN(D426,Calculator!$H$6-E426),2))</f>
        <v>0</v>
      </c>
      <c r="G426" s="26" t="n">
        <f aca="false">ROUND(IF(A426&gt;=Calculator!$E$11,Calculator!$E$6,0)+IF(A426=Calculator!$E$8,Calculator!$E$7,0)+IF(MONTH(B426)=Calculator!$E$10,Calculator!$E$9,0),2)</f>
        <v>200</v>
      </c>
      <c r="H426" s="26" t="n">
        <f aca="false">IF(D426&lt;=0,0,ROUND(MIN(D426-F426,G426),2))</f>
        <v>0</v>
      </c>
      <c r="I426" s="26" t="n">
        <f aca="false">ROUND(E426+F426+H426,2)</f>
        <v>0</v>
      </c>
      <c r="J426" s="26" t="n">
        <f aca="false">ROUND(MAX(0,D426-F426-H426),2)</f>
        <v>0</v>
      </c>
      <c r="K426" s="26" t="n">
        <f aca="false">ROUND(E426+K425,2)</f>
        <v>379328.97</v>
      </c>
    </row>
    <row r="427" customFormat="false" ht="15" hidden="false" customHeight="true" outlineLevel="0" collapsed="false">
      <c r="A427" s="19" t="n">
        <f aca="false">A426+1</f>
        <v>422</v>
      </c>
      <c r="B427" s="18" t="n">
        <f aca="false">EDATE(B426,1)</f>
        <v>59111</v>
      </c>
      <c r="C427" s="19" t="n">
        <f aca="false">ROUNDUP(A427/12,0)</f>
        <v>36</v>
      </c>
      <c r="D427" s="26" t="n">
        <f aca="false">J426</f>
        <v>0</v>
      </c>
      <c r="E427" s="26" t="n">
        <f aca="false">IF(D427&lt;=0,0,ROUND(D427*Calculator!$B$7/12,2))</f>
        <v>0</v>
      </c>
      <c r="F427" s="26" t="n">
        <f aca="false">IF(D427&lt;=0,0,ROUND(MIN(D427,Calculator!$H$6-E427),2))</f>
        <v>0</v>
      </c>
      <c r="G427" s="26" t="n">
        <f aca="false">ROUND(IF(A427&gt;=Calculator!$E$11,Calculator!$E$6,0)+IF(A427=Calculator!$E$8,Calculator!$E$7,0)+IF(MONTH(B427)=Calculator!$E$10,Calculator!$E$9,0),2)</f>
        <v>200</v>
      </c>
      <c r="H427" s="26" t="n">
        <f aca="false">IF(D427&lt;=0,0,ROUND(MIN(D427-F427,G427),2))</f>
        <v>0</v>
      </c>
      <c r="I427" s="26" t="n">
        <f aca="false">ROUND(E427+F427+H427,2)</f>
        <v>0</v>
      </c>
      <c r="J427" s="26" t="n">
        <f aca="false">ROUND(MAX(0,D427-F427-H427),2)</f>
        <v>0</v>
      </c>
      <c r="K427" s="26" t="n">
        <f aca="false">ROUND(E427+K426,2)</f>
        <v>379328.97</v>
      </c>
    </row>
    <row r="428" customFormat="false" ht="15" hidden="false" customHeight="true" outlineLevel="0" collapsed="false">
      <c r="A428" s="19" t="n">
        <f aca="false">A427+1</f>
        <v>423</v>
      </c>
      <c r="B428" s="18" t="n">
        <f aca="false">EDATE(B427,1)</f>
        <v>59141</v>
      </c>
      <c r="C428" s="19" t="n">
        <f aca="false">ROUNDUP(A428/12,0)</f>
        <v>36</v>
      </c>
      <c r="D428" s="26" t="n">
        <f aca="false">J427</f>
        <v>0</v>
      </c>
      <c r="E428" s="26" t="n">
        <f aca="false">IF(D428&lt;=0,0,ROUND(D428*Calculator!$B$7/12,2))</f>
        <v>0</v>
      </c>
      <c r="F428" s="26" t="n">
        <f aca="false">IF(D428&lt;=0,0,ROUND(MIN(D428,Calculator!$H$6-E428),2))</f>
        <v>0</v>
      </c>
      <c r="G428" s="26" t="n">
        <f aca="false">ROUND(IF(A428&gt;=Calculator!$E$11,Calculator!$E$6,0)+IF(A428=Calculator!$E$8,Calculator!$E$7,0)+IF(MONTH(B428)=Calculator!$E$10,Calculator!$E$9,0),2)</f>
        <v>1200</v>
      </c>
      <c r="H428" s="26" t="n">
        <f aca="false">IF(D428&lt;=0,0,ROUND(MIN(D428-F428,G428),2))</f>
        <v>0</v>
      </c>
      <c r="I428" s="26" t="n">
        <f aca="false">ROUND(E428+F428+H428,2)</f>
        <v>0</v>
      </c>
      <c r="J428" s="26" t="n">
        <f aca="false">ROUND(MAX(0,D428-F428-H428),2)</f>
        <v>0</v>
      </c>
      <c r="K428" s="26" t="n">
        <f aca="false">ROUND(E428+K427,2)</f>
        <v>379328.97</v>
      </c>
    </row>
    <row r="429" customFormat="false" ht="15" hidden="false" customHeight="true" outlineLevel="0" collapsed="false">
      <c r="A429" s="19" t="n">
        <f aca="false">A428+1</f>
        <v>424</v>
      </c>
      <c r="B429" s="18" t="n">
        <f aca="false">EDATE(B428,1)</f>
        <v>59172</v>
      </c>
      <c r="C429" s="19" t="n">
        <f aca="false">ROUNDUP(A429/12,0)</f>
        <v>36</v>
      </c>
      <c r="D429" s="26" t="n">
        <f aca="false">J428</f>
        <v>0</v>
      </c>
      <c r="E429" s="26" t="n">
        <f aca="false">IF(D429&lt;=0,0,ROUND(D429*Calculator!$B$7/12,2))</f>
        <v>0</v>
      </c>
      <c r="F429" s="26" t="n">
        <f aca="false">IF(D429&lt;=0,0,ROUND(MIN(D429,Calculator!$H$6-E429),2))</f>
        <v>0</v>
      </c>
      <c r="G429" s="26" t="n">
        <f aca="false">ROUND(IF(A429&gt;=Calculator!$E$11,Calculator!$E$6,0)+IF(A429=Calculator!$E$8,Calculator!$E$7,0)+IF(MONTH(B429)=Calculator!$E$10,Calculator!$E$9,0),2)</f>
        <v>200</v>
      </c>
      <c r="H429" s="26" t="n">
        <f aca="false">IF(D429&lt;=0,0,ROUND(MIN(D429-F429,G429),2))</f>
        <v>0</v>
      </c>
      <c r="I429" s="26" t="n">
        <f aca="false">ROUND(E429+F429+H429,2)</f>
        <v>0</v>
      </c>
      <c r="J429" s="26" t="n">
        <f aca="false">ROUND(MAX(0,D429-F429-H429),2)</f>
        <v>0</v>
      </c>
      <c r="K429" s="26" t="n">
        <f aca="false">ROUND(E429+K428,2)</f>
        <v>379328.97</v>
      </c>
    </row>
    <row r="430" customFormat="false" ht="15" hidden="false" customHeight="true" outlineLevel="0" collapsed="false">
      <c r="A430" s="19" t="n">
        <f aca="false">A429+1</f>
        <v>425</v>
      </c>
      <c r="B430" s="18" t="n">
        <f aca="false">EDATE(B429,1)</f>
        <v>59203</v>
      </c>
      <c r="C430" s="19" t="n">
        <f aca="false">ROUNDUP(A430/12,0)</f>
        <v>36</v>
      </c>
      <c r="D430" s="26" t="n">
        <f aca="false">J429</f>
        <v>0</v>
      </c>
      <c r="E430" s="26" t="n">
        <f aca="false">IF(D430&lt;=0,0,ROUND(D430*Calculator!$B$7/12,2))</f>
        <v>0</v>
      </c>
      <c r="F430" s="26" t="n">
        <f aca="false">IF(D430&lt;=0,0,ROUND(MIN(D430,Calculator!$H$6-E430),2))</f>
        <v>0</v>
      </c>
      <c r="G430" s="26" t="n">
        <f aca="false">ROUND(IF(A430&gt;=Calculator!$E$11,Calculator!$E$6,0)+IF(A430=Calculator!$E$8,Calculator!$E$7,0)+IF(MONTH(B430)=Calculator!$E$10,Calculator!$E$9,0),2)</f>
        <v>200</v>
      </c>
      <c r="H430" s="26" t="n">
        <f aca="false">IF(D430&lt;=0,0,ROUND(MIN(D430-F430,G430),2))</f>
        <v>0</v>
      </c>
      <c r="I430" s="26" t="n">
        <f aca="false">ROUND(E430+F430+H430,2)</f>
        <v>0</v>
      </c>
      <c r="J430" s="26" t="n">
        <f aca="false">ROUND(MAX(0,D430-F430-H430),2)</f>
        <v>0</v>
      </c>
      <c r="K430" s="26" t="n">
        <f aca="false">ROUND(E430+K429,2)</f>
        <v>379328.97</v>
      </c>
    </row>
    <row r="431" customFormat="false" ht="15" hidden="false" customHeight="true" outlineLevel="0" collapsed="false">
      <c r="A431" s="19" t="n">
        <f aca="false">A430+1</f>
        <v>426</v>
      </c>
      <c r="B431" s="18" t="n">
        <f aca="false">EDATE(B430,1)</f>
        <v>59231</v>
      </c>
      <c r="C431" s="19" t="n">
        <f aca="false">ROUNDUP(A431/12,0)</f>
        <v>36</v>
      </c>
      <c r="D431" s="26" t="n">
        <f aca="false">J430</f>
        <v>0</v>
      </c>
      <c r="E431" s="26" t="n">
        <f aca="false">IF(D431&lt;=0,0,ROUND(D431*Calculator!$B$7/12,2))</f>
        <v>0</v>
      </c>
      <c r="F431" s="26" t="n">
        <f aca="false">IF(D431&lt;=0,0,ROUND(MIN(D431,Calculator!$H$6-E431),2))</f>
        <v>0</v>
      </c>
      <c r="G431" s="26" t="n">
        <f aca="false">ROUND(IF(A431&gt;=Calculator!$E$11,Calculator!$E$6,0)+IF(A431=Calculator!$E$8,Calculator!$E$7,0)+IF(MONTH(B431)=Calculator!$E$10,Calculator!$E$9,0),2)</f>
        <v>200</v>
      </c>
      <c r="H431" s="26" t="n">
        <f aca="false">IF(D431&lt;=0,0,ROUND(MIN(D431-F431,G431),2))</f>
        <v>0</v>
      </c>
      <c r="I431" s="26" t="n">
        <f aca="false">ROUND(E431+F431+H431,2)</f>
        <v>0</v>
      </c>
      <c r="J431" s="26" t="n">
        <f aca="false">ROUND(MAX(0,D431-F431-H431),2)</f>
        <v>0</v>
      </c>
      <c r="K431" s="26" t="n">
        <f aca="false">ROUND(E431+K430,2)</f>
        <v>379328.97</v>
      </c>
    </row>
    <row r="432" customFormat="false" ht="15" hidden="false" customHeight="true" outlineLevel="0" collapsed="false">
      <c r="A432" s="19" t="n">
        <f aca="false">A431+1</f>
        <v>427</v>
      </c>
      <c r="B432" s="18" t="n">
        <f aca="false">EDATE(B431,1)</f>
        <v>59262</v>
      </c>
      <c r="C432" s="19" t="n">
        <f aca="false">ROUNDUP(A432/12,0)</f>
        <v>36</v>
      </c>
      <c r="D432" s="26" t="n">
        <f aca="false">J431</f>
        <v>0</v>
      </c>
      <c r="E432" s="26" t="n">
        <f aca="false">IF(D432&lt;=0,0,ROUND(D432*Calculator!$B$7/12,2))</f>
        <v>0</v>
      </c>
      <c r="F432" s="26" t="n">
        <f aca="false">IF(D432&lt;=0,0,ROUND(MIN(D432,Calculator!$H$6-E432),2))</f>
        <v>0</v>
      </c>
      <c r="G432" s="26" t="n">
        <f aca="false">ROUND(IF(A432&gt;=Calculator!$E$11,Calculator!$E$6,0)+IF(A432=Calculator!$E$8,Calculator!$E$7,0)+IF(MONTH(B432)=Calculator!$E$10,Calculator!$E$9,0),2)</f>
        <v>200</v>
      </c>
      <c r="H432" s="26" t="n">
        <f aca="false">IF(D432&lt;=0,0,ROUND(MIN(D432-F432,G432),2))</f>
        <v>0</v>
      </c>
      <c r="I432" s="26" t="n">
        <f aca="false">ROUND(E432+F432+H432,2)</f>
        <v>0</v>
      </c>
      <c r="J432" s="26" t="n">
        <f aca="false">ROUND(MAX(0,D432-F432-H432),2)</f>
        <v>0</v>
      </c>
      <c r="K432" s="26" t="n">
        <f aca="false">ROUND(E432+K431,2)</f>
        <v>379328.97</v>
      </c>
    </row>
    <row r="433" customFormat="false" ht="15" hidden="false" customHeight="true" outlineLevel="0" collapsed="false">
      <c r="A433" s="19" t="n">
        <f aca="false">A432+1</f>
        <v>428</v>
      </c>
      <c r="B433" s="18" t="n">
        <f aca="false">EDATE(B432,1)</f>
        <v>59292</v>
      </c>
      <c r="C433" s="19" t="n">
        <f aca="false">ROUNDUP(A433/12,0)</f>
        <v>36</v>
      </c>
      <c r="D433" s="26" t="n">
        <f aca="false">J432</f>
        <v>0</v>
      </c>
      <c r="E433" s="26" t="n">
        <f aca="false">IF(D433&lt;=0,0,ROUND(D433*Calculator!$B$7/12,2))</f>
        <v>0</v>
      </c>
      <c r="F433" s="26" t="n">
        <f aca="false">IF(D433&lt;=0,0,ROUND(MIN(D433,Calculator!$H$6-E433),2))</f>
        <v>0</v>
      </c>
      <c r="G433" s="26" t="n">
        <f aca="false">ROUND(IF(A433&gt;=Calculator!$E$11,Calculator!$E$6,0)+IF(A433=Calculator!$E$8,Calculator!$E$7,0)+IF(MONTH(B433)=Calculator!$E$10,Calculator!$E$9,0),2)</f>
        <v>200</v>
      </c>
      <c r="H433" s="26" t="n">
        <f aca="false">IF(D433&lt;=0,0,ROUND(MIN(D433-F433,G433),2))</f>
        <v>0</v>
      </c>
      <c r="I433" s="26" t="n">
        <f aca="false">ROUND(E433+F433+H433,2)</f>
        <v>0</v>
      </c>
      <c r="J433" s="26" t="n">
        <f aca="false">ROUND(MAX(0,D433-F433-H433),2)</f>
        <v>0</v>
      </c>
      <c r="K433" s="26" t="n">
        <f aca="false">ROUND(E433+K432,2)</f>
        <v>379328.97</v>
      </c>
    </row>
    <row r="434" customFormat="false" ht="15" hidden="false" customHeight="true" outlineLevel="0" collapsed="false">
      <c r="A434" s="19" t="n">
        <f aca="false">A433+1</f>
        <v>429</v>
      </c>
      <c r="B434" s="18" t="n">
        <f aca="false">EDATE(B433,1)</f>
        <v>59323</v>
      </c>
      <c r="C434" s="19" t="n">
        <f aca="false">ROUNDUP(A434/12,0)</f>
        <v>36</v>
      </c>
      <c r="D434" s="26" t="n">
        <f aca="false">J433</f>
        <v>0</v>
      </c>
      <c r="E434" s="26" t="n">
        <f aca="false">IF(D434&lt;=0,0,ROUND(D434*Calculator!$B$7/12,2))</f>
        <v>0</v>
      </c>
      <c r="F434" s="26" t="n">
        <f aca="false">IF(D434&lt;=0,0,ROUND(MIN(D434,Calculator!$H$6-E434),2))</f>
        <v>0</v>
      </c>
      <c r="G434" s="26" t="n">
        <f aca="false">ROUND(IF(A434&gt;=Calculator!$E$11,Calculator!$E$6,0)+IF(A434=Calculator!$E$8,Calculator!$E$7,0)+IF(MONTH(B434)=Calculator!$E$10,Calculator!$E$9,0),2)</f>
        <v>200</v>
      </c>
      <c r="H434" s="26" t="n">
        <f aca="false">IF(D434&lt;=0,0,ROUND(MIN(D434-F434,G434),2))</f>
        <v>0</v>
      </c>
      <c r="I434" s="26" t="n">
        <f aca="false">ROUND(E434+F434+H434,2)</f>
        <v>0</v>
      </c>
      <c r="J434" s="26" t="n">
        <f aca="false">ROUND(MAX(0,D434-F434-H434),2)</f>
        <v>0</v>
      </c>
      <c r="K434" s="26" t="n">
        <f aca="false">ROUND(E434+K433,2)</f>
        <v>379328.97</v>
      </c>
    </row>
    <row r="435" customFormat="false" ht="15" hidden="false" customHeight="true" outlineLevel="0" collapsed="false">
      <c r="A435" s="19" t="n">
        <f aca="false">A434+1</f>
        <v>430</v>
      </c>
      <c r="B435" s="18" t="n">
        <f aca="false">EDATE(B434,1)</f>
        <v>59353</v>
      </c>
      <c r="C435" s="19" t="n">
        <f aca="false">ROUNDUP(A435/12,0)</f>
        <v>36</v>
      </c>
      <c r="D435" s="26" t="n">
        <f aca="false">J434</f>
        <v>0</v>
      </c>
      <c r="E435" s="26" t="n">
        <f aca="false">IF(D435&lt;=0,0,ROUND(D435*Calculator!$B$7/12,2))</f>
        <v>0</v>
      </c>
      <c r="F435" s="26" t="n">
        <f aca="false">IF(D435&lt;=0,0,ROUND(MIN(D435,Calculator!$H$6-E435),2))</f>
        <v>0</v>
      </c>
      <c r="G435" s="26" t="n">
        <f aca="false">ROUND(IF(A435&gt;=Calculator!$E$11,Calculator!$E$6,0)+IF(A435=Calculator!$E$8,Calculator!$E$7,0)+IF(MONTH(B435)=Calculator!$E$10,Calculator!$E$9,0),2)</f>
        <v>200</v>
      </c>
      <c r="H435" s="26" t="n">
        <f aca="false">IF(D435&lt;=0,0,ROUND(MIN(D435-F435,G435),2))</f>
        <v>0</v>
      </c>
      <c r="I435" s="26" t="n">
        <f aca="false">ROUND(E435+F435+H435,2)</f>
        <v>0</v>
      </c>
      <c r="J435" s="26" t="n">
        <f aca="false">ROUND(MAX(0,D435-F435-H435),2)</f>
        <v>0</v>
      </c>
      <c r="K435" s="26" t="n">
        <f aca="false">ROUND(E435+K434,2)</f>
        <v>379328.97</v>
      </c>
    </row>
    <row r="436" customFormat="false" ht="15" hidden="false" customHeight="true" outlineLevel="0" collapsed="false">
      <c r="A436" s="19" t="n">
        <f aca="false">A435+1</f>
        <v>431</v>
      </c>
      <c r="B436" s="18" t="n">
        <f aca="false">EDATE(B435,1)</f>
        <v>59384</v>
      </c>
      <c r="C436" s="19" t="n">
        <f aca="false">ROUNDUP(A436/12,0)</f>
        <v>36</v>
      </c>
      <c r="D436" s="26" t="n">
        <f aca="false">J435</f>
        <v>0</v>
      </c>
      <c r="E436" s="26" t="n">
        <f aca="false">IF(D436&lt;=0,0,ROUND(D436*Calculator!$B$7/12,2))</f>
        <v>0</v>
      </c>
      <c r="F436" s="26" t="n">
        <f aca="false">IF(D436&lt;=0,0,ROUND(MIN(D436,Calculator!$H$6-E436),2))</f>
        <v>0</v>
      </c>
      <c r="G436" s="26" t="n">
        <f aca="false">ROUND(IF(A436&gt;=Calculator!$E$11,Calculator!$E$6,0)+IF(A436=Calculator!$E$8,Calculator!$E$7,0)+IF(MONTH(B436)=Calculator!$E$10,Calculator!$E$9,0),2)</f>
        <v>200</v>
      </c>
      <c r="H436" s="26" t="n">
        <f aca="false">IF(D436&lt;=0,0,ROUND(MIN(D436-F436,G436),2))</f>
        <v>0</v>
      </c>
      <c r="I436" s="26" t="n">
        <f aca="false">ROUND(E436+F436+H436,2)</f>
        <v>0</v>
      </c>
      <c r="J436" s="26" t="n">
        <f aca="false">ROUND(MAX(0,D436-F436-H436),2)</f>
        <v>0</v>
      </c>
      <c r="K436" s="26" t="n">
        <f aca="false">ROUND(E436+K435,2)</f>
        <v>379328.97</v>
      </c>
    </row>
    <row r="437" customFormat="false" ht="15" hidden="false" customHeight="true" outlineLevel="0" collapsed="false">
      <c r="A437" s="19" t="n">
        <f aca="false">A436+1</f>
        <v>432</v>
      </c>
      <c r="B437" s="18" t="n">
        <f aca="false">EDATE(B436,1)</f>
        <v>59415</v>
      </c>
      <c r="C437" s="19" t="n">
        <f aca="false">ROUNDUP(A437/12,0)</f>
        <v>36</v>
      </c>
      <c r="D437" s="26" t="n">
        <f aca="false">J436</f>
        <v>0</v>
      </c>
      <c r="E437" s="26" t="n">
        <f aca="false">IF(D437&lt;=0,0,ROUND(D437*Calculator!$B$7/12,2))</f>
        <v>0</v>
      </c>
      <c r="F437" s="26" t="n">
        <f aca="false">IF(D437&lt;=0,0,ROUND(MIN(D437,Calculator!$H$6-E437),2))</f>
        <v>0</v>
      </c>
      <c r="G437" s="26" t="n">
        <f aca="false">ROUND(IF(A437&gt;=Calculator!$E$11,Calculator!$E$6,0)+IF(A437=Calculator!$E$8,Calculator!$E$7,0)+IF(MONTH(B437)=Calculator!$E$10,Calculator!$E$9,0),2)</f>
        <v>200</v>
      </c>
      <c r="H437" s="26" t="n">
        <f aca="false">IF(D437&lt;=0,0,ROUND(MIN(D437-F437,G437),2))</f>
        <v>0</v>
      </c>
      <c r="I437" s="26" t="n">
        <f aca="false">ROUND(E437+F437+H437,2)</f>
        <v>0</v>
      </c>
      <c r="J437" s="26" t="n">
        <f aca="false">ROUND(MAX(0,D437-F437-H437),2)</f>
        <v>0</v>
      </c>
      <c r="K437" s="26" t="n">
        <f aca="false">ROUND(E437+K436,2)</f>
        <v>379328.97</v>
      </c>
    </row>
    <row r="438" customFormat="false" ht="15" hidden="false" customHeight="true" outlineLevel="0" collapsed="false">
      <c r="A438" s="19" t="n">
        <f aca="false">A437+1</f>
        <v>433</v>
      </c>
      <c r="B438" s="18" t="n">
        <f aca="false">EDATE(B437,1)</f>
        <v>59445</v>
      </c>
      <c r="C438" s="19" t="n">
        <f aca="false">ROUNDUP(A438/12,0)</f>
        <v>37</v>
      </c>
      <c r="D438" s="26" t="n">
        <f aca="false">J437</f>
        <v>0</v>
      </c>
      <c r="E438" s="26" t="n">
        <f aca="false">IF(D438&lt;=0,0,ROUND(D438*Calculator!$B$7/12,2))</f>
        <v>0</v>
      </c>
      <c r="F438" s="26" t="n">
        <f aca="false">IF(D438&lt;=0,0,ROUND(MIN(D438,Calculator!$H$6-E438),2))</f>
        <v>0</v>
      </c>
      <c r="G438" s="26" t="n">
        <f aca="false">ROUND(IF(A438&gt;=Calculator!$E$11,Calculator!$E$6,0)+IF(A438=Calculator!$E$8,Calculator!$E$7,0)+IF(MONTH(B438)=Calculator!$E$10,Calculator!$E$9,0),2)</f>
        <v>200</v>
      </c>
      <c r="H438" s="26" t="n">
        <f aca="false">IF(D438&lt;=0,0,ROUND(MIN(D438-F438,G438),2))</f>
        <v>0</v>
      </c>
      <c r="I438" s="26" t="n">
        <f aca="false">ROUND(E438+F438+H438,2)</f>
        <v>0</v>
      </c>
      <c r="J438" s="26" t="n">
        <f aca="false">ROUND(MAX(0,D438-F438-H438),2)</f>
        <v>0</v>
      </c>
      <c r="K438" s="26" t="n">
        <f aca="false">ROUND(E438+K437,2)</f>
        <v>379328.97</v>
      </c>
    </row>
    <row r="439" customFormat="false" ht="15" hidden="false" customHeight="true" outlineLevel="0" collapsed="false">
      <c r="A439" s="19" t="n">
        <f aca="false">A438+1</f>
        <v>434</v>
      </c>
      <c r="B439" s="18" t="n">
        <f aca="false">EDATE(B438,1)</f>
        <v>59476</v>
      </c>
      <c r="C439" s="19" t="n">
        <f aca="false">ROUNDUP(A439/12,0)</f>
        <v>37</v>
      </c>
      <c r="D439" s="26" t="n">
        <f aca="false">J438</f>
        <v>0</v>
      </c>
      <c r="E439" s="26" t="n">
        <f aca="false">IF(D439&lt;=0,0,ROUND(D439*Calculator!$B$7/12,2))</f>
        <v>0</v>
      </c>
      <c r="F439" s="26" t="n">
        <f aca="false">IF(D439&lt;=0,0,ROUND(MIN(D439,Calculator!$H$6-E439),2))</f>
        <v>0</v>
      </c>
      <c r="G439" s="26" t="n">
        <f aca="false">ROUND(IF(A439&gt;=Calculator!$E$11,Calculator!$E$6,0)+IF(A439=Calculator!$E$8,Calculator!$E$7,0)+IF(MONTH(B439)=Calculator!$E$10,Calculator!$E$9,0),2)</f>
        <v>200</v>
      </c>
      <c r="H439" s="26" t="n">
        <f aca="false">IF(D439&lt;=0,0,ROUND(MIN(D439-F439,G439),2))</f>
        <v>0</v>
      </c>
      <c r="I439" s="26" t="n">
        <f aca="false">ROUND(E439+F439+H439,2)</f>
        <v>0</v>
      </c>
      <c r="J439" s="26" t="n">
        <f aca="false">ROUND(MAX(0,D439-F439-H439),2)</f>
        <v>0</v>
      </c>
      <c r="K439" s="26" t="n">
        <f aca="false">ROUND(E439+K438,2)</f>
        <v>379328.97</v>
      </c>
    </row>
    <row r="440" customFormat="false" ht="15" hidden="false" customHeight="true" outlineLevel="0" collapsed="false">
      <c r="A440" s="19" t="n">
        <f aca="false">A439+1</f>
        <v>435</v>
      </c>
      <c r="B440" s="18" t="n">
        <f aca="false">EDATE(B439,1)</f>
        <v>59506</v>
      </c>
      <c r="C440" s="19" t="n">
        <f aca="false">ROUNDUP(A440/12,0)</f>
        <v>37</v>
      </c>
      <c r="D440" s="26" t="n">
        <f aca="false">J439</f>
        <v>0</v>
      </c>
      <c r="E440" s="26" t="n">
        <f aca="false">IF(D440&lt;=0,0,ROUND(D440*Calculator!$B$7/12,2))</f>
        <v>0</v>
      </c>
      <c r="F440" s="26" t="n">
        <f aca="false">IF(D440&lt;=0,0,ROUND(MIN(D440,Calculator!$H$6-E440),2))</f>
        <v>0</v>
      </c>
      <c r="G440" s="26" t="n">
        <f aca="false">ROUND(IF(A440&gt;=Calculator!$E$11,Calculator!$E$6,0)+IF(A440=Calculator!$E$8,Calculator!$E$7,0)+IF(MONTH(B440)=Calculator!$E$10,Calculator!$E$9,0),2)</f>
        <v>1200</v>
      </c>
      <c r="H440" s="26" t="n">
        <f aca="false">IF(D440&lt;=0,0,ROUND(MIN(D440-F440,G440),2))</f>
        <v>0</v>
      </c>
      <c r="I440" s="26" t="n">
        <f aca="false">ROUND(E440+F440+H440,2)</f>
        <v>0</v>
      </c>
      <c r="J440" s="26" t="n">
        <f aca="false">ROUND(MAX(0,D440-F440-H440),2)</f>
        <v>0</v>
      </c>
      <c r="K440" s="26" t="n">
        <f aca="false">ROUND(E440+K439,2)</f>
        <v>379328.97</v>
      </c>
    </row>
    <row r="441" customFormat="false" ht="15" hidden="false" customHeight="true" outlineLevel="0" collapsed="false">
      <c r="A441" s="19" t="n">
        <f aca="false">A440+1</f>
        <v>436</v>
      </c>
      <c r="B441" s="18" t="n">
        <f aca="false">EDATE(B440,1)</f>
        <v>59537</v>
      </c>
      <c r="C441" s="19" t="n">
        <f aca="false">ROUNDUP(A441/12,0)</f>
        <v>37</v>
      </c>
      <c r="D441" s="26" t="n">
        <f aca="false">J440</f>
        <v>0</v>
      </c>
      <c r="E441" s="26" t="n">
        <f aca="false">IF(D441&lt;=0,0,ROUND(D441*Calculator!$B$7/12,2))</f>
        <v>0</v>
      </c>
      <c r="F441" s="26" t="n">
        <f aca="false">IF(D441&lt;=0,0,ROUND(MIN(D441,Calculator!$H$6-E441),2))</f>
        <v>0</v>
      </c>
      <c r="G441" s="26" t="n">
        <f aca="false">ROUND(IF(A441&gt;=Calculator!$E$11,Calculator!$E$6,0)+IF(A441=Calculator!$E$8,Calculator!$E$7,0)+IF(MONTH(B441)=Calculator!$E$10,Calculator!$E$9,0),2)</f>
        <v>200</v>
      </c>
      <c r="H441" s="26" t="n">
        <f aca="false">IF(D441&lt;=0,0,ROUND(MIN(D441-F441,G441),2))</f>
        <v>0</v>
      </c>
      <c r="I441" s="26" t="n">
        <f aca="false">ROUND(E441+F441+H441,2)</f>
        <v>0</v>
      </c>
      <c r="J441" s="26" t="n">
        <f aca="false">ROUND(MAX(0,D441-F441-H441),2)</f>
        <v>0</v>
      </c>
      <c r="K441" s="26" t="n">
        <f aca="false">ROUND(E441+K440,2)</f>
        <v>379328.97</v>
      </c>
    </row>
    <row r="442" customFormat="false" ht="15" hidden="false" customHeight="true" outlineLevel="0" collapsed="false">
      <c r="A442" s="19" t="n">
        <f aca="false">A441+1</f>
        <v>437</v>
      </c>
      <c r="B442" s="18" t="n">
        <f aca="false">EDATE(B441,1)</f>
        <v>59568</v>
      </c>
      <c r="C442" s="19" t="n">
        <f aca="false">ROUNDUP(A442/12,0)</f>
        <v>37</v>
      </c>
      <c r="D442" s="26" t="n">
        <f aca="false">J441</f>
        <v>0</v>
      </c>
      <c r="E442" s="26" t="n">
        <f aca="false">IF(D442&lt;=0,0,ROUND(D442*Calculator!$B$7/12,2))</f>
        <v>0</v>
      </c>
      <c r="F442" s="26" t="n">
        <f aca="false">IF(D442&lt;=0,0,ROUND(MIN(D442,Calculator!$H$6-E442),2))</f>
        <v>0</v>
      </c>
      <c r="G442" s="26" t="n">
        <f aca="false">ROUND(IF(A442&gt;=Calculator!$E$11,Calculator!$E$6,0)+IF(A442=Calculator!$E$8,Calculator!$E$7,0)+IF(MONTH(B442)=Calculator!$E$10,Calculator!$E$9,0),2)</f>
        <v>200</v>
      </c>
      <c r="H442" s="26" t="n">
        <f aca="false">IF(D442&lt;=0,0,ROUND(MIN(D442-F442,G442),2))</f>
        <v>0</v>
      </c>
      <c r="I442" s="26" t="n">
        <f aca="false">ROUND(E442+F442+H442,2)</f>
        <v>0</v>
      </c>
      <c r="J442" s="26" t="n">
        <f aca="false">ROUND(MAX(0,D442-F442-H442),2)</f>
        <v>0</v>
      </c>
      <c r="K442" s="26" t="n">
        <f aca="false">ROUND(E442+K441,2)</f>
        <v>379328.97</v>
      </c>
    </row>
    <row r="443" customFormat="false" ht="15" hidden="false" customHeight="true" outlineLevel="0" collapsed="false">
      <c r="A443" s="19" t="n">
        <f aca="false">A442+1</f>
        <v>438</v>
      </c>
      <c r="B443" s="18" t="n">
        <f aca="false">EDATE(B442,1)</f>
        <v>59596</v>
      </c>
      <c r="C443" s="19" t="n">
        <f aca="false">ROUNDUP(A443/12,0)</f>
        <v>37</v>
      </c>
      <c r="D443" s="26" t="n">
        <f aca="false">J442</f>
        <v>0</v>
      </c>
      <c r="E443" s="26" t="n">
        <f aca="false">IF(D443&lt;=0,0,ROUND(D443*Calculator!$B$7/12,2))</f>
        <v>0</v>
      </c>
      <c r="F443" s="26" t="n">
        <f aca="false">IF(D443&lt;=0,0,ROUND(MIN(D443,Calculator!$H$6-E443),2))</f>
        <v>0</v>
      </c>
      <c r="G443" s="26" t="n">
        <f aca="false">ROUND(IF(A443&gt;=Calculator!$E$11,Calculator!$E$6,0)+IF(A443=Calculator!$E$8,Calculator!$E$7,0)+IF(MONTH(B443)=Calculator!$E$10,Calculator!$E$9,0),2)</f>
        <v>200</v>
      </c>
      <c r="H443" s="26" t="n">
        <f aca="false">IF(D443&lt;=0,0,ROUND(MIN(D443-F443,G443),2))</f>
        <v>0</v>
      </c>
      <c r="I443" s="26" t="n">
        <f aca="false">ROUND(E443+F443+H443,2)</f>
        <v>0</v>
      </c>
      <c r="J443" s="26" t="n">
        <f aca="false">ROUND(MAX(0,D443-F443-H443),2)</f>
        <v>0</v>
      </c>
      <c r="K443" s="26" t="n">
        <f aca="false">ROUND(E443+K442,2)</f>
        <v>379328.97</v>
      </c>
    </row>
    <row r="444" customFormat="false" ht="15" hidden="false" customHeight="true" outlineLevel="0" collapsed="false">
      <c r="A444" s="19" t="n">
        <f aca="false">A443+1</f>
        <v>439</v>
      </c>
      <c r="B444" s="18" t="n">
        <f aca="false">EDATE(B443,1)</f>
        <v>59627</v>
      </c>
      <c r="C444" s="19" t="n">
        <f aca="false">ROUNDUP(A444/12,0)</f>
        <v>37</v>
      </c>
      <c r="D444" s="26" t="n">
        <f aca="false">J443</f>
        <v>0</v>
      </c>
      <c r="E444" s="26" t="n">
        <f aca="false">IF(D444&lt;=0,0,ROUND(D444*Calculator!$B$7/12,2))</f>
        <v>0</v>
      </c>
      <c r="F444" s="26" t="n">
        <f aca="false">IF(D444&lt;=0,0,ROUND(MIN(D444,Calculator!$H$6-E444),2))</f>
        <v>0</v>
      </c>
      <c r="G444" s="26" t="n">
        <f aca="false">ROUND(IF(A444&gt;=Calculator!$E$11,Calculator!$E$6,0)+IF(A444=Calculator!$E$8,Calculator!$E$7,0)+IF(MONTH(B444)=Calculator!$E$10,Calculator!$E$9,0),2)</f>
        <v>200</v>
      </c>
      <c r="H444" s="26" t="n">
        <f aca="false">IF(D444&lt;=0,0,ROUND(MIN(D444-F444,G444),2))</f>
        <v>0</v>
      </c>
      <c r="I444" s="26" t="n">
        <f aca="false">ROUND(E444+F444+H444,2)</f>
        <v>0</v>
      </c>
      <c r="J444" s="26" t="n">
        <f aca="false">ROUND(MAX(0,D444-F444-H444),2)</f>
        <v>0</v>
      </c>
      <c r="K444" s="26" t="n">
        <f aca="false">ROUND(E444+K443,2)</f>
        <v>379328.97</v>
      </c>
    </row>
    <row r="445" customFormat="false" ht="15" hidden="false" customHeight="true" outlineLevel="0" collapsed="false">
      <c r="A445" s="19" t="n">
        <f aca="false">A444+1</f>
        <v>440</v>
      </c>
      <c r="B445" s="18" t="n">
        <f aca="false">EDATE(B444,1)</f>
        <v>59657</v>
      </c>
      <c r="C445" s="19" t="n">
        <f aca="false">ROUNDUP(A445/12,0)</f>
        <v>37</v>
      </c>
      <c r="D445" s="26" t="n">
        <f aca="false">J444</f>
        <v>0</v>
      </c>
      <c r="E445" s="26" t="n">
        <f aca="false">IF(D445&lt;=0,0,ROUND(D445*Calculator!$B$7/12,2))</f>
        <v>0</v>
      </c>
      <c r="F445" s="26" t="n">
        <f aca="false">IF(D445&lt;=0,0,ROUND(MIN(D445,Calculator!$H$6-E445),2))</f>
        <v>0</v>
      </c>
      <c r="G445" s="26" t="n">
        <f aca="false">ROUND(IF(A445&gt;=Calculator!$E$11,Calculator!$E$6,0)+IF(A445=Calculator!$E$8,Calculator!$E$7,0)+IF(MONTH(B445)=Calculator!$E$10,Calculator!$E$9,0),2)</f>
        <v>200</v>
      </c>
      <c r="H445" s="26" t="n">
        <f aca="false">IF(D445&lt;=0,0,ROUND(MIN(D445-F445,G445),2))</f>
        <v>0</v>
      </c>
      <c r="I445" s="26" t="n">
        <f aca="false">ROUND(E445+F445+H445,2)</f>
        <v>0</v>
      </c>
      <c r="J445" s="26" t="n">
        <f aca="false">ROUND(MAX(0,D445-F445-H445),2)</f>
        <v>0</v>
      </c>
      <c r="K445" s="26" t="n">
        <f aca="false">ROUND(E445+K444,2)</f>
        <v>379328.97</v>
      </c>
    </row>
    <row r="446" customFormat="false" ht="15" hidden="false" customHeight="true" outlineLevel="0" collapsed="false">
      <c r="A446" s="19" t="n">
        <f aca="false">A445+1</f>
        <v>441</v>
      </c>
      <c r="B446" s="18" t="n">
        <f aca="false">EDATE(B445,1)</f>
        <v>59688</v>
      </c>
      <c r="C446" s="19" t="n">
        <f aca="false">ROUNDUP(A446/12,0)</f>
        <v>37</v>
      </c>
      <c r="D446" s="26" t="n">
        <f aca="false">J445</f>
        <v>0</v>
      </c>
      <c r="E446" s="26" t="n">
        <f aca="false">IF(D446&lt;=0,0,ROUND(D446*Calculator!$B$7/12,2))</f>
        <v>0</v>
      </c>
      <c r="F446" s="26" t="n">
        <f aca="false">IF(D446&lt;=0,0,ROUND(MIN(D446,Calculator!$H$6-E446),2))</f>
        <v>0</v>
      </c>
      <c r="G446" s="26" t="n">
        <f aca="false">ROUND(IF(A446&gt;=Calculator!$E$11,Calculator!$E$6,0)+IF(A446=Calculator!$E$8,Calculator!$E$7,0)+IF(MONTH(B446)=Calculator!$E$10,Calculator!$E$9,0),2)</f>
        <v>200</v>
      </c>
      <c r="H446" s="26" t="n">
        <f aca="false">IF(D446&lt;=0,0,ROUND(MIN(D446-F446,G446),2))</f>
        <v>0</v>
      </c>
      <c r="I446" s="26" t="n">
        <f aca="false">ROUND(E446+F446+H446,2)</f>
        <v>0</v>
      </c>
      <c r="J446" s="26" t="n">
        <f aca="false">ROUND(MAX(0,D446-F446-H446),2)</f>
        <v>0</v>
      </c>
      <c r="K446" s="26" t="n">
        <f aca="false">ROUND(E446+K445,2)</f>
        <v>379328.97</v>
      </c>
    </row>
    <row r="447" customFormat="false" ht="15" hidden="false" customHeight="true" outlineLevel="0" collapsed="false">
      <c r="A447" s="19" t="n">
        <f aca="false">A446+1</f>
        <v>442</v>
      </c>
      <c r="B447" s="18" t="n">
        <f aca="false">EDATE(B446,1)</f>
        <v>59718</v>
      </c>
      <c r="C447" s="19" t="n">
        <f aca="false">ROUNDUP(A447/12,0)</f>
        <v>37</v>
      </c>
      <c r="D447" s="26" t="n">
        <f aca="false">J446</f>
        <v>0</v>
      </c>
      <c r="E447" s="26" t="n">
        <f aca="false">IF(D447&lt;=0,0,ROUND(D447*Calculator!$B$7/12,2))</f>
        <v>0</v>
      </c>
      <c r="F447" s="26" t="n">
        <f aca="false">IF(D447&lt;=0,0,ROUND(MIN(D447,Calculator!$H$6-E447),2))</f>
        <v>0</v>
      </c>
      <c r="G447" s="26" t="n">
        <f aca="false">ROUND(IF(A447&gt;=Calculator!$E$11,Calculator!$E$6,0)+IF(A447=Calculator!$E$8,Calculator!$E$7,0)+IF(MONTH(B447)=Calculator!$E$10,Calculator!$E$9,0),2)</f>
        <v>200</v>
      </c>
      <c r="H447" s="26" t="n">
        <f aca="false">IF(D447&lt;=0,0,ROUND(MIN(D447-F447,G447),2))</f>
        <v>0</v>
      </c>
      <c r="I447" s="26" t="n">
        <f aca="false">ROUND(E447+F447+H447,2)</f>
        <v>0</v>
      </c>
      <c r="J447" s="26" t="n">
        <f aca="false">ROUND(MAX(0,D447-F447-H447),2)</f>
        <v>0</v>
      </c>
      <c r="K447" s="26" t="n">
        <f aca="false">ROUND(E447+K446,2)</f>
        <v>379328.97</v>
      </c>
    </row>
    <row r="448" customFormat="false" ht="15" hidden="false" customHeight="true" outlineLevel="0" collapsed="false">
      <c r="A448" s="19" t="n">
        <f aca="false">A447+1</f>
        <v>443</v>
      </c>
      <c r="B448" s="18" t="n">
        <f aca="false">EDATE(B447,1)</f>
        <v>59749</v>
      </c>
      <c r="C448" s="19" t="n">
        <f aca="false">ROUNDUP(A448/12,0)</f>
        <v>37</v>
      </c>
      <c r="D448" s="26" t="n">
        <f aca="false">J447</f>
        <v>0</v>
      </c>
      <c r="E448" s="26" t="n">
        <f aca="false">IF(D448&lt;=0,0,ROUND(D448*Calculator!$B$7/12,2))</f>
        <v>0</v>
      </c>
      <c r="F448" s="26" t="n">
        <f aca="false">IF(D448&lt;=0,0,ROUND(MIN(D448,Calculator!$H$6-E448),2))</f>
        <v>0</v>
      </c>
      <c r="G448" s="26" t="n">
        <f aca="false">ROUND(IF(A448&gt;=Calculator!$E$11,Calculator!$E$6,0)+IF(A448=Calculator!$E$8,Calculator!$E$7,0)+IF(MONTH(B448)=Calculator!$E$10,Calculator!$E$9,0),2)</f>
        <v>200</v>
      </c>
      <c r="H448" s="26" t="n">
        <f aca="false">IF(D448&lt;=0,0,ROUND(MIN(D448-F448,G448),2))</f>
        <v>0</v>
      </c>
      <c r="I448" s="26" t="n">
        <f aca="false">ROUND(E448+F448+H448,2)</f>
        <v>0</v>
      </c>
      <c r="J448" s="26" t="n">
        <f aca="false">ROUND(MAX(0,D448-F448-H448),2)</f>
        <v>0</v>
      </c>
      <c r="K448" s="26" t="n">
        <f aca="false">ROUND(E448+K447,2)</f>
        <v>379328.97</v>
      </c>
    </row>
    <row r="449" customFormat="false" ht="15" hidden="false" customHeight="true" outlineLevel="0" collapsed="false">
      <c r="A449" s="19" t="n">
        <f aca="false">A448+1</f>
        <v>444</v>
      </c>
      <c r="B449" s="18" t="n">
        <f aca="false">EDATE(B448,1)</f>
        <v>59780</v>
      </c>
      <c r="C449" s="19" t="n">
        <f aca="false">ROUNDUP(A449/12,0)</f>
        <v>37</v>
      </c>
      <c r="D449" s="26" t="n">
        <f aca="false">J448</f>
        <v>0</v>
      </c>
      <c r="E449" s="26" t="n">
        <f aca="false">IF(D449&lt;=0,0,ROUND(D449*Calculator!$B$7/12,2))</f>
        <v>0</v>
      </c>
      <c r="F449" s="26" t="n">
        <f aca="false">IF(D449&lt;=0,0,ROUND(MIN(D449,Calculator!$H$6-E449),2))</f>
        <v>0</v>
      </c>
      <c r="G449" s="26" t="n">
        <f aca="false">ROUND(IF(A449&gt;=Calculator!$E$11,Calculator!$E$6,0)+IF(A449=Calculator!$E$8,Calculator!$E$7,0)+IF(MONTH(B449)=Calculator!$E$10,Calculator!$E$9,0),2)</f>
        <v>200</v>
      </c>
      <c r="H449" s="26" t="n">
        <f aca="false">IF(D449&lt;=0,0,ROUND(MIN(D449-F449,G449),2))</f>
        <v>0</v>
      </c>
      <c r="I449" s="26" t="n">
        <f aca="false">ROUND(E449+F449+H449,2)</f>
        <v>0</v>
      </c>
      <c r="J449" s="26" t="n">
        <f aca="false">ROUND(MAX(0,D449-F449-H449),2)</f>
        <v>0</v>
      </c>
      <c r="K449" s="26" t="n">
        <f aca="false">ROUND(E449+K448,2)</f>
        <v>379328.97</v>
      </c>
    </row>
    <row r="450" customFormat="false" ht="15" hidden="false" customHeight="true" outlineLevel="0" collapsed="false">
      <c r="A450" s="19" t="n">
        <f aca="false">A449+1</f>
        <v>445</v>
      </c>
      <c r="B450" s="18" t="n">
        <f aca="false">EDATE(B449,1)</f>
        <v>59810</v>
      </c>
      <c r="C450" s="19" t="n">
        <f aca="false">ROUNDUP(A450/12,0)</f>
        <v>38</v>
      </c>
      <c r="D450" s="26" t="n">
        <f aca="false">J449</f>
        <v>0</v>
      </c>
      <c r="E450" s="26" t="n">
        <f aca="false">IF(D450&lt;=0,0,ROUND(D450*Calculator!$B$7/12,2))</f>
        <v>0</v>
      </c>
      <c r="F450" s="26" t="n">
        <f aca="false">IF(D450&lt;=0,0,ROUND(MIN(D450,Calculator!$H$6-E450),2))</f>
        <v>0</v>
      </c>
      <c r="G450" s="26" t="n">
        <f aca="false">ROUND(IF(A450&gt;=Calculator!$E$11,Calculator!$E$6,0)+IF(A450=Calculator!$E$8,Calculator!$E$7,0)+IF(MONTH(B450)=Calculator!$E$10,Calculator!$E$9,0),2)</f>
        <v>200</v>
      </c>
      <c r="H450" s="26" t="n">
        <f aca="false">IF(D450&lt;=0,0,ROUND(MIN(D450-F450,G450),2))</f>
        <v>0</v>
      </c>
      <c r="I450" s="26" t="n">
        <f aca="false">ROUND(E450+F450+H450,2)</f>
        <v>0</v>
      </c>
      <c r="J450" s="26" t="n">
        <f aca="false">ROUND(MAX(0,D450-F450-H450),2)</f>
        <v>0</v>
      </c>
      <c r="K450" s="26" t="n">
        <f aca="false">ROUND(E450+K449,2)</f>
        <v>379328.97</v>
      </c>
    </row>
    <row r="451" customFormat="false" ht="15" hidden="false" customHeight="true" outlineLevel="0" collapsed="false">
      <c r="A451" s="19" t="n">
        <f aca="false">A450+1</f>
        <v>446</v>
      </c>
      <c r="B451" s="18" t="n">
        <f aca="false">EDATE(B450,1)</f>
        <v>59841</v>
      </c>
      <c r="C451" s="19" t="n">
        <f aca="false">ROUNDUP(A451/12,0)</f>
        <v>38</v>
      </c>
      <c r="D451" s="26" t="n">
        <f aca="false">J450</f>
        <v>0</v>
      </c>
      <c r="E451" s="26" t="n">
        <f aca="false">IF(D451&lt;=0,0,ROUND(D451*Calculator!$B$7/12,2))</f>
        <v>0</v>
      </c>
      <c r="F451" s="26" t="n">
        <f aca="false">IF(D451&lt;=0,0,ROUND(MIN(D451,Calculator!$H$6-E451),2))</f>
        <v>0</v>
      </c>
      <c r="G451" s="26" t="n">
        <f aca="false">ROUND(IF(A451&gt;=Calculator!$E$11,Calculator!$E$6,0)+IF(A451=Calculator!$E$8,Calculator!$E$7,0)+IF(MONTH(B451)=Calculator!$E$10,Calculator!$E$9,0),2)</f>
        <v>200</v>
      </c>
      <c r="H451" s="26" t="n">
        <f aca="false">IF(D451&lt;=0,0,ROUND(MIN(D451-F451,G451),2))</f>
        <v>0</v>
      </c>
      <c r="I451" s="26" t="n">
        <f aca="false">ROUND(E451+F451+H451,2)</f>
        <v>0</v>
      </c>
      <c r="J451" s="26" t="n">
        <f aca="false">ROUND(MAX(0,D451-F451-H451),2)</f>
        <v>0</v>
      </c>
      <c r="K451" s="26" t="n">
        <f aca="false">ROUND(E451+K450,2)</f>
        <v>379328.97</v>
      </c>
    </row>
    <row r="452" customFormat="false" ht="15" hidden="false" customHeight="true" outlineLevel="0" collapsed="false">
      <c r="A452" s="19" t="n">
        <f aca="false">A451+1</f>
        <v>447</v>
      </c>
      <c r="B452" s="18" t="n">
        <f aca="false">EDATE(B451,1)</f>
        <v>59871</v>
      </c>
      <c r="C452" s="19" t="n">
        <f aca="false">ROUNDUP(A452/12,0)</f>
        <v>38</v>
      </c>
      <c r="D452" s="26" t="n">
        <f aca="false">J451</f>
        <v>0</v>
      </c>
      <c r="E452" s="26" t="n">
        <f aca="false">IF(D452&lt;=0,0,ROUND(D452*Calculator!$B$7/12,2))</f>
        <v>0</v>
      </c>
      <c r="F452" s="26" t="n">
        <f aca="false">IF(D452&lt;=0,0,ROUND(MIN(D452,Calculator!$H$6-E452),2))</f>
        <v>0</v>
      </c>
      <c r="G452" s="26" t="n">
        <f aca="false">ROUND(IF(A452&gt;=Calculator!$E$11,Calculator!$E$6,0)+IF(A452=Calculator!$E$8,Calculator!$E$7,0)+IF(MONTH(B452)=Calculator!$E$10,Calculator!$E$9,0),2)</f>
        <v>1200</v>
      </c>
      <c r="H452" s="26" t="n">
        <f aca="false">IF(D452&lt;=0,0,ROUND(MIN(D452-F452,G452),2))</f>
        <v>0</v>
      </c>
      <c r="I452" s="26" t="n">
        <f aca="false">ROUND(E452+F452+H452,2)</f>
        <v>0</v>
      </c>
      <c r="J452" s="26" t="n">
        <f aca="false">ROUND(MAX(0,D452-F452-H452),2)</f>
        <v>0</v>
      </c>
      <c r="K452" s="26" t="n">
        <f aca="false">ROUND(E452+K451,2)</f>
        <v>379328.97</v>
      </c>
    </row>
    <row r="453" customFormat="false" ht="15" hidden="false" customHeight="true" outlineLevel="0" collapsed="false">
      <c r="A453" s="19" t="n">
        <f aca="false">A452+1</f>
        <v>448</v>
      </c>
      <c r="B453" s="18" t="n">
        <f aca="false">EDATE(B452,1)</f>
        <v>59902</v>
      </c>
      <c r="C453" s="19" t="n">
        <f aca="false">ROUNDUP(A453/12,0)</f>
        <v>38</v>
      </c>
      <c r="D453" s="26" t="n">
        <f aca="false">J452</f>
        <v>0</v>
      </c>
      <c r="E453" s="26" t="n">
        <f aca="false">IF(D453&lt;=0,0,ROUND(D453*Calculator!$B$7/12,2))</f>
        <v>0</v>
      </c>
      <c r="F453" s="26" t="n">
        <f aca="false">IF(D453&lt;=0,0,ROUND(MIN(D453,Calculator!$H$6-E453),2))</f>
        <v>0</v>
      </c>
      <c r="G453" s="26" t="n">
        <f aca="false">ROUND(IF(A453&gt;=Calculator!$E$11,Calculator!$E$6,0)+IF(A453=Calculator!$E$8,Calculator!$E$7,0)+IF(MONTH(B453)=Calculator!$E$10,Calculator!$E$9,0),2)</f>
        <v>200</v>
      </c>
      <c r="H453" s="26" t="n">
        <f aca="false">IF(D453&lt;=0,0,ROUND(MIN(D453-F453,G453),2))</f>
        <v>0</v>
      </c>
      <c r="I453" s="26" t="n">
        <f aca="false">ROUND(E453+F453+H453,2)</f>
        <v>0</v>
      </c>
      <c r="J453" s="26" t="n">
        <f aca="false">ROUND(MAX(0,D453-F453-H453),2)</f>
        <v>0</v>
      </c>
      <c r="K453" s="26" t="n">
        <f aca="false">ROUND(E453+K452,2)</f>
        <v>379328.97</v>
      </c>
    </row>
    <row r="454" customFormat="false" ht="15" hidden="false" customHeight="true" outlineLevel="0" collapsed="false">
      <c r="A454" s="19" t="n">
        <f aca="false">A453+1</f>
        <v>449</v>
      </c>
      <c r="B454" s="18" t="n">
        <f aca="false">EDATE(B453,1)</f>
        <v>59933</v>
      </c>
      <c r="C454" s="19" t="n">
        <f aca="false">ROUNDUP(A454/12,0)</f>
        <v>38</v>
      </c>
      <c r="D454" s="26" t="n">
        <f aca="false">J453</f>
        <v>0</v>
      </c>
      <c r="E454" s="26" t="n">
        <f aca="false">IF(D454&lt;=0,0,ROUND(D454*Calculator!$B$7/12,2))</f>
        <v>0</v>
      </c>
      <c r="F454" s="26" t="n">
        <f aca="false">IF(D454&lt;=0,0,ROUND(MIN(D454,Calculator!$H$6-E454),2))</f>
        <v>0</v>
      </c>
      <c r="G454" s="26" t="n">
        <f aca="false">ROUND(IF(A454&gt;=Calculator!$E$11,Calculator!$E$6,0)+IF(A454=Calculator!$E$8,Calculator!$E$7,0)+IF(MONTH(B454)=Calculator!$E$10,Calculator!$E$9,0),2)</f>
        <v>200</v>
      </c>
      <c r="H454" s="26" t="n">
        <f aca="false">IF(D454&lt;=0,0,ROUND(MIN(D454-F454,G454),2))</f>
        <v>0</v>
      </c>
      <c r="I454" s="26" t="n">
        <f aca="false">ROUND(E454+F454+H454,2)</f>
        <v>0</v>
      </c>
      <c r="J454" s="26" t="n">
        <f aca="false">ROUND(MAX(0,D454-F454-H454),2)</f>
        <v>0</v>
      </c>
      <c r="K454" s="26" t="n">
        <f aca="false">ROUND(E454+K453,2)</f>
        <v>379328.97</v>
      </c>
    </row>
    <row r="455" customFormat="false" ht="15" hidden="false" customHeight="true" outlineLevel="0" collapsed="false">
      <c r="A455" s="19" t="n">
        <f aca="false">A454+1</f>
        <v>450</v>
      </c>
      <c r="B455" s="18" t="n">
        <f aca="false">EDATE(B454,1)</f>
        <v>59962</v>
      </c>
      <c r="C455" s="19" t="n">
        <f aca="false">ROUNDUP(A455/12,0)</f>
        <v>38</v>
      </c>
      <c r="D455" s="26" t="n">
        <f aca="false">J454</f>
        <v>0</v>
      </c>
      <c r="E455" s="26" t="n">
        <f aca="false">IF(D455&lt;=0,0,ROUND(D455*Calculator!$B$7/12,2))</f>
        <v>0</v>
      </c>
      <c r="F455" s="26" t="n">
        <f aca="false">IF(D455&lt;=0,0,ROUND(MIN(D455,Calculator!$H$6-E455),2))</f>
        <v>0</v>
      </c>
      <c r="G455" s="26" t="n">
        <f aca="false">ROUND(IF(A455&gt;=Calculator!$E$11,Calculator!$E$6,0)+IF(A455=Calculator!$E$8,Calculator!$E$7,0)+IF(MONTH(B455)=Calculator!$E$10,Calculator!$E$9,0),2)</f>
        <v>200</v>
      </c>
      <c r="H455" s="26" t="n">
        <f aca="false">IF(D455&lt;=0,0,ROUND(MIN(D455-F455,G455),2))</f>
        <v>0</v>
      </c>
      <c r="I455" s="26" t="n">
        <f aca="false">ROUND(E455+F455+H455,2)</f>
        <v>0</v>
      </c>
      <c r="J455" s="26" t="n">
        <f aca="false">ROUND(MAX(0,D455-F455-H455),2)</f>
        <v>0</v>
      </c>
      <c r="K455" s="26" t="n">
        <f aca="false">ROUND(E455+K454,2)</f>
        <v>379328.97</v>
      </c>
    </row>
    <row r="456" customFormat="false" ht="15" hidden="false" customHeight="true" outlineLevel="0" collapsed="false">
      <c r="A456" s="19" t="n">
        <f aca="false">A455+1</f>
        <v>451</v>
      </c>
      <c r="B456" s="18" t="n">
        <f aca="false">EDATE(B455,1)</f>
        <v>59993</v>
      </c>
      <c r="C456" s="19" t="n">
        <f aca="false">ROUNDUP(A456/12,0)</f>
        <v>38</v>
      </c>
      <c r="D456" s="26" t="n">
        <f aca="false">J455</f>
        <v>0</v>
      </c>
      <c r="E456" s="26" t="n">
        <f aca="false">IF(D456&lt;=0,0,ROUND(D456*Calculator!$B$7/12,2))</f>
        <v>0</v>
      </c>
      <c r="F456" s="26" t="n">
        <f aca="false">IF(D456&lt;=0,0,ROUND(MIN(D456,Calculator!$H$6-E456),2))</f>
        <v>0</v>
      </c>
      <c r="G456" s="26" t="n">
        <f aca="false">ROUND(IF(A456&gt;=Calculator!$E$11,Calculator!$E$6,0)+IF(A456=Calculator!$E$8,Calculator!$E$7,0)+IF(MONTH(B456)=Calculator!$E$10,Calculator!$E$9,0),2)</f>
        <v>200</v>
      </c>
      <c r="H456" s="26" t="n">
        <f aca="false">IF(D456&lt;=0,0,ROUND(MIN(D456-F456,G456),2))</f>
        <v>0</v>
      </c>
      <c r="I456" s="26" t="n">
        <f aca="false">ROUND(E456+F456+H456,2)</f>
        <v>0</v>
      </c>
      <c r="J456" s="26" t="n">
        <f aca="false">ROUND(MAX(0,D456-F456-H456),2)</f>
        <v>0</v>
      </c>
      <c r="K456" s="26" t="n">
        <f aca="false">ROUND(E456+K455,2)</f>
        <v>379328.97</v>
      </c>
    </row>
    <row r="457" customFormat="false" ht="15" hidden="false" customHeight="true" outlineLevel="0" collapsed="false">
      <c r="A457" s="19" t="n">
        <f aca="false">A456+1</f>
        <v>452</v>
      </c>
      <c r="B457" s="18" t="n">
        <f aca="false">EDATE(B456,1)</f>
        <v>60023</v>
      </c>
      <c r="C457" s="19" t="n">
        <f aca="false">ROUNDUP(A457/12,0)</f>
        <v>38</v>
      </c>
      <c r="D457" s="26" t="n">
        <f aca="false">J456</f>
        <v>0</v>
      </c>
      <c r="E457" s="26" t="n">
        <f aca="false">IF(D457&lt;=0,0,ROUND(D457*Calculator!$B$7/12,2))</f>
        <v>0</v>
      </c>
      <c r="F457" s="26" t="n">
        <f aca="false">IF(D457&lt;=0,0,ROUND(MIN(D457,Calculator!$H$6-E457),2))</f>
        <v>0</v>
      </c>
      <c r="G457" s="26" t="n">
        <f aca="false">ROUND(IF(A457&gt;=Calculator!$E$11,Calculator!$E$6,0)+IF(A457=Calculator!$E$8,Calculator!$E$7,0)+IF(MONTH(B457)=Calculator!$E$10,Calculator!$E$9,0),2)</f>
        <v>200</v>
      </c>
      <c r="H457" s="26" t="n">
        <f aca="false">IF(D457&lt;=0,0,ROUND(MIN(D457-F457,G457),2))</f>
        <v>0</v>
      </c>
      <c r="I457" s="26" t="n">
        <f aca="false">ROUND(E457+F457+H457,2)</f>
        <v>0</v>
      </c>
      <c r="J457" s="26" t="n">
        <f aca="false">ROUND(MAX(0,D457-F457-H457),2)</f>
        <v>0</v>
      </c>
      <c r="K457" s="26" t="n">
        <f aca="false">ROUND(E457+K456,2)</f>
        <v>379328.97</v>
      </c>
    </row>
    <row r="458" customFormat="false" ht="15" hidden="false" customHeight="true" outlineLevel="0" collapsed="false">
      <c r="A458" s="19" t="n">
        <f aca="false">A457+1</f>
        <v>453</v>
      </c>
      <c r="B458" s="18" t="n">
        <f aca="false">EDATE(B457,1)</f>
        <v>60054</v>
      </c>
      <c r="C458" s="19" t="n">
        <f aca="false">ROUNDUP(A458/12,0)</f>
        <v>38</v>
      </c>
      <c r="D458" s="26" t="n">
        <f aca="false">J457</f>
        <v>0</v>
      </c>
      <c r="E458" s="26" t="n">
        <f aca="false">IF(D458&lt;=0,0,ROUND(D458*Calculator!$B$7/12,2))</f>
        <v>0</v>
      </c>
      <c r="F458" s="26" t="n">
        <f aca="false">IF(D458&lt;=0,0,ROUND(MIN(D458,Calculator!$H$6-E458),2))</f>
        <v>0</v>
      </c>
      <c r="G458" s="26" t="n">
        <f aca="false">ROUND(IF(A458&gt;=Calculator!$E$11,Calculator!$E$6,0)+IF(A458=Calculator!$E$8,Calculator!$E$7,0)+IF(MONTH(B458)=Calculator!$E$10,Calculator!$E$9,0),2)</f>
        <v>200</v>
      </c>
      <c r="H458" s="26" t="n">
        <f aca="false">IF(D458&lt;=0,0,ROUND(MIN(D458-F458,G458),2))</f>
        <v>0</v>
      </c>
      <c r="I458" s="26" t="n">
        <f aca="false">ROUND(E458+F458+H458,2)</f>
        <v>0</v>
      </c>
      <c r="J458" s="26" t="n">
        <f aca="false">ROUND(MAX(0,D458-F458-H458),2)</f>
        <v>0</v>
      </c>
      <c r="K458" s="26" t="n">
        <f aca="false">ROUND(E458+K457,2)</f>
        <v>379328.97</v>
      </c>
    </row>
    <row r="459" customFormat="false" ht="15" hidden="false" customHeight="true" outlineLevel="0" collapsed="false">
      <c r="A459" s="19" t="n">
        <f aca="false">A458+1</f>
        <v>454</v>
      </c>
      <c r="B459" s="18" t="n">
        <f aca="false">EDATE(B458,1)</f>
        <v>60084</v>
      </c>
      <c r="C459" s="19" t="n">
        <f aca="false">ROUNDUP(A459/12,0)</f>
        <v>38</v>
      </c>
      <c r="D459" s="26" t="n">
        <f aca="false">J458</f>
        <v>0</v>
      </c>
      <c r="E459" s="26" t="n">
        <f aca="false">IF(D459&lt;=0,0,ROUND(D459*Calculator!$B$7/12,2))</f>
        <v>0</v>
      </c>
      <c r="F459" s="26" t="n">
        <f aca="false">IF(D459&lt;=0,0,ROUND(MIN(D459,Calculator!$H$6-E459),2))</f>
        <v>0</v>
      </c>
      <c r="G459" s="26" t="n">
        <f aca="false">ROUND(IF(A459&gt;=Calculator!$E$11,Calculator!$E$6,0)+IF(A459=Calculator!$E$8,Calculator!$E$7,0)+IF(MONTH(B459)=Calculator!$E$10,Calculator!$E$9,0),2)</f>
        <v>200</v>
      </c>
      <c r="H459" s="26" t="n">
        <f aca="false">IF(D459&lt;=0,0,ROUND(MIN(D459-F459,G459),2))</f>
        <v>0</v>
      </c>
      <c r="I459" s="26" t="n">
        <f aca="false">ROUND(E459+F459+H459,2)</f>
        <v>0</v>
      </c>
      <c r="J459" s="26" t="n">
        <f aca="false">ROUND(MAX(0,D459-F459-H459),2)</f>
        <v>0</v>
      </c>
      <c r="K459" s="26" t="n">
        <f aca="false">ROUND(E459+K458,2)</f>
        <v>379328.97</v>
      </c>
    </row>
    <row r="460" customFormat="false" ht="15" hidden="false" customHeight="true" outlineLevel="0" collapsed="false">
      <c r="A460" s="19" t="n">
        <f aca="false">A459+1</f>
        <v>455</v>
      </c>
      <c r="B460" s="18" t="n">
        <f aca="false">EDATE(B459,1)</f>
        <v>60115</v>
      </c>
      <c r="C460" s="19" t="n">
        <f aca="false">ROUNDUP(A460/12,0)</f>
        <v>38</v>
      </c>
      <c r="D460" s="26" t="n">
        <f aca="false">J459</f>
        <v>0</v>
      </c>
      <c r="E460" s="26" t="n">
        <f aca="false">IF(D460&lt;=0,0,ROUND(D460*Calculator!$B$7/12,2))</f>
        <v>0</v>
      </c>
      <c r="F460" s="26" t="n">
        <f aca="false">IF(D460&lt;=0,0,ROUND(MIN(D460,Calculator!$H$6-E460),2))</f>
        <v>0</v>
      </c>
      <c r="G460" s="26" t="n">
        <f aca="false">ROUND(IF(A460&gt;=Calculator!$E$11,Calculator!$E$6,0)+IF(A460=Calculator!$E$8,Calculator!$E$7,0)+IF(MONTH(B460)=Calculator!$E$10,Calculator!$E$9,0),2)</f>
        <v>200</v>
      </c>
      <c r="H460" s="26" t="n">
        <f aca="false">IF(D460&lt;=0,0,ROUND(MIN(D460-F460,G460),2))</f>
        <v>0</v>
      </c>
      <c r="I460" s="26" t="n">
        <f aca="false">ROUND(E460+F460+H460,2)</f>
        <v>0</v>
      </c>
      <c r="J460" s="26" t="n">
        <f aca="false">ROUND(MAX(0,D460-F460-H460),2)</f>
        <v>0</v>
      </c>
      <c r="K460" s="26" t="n">
        <f aca="false">ROUND(E460+K459,2)</f>
        <v>379328.97</v>
      </c>
    </row>
    <row r="461" customFormat="false" ht="15" hidden="false" customHeight="true" outlineLevel="0" collapsed="false">
      <c r="A461" s="19" t="n">
        <f aca="false">A460+1</f>
        <v>456</v>
      </c>
      <c r="B461" s="18" t="n">
        <f aca="false">EDATE(B460,1)</f>
        <v>60146</v>
      </c>
      <c r="C461" s="19" t="n">
        <f aca="false">ROUNDUP(A461/12,0)</f>
        <v>38</v>
      </c>
      <c r="D461" s="26" t="n">
        <f aca="false">J460</f>
        <v>0</v>
      </c>
      <c r="E461" s="26" t="n">
        <f aca="false">IF(D461&lt;=0,0,ROUND(D461*Calculator!$B$7/12,2))</f>
        <v>0</v>
      </c>
      <c r="F461" s="26" t="n">
        <f aca="false">IF(D461&lt;=0,0,ROUND(MIN(D461,Calculator!$H$6-E461),2))</f>
        <v>0</v>
      </c>
      <c r="G461" s="26" t="n">
        <f aca="false">ROUND(IF(A461&gt;=Calculator!$E$11,Calculator!$E$6,0)+IF(A461=Calculator!$E$8,Calculator!$E$7,0)+IF(MONTH(B461)=Calculator!$E$10,Calculator!$E$9,0),2)</f>
        <v>200</v>
      </c>
      <c r="H461" s="26" t="n">
        <f aca="false">IF(D461&lt;=0,0,ROUND(MIN(D461-F461,G461),2))</f>
        <v>0</v>
      </c>
      <c r="I461" s="26" t="n">
        <f aca="false">ROUND(E461+F461+H461,2)</f>
        <v>0</v>
      </c>
      <c r="J461" s="26" t="n">
        <f aca="false">ROUND(MAX(0,D461-F461-H461),2)</f>
        <v>0</v>
      </c>
      <c r="K461" s="26" t="n">
        <f aca="false">ROUND(E461+K460,2)</f>
        <v>379328.97</v>
      </c>
    </row>
    <row r="462" customFormat="false" ht="15" hidden="false" customHeight="true" outlineLevel="0" collapsed="false">
      <c r="A462" s="19" t="n">
        <f aca="false">A461+1</f>
        <v>457</v>
      </c>
      <c r="B462" s="18" t="n">
        <f aca="false">EDATE(B461,1)</f>
        <v>60176</v>
      </c>
      <c r="C462" s="19" t="n">
        <f aca="false">ROUNDUP(A462/12,0)</f>
        <v>39</v>
      </c>
      <c r="D462" s="26" t="n">
        <f aca="false">J461</f>
        <v>0</v>
      </c>
      <c r="E462" s="26" t="n">
        <f aca="false">IF(D462&lt;=0,0,ROUND(D462*Calculator!$B$7/12,2))</f>
        <v>0</v>
      </c>
      <c r="F462" s="26" t="n">
        <f aca="false">IF(D462&lt;=0,0,ROUND(MIN(D462,Calculator!$H$6-E462),2))</f>
        <v>0</v>
      </c>
      <c r="G462" s="26" t="n">
        <f aca="false">ROUND(IF(A462&gt;=Calculator!$E$11,Calculator!$E$6,0)+IF(A462=Calculator!$E$8,Calculator!$E$7,0)+IF(MONTH(B462)=Calculator!$E$10,Calculator!$E$9,0),2)</f>
        <v>200</v>
      </c>
      <c r="H462" s="26" t="n">
        <f aca="false">IF(D462&lt;=0,0,ROUND(MIN(D462-F462,G462),2))</f>
        <v>0</v>
      </c>
      <c r="I462" s="26" t="n">
        <f aca="false">ROUND(E462+F462+H462,2)</f>
        <v>0</v>
      </c>
      <c r="J462" s="26" t="n">
        <f aca="false">ROUND(MAX(0,D462-F462-H462),2)</f>
        <v>0</v>
      </c>
      <c r="K462" s="26" t="n">
        <f aca="false">ROUND(E462+K461,2)</f>
        <v>379328.97</v>
      </c>
    </row>
    <row r="463" customFormat="false" ht="15" hidden="false" customHeight="true" outlineLevel="0" collapsed="false">
      <c r="A463" s="19" t="n">
        <f aca="false">A462+1</f>
        <v>458</v>
      </c>
      <c r="B463" s="18" t="n">
        <f aca="false">EDATE(B462,1)</f>
        <v>60207</v>
      </c>
      <c r="C463" s="19" t="n">
        <f aca="false">ROUNDUP(A463/12,0)</f>
        <v>39</v>
      </c>
      <c r="D463" s="26" t="n">
        <f aca="false">J462</f>
        <v>0</v>
      </c>
      <c r="E463" s="26" t="n">
        <f aca="false">IF(D463&lt;=0,0,ROUND(D463*Calculator!$B$7/12,2))</f>
        <v>0</v>
      </c>
      <c r="F463" s="26" t="n">
        <f aca="false">IF(D463&lt;=0,0,ROUND(MIN(D463,Calculator!$H$6-E463),2))</f>
        <v>0</v>
      </c>
      <c r="G463" s="26" t="n">
        <f aca="false">ROUND(IF(A463&gt;=Calculator!$E$11,Calculator!$E$6,0)+IF(A463=Calculator!$E$8,Calculator!$E$7,0)+IF(MONTH(B463)=Calculator!$E$10,Calculator!$E$9,0),2)</f>
        <v>200</v>
      </c>
      <c r="H463" s="26" t="n">
        <f aca="false">IF(D463&lt;=0,0,ROUND(MIN(D463-F463,G463),2))</f>
        <v>0</v>
      </c>
      <c r="I463" s="26" t="n">
        <f aca="false">ROUND(E463+F463+H463,2)</f>
        <v>0</v>
      </c>
      <c r="J463" s="26" t="n">
        <f aca="false">ROUND(MAX(0,D463-F463-H463),2)</f>
        <v>0</v>
      </c>
      <c r="K463" s="26" t="n">
        <f aca="false">ROUND(E463+K462,2)</f>
        <v>379328.97</v>
      </c>
    </row>
    <row r="464" customFormat="false" ht="15" hidden="false" customHeight="true" outlineLevel="0" collapsed="false">
      <c r="A464" s="19" t="n">
        <f aca="false">A463+1</f>
        <v>459</v>
      </c>
      <c r="B464" s="18" t="n">
        <f aca="false">EDATE(B463,1)</f>
        <v>60237</v>
      </c>
      <c r="C464" s="19" t="n">
        <f aca="false">ROUNDUP(A464/12,0)</f>
        <v>39</v>
      </c>
      <c r="D464" s="26" t="n">
        <f aca="false">J463</f>
        <v>0</v>
      </c>
      <c r="E464" s="26" t="n">
        <f aca="false">IF(D464&lt;=0,0,ROUND(D464*Calculator!$B$7/12,2))</f>
        <v>0</v>
      </c>
      <c r="F464" s="26" t="n">
        <f aca="false">IF(D464&lt;=0,0,ROUND(MIN(D464,Calculator!$H$6-E464),2))</f>
        <v>0</v>
      </c>
      <c r="G464" s="26" t="n">
        <f aca="false">ROUND(IF(A464&gt;=Calculator!$E$11,Calculator!$E$6,0)+IF(A464=Calculator!$E$8,Calculator!$E$7,0)+IF(MONTH(B464)=Calculator!$E$10,Calculator!$E$9,0),2)</f>
        <v>1200</v>
      </c>
      <c r="H464" s="26" t="n">
        <f aca="false">IF(D464&lt;=0,0,ROUND(MIN(D464-F464,G464),2))</f>
        <v>0</v>
      </c>
      <c r="I464" s="26" t="n">
        <f aca="false">ROUND(E464+F464+H464,2)</f>
        <v>0</v>
      </c>
      <c r="J464" s="26" t="n">
        <f aca="false">ROUND(MAX(0,D464-F464-H464),2)</f>
        <v>0</v>
      </c>
      <c r="K464" s="26" t="n">
        <f aca="false">ROUND(E464+K463,2)</f>
        <v>379328.97</v>
      </c>
    </row>
    <row r="465" customFormat="false" ht="15" hidden="false" customHeight="true" outlineLevel="0" collapsed="false">
      <c r="A465" s="19" t="n">
        <f aca="false">A464+1</f>
        <v>460</v>
      </c>
      <c r="B465" s="18" t="n">
        <f aca="false">EDATE(B464,1)</f>
        <v>60268</v>
      </c>
      <c r="C465" s="19" t="n">
        <f aca="false">ROUNDUP(A465/12,0)</f>
        <v>39</v>
      </c>
      <c r="D465" s="26" t="n">
        <f aca="false">J464</f>
        <v>0</v>
      </c>
      <c r="E465" s="26" t="n">
        <f aca="false">IF(D465&lt;=0,0,ROUND(D465*Calculator!$B$7/12,2))</f>
        <v>0</v>
      </c>
      <c r="F465" s="26" t="n">
        <f aca="false">IF(D465&lt;=0,0,ROUND(MIN(D465,Calculator!$H$6-E465),2))</f>
        <v>0</v>
      </c>
      <c r="G465" s="26" t="n">
        <f aca="false">ROUND(IF(A465&gt;=Calculator!$E$11,Calculator!$E$6,0)+IF(A465=Calculator!$E$8,Calculator!$E$7,0)+IF(MONTH(B465)=Calculator!$E$10,Calculator!$E$9,0),2)</f>
        <v>200</v>
      </c>
      <c r="H465" s="26" t="n">
        <f aca="false">IF(D465&lt;=0,0,ROUND(MIN(D465-F465,G465),2))</f>
        <v>0</v>
      </c>
      <c r="I465" s="26" t="n">
        <f aca="false">ROUND(E465+F465+H465,2)</f>
        <v>0</v>
      </c>
      <c r="J465" s="26" t="n">
        <f aca="false">ROUND(MAX(0,D465-F465-H465),2)</f>
        <v>0</v>
      </c>
      <c r="K465" s="26" t="n">
        <f aca="false">ROUND(E465+K464,2)</f>
        <v>379328.97</v>
      </c>
    </row>
    <row r="466" customFormat="false" ht="15" hidden="false" customHeight="true" outlineLevel="0" collapsed="false">
      <c r="A466" s="19" t="n">
        <f aca="false">A465+1</f>
        <v>461</v>
      </c>
      <c r="B466" s="18" t="n">
        <f aca="false">EDATE(B465,1)</f>
        <v>60299</v>
      </c>
      <c r="C466" s="19" t="n">
        <f aca="false">ROUNDUP(A466/12,0)</f>
        <v>39</v>
      </c>
      <c r="D466" s="26" t="n">
        <f aca="false">J465</f>
        <v>0</v>
      </c>
      <c r="E466" s="26" t="n">
        <f aca="false">IF(D466&lt;=0,0,ROUND(D466*Calculator!$B$7/12,2))</f>
        <v>0</v>
      </c>
      <c r="F466" s="26" t="n">
        <f aca="false">IF(D466&lt;=0,0,ROUND(MIN(D466,Calculator!$H$6-E466),2))</f>
        <v>0</v>
      </c>
      <c r="G466" s="26" t="n">
        <f aca="false">ROUND(IF(A466&gt;=Calculator!$E$11,Calculator!$E$6,0)+IF(A466=Calculator!$E$8,Calculator!$E$7,0)+IF(MONTH(B466)=Calculator!$E$10,Calculator!$E$9,0),2)</f>
        <v>200</v>
      </c>
      <c r="H466" s="26" t="n">
        <f aca="false">IF(D466&lt;=0,0,ROUND(MIN(D466-F466,G466),2))</f>
        <v>0</v>
      </c>
      <c r="I466" s="26" t="n">
        <f aca="false">ROUND(E466+F466+H466,2)</f>
        <v>0</v>
      </c>
      <c r="J466" s="26" t="n">
        <f aca="false">ROUND(MAX(0,D466-F466-H466),2)</f>
        <v>0</v>
      </c>
      <c r="K466" s="26" t="n">
        <f aca="false">ROUND(E466+K465,2)</f>
        <v>379328.97</v>
      </c>
    </row>
    <row r="467" customFormat="false" ht="15" hidden="false" customHeight="true" outlineLevel="0" collapsed="false">
      <c r="A467" s="19" t="n">
        <f aca="false">A466+1</f>
        <v>462</v>
      </c>
      <c r="B467" s="18" t="n">
        <f aca="false">EDATE(B466,1)</f>
        <v>60327</v>
      </c>
      <c r="C467" s="19" t="n">
        <f aca="false">ROUNDUP(A467/12,0)</f>
        <v>39</v>
      </c>
      <c r="D467" s="26" t="n">
        <f aca="false">J466</f>
        <v>0</v>
      </c>
      <c r="E467" s="26" t="n">
        <f aca="false">IF(D467&lt;=0,0,ROUND(D467*Calculator!$B$7/12,2))</f>
        <v>0</v>
      </c>
      <c r="F467" s="26" t="n">
        <f aca="false">IF(D467&lt;=0,0,ROUND(MIN(D467,Calculator!$H$6-E467),2))</f>
        <v>0</v>
      </c>
      <c r="G467" s="26" t="n">
        <f aca="false">ROUND(IF(A467&gt;=Calculator!$E$11,Calculator!$E$6,0)+IF(A467=Calculator!$E$8,Calculator!$E$7,0)+IF(MONTH(B467)=Calculator!$E$10,Calculator!$E$9,0),2)</f>
        <v>200</v>
      </c>
      <c r="H467" s="26" t="n">
        <f aca="false">IF(D467&lt;=0,0,ROUND(MIN(D467-F467,G467),2))</f>
        <v>0</v>
      </c>
      <c r="I467" s="26" t="n">
        <f aca="false">ROUND(E467+F467+H467,2)</f>
        <v>0</v>
      </c>
      <c r="J467" s="26" t="n">
        <f aca="false">ROUND(MAX(0,D467-F467-H467),2)</f>
        <v>0</v>
      </c>
      <c r="K467" s="26" t="n">
        <f aca="false">ROUND(E467+K466,2)</f>
        <v>379328.97</v>
      </c>
    </row>
    <row r="468" customFormat="false" ht="15" hidden="false" customHeight="true" outlineLevel="0" collapsed="false">
      <c r="A468" s="19" t="n">
        <f aca="false">A467+1</f>
        <v>463</v>
      </c>
      <c r="B468" s="18" t="n">
        <f aca="false">EDATE(B467,1)</f>
        <v>60358</v>
      </c>
      <c r="C468" s="19" t="n">
        <f aca="false">ROUNDUP(A468/12,0)</f>
        <v>39</v>
      </c>
      <c r="D468" s="26" t="n">
        <f aca="false">J467</f>
        <v>0</v>
      </c>
      <c r="E468" s="26" t="n">
        <f aca="false">IF(D468&lt;=0,0,ROUND(D468*Calculator!$B$7/12,2))</f>
        <v>0</v>
      </c>
      <c r="F468" s="26" t="n">
        <f aca="false">IF(D468&lt;=0,0,ROUND(MIN(D468,Calculator!$H$6-E468),2))</f>
        <v>0</v>
      </c>
      <c r="G468" s="26" t="n">
        <f aca="false">ROUND(IF(A468&gt;=Calculator!$E$11,Calculator!$E$6,0)+IF(A468=Calculator!$E$8,Calculator!$E$7,0)+IF(MONTH(B468)=Calculator!$E$10,Calculator!$E$9,0),2)</f>
        <v>200</v>
      </c>
      <c r="H468" s="26" t="n">
        <f aca="false">IF(D468&lt;=0,0,ROUND(MIN(D468-F468,G468),2))</f>
        <v>0</v>
      </c>
      <c r="I468" s="26" t="n">
        <f aca="false">ROUND(E468+F468+H468,2)</f>
        <v>0</v>
      </c>
      <c r="J468" s="26" t="n">
        <f aca="false">ROUND(MAX(0,D468-F468-H468),2)</f>
        <v>0</v>
      </c>
      <c r="K468" s="26" t="n">
        <f aca="false">ROUND(E468+K467,2)</f>
        <v>379328.97</v>
      </c>
    </row>
    <row r="469" customFormat="false" ht="15" hidden="false" customHeight="true" outlineLevel="0" collapsed="false">
      <c r="A469" s="19" t="n">
        <f aca="false">A468+1</f>
        <v>464</v>
      </c>
      <c r="B469" s="18" t="n">
        <f aca="false">EDATE(B468,1)</f>
        <v>60388</v>
      </c>
      <c r="C469" s="19" t="n">
        <f aca="false">ROUNDUP(A469/12,0)</f>
        <v>39</v>
      </c>
      <c r="D469" s="26" t="n">
        <f aca="false">J468</f>
        <v>0</v>
      </c>
      <c r="E469" s="26" t="n">
        <f aca="false">IF(D469&lt;=0,0,ROUND(D469*Calculator!$B$7/12,2))</f>
        <v>0</v>
      </c>
      <c r="F469" s="26" t="n">
        <f aca="false">IF(D469&lt;=0,0,ROUND(MIN(D469,Calculator!$H$6-E469),2))</f>
        <v>0</v>
      </c>
      <c r="G469" s="26" t="n">
        <f aca="false">ROUND(IF(A469&gt;=Calculator!$E$11,Calculator!$E$6,0)+IF(A469=Calculator!$E$8,Calculator!$E$7,0)+IF(MONTH(B469)=Calculator!$E$10,Calculator!$E$9,0),2)</f>
        <v>200</v>
      </c>
      <c r="H469" s="26" t="n">
        <f aca="false">IF(D469&lt;=0,0,ROUND(MIN(D469-F469,G469),2))</f>
        <v>0</v>
      </c>
      <c r="I469" s="26" t="n">
        <f aca="false">ROUND(E469+F469+H469,2)</f>
        <v>0</v>
      </c>
      <c r="J469" s="26" t="n">
        <f aca="false">ROUND(MAX(0,D469-F469-H469),2)</f>
        <v>0</v>
      </c>
      <c r="K469" s="26" t="n">
        <f aca="false">ROUND(E469+K468,2)</f>
        <v>379328.97</v>
      </c>
    </row>
    <row r="470" customFormat="false" ht="15" hidden="false" customHeight="true" outlineLevel="0" collapsed="false">
      <c r="A470" s="19" t="n">
        <f aca="false">A469+1</f>
        <v>465</v>
      </c>
      <c r="B470" s="18" t="n">
        <f aca="false">EDATE(B469,1)</f>
        <v>60419</v>
      </c>
      <c r="C470" s="19" t="n">
        <f aca="false">ROUNDUP(A470/12,0)</f>
        <v>39</v>
      </c>
      <c r="D470" s="26" t="n">
        <f aca="false">J469</f>
        <v>0</v>
      </c>
      <c r="E470" s="26" t="n">
        <f aca="false">IF(D470&lt;=0,0,ROUND(D470*Calculator!$B$7/12,2))</f>
        <v>0</v>
      </c>
      <c r="F470" s="26" t="n">
        <f aca="false">IF(D470&lt;=0,0,ROUND(MIN(D470,Calculator!$H$6-E470),2))</f>
        <v>0</v>
      </c>
      <c r="G470" s="26" t="n">
        <f aca="false">ROUND(IF(A470&gt;=Calculator!$E$11,Calculator!$E$6,0)+IF(A470=Calculator!$E$8,Calculator!$E$7,0)+IF(MONTH(B470)=Calculator!$E$10,Calculator!$E$9,0),2)</f>
        <v>200</v>
      </c>
      <c r="H470" s="26" t="n">
        <f aca="false">IF(D470&lt;=0,0,ROUND(MIN(D470-F470,G470),2))</f>
        <v>0</v>
      </c>
      <c r="I470" s="26" t="n">
        <f aca="false">ROUND(E470+F470+H470,2)</f>
        <v>0</v>
      </c>
      <c r="J470" s="26" t="n">
        <f aca="false">ROUND(MAX(0,D470-F470-H470),2)</f>
        <v>0</v>
      </c>
      <c r="K470" s="26" t="n">
        <f aca="false">ROUND(E470+K469,2)</f>
        <v>379328.97</v>
      </c>
    </row>
    <row r="471" customFormat="false" ht="15" hidden="false" customHeight="true" outlineLevel="0" collapsed="false">
      <c r="A471" s="19" t="n">
        <f aca="false">A470+1</f>
        <v>466</v>
      </c>
      <c r="B471" s="18" t="n">
        <f aca="false">EDATE(B470,1)</f>
        <v>60449</v>
      </c>
      <c r="C471" s="19" t="n">
        <f aca="false">ROUNDUP(A471/12,0)</f>
        <v>39</v>
      </c>
      <c r="D471" s="26" t="n">
        <f aca="false">J470</f>
        <v>0</v>
      </c>
      <c r="E471" s="26" t="n">
        <f aca="false">IF(D471&lt;=0,0,ROUND(D471*Calculator!$B$7/12,2))</f>
        <v>0</v>
      </c>
      <c r="F471" s="26" t="n">
        <f aca="false">IF(D471&lt;=0,0,ROUND(MIN(D471,Calculator!$H$6-E471),2))</f>
        <v>0</v>
      </c>
      <c r="G471" s="26" t="n">
        <f aca="false">ROUND(IF(A471&gt;=Calculator!$E$11,Calculator!$E$6,0)+IF(A471=Calculator!$E$8,Calculator!$E$7,0)+IF(MONTH(B471)=Calculator!$E$10,Calculator!$E$9,0),2)</f>
        <v>200</v>
      </c>
      <c r="H471" s="26" t="n">
        <f aca="false">IF(D471&lt;=0,0,ROUND(MIN(D471-F471,G471),2))</f>
        <v>0</v>
      </c>
      <c r="I471" s="26" t="n">
        <f aca="false">ROUND(E471+F471+H471,2)</f>
        <v>0</v>
      </c>
      <c r="J471" s="26" t="n">
        <f aca="false">ROUND(MAX(0,D471-F471-H471),2)</f>
        <v>0</v>
      </c>
      <c r="K471" s="26" t="n">
        <f aca="false">ROUND(E471+K470,2)</f>
        <v>379328.97</v>
      </c>
    </row>
    <row r="472" customFormat="false" ht="15" hidden="false" customHeight="true" outlineLevel="0" collapsed="false">
      <c r="A472" s="19" t="n">
        <f aca="false">A471+1</f>
        <v>467</v>
      </c>
      <c r="B472" s="18" t="n">
        <f aca="false">EDATE(B471,1)</f>
        <v>60480</v>
      </c>
      <c r="C472" s="19" t="n">
        <f aca="false">ROUNDUP(A472/12,0)</f>
        <v>39</v>
      </c>
      <c r="D472" s="26" t="n">
        <f aca="false">J471</f>
        <v>0</v>
      </c>
      <c r="E472" s="26" t="n">
        <f aca="false">IF(D472&lt;=0,0,ROUND(D472*Calculator!$B$7/12,2))</f>
        <v>0</v>
      </c>
      <c r="F472" s="26" t="n">
        <f aca="false">IF(D472&lt;=0,0,ROUND(MIN(D472,Calculator!$H$6-E472),2))</f>
        <v>0</v>
      </c>
      <c r="G472" s="26" t="n">
        <f aca="false">ROUND(IF(A472&gt;=Calculator!$E$11,Calculator!$E$6,0)+IF(A472=Calculator!$E$8,Calculator!$E$7,0)+IF(MONTH(B472)=Calculator!$E$10,Calculator!$E$9,0),2)</f>
        <v>200</v>
      </c>
      <c r="H472" s="26" t="n">
        <f aca="false">IF(D472&lt;=0,0,ROUND(MIN(D472-F472,G472),2))</f>
        <v>0</v>
      </c>
      <c r="I472" s="26" t="n">
        <f aca="false">ROUND(E472+F472+H472,2)</f>
        <v>0</v>
      </c>
      <c r="J472" s="26" t="n">
        <f aca="false">ROUND(MAX(0,D472-F472-H472),2)</f>
        <v>0</v>
      </c>
      <c r="K472" s="26" t="n">
        <f aca="false">ROUND(E472+K471,2)</f>
        <v>379328.97</v>
      </c>
    </row>
    <row r="473" customFormat="false" ht="15" hidden="false" customHeight="true" outlineLevel="0" collapsed="false">
      <c r="A473" s="19" t="n">
        <f aca="false">A472+1</f>
        <v>468</v>
      </c>
      <c r="B473" s="18" t="n">
        <f aca="false">EDATE(B472,1)</f>
        <v>60511</v>
      </c>
      <c r="C473" s="19" t="n">
        <f aca="false">ROUNDUP(A473/12,0)</f>
        <v>39</v>
      </c>
      <c r="D473" s="26" t="n">
        <f aca="false">J472</f>
        <v>0</v>
      </c>
      <c r="E473" s="26" t="n">
        <f aca="false">IF(D473&lt;=0,0,ROUND(D473*Calculator!$B$7/12,2))</f>
        <v>0</v>
      </c>
      <c r="F473" s="26" t="n">
        <f aca="false">IF(D473&lt;=0,0,ROUND(MIN(D473,Calculator!$H$6-E473),2))</f>
        <v>0</v>
      </c>
      <c r="G473" s="26" t="n">
        <f aca="false">ROUND(IF(A473&gt;=Calculator!$E$11,Calculator!$E$6,0)+IF(A473=Calculator!$E$8,Calculator!$E$7,0)+IF(MONTH(B473)=Calculator!$E$10,Calculator!$E$9,0),2)</f>
        <v>200</v>
      </c>
      <c r="H473" s="26" t="n">
        <f aca="false">IF(D473&lt;=0,0,ROUND(MIN(D473-F473,G473),2))</f>
        <v>0</v>
      </c>
      <c r="I473" s="26" t="n">
        <f aca="false">ROUND(E473+F473+H473,2)</f>
        <v>0</v>
      </c>
      <c r="J473" s="26" t="n">
        <f aca="false">ROUND(MAX(0,D473-F473-H473),2)</f>
        <v>0</v>
      </c>
      <c r="K473" s="26" t="n">
        <f aca="false">ROUND(E473+K472,2)</f>
        <v>379328.97</v>
      </c>
    </row>
    <row r="474" customFormat="false" ht="15" hidden="false" customHeight="true" outlineLevel="0" collapsed="false">
      <c r="A474" s="19" t="n">
        <f aca="false">A473+1</f>
        <v>469</v>
      </c>
      <c r="B474" s="18" t="n">
        <f aca="false">EDATE(B473,1)</f>
        <v>60541</v>
      </c>
      <c r="C474" s="19" t="n">
        <f aca="false">ROUNDUP(A474/12,0)</f>
        <v>40</v>
      </c>
      <c r="D474" s="26" t="n">
        <f aca="false">J473</f>
        <v>0</v>
      </c>
      <c r="E474" s="26" t="n">
        <f aca="false">IF(D474&lt;=0,0,ROUND(D474*Calculator!$B$7/12,2))</f>
        <v>0</v>
      </c>
      <c r="F474" s="26" t="n">
        <f aca="false">IF(D474&lt;=0,0,ROUND(MIN(D474,Calculator!$H$6-E474),2))</f>
        <v>0</v>
      </c>
      <c r="G474" s="26" t="n">
        <f aca="false">ROUND(IF(A474&gt;=Calculator!$E$11,Calculator!$E$6,0)+IF(A474=Calculator!$E$8,Calculator!$E$7,0)+IF(MONTH(B474)=Calculator!$E$10,Calculator!$E$9,0),2)</f>
        <v>200</v>
      </c>
      <c r="H474" s="26" t="n">
        <f aca="false">IF(D474&lt;=0,0,ROUND(MIN(D474-F474,G474),2))</f>
        <v>0</v>
      </c>
      <c r="I474" s="26" t="n">
        <f aca="false">ROUND(E474+F474+H474,2)</f>
        <v>0</v>
      </c>
      <c r="J474" s="26" t="n">
        <f aca="false">ROUND(MAX(0,D474-F474-H474),2)</f>
        <v>0</v>
      </c>
      <c r="K474" s="26" t="n">
        <f aca="false">ROUND(E474+K473,2)</f>
        <v>379328.97</v>
      </c>
    </row>
    <row r="475" customFormat="false" ht="15" hidden="false" customHeight="true" outlineLevel="0" collapsed="false">
      <c r="A475" s="19" t="n">
        <f aca="false">A474+1</f>
        <v>470</v>
      </c>
      <c r="B475" s="18" t="n">
        <f aca="false">EDATE(B474,1)</f>
        <v>60572</v>
      </c>
      <c r="C475" s="19" t="n">
        <f aca="false">ROUNDUP(A475/12,0)</f>
        <v>40</v>
      </c>
      <c r="D475" s="26" t="n">
        <f aca="false">J474</f>
        <v>0</v>
      </c>
      <c r="E475" s="26" t="n">
        <f aca="false">IF(D475&lt;=0,0,ROUND(D475*Calculator!$B$7/12,2))</f>
        <v>0</v>
      </c>
      <c r="F475" s="26" t="n">
        <f aca="false">IF(D475&lt;=0,0,ROUND(MIN(D475,Calculator!$H$6-E475),2))</f>
        <v>0</v>
      </c>
      <c r="G475" s="26" t="n">
        <f aca="false">ROUND(IF(A475&gt;=Calculator!$E$11,Calculator!$E$6,0)+IF(A475=Calculator!$E$8,Calculator!$E$7,0)+IF(MONTH(B475)=Calculator!$E$10,Calculator!$E$9,0),2)</f>
        <v>200</v>
      </c>
      <c r="H475" s="26" t="n">
        <f aca="false">IF(D475&lt;=0,0,ROUND(MIN(D475-F475,G475),2))</f>
        <v>0</v>
      </c>
      <c r="I475" s="26" t="n">
        <f aca="false">ROUND(E475+F475+H475,2)</f>
        <v>0</v>
      </c>
      <c r="J475" s="26" t="n">
        <f aca="false">ROUND(MAX(0,D475-F475-H475),2)</f>
        <v>0</v>
      </c>
      <c r="K475" s="26" t="n">
        <f aca="false">ROUND(E475+K474,2)</f>
        <v>379328.97</v>
      </c>
    </row>
    <row r="476" customFormat="false" ht="15" hidden="false" customHeight="true" outlineLevel="0" collapsed="false">
      <c r="A476" s="19" t="n">
        <f aca="false">A475+1</f>
        <v>471</v>
      </c>
      <c r="B476" s="18" t="n">
        <f aca="false">EDATE(B475,1)</f>
        <v>60602</v>
      </c>
      <c r="C476" s="19" t="n">
        <f aca="false">ROUNDUP(A476/12,0)</f>
        <v>40</v>
      </c>
      <c r="D476" s="26" t="n">
        <f aca="false">J475</f>
        <v>0</v>
      </c>
      <c r="E476" s="26" t="n">
        <f aca="false">IF(D476&lt;=0,0,ROUND(D476*Calculator!$B$7/12,2))</f>
        <v>0</v>
      </c>
      <c r="F476" s="26" t="n">
        <f aca="false">IF(D476&lt;=0,0,ROUND(MIN(D476,Calculator!$H$6-E476),2))</f>
        <v>0</v>
      </c>
      <c r="G476" s="26" t="n">
        <f aca="false">ROUND(IF(A476&gt;=Calculator!$E$11,Calculator!$E$6,0)+IF(A476=Calculator!$E$8,Calculator!$E$7,0)+IF(MONTH(B476)=Calculator!$E$10,Calculator!$E$9,0),2)</f>
        <v>1200</v>
      </c>
      <c r="H476" s="26" t="n">
        <f aca="false">IF(D476&lt;=0,0,ROUND(MIN(D476-F476,G476),2))</f>
        <v>0</v>
      </c>
      <c r="I476" s="26" t="n">
        <f aca="false">ROUND(E476+F476+H476,2)</f>
        <v>0</v>
      </c>
      <c r="J476" s="26" t="n">
        <f aca="false">ROUND(MAX(0,D476-F476-H476),2)</f>
        <v>0</v>
      </c>
      <c r="K476" s="26" t="n">
        <f aca="false">ROUND(E476+K475,2)</f>
        <v>379328.97</v>
      </c>
    </row>
    <row r="477" customFormat="false" ht="15" hidden="false" customHeight="true" outlineLevel="0" collapsed="false">
      <c r="A477" s="19" t="n">
        <f aca="false">A476+1</f>
        <v>472</v>
      </c>
      <c r="B477" s="18" t="n">
        <f aca="false">EDATE(B476,1)</f>
        <v>60633</v>
      </c>
      <c r="C477" s="19" t="n">
        <f aca="false">ROUNDUP(A477/12,0)</f>
        <v>40</v>
      </c>
      <c r="D477" s="26" t="n">
        <f aca="false">J476</f>
        <v>0</v>
      </c>
      <c r="E477" s="26" t="n">
        <f aca="false">IF(D477&lt;=0,0,ROUND(D477*Calculator!$B$7/12,2))</f>
        <v>0</v>
      </c>
      <c r="F477" s="26" t="n">
        <f aca="false">IF(D477&lt;=0,0,ROUND(MIN(D477,Calculator!$H$6-E477),2))</f>
        <v>0</v>
      </c>
      <c r="G477" s="26" t="n">
        <f aca="false">ROUND(IF(A477&gt;=Calculator!$E$11,Calculator!$E$6,0)+IF(A477=Calculator!$E$8,Calculator!$E$7,0)+IF(MONTH(B477)=Calculator!$E$10,Calculator!$E$9,0),2)</f>
        <v>200</v>
      </c>
      <c r="H477" s="26" t="n">
        <f aca="false">IF(D477&lt;=0,0,ROUND(MIN(D477-F477,G477),2))</f>
        <v>0</v>
      </c>
      <c r="I477" s="26" t="n">
        <f aca="false">ROUND(E477+F477+H477,2)</f>
        <v>0</v>
      </c>
      <c r="J477" s="26" t="n">
        <f aca="false">ROUND(MAX(0,D477-F477-H477),2)</f>
        <v>0</v>
      </c>
      <c r="K477" s="26" t="n">
        <f aca="false">ROUND(E477+K476,2)</f>
        <v>379328.97</v>
      </c>
    </row>
    <row r="478" customFormat="false" ht="15" hidden="false" customHeight="true" outlineLevel="0" collapsed="false">
      <c r="A478" s="19" t="n">
        <f aca="false">A477+1</f>
        <v>473</v>
      </c>
      <c r="B478" s="18" t="n">
        <f aca="false">EDATE(B477,1)</f>
        <v>60664</v>
      </c>
      <c r="C478" s="19" t="n">
        <f aca="false">ROUNDUP(A478/12,0)</f>
        <v>40</v>
      </c>
      <c r="D478" s="26" t="n">
        <f aca="false">J477</f>
        <v>0</v>
      </c>
      <c r="E478" s="26" t="n">
        <f aca="false">IF(D478&lt;=0,0,ROUND(D478*Calculator!$B$7/12,2))</f>
        <v>0</v>
      </c>
      <c r="F478" s="26" t="n">
        <f aca="false">IF(D478&lt;=0,0,ROUND(MIN(D478,Calculator!$H$6-E478),2))</f>
        <v>0</v>
      </c>
      <c r="G478" s="26" t="n">
        <f aca="false">ROUND(IF(A478&gt;=Calculator!$E$11,Calculator!$E$6,0)+IF(A478=Calculator!$E$8,Calculator!$E$7,0)+IF(MONTH(B478)=Calculator!$E$10,Calculator!$E$9,0),2)</f>
        <v>200</v>
      </c>
      <c r="H478" s="26" t="n">
        <f aca="false">IF(D478&lt;=0,0,ROUND(MIN(D478-F478,G478),2))</f>
        <v>0</v>
      </c>
      <c r="I478" s="26" t="n">
        <f aca="false">ROUND(E478+F478+H478,2)</f>
        <v>0</v>
      </c>
      <c r="J478" s="26" t="n">
        <f aca="false">ROUND(MAX(0,D478-F478-H478),2)</f>
        <v>0</v>
      </c>
      <c r="K478" s="26" t="n">
        <f aca="false">ROUND(E478+K477,2)</f>
        <v>379328.97</v>
      </c>
    </row>
    <row r="479" customFormat="false" ht="15" hidden="false" customHeight="true" outlineLevel="0" collapsed="false">
      <c r="A479" s="19" t="n">
        <f aca="false">A478+1</f>
        <v>474</v>
      </c>
      <c r="B479" s="18" t="n">
        <f aca="false">EDATE(B478,1)</f>
        <v>60692</v>
      </c>
      <c r="C479" s="19" t="n">
        <f aca="false">ROUNDUP(A479/12,0)</f>
        <v>40</v>
      </c>
      <c r="D479" s="26" t="n">
        <f aca="false">J478</f>
        <v>0</v>
      </c>
      <c r="E479" s="26" t="n">
        <f aca="false">IF(D479&lt;=0,0,ROUND(D479*Calculator!$B$7/12,2))</f>
        <v>0</v>
      </c>
      <c r="F479" s="26" t="n">
        <f aca="false">IF(D479&lt;=0,0,ROUND(MIN(D479,Calculator!$H$6-E479),2))</f>
        <v>0</v>
      </c>
      <c r="G479" s="26" t="n">
        <f aca="false">ROUND(IF(A479&gt;=Calculator!$E$11,Calculator!$E$6,0)+IF(A479=Calculator!$E$8,Calculator!$E$7,0)+IF(MONTH(B479)=Calculator!$E$10,Calculator!$E$9,0),2)</f>
        <v>200</v>
      </c>
      <c r="H479" s="26" t="n">
        <f aca="false">IF(D479&lt;=0,0,ROUND(MIN(D479-F479,G479),2))</f>
        <v>0</v>
      </c>
      <c r="I479" s="26" t="n">
        <f aca="false">ROUND(E479+F479+H479,2)</f>
        <v>0</v>
      </c>
      <c r="J479" s="26" t="n">
        <f aca="false">ROUND(MAX(0,D479-F479-H479),2)</f>
        <v>0</v>
      </c>
      <c r="K479" s="26" t="n">
        <f aca="false">ROUND(E479+K478,2)</f>
        <v>379328.97</v>
      </c>
    </row>
    <row r="480" customFormat="false" ht="15" hidden="false" customHeight="true" outlineLevel="0" collapsed="false">
      <c r="A480" s="19" t="n">
        <f aca="false">A479+1</f>
        <v>475</v>
      </c>
      <c r="B480" s="18" t="n">
        <f aca="false">EDATE(B479,1)</f>
        <v>60723</v>
      </c>
      <c r="C480" s="19" t="n">
        <f aca="false">ROUNDUP(A480/12,0)</f>
        <v>40</v>
      </c>
      <c r="D480" s="26" t="n">
        <f aca="false">J479</f>
        <v>0</v>
      </c>
      <c r="E480" s="26" t="n">
        <f aca="false">IF(D480&lt;=0,0,ROUND(D480*Calculator!$B$7/12,2))</f>
        <v>0</v>
      </c>
      <c r="F480" s="26" t="n">
        <f aca="false">IF(D480&lt;=0,0,ROUND(MIN(D480,Calculator!$H$6-E480),2))</f>
        <v>0</v>
      </c>
      <c r="G480" s="26" t="n">
        <f aca="false">ROUND(IF(A480&gt;=Calculator!$E$11,Calculator!$E$6,0)+IF(A480=Calculator!$E$8,Calculator!$E$7,0)+IF(MONTH(B480)=Calculator!$E$10,Calculator!$E$9,0),2)</f>
        <v>200</v>
      </c>
      <c r="H480" s="26" t="n">
        <f aca="false">IF(D480&lt;=0,0,ROUND(MIN(D480-F480,G480),2))</f>
        <v>0</v>
      </c>
      <c r="I480" s="26" t="n">
        <f aca="false">ROUND(E480+F480+H480,2)</f>
        <v>0</v>
      </c>
      <c r="J480" s="26" t="n">
        <f aca="false">ROUND(MAX(0,D480-F480-H480),2)</f>
        <v>0</v>
      </c>
      <c r="K480" s="26" t="n">
        <f aca="false">ROUND(E480+K479,2)</f>
        <v>379328.97</v>
      </c>
    </row>
    <row r="481" customFormat="false" ht="15" hidden="false" customHeight="true" outlineLevel="0" collapsed="false">
      <c r="A481" s="19" t="n">
        <f aca="false">A480+1</f>
        <v>476</v>
      </c>
      <c r="B481" s="18" t="n">
        <f aca="false">EDATE(B480,1)</f>
        <v>60753</v>
      </c>
      <c r="C481" s="19" t="n">
        <f aca="false">ROUNDUP(A481/12,0)</f>
        <v>40</v>
      </c>
      <c r="D481" s="26" t="n">
        <f aca="false">J480</f>
        <v>0</v>
      </c>
      <c r="E481" s="26" t="n">
        <f aca="false">IF(D481&lt;=0,0,ROUND(D481*Calculator!$B$7/12,2))</f>
        <v>0</v>
      </c>
      <c r="F481" s="26" t="n">
        <f aca="false">IF(D481&lt;=0,0,ROUND(MIN(D481,Calculator!$H$6-E481),2))</f>
        <v>0</v>
      </c>
      <c r="G481" s="26" t="n">
        <f aca="false">ROUND(IF(A481&gt;=Calculator!$E$11,Calculator!$E$6,0)+IF(A481=Calculator!$E$8,Calculator!$E$7,0)+IF(MONTH(B481)=Calculator!$E$10,Calculator!$E$9,0),2)</f>
        <v>200</v>
      </c>
      <c r="H481" s="26" t="n">
        <f aca="false">IF(D481&lt;=0,0,ROUND(MIN(D481-F481,G481),2))</f>
        <v>0</v>
      </c>
      <c r="I481" s="26" t="n">
        <f aca="false">ROUND(E481+F481+H481,2)</f>
        <v>0</v>
      </c>
      <c r="J481" s="26" t="n">
        <f aca="false">ROUND(MAX(0,D481-F481-H481),2)</f>
        <v>0</v>
      </c>
      <c r="K481" s="26" t="n">
        <f aca="false">ROUND(E481+K480,2)</f>
        <v>379328.97</v>
      </c>
    </row>
    <row r="482" customFormat="false" ht="15" hidden="false" customHeight="true" outlineLevel="0" collapsed="false">
      <c r="A482" s="19" t="n">
        <f aca="false">A481+1</f>
        <v>477</v>
      </c>
      <c r="B482" s="18" t="n">
        <f aca="false">EDATE(B481,1)</f>
        <v>60784</v>
      </c>
      <c r="C482" s="19" t="n">
        <f aca="false">ROUNDUP(A482/12,0)</f>
        <v>40</v>
      </c>
      <c r="D482" s="26" t="n">
        <f aca="false">J481</f>
        <v>0</v>
      </c>
      <c r="E482" s="26" t="n">
        <f aca="false">IF(D482&lt;=0,0,ROUND(D482*Calculator!$B$7/12,2))</f>
        <v>0</v>
      </c>
      <c r="F482" s="26" t="n">
        <f aca="false">IF(D482&lt;=0,0,ROUND(MIN(D482,Calculator!$H$6-E482),2))</f>
        <v>0</v>
      </c>
      <c r="G482" s="26" t="n">
        <f aca="false">ROUND(IF(A482&gt;=Calculator!$E$11,Calculator!$E$6,0)+IF(A482=Calculator!$E$8,Calculator!$E$7,0)+IF(MONTH(B482)=Calculator!$E$10,Calculator!$E$9,0),2)</f>
        <v>200</v>
      </c>
      <c r="H482" s="26" t="n">
        <f aca="false">IF(D482&lt;=0,0,ROUND(MIN(D482-F482,G482),2))</f>
        <v>0</v>
      </c>
      <c r="I482" s="26" t="n">
        <f aca="false">ROUND(E482+F482+H482,2)</f>
        <v>0</v>
      </c>
      <c r="J482" s="26" t="n">
        <f aca="false">ROUND(MAX(0,D482-F482-H482),2)</f>
        <v>0</v>
      </c>
      <c r="K482" s="26" t="n">
        <f aca="false">ROUND(E482+K481,2)</f>
        <v>379328.97</v>
      </c>
    </row>
    <row r="483" customFormat="false" ht="15" hidden="false" customHeight="true" outlineLevel="0" collapsed="false">
      <c r="A483" s="19" t="n">
        <f aca="false">A482+1</f>
        <v>478</v>
      </c>
      <c r="B483" s="18" t="n">
        <f aca="false">EDATE(B482,1)</f>
        <v>60814</v>
      </c>
      <c r="C483" s="19" t="n">
        <f aca="false">ROUNDUP(A483/12,0)</f>
        <v>40</v>
      </c>
      <c r="D483" s="26" t="n">
        <f aca="false">J482</f>
        <v>0</v>
      </c>
      <c r="E483" s="26" t="n">
        <f aca="false">IF(D483&lt;=0,0,ROUND(D483*Calculator!$B$7/12,2))</f>
        <v>0</v>
      </c>
      <c r="F483" s="26" t="n">
        <f aca="false">IF(D483&lt;=0,0,ROUND(MIN(D483,Calculator!$H$6-E483),2))</f>
        <v>0</v>
      </c>
      <c r="G483" s="26" t="n">
        <f aca="false">ROUND(IF(A483&gt;=Calculator!$E$11,Calculator!$E$6,0)+IF(A483=Calculator!$E$8,Calculator!$E$7,0)+IF(MONTH(B483)=Calculator!$E$10,Calculator!$E$9,0),2)</f>
        <v>200</v>
      </c>
      <c r="H483" s="26" t="n">
        <f aca="false">IF(D483&lt;=0,0,ROUND(MIN(D483-F483,G483),2))</f>
        <v>0</v>
      </c>
      <c r="I483" s="26" t="n">
        <f aca="false">ROUND(E483+F483+H483,2)</f>
        <v>0</v>
      </c>
      <c r="J483" s="26" t="n">
        <f aca="false">ROUND(MAX(0,D483-F483-H483),2)</f>
        <v>0</v>
      </c>
      <c r="K483" s="26" t="n">
        <f aca="false">ROUND(E483+K482,2)</f>
        <v>379328.97</v>
      </c>
    </row>
    <row r="484" customFormat="false" ht="15" hidden="false" customHeight="true" outlineLevel="0" collapsed="false">
      <c r="A484" s="19" t="n">
        <f aca="false">A483+1</f>
        <v>479</v>
      </c>
      <c r="B484" s="18" t="n">
        <f aca="false">EDATE(B483,1)</f>
        <v>60845</v>
      </c>
      <c r="C484" s="19" t="n">
        <f aca="false">ROUNDUP(A484/12,0)</f>
        <v>40</v>
      </c>
      <c r="D484" s="26" t="n">
        <f aca="false">J483</f>
        <v>0</v>
      </c>
      <c r="E484" s="26" t="n">
        <f aca="false">IF(D484&lt;=0,0,ROUND(D484*Calculator!$B$7/12,2))</f>
        <v>0</v>
      </c>
      <c r="F484" s="26" t="n">
        <f aca="false">IF(D484&lt;=0,0,ROUND(MIN(D484,Calculator!$H$6-E484),2))</f>
        <v>0</v>
      </c>
      <c r="G484" s="26" t="n">
        <f aca="false">ROUND(IF(A484&gt;=Calculator!$E$11,Calculator!$E$6,0)+IF(A484=Calculator!$E$8,Calculator!$E$7,0)+IF(MONTH(B484)=Calculator!$E$10,Calculator!$E$9,0),2)</f>
        <v>200</v>
      </c>
      <c r="H484" s="26" t="n">
        <f aca="false">IF(D484&lt;=0,0,ROUND(MIN(D484-F484,G484),2))</f>
        <v>0</v>
      </c>
      <c r="I484" s="26" t="n">
        <f aca="false">ROUND(E484+F484+H484,2)</f>
        <v>0</v>
      </c>
      <c r="J484" s="26" t="n">
        <f aca="false">ROUND(MAX(0,D484-F484-H484),2)</f>
        <v>0</v>
      </c>
      <c r="K484" s="26" t="n">
        <f aca="false">ROUND(E484+K483,2)</f>
        <v>379328.97</v>
      </c>
    </row>
    <row r="485" customFormat="false" ht="15" hidden="false" customHeight="true" outlineLevel="0" collapsed="false">
      <c r="A485" s="19" t="n">
        <f aca="false">A484+1</f>
        <v>480</v>
      </c>
      <c r="B485" s="18" t="n">
        <f aca="false">EDATE(B484,1)</f>
        <v>60876</v>
      </c>
      <c r="C485" s="19" t="n">
        <f aca="false">ROUNDUP(A485/12,0)</f>
        <v>40</v>
      </c>
      <c r="D485" s="26" t="n">
        <f aca="false">J484</f>
        <v>0</v>
      </c>
      <c r="E485" s="26" t="n">
        <f aca="false">IF(D485&lt;=0,0,ROUND(D485*Calculator!$B$7/12,2))</f>
        <v>0</v>
      </c>
      <c r="F485" s="26" t="n">
        <f aca="false">IF(D485&lt;=0,0,ROUND(MIN(D485,Calculator!$H$6-E485),2))</f>
        <v>0</v>
      </c>
      <c r="G485" s="26" t="n">
        <f aca="false">ROUND(IF(A485&gt;=Calculator!$E$11,Calculator!$E$6,0)+IF(A485=Calculator!$E$8,Calculator!$E$7,0)+IF(MONTH(B485)=Calculator!$E$10,Calculator!$E$9,0),2)</f>
        <v>200</v>
      </c>
      <c r="H485" s="26" t="n">
        <f aca="false">IF(D485&lt;=0,0,ROUND(MIN(D485-F485,G485),2))</f>
        <v>0</v>
      </c>
      <c r="I485" s="26" t="n">
        <f aca="false">ROUND(E485+F485+H485,2)</f>
        <v>0</v>
      </c>
      <c r="J485" s="26" t="n">
        <f aca="false">ROUND(MAX(0,D485-F485-H485),2)</f>
        <v>0</v>
      </c>
      <c r="K485" s="26" t="n">
        <f aca="false">ROUND(E485+K484,2)</f>
        <v>379328.97</v>
      </c>
    </row>
  </sheetData>
  <mergeCells count="3">
    <mergeCell ref="A1:K1"/>
    <mergeCell ref="A2:K2"/>
    <mergeCell ref="A3:K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11"/>
    <col collapsed="false" customWidth="true" hidden="false" outlineLevel="0" max="4" min="4" style="1" width="19"/>
    <col collapsed="false" customWidth="true" hidden="false" outlineLevel="0" max="5" min="5" style="1" width="12"/>
    <col collapsed="false" customWidth="true" hidden="false" outlineLevel="0" max="7" min="6" style="1" width="15"/>
    <col collapsed="false" customWidth="true" hidden="false" outlineLevel="0" max="8" min="8" style="1" width="16"/>
    <col collapsed="false" customWidth="true" hidden="false" outlineLevel="0" max="9" min="9" style="1" width="21"/>
  </cols>
  <sheetData>
    <row r="1" customFormat="false" ht="25.5" hidden="false" customHeight="true" outlineLevel="0" collapsed="false">
      <c r="A1" s="2" t="s">
        <v>49</v>
      </c>
      <c r="B1" s="2"/>
      <c r="C1" s="2"/>
      <c r="D1" s="2"/>
      <c r="E1" s="2"/>
      <c r="F1" s="2"/>
      <c r="G1" s="2"/>
      <c r="H1" s="2"/>
      <c r="I1" s="2"/>
    </row>
    <row r="2" customFormat="false" ht="15" hidden="false" customHeight="true" outlineLevel="0" collapsed="false">
      <c r="A2" s="3" t="s">
        <v>50</v>
      </c>
      <c r="B2" s="3"/>
      <c r="C2" s="3"/>
      <c r="D2" s="3"/>
      <c r="E2" s="3"/>
      <c r="F2" s="3"/>
      <c r="G2" s="3"/>
      <c r="H2" s="3"/>
      <c r="I2" s="3"/>
    </row>
    <row r="3" customFormat="false" ht="15" hidden="false" customHeight="true" outlineLevel="0" collapsed="false">
      <c r="A3" s="23" t="s">
        <v>36</v>
      </c>
      <c r="B3" s="23"/>
      <c r="C3" s="23"/>
      <c r="D3" s="23"/>
      <c r="E3" s="23"/>
      <c r="F3" s="23"/>
      <c r="G3" s="23"/>
      <c r="H3" s="23"/>
      <c r="I3" s="23"/>
    </row>
    <row r="5" customFormat="false" ht="15" hidden="false" customHeight="true" outlineLevel="0" collapsed="false">
      <c r="A5" s="24" t="s">
        <v>37</v>
      </c>
      <c r="B5" s="25" t="s">
        <v>38</v>
      </c>
      <c r="C5" s="25" t="s">
        <v>39</v>
      </c>
      <c r="D5" s="25" t="s">
        <v>40</v>
      </c>
      <c r="E5" s="25" t="s">
        <v>41</v>
      </c>
      <c r="F5" s="25" t="s">
        <v>51</v>
      </c>
      <c r="G5" s="25" t="s">
        <v>45</v>
      </c>
      <c r="H5" s="25" t="s">
        <v>46</v>
      </c>
      <c r="I5" s="25" t="s">
        <v>47</v>
      </c>
    </row>
    <row r="6" customFormat="false" ht="15" hidden="false" customHeight="true" outlineLevel="0" collapsed="false">
      <c r="A6" s="19" t="s">
        <v>48</v>
      </c>
      <c r="B6" s="18" t="n">
        <f aca="false">Calculator!$B$9</f>
        <v>46296</v>
      </c>
      <c r="C6" s="19" t="n">
        <f aca="false">ROUNDUP(A6/12,0)</f>
        <v>1</v>
      </c>
      <c r="D6" s="26" t="n">
        <f aca="false">Calculator!$B$6</f>
        <v>420000</v>
      </c>
      <c r="E6" s="26" t="n">
        <f aca="false">IF(D6&lt;=0,0,ROUND(D6*Calculator!$B$7/12,2))</f>
        <v>2275</v>
      </c>
      <c r="F6" s="26" t="n">
        <f aca="false">IF(D6&lt;=0,0,ROUND(MIN(D6,Calculator!$H$6-E6),2))</f>
        <v>379.69</v>
      </c>
      <c r="G6" s="26" t="n">
        <f aca="false">ROUND(E6+F6,2)</f>
        <v>2654.69</v>
      </c>
      <c r="H6" s="26" t="n">
        <f aca="false">ROUND(MAX(0,D6-F6),2)</f>
        <v>419620.31</v>
      </c>
      <c r="I6" s="26" t="n">
        <f aca="false">ROUND(E6,2)</f>
        <v>2275</v>
      </c>
    </row>
    <row r="7" customFormat="false" ht="15" hidden="false" customHeight="true" outlineLevel="0" collapsed="false">
      <c r="A7" s="19" t="n">
        <f aca="false">A6+1</f>
        <v>2</v>
      </c>
      <c r="B7" s="18" t="n">
        <f aca="false">EDATE(B6,1)</f>
        <v>46327</v>
      </c>
      <c r="C7" s="19" t="n">
        <f aca="false">ROUNDUP(A7/12,0)</f>
        <v>1</v>
      </c>
      <c r="D7" s="26" t="n">
        <f aca="false">H6</f>
        <v>419620.31</v>
      </c>
      <c r="E7" s="26" t="n">
        <f aca="false">IF(D7&lt;=0,0,ROUND(D7*Calculator!$B$7/12,2))</f>
        <v>2272.94</v>
      </c>
      <c r="F7" s="26" t="n">
        <f aca="false">IF(D7&lt;=0,0,ROUND(MIN(D7,Calculator!$H$6-E7),2))</f>
        <v>381.75</v>
      </c>
      <c r="G7" s="26" t="n">
        <f aca="false">ROUND(E7+F7,2)</f>
        <v>2654.69</v>
      </c>
      <c r="H7" s="26" t="n">
        <f aca="false">ROUND(MAX(0,D7-F7),2)</f>
        <v>419238.56</v>
      </c>
      <c r="I7" s="26" t="n">
        <f aca="false">ROUND(E7+I6,2)</f>
        <v>4547.94</v>
      </c>
    </row>
    <row r="8" customFormat="false" ht="15" hidden="false" customHeight="true" outlineLevel="0" collapsed="false">
      <c r="A8" s="19" t="n">
        <f aca="false">A7+1</f>
        <v>3</v>
      </c>
      <c r="B8" s="18" t="n">
        <f aca="false">EDATE(B7,1)</f>
        <v>46357</v>
      </c>
      <c r="C8" s="19" t="n">
        <f aca="false">ROUNDUP(A8/12,0)</f>
        <v>1</v>
      </c>
      <c r="D8" s="26" t="n">
        <f aca="false">H7</f>
        <v>419238.56</v>
      </c>
      <c r="E8" s="26" t="n">
        <f aca="false">IF(D8&lt;=0,0,ROUND(D8*Calculator!$B$7/12,2))</f>
        <v>2270.88</v>
      </c>
      <c r="F8" s="26" t="n">
        <f aca="false">IF(D8&lt;=0,0,ROUND(MIN(D8,Calculator!$H$6-E8),2))</f>
        <v>383.81</v>
      </c>
      <c r="G8" s="26" t="n">
        <f aca="false">ROUND(E8+F8,2)</f>
        <v>2654.69</v>
      </c>
      <c r="H8" s="26" t="n">
        <f aca="false">ROUND(MAX(0,D8-F8),2)</f>
        <v>418854.75</v>
      </c>
      <c r="I8" s="26" t="n">
        <f aca="false">ROUND(E8+I7,2)</f>
        <v>6818.82</v>
      </c>
    </row>
    <row r="9" customFormat="false" ht="15" hidden="false" customHeight="true" outlineLevel="0" collapsed="false">
      <c r="A9" s="19" t="n">
        <f aca="false">A8+1</f>
        <v>4</v>
      </c>
      <c r="B9" s="18" t="n">
        <f aca="false">EDATE(B8,1)</f>
        <v>46388</v>
      </c>
      <c r="C9" s="19" t="n">
        <f aca="false">ROUNDUP(A9/12,0)</f>
        <v>1</v>
      </c>
      <c r="D9" s="26" t="n">
        <f aca="false">H8</f>
        <v>418854.75</v>
      </c>
      <c r="E9" s="26" t="n">
        <f aca="false">IF(D9&lt;=0,0,ROUND(D9*Calculator!$B$7/12,2))</f>
        <v>2268.8</v>
      </c>
      <c r="F9" s="26" t="n">
        <f aca="false">IF(D9&lt;=0,0,ROUND(MIN(D9,Calculator!$H$6-E9),2))</f>
        <v>385.89</v>
      </c>
      <c r="G9" s="26" t="n">
        <f aca="false">ROUND(E9+F9,2)</f>
        <v>2654.69</v>
      </c>
      <c r="H9" s="26" t="n">
        <f aca="false">ROUND(MAX(0,D9-F9),2)</f>
        <v>418468.86</v>
      </c>
      <c r="I9" s="26" t="n">
        <f aca="false">ROUND(E9+I8,2)</f>
        <v>9087.62</v>
      </c>
    </row>
    <row r="10" customFormat="false" ht="15" hidden="false" customHeight="true" outlineLevel="0" collapsed="false">
      <c r="A10" s="19" t="n">
        <f aca="false">A9+1</f>
        <v>5</v>
      </c>
      <c r="B10" s="18" t="n">
        <f aca="false">EDATE(B9,1)</f>
        <v>46419</v>
      </c>
      <c r="C10" s="19" t="n">
        <f aca="false">ROUNDUP(A10/12,0)</f>
        <v>1</v>
      </c>
      <c r="D10" s="26" t="n">
        <f aca="false">H9</f>
        <v>418468.86</v>
      </c>
      <c r="E10" s="26" t="n">
        <f aca="false">IF(D10&lt;=0,0,ROUND(D10*Calculator!$B$7/12,2))</f>
        <v>2266.71</v>
      </c>
      <c r="F10" s="26" t="n">
        <f aca="false">IF(D10&lt;=0,0,ROUND(MIN(D10,Calculator!$H$6-E10),2))</f>
        <v>387.98</v>
      </c>
      <c r="G10" s="26" t="n">
        <f aca="false">ROUND(E10+F10,2)</f>
        <v>2654.69</v>
      </c>
      <c r="H10" s="26" t="n">
        <f aca="false">ROUND(MAX(0,D10-F10),2)</f>
        <v>418080.88</v>
      </c>
      <c r="I10" s="26" t="n">
        <f aca="false">ROUND(E10+I9,2)</f>
        <v>11354.33</v>
      </c>
    </row>
    <row r="11" customFormat="false" ht="15" hidden="false" customHeight="true" outlineLevel="0" collapsed="false">
      <c r="A11" s="19" t="n">
        <f aca="false">A10+1</f>
        <v>6</v>
      </c>
      <c r="B11" s="18" t="n">
        <f aca="false">EDATE(B10,1)</f>
        <v>46447</v>
      </c>
      <c r="C11" s="19" t="n">
        <f aca="false">ROUNDUP(A11/12,0)</f>
        <v>1</v>
      </c>
      <c r="D11" s="26" t="n">
        <f aca="false">H10</f>
        <v>418080.88</v>
      </c>
      <c r="E11" s="26" t="n">
        <f aca="false">IF(D11&lt;=0,0,ROUND(D11*Calculator!$B$7/12,2))</f>
        <v>2264.6</v>
      </c>
      <c r="F11" s="26" t="n">
        <f aca="false">IF(D11&lt;=0,0,ROUND(MIN(D11,Calculator!$H$6-E11),2))</f>
        <v>390.09</v>
      </c>
      <c r="G11" s="26" t="n">
        <f aca="false">ROUND(E11+F11,2)</f>
        <v>2654.69</v>
      </c>
      <c r="H11" s="26" t="n">
        <f aca="false">ROUND(MAX(0,D11-F11),2)</f>
        <v>417690.79</v>
      </c>
      <c r="I11" s="26" t="n">
        <f aca="false">ROUND(E11+I10,2)</f>
        <v>13618.93</v>
      </c>
    </row>
    <row r="12" customFormat="false" ht="15" hidden="false" customHeight="true" outlineLevel="0" collapsed="false">
      <c r="A12" s="19" t="n">
        <f aca="false">A11+1</f>
        <v>7</v>
      </c>
      <c r="B12" s="18" t="n">
        <f aca="false">EDATE(B11,1)</f>
        <v>46478</v>
      </c>
      <c r="C12" s="19" t="n">
        <f aca="false">ROUNDUP(A12/12,0)</f>
        <v>1</v>
      </c>
      <c r="D12" s="26" t="n">
        <f aca="false">H11</f>
        <v>417690.79</v>
      </c>
      <c r="E12" s="26" t="n">
        <f aca="false">IF(D12&lt;=0,0,ROUND(D12*Calculator!$B$7/12,2))</f>
        <v>2262.49</v>
      </c>
      <c r="F12" s="26" t="n">
        <f aca="false">IF(D12&lt;=0,0,ROUND(MIN(D12,Calculator!$H$6-E12),2))</f>
        <v>392.2</v>
      </c>
      <c r="G12" s="26" t="n">
        <f aca="false">ROUND(E12+F12,2)</f>
        <v>2654.69</v>
      </c>
      <c r="H12" s="26" t="n">
        <f aca="false">ROUND(MAX(0,D12-F12),2)</f>
        <v>417298.59</v>
      </c>
      <c r="I12" s="26" t="n">
        <f aca="false">ROUND(E12+I11,2)</f>
        <v>15881.42</v>
      </c>
    </row>
    <row r="13" customFormat="false" ht="15" hidden="false" customHeight="true" outlineLevel="0" collapsed="false">
      <c r="A13" s="19" t="n">
        <f aca="false">A12+1</f>
        <v>8</v>
      </c>
      <c r="B13" s="18" t="n">
        <f aca="false">EDATE(B12,1)</f>
        <v>46508</v>
      </c>
      <c r="C13" s="19" t="n">
        <f aca="false">ROUNDUP(A13/12,0)</f>
        <v>1</v>
      </c>
      <c r="D13" s="26" t="n">
        <f aca="false">H12</f>
        <v>417298.59</v>
      </c>
      <c r="E13" s="26" t="n">
        <f aca="false">IF(D13&lt;=0,0,ROUND(D13*Calculator!$B$7/12,2))</f>
        <v>2260.37</v>
      </c>
      <c r="F13" s="26" t="n">
        <f aca="false">IF(D13&lt;=0,0,ROUND(MIN(D13,Calculator!$H$6-E13),2))</f>
        <v>394.32</v>
      </c>
      <c r="G13" s="26" t="n">
        <f aca="false">ROUND(E13+F13,2)</f>
        <v>2654.69</v>
      </c>
      <c r="H13" s="26" t="n">
        <f aca="false">ROUND(MAX(0,D13-F13),2)</f>
        <v>416904.27</v>
      </c>
      <c r="I13" s="26" t="n">
        <f aca="false">ROUND(E13+I12,2)</f>
        <v>18141.79</v>
      </c>
    </row>
    <row r="14" customFormat="false" ht="15" hidden="false" customHeight="true" outlineLevel="0" collapsed="false">
      <c r="A14" s="19" t="n">
        <f aca="false">A13+1</f>
        <v>9</v>
      </c>
      <c r="B14" s="18" t="n">
        <f aca="false">EDATE(B13,1)</f>
        <v>46539</v>
      </c>
      <c r="C14" s="19" t="n">
        <f aca="false">ROUNDUP(A14/12,0)</f>
        <v>1</v>
      </c>
      <c r="D14" s="26" t="n">
        <f aca="false">H13</f>
        <v>416904.27</v>
      </c>
      <c r="E14" s="26" t="n">
        <f aca="false">IF(D14&lt;=0,0,ROUND(D14*Calculator!$B$7/12,2))</f>
        <v>2258.23</v>
      </c>
      <c r="F14" s="26" t="n">
        <f aca="false">IF(D14&lt;=0,0,ROUND(MIN(D14,Calculator!$H$6-E14),2))</f>
        <v>396.46</v>
      </c>
      <c r="G14" s="26" t="n">
        <f aca="false">ROUND(E14+F14,2)</f>
        <v>2654.69</v>
      </c>
      <c r="H14" s="26" t="n">
        <f aca="false">ROUND(MAX(0,D14-F14),2)</f>
        <v>416507.81</v>
      </c>
      <c r="I14" s="26" t="n">
        <f aca="false">ROUND(E14+I13,2)</f>
        <v>20400.02</v>
      </c>
    </row>
    <row r="15" customFormat="false" ht="15" hidden="false" customHeight="true" outlineLevel="0" collapsed="false">
      <c r="A15" s="19" t="n">
        <f aca="false">A14+1</f>
        <v>10</v>
      </c>
      <c r="B15" s="18" t="n">
        <f aca="false">EDATE(B14,1)</f>
        <v>46569</v>
      </c>
      <c r="C15" s="19" t="n">
        <f aca="false">ROUNDUP(A15/12,0)</f>
        <v>1</v>
      </c>
      <c r="D15" s="26" t="n">
        <f aca="false">H14</f>
        <v>416507.81</v>
      </c>
      <c r="E15" s="26" t="n">
        <f aca="false">IF(D15&lt;=0,0,ROUND(D15*Calculator!$B$7/12,2))</f>
        <v>2256.08</v>
      </c>
      <c r="F15" s="26" t="n">
        <f aca="false">IF(D15&lt;=0,0,ROUND(MIN(D15,Calculator!$H$6-E15),2))</f>
        <v>398.61</v>
      </c>
      <c r="G15" s="26" t="n">
        <f aca="false">ROUND(E15+F15,2)</f>
        <v>2654.69</v>
      </c>
      <c r="H15" s="26" t="n">
        <f aca="false">ROUND(MAX(0,D15-F15),2)</f>
        <v>416109.2</v>
      </c>
      <c r="I15" s="26" t="n">
        <f aca="false">ROUND(E15+I14,2)</f>
        <v>22656.1</v>
      </c>
    </row>
    <row r="16" customFormat="false" ht="15" hidden="false" customHeight="true" outlineLevel="0" collapsed="false">
      <c r="A16" s="19" t="n">
        <f aca="false">A15+1</f>
        <v>11</v>
      </c>
      <c r="B16" s="18" t="n">
        <f aca="false">EDATE(B15,1)</f>
        <v>46600</v>
      </c>
      <c r="C16" s="19" t="n">
        <f aca="false">ROUNDUP(A16/12,0)</f>
        <v>1</v>
      </c>
      <c r="D16" s="26" t="n">
        <f aca="false">H15</f>
        <v>416109.2</v>
      </c>
      <c r="E16" s="26" t="n">
        <f aca="false">IF(D16&lt;=0,0,ROUND(D16*Calculator!$B$7/12,2))</f>
        <v>2253.92</v>
      </c>
      <c r="F16" s="26" t="n">
        <f aca="false">IF(D16&lt;=0,0,ROUND(MIN(D16,Calculator!$H$6-E16),2))</f>
        <v>400.77</v>
      </c>
      <c r="G16" s="26" t="n">
        <f aca="false">ROUND(E16+F16,2)</f>
        <v>2654.69</v>
      </c>
      <c r="H16" s="26" t="n">
        <f aca="false">ROUND(MAX(0,D16-F16),2)</f>
        <v>415708.43</v>
      </c>
      <c r="I16" s="26" t="n">
        <f aca="false">ROUND(E16+I15,2)</f>
        <v>24910.02</v>
      </c>
    </row>
    <row r="17" customFormat="false" ht="15" hidden="false" customHeight="true" outlineLevel="0" collapsed="false">
      <c r="A17" s="19" t="n">
        <f aca="false">A16+1</f>
        <v>12</v>
      </c>
      <c r="B17" s="18" t="n">
        <f aca="false">EDATE(B16,1)</f>
        <v>46631</v>
      </c>
      <c r="C17" s="19" t="n">
        <f aca="false">ROUNDUP(A17/12,0)</f>
        <v>1</v>
      </c>
      <c r="D17" s="26" t="n">
        <f aca="false">H16</f>
        <v>415708.43</v>
      </c>
      <c r="E17" s="26" t="n">
        <f aca="false">IF(D17&lt;=0,0,ROUND(D17*Calculator!$B$7/12,2))</f>
        <v>2251.75</v>
      </c>
      <c r="F17" s="26" t="n">
        <f aca="false">IF(D17&lt;=0,0,ROUND(MIN(D17,Calculator!$H$6-E17),2))</f>
        <v>402.94</v>
      </c>
      <c r="G17" s="26" t="n">
        <f aca="false">ROUND(E17+F17,2)</f>
        <v>2654.69</v>
      </c>
      <c r="H17" s="26" t="n">
        <f aca="false">ROUND(MAX(0,D17-F17),2)</f>
        <v>415305.49</v>
      </c>
      <c r="I17" s="26" t="n">
        <f aca="false">ROUND(E17+I16,2)</f>
        <v>27161.77</v>
      </c>
    </row>
    <row r="18" customFormat="false" ht="15" hidden="false" customHeight="true" outlineLevel="0" collapsed="false">
      <c r="A18" s="19" t="n">
        <f aca="false">A17+1</f>
        <v>13</v>
      </c>
      <c r="B18" s="18" t="n">
        <f aca="false">EDATE(B17,1)</f>
        <v>46661</v>
      </c>
      <c r="C18" s="19" t="n">
        <f aca="false">ROUNDUP(A18/12,0)</f>
        <v>2</v>
      </c>
      <c r="D18" s="26" t="n">
        <f aca="false">H17</f>
        <v>415305.49</v>
      </c>
      <c r="E18" s="26" t="n">
        <f aca="false">IF(D18&lt;=0,0,ROUND(D18*Calculator!$B$7/12,2))</f>
        <v>2249.57</v>
      </c>
      <c r="F18" s="26" t="n">
        <f aca="false">IF(D18&lt;=0,0,ROUND(MIN(D18,Calculator!$H$6-E18),2))</f>
        <v>405.12</v>
      </c>
      <c r="G18" s="26" t="n">
        <f aca="false">ROUND(E18+F18,2)</f>
        <v>2654.69</v>
      </c>
      <c r="H18" s="26" t="n">
        <f aca="false">ROUND(MAX(0,D18-F18),2)</f>
        <v>414900.37</v>
      </c>
      <c r="I18" s="26" t="n">
        <f aca="false">ROUND(E18+I17,2)</f>
        <v>29411.34</v>
      </c>
    </row>
    <row r="19" customFormat="false" ht="15" hidden="false" customHeight="true" outlineLevel="0" collapsed="false">
      <c r="A19" s="19" t="n">
        <f aca="false">A18+1</f>
        <v>14</v>
      </c>
      <c r="B19" s="18" t="n">
        <f aca="false">EDATE(B18,1)</f>
        <v>46692</v>
      </c>
      <c r="C19" s="19" t="n">
        <f aca="false">ROUNDUP(A19/12,0)</f>
        <v>2</v>
      </c>
      <c r="D19" s="26" t="n">
        <f aca="false">H18</f>
        <v>414900.37</v>
      </c>
      <c r="E19" s="26" t="n">
        <f aca="false">IF(D19&lt;=0,0,ROUND(D19*Calculator!$B$7/12,2))</f>
        <v>2247.38</v>
      </c>
      <c r="F19" s="26" t="n">
        <f aca="false">IF(D19&lt;=0,0,ROUND(MIN(D19,Calculator!$H$6-E19),2))</f>
        <v>407.31</v>
      </c>
      <c r="G19" s="26" t="n">
        <f aca="false">ROUND(E19+F19,2)</f>
        <v>2654.69</v>
      </c>
      <c r="H19" s="26" t="n">
        <f aca="false">ROUND(MAX(0,D19-F19),2)</f>
        <v>414493.06</v>
      </c>
      <c r="I19" s="26" t="n">
        <f aca="false">ROUND(E19+I18,2)</f>
        <v>31658.72</v>
      </c>
    </row>
    <row r="20" customFormat="false" ht="15" hidden="false" customHeight="true" outlineLevel="0" collapsed="false">
      <c r="A20" s="19" t="n">
        <f aca="false">A19+1</f>
        <v>15</v>
      </c>
      <c r="B20" s="18" t="n">
        <f aca="false">EDATE(B19,1)</f>
        <v>46722</v>
      </c>
      <c r="C20" s="19" t="n">
        <f aca="false">ROUNDUP(A20/12,0)</f>
        <v>2</v>
      </c>
      <c r="D20" s="26" t="n">
        <f aca="false">H19</f>
        <v>414493.06</v>
      </c>
      <c r="E20" s="26" t="n">
        <f aca="false">IF(D20&lt;=0,0,ROUND(D20*Calculator!$B$7/12,2))</f>
        <v>2245.17</v>
      </c>
      <c r="F20" s="26" t="n">
        <f aca="false">IF(D20&lt;=0,0,ROUND(MIN(D20,Calculator!$H$6-E20),2))</f>
        <v>409.52</v>
      </c>
      <c r="G20" s="26" t="n">
        <f aca="false">ROUND(E20+F20,2)</f>
        <v>2654.69</v>
      </c>
      <c r="H20" s="26" t="n">
        <f aca="false">ROUND(MAX(0,D20-F20),2)</f>
        <v>414083.54</v>
      </c>
      <c r="I20" s="26" t="n">
        <f aca="false">ROUND(E20+I19,2)</f>
        <v>33903.89</v>
      </c>
    </row>
    <row r="21" customFormat="false" ht="15" hidden="false" customHeight="true" outlineLevel="0" collapsed="false">
      <c r="A21" s="19" t="n">
        <f aca="false">A20+1</f>
        <v>16</v>
      </c>
      <c r="B21" s="18" t="n">
        <f aca="false">EDATE(B20,1)</f>
        <v>46753</v>
      </c>
      <c r="C21" s="19" t="n">
        <f aca="false">ROUNDUP(A21/12,0)</f>
        <v>2</v>
      </c>
      <c r="D21" s="26" t="n">
        <f aca="false">H20</f>
        <v>414083.54</v>
      </c>
      <c r="E21" s="26" t="n">
        <f aca="false">IF(D21&lt;=0,0,ROUND(D21*Calculator!$B$7/12,2))</f>
        <v>2242.95</v>
      </c>
      <c r="F21" s="26" t="n">
        <f aca="false">IF(D21&lt;=0,0,ROUND(MIN(D21,Calculator!$H$6-E21),2))</f>
        <v>411.74</v>
      </c>
      <c r="G21" s="26" t="n">
        <f aca="false">ROUND(E21+F21,2)</f>
        <v>2654.69</v>
      </c>
      <c r="H21" s="26" t="n">
        <f aca="false">ROUND(MAX(0,D21-F21),2)</f>
        <v>413671.8</v>
      </c>
      <c r="I21" s="26" t="n">
        <f aca="false">ROUND(E21+I20,2)</f>
        <v>36146.84</v>
      </c>
    </row>
    <row r="22" customFormat="false" ht="15" hidden="false" customHeight="true" outlineLevel="0" collapsed="false">
      <c r="A22" s="19" t="n">
        <f aca="false">A21+1</f>
        <v>17</v>
      </c>
      <c r="B22" s="18" t="n">
        <f aca="false">EDATE(B21,1)</f>
        <v>46784</v>
      </c>
      <c r="C22" s="19" t="n">
        <f aca="false">ROUNDUP(A22/12,0)</f>
        <v>2</v>
      </c>
      <c r="D22" s="26" t="n">
        <f aca="false">H21</f>
        <v>413671.8</v>
      </c>
      <c r="E22" s="26" t="n">
        <f aca="false">IF(D22&lt;=0,0,ROUND(D22*Calculator!$B$7/12,2))</f>
        <v>2240.72</v>
      </c>
      <c r="F22" s="26" t="n">
        <f aca="false">IF(D22&lt;=0,0,ROUND(MIN(D22,Calculator!$H$6-E22),2))</f>
        <v>413.97</v>
      </c>
      <c r="G22" s="26" t="n">
        <f aca="false">ROUND(E22+F22,2)</f>
        <v>2654.69</v>
      </c>
      <c r="H22" s="26" t="n">
        <f aca="false">ROUND(MAX(0,D22-F22),2)</f>
        <v>413257.83</v>
      </c>
      <c r="I22" s="26" t="n">
        <f aca="false">ROUND(E22+I21,2)</f>
        <v>38387.56</v>
      </c>
    </row>
    <row r="23" customFormat="false" ht="15" hidden="false" customHeight="true" outlineLevel="0" collapsed="false">
      <c r="A23" s="19" t="n">
        <f aca="false">A22+1</f>
        <v>18</v>
      </c>
      <c r="B23" s="18" t="n">
        <f aca="false">EDATE(B22,1)</f>
        <v>46813</v>
      </c>
      <c r="C23" s="19" t="n">
        <f aca="false">ROUNDUP(A23/12,0)</f>
        <v>2</v>
      </c>
      <c r="D23" s="26" t="n">
        <f aca="false">H22</f>
        <v>413257.83</v>
      </c>
      <c r="E23" s="26" t="n">
        <f aca="false">IF(D23&lt;=0,0,ROUND(D23*Calculator!$B$7/12,2))</f>
        <v>2238.48</v>
      </c>
      <c r="F23" s="26" t="n">
        <f aca="false">IF(D23&lt;=0,0,ROUND(MIN(D23,Calculator!$H$6-E23),2))</f>
        <v>416.21</v>
      </c>
      <c r="G23" s="26" t="n">
        <f aca="false">ROUND(E23+F23,2)</f>
        <v>2654.69</v>
      </c>
      <c r="H23" s="26" t="n">
        <f aca="false">ROUND(MAX(0,D23-F23),2)</f>
        <v>412841.62</v>
      </c>
      <c r="I23" s="26" t="n">
        <f aca="false">ROUND(E23+I22,2)</f>
        <v>40626.04</v>
      </c>
    </row>
    <row r="24" customFormat="false" ht="15" hidden="false" customHeight="true" outlineLevel="0" collapsed="false">
      <c r="A24" s="19" t="n">
        <f aca="false">A23+1</f>
        <v>19</v>
      </c>
      <c r="B24" s="18" t="n">
        <f aca="false">EDATE(B23,1)</f>
        <v>46844</v>
      </c>
      <c r="C24" s="19" t="n">
        <f aca="false">ROUNDUP(A24/12,0)</f>
        <v>2</v>
      </c>
      <c r="D24" s="26" t="n">
        <f aca="false">H23</f>
        <v>412841.62</v>
      </c>
      <c r="E24" s="26" t="n">
        <f aca="false">IF(D24&lt;=0,0,ROUND(D24*Calculator!$B$7/12,2))</f>
        <v>2236.23</v>
      </c>
      <c r="F24" s="26" t="n">
        <f aca="false">IF(D24&lt;=0,0,ROUND(MIN(D24,Calculator!$H$6-E24),2))</f>
        <v>418.46</v>
      </c>
      <c r="G24" s="26" t="n">
        <f aca="false">ROUND(E24+F24,2)</f>
        <v>2654.69</v>
      </c>
      <c r="H24" s="26" t="n">
        <f aca="false">ROUND(MAX(0,D24-F24),2)</f>
        <v>412423.16</v>
      </c>
      <c r="I24" s="26" t="n">
        <f aca="false">ROUND(E24+I23,2)</f>
        <v>42862.27</v>
      </c>
    </row>
    <row r="25" customFormat="false" ht="15" hidden="false" customHeight="true" outlineLevel="0" collapsed="false">
      <c r="A25" s="19" t="n">
        <f aca="false">A24+1</f>
        <v>20</v>
      </c>
      <c r="B25" s="18" t="n">
        <f aca="false">EDATE(B24,1)</f>
        <v>46874</v>
      </c>
      <c r="C25" s="19" t="n">
        <f aca="false">ROUNDUP(A25/12,0)</f>
        <v>2</v>
      </c>
      <c r="D25" s="26" t="n">
        <f aca="false">H24</f>
        <v>412423.16</v>
      </c>
      <c r="E25" s="26" t="n">
        <f aca="false">IF(D25&lt;=0,0,ROUND(D25*Calculator!$B$7/12,2))</f>
        <v>2233.96</v>
      </c>
      <c r="F25" s="26" t="n">
        <f aca="false">IF(D25&lt;=0,0,ROUND(MIN(D25,Calculator!$H$6-E25),2))</f>
        <v>420.73</v>
      </c>
      <c r="G25" s="26" t="n">
        <f aca="false">ROUND(E25+F25,2)</f>
        <v>2654.69</v>
      </c>
      <c r="H25" s="26" t="n">
        <f aca="false">ROUND(MAX(0,D25-F25),2)</f>
        <v>412002.43</v>
      </c>
      <c r="I25" s="26" t="n">
        <f aca="false">ROUND(E25+I24,2)</f>
        <v>45096.23</v>
      </c>
    </row>
    <row r="26" customFormat="false" ht="15" hidden="false" customHeight="true" outlineLevel="0" collapsed="false">
      <c r="A26" s="19" t="n">
        <f aca="false">A25+1</f>
        <v>21</v>
      </c>
      <c r="B26" s="18" t="n">
        <f aca="false">EDATE(B25,1)</f>
        <v>46905</v>
      </c>
      <c r="C26" s="19" t="n">
        <f aca="false">ROUNDUP(A26/12,0)</f>
        <v>2</v>
      </c>
      <c r="D26" s="26" t="n">
        <f aca="false">H25</f>
        <v>412002.43</v>
      </c>
      <c r="E26" s="26" t="n">
        <f aca="false">IF(D26&lt;=0,0,ROUND(D26*Calculator!$B$7/12,2))</f>
        <v>2231.68</v>
      </c>
      <c r="F26" s="26" t="n">
        <f aca="false">IF(D26&lt;=0,0,ROUND(MIN(D26,Calculator!$H$6-E26),2))</f>
        <v>423.01</v>
      </c>
      <c r="G26" s="26" t="n">
        <f aca="false">ROUND(E26+F26,2)</f>
        <v>2654.69</v>
      </c>
      <c r="H26" s="26" t="n">
        <f aca="false">ROUND(MAX(0,D26-F26),2)</f>
        <v>411579.42</v>
      </c>
      <c r="I26" s="26" t="n">
        <f aca="false">ROUND(E26+I25,2)</f>
        <v>47327.91</v>
      </c>
    </row>
    <row r="27" customFormat="false" ht="15" hidden="false" customHeight="true" outlineLevel="0" collapsed="false">
      <c r="A27" s="19" t="n">
        <f aca="false">A26+1</f>
        <v>22</v>
      </c>
      <c r="B27" s="18" t="n">
        <f aca="false">EDATE(B26,1)</f>
        <v>46935</v>
      </c>
      <c r="C27" s="19" t="n">
        <f aca="false">ROUNDUP(A27/12,0)</f>
        <v>2</v>
      </c>
      <c r="D27" s="26" t="n">
        <f aca="false">H26</f>
        <v>411579.42</v>
      </c>
      <c r="E27" s="26" t="n">
        <f aca="false">IF(D27&lt;=0,0,ROUND(D27*Calculator!$B$7/12,2))</f>
        <v>2229.39</v>
      </c>
      <c r="F27" s="26" t="n">
        <f aca="false">IF(D27&lt;=0,0,ROUND(MIN(D27,Calculator!$H$6-E27),2))</f>
        <v>425.3</v>
      </c>
      <c r="G27" s="26" t="n">
        <f aca="false">ROUND(E27+F27,2)</f>
        <v>2654.69</v>
      </c>
      <c r="H27" s="26" t="n">
        <f aca="false">ROUND(MAX(0,D27-F27),2)</f>
        <v>411154.12</v>
      </c>
      <c r="I27" s="26" t="n">
        <f aca="false">ROUND(E27+I26,2)</f>
        <v>49557.3</v>
      </c>
    </row>
    <row r="28" customFormat="false" ht="15" hidden="false" customHeight="true" outlineLevel="0" collapsed="false">
      <c r="A28" s="19" t="n">
        <f aca="false">A27+1</f>
        <v>23</v>
      </c>
      <c r="B28" s="18" t="n">
        <f aca="false">EDATE(B27,1)</f>
        <v>46966</v>
      </c>
      <c r="C28" s="19" t="n">
        <f aca="false">ROUNDUP(A28/12,0)</f>
        <v>2</v>
      </c>
      <c r="D28" s="26" t="n">
        <f aca="false">H27</f>
        <v>411154.12</v>
      </c>
      <c r="E28" s="26" t="n">
        <f aca="false">IF(D28&lt;=0,0,ROUND(D28*Calculator!$B$7/12,2))</f>
        <v>2227.08</v>
      </c>
      <c r="F28" s="26" t="n">
        <f aca="false">IF(D28&lt;=0,0,ROUND(MIN(D28,Calculator!$H$6-E28),2))</f>
        <v>427.61</v>
      </c>
      <c r="G28" s="26" t="n">
        <f aca="false">ROUND(E28+F28,2)</f>
        <v>2654.69</v>
      </c>
      <c r="H28" s="26" t="n">
        <f aca="false">ROUND(MAX(0,D28-F28),2)</f>
        <v>410726.51</v>
      </c>
      <c r="I28" s="26" t="n">
        <f aca="false">ROUND(E28+I27,2)</f>
        <v>51784.38</v>
      </c>
    </row>
    <row r="29" customFormat="false" ht="15" hidden="false" customHeight="true" outlineLevel="0" collapsed="false">
      <c r="A29" s="19" t="n">
        <f aca="false">A28+1</f>
        <v>24</v>
      </c>
      <c r="B29" s="18" t="n">
        <f aca="false">EDATE(B28,1)</f>
        <v>46997</v>
      </c>
      <c r="C29" s="19" t="n">
        <f aca="false">ROUNDUP(A29/12,0)</f>
        <v>2</v>
      </c>
      <c r="D29" s="26" t="n">
        <f aca="false">H28</f>
        <v>410726.51</v>
      </c>
      <c r="E29" s="26" t="n">
        <f aca="false">IF(D29&lt;=0,0,ROUND(D29*Calculator!$B$7/12,2))</f>
        <v>2224.77</v>
      </c>
      <c r="F29" s="26" t="n">
        <f aca="false">IF(D29&lt;=0,0,ROUND(MIN(D29,Calculator!$H$6-E29),2))</f>
        <v>429.92</v>
      </c>
      <c r="G29" s="26" t="n">
        <f aca="false">ROUND(E29+F29,2)</f>
        <v>2654.69</v>
      </c>
      <c r="H29" s="26" t="n">
        <f aca="false">ROUND(MAX(0,D29-F29),2)</f>
        <v>410296.59</v>
      </c>
      <c r="I29" s="26" t="n">
        <f aca="false">ROUND(E29+I28,2)</f>
        <v>54009.15</v>
      </c>
    </row>
    <row r="30" customFormat="false" ht="15" hidden="false" customHeight="true" outlineLevel="0" collapsed="false">
      <c r="A30" s="19" t="n">
        <f aca="false">A29+1</f>
        <v>25</v>
      </c>
      <c r="B30" s="18" t="n">
        <f aca="false">EDATE(B29,1)</f>
        <v>47027</v>
      </c>
      <c r="C30" s="19" t="n">
        <f aca="false">ROUNDUP(A30/12,0)</f>
        <v>3</v>
      </c>
      <c r="D30" s="26" t="n">
        <f aca="false">H29</f>
        <v>410296.59</v>
      </c>
      <c r="E30" s="26" t="n">
        <f aca="false">IF(D30&lt;=0,0,ROUND(D30*Calculator!$B$7/12,2))</f>
        <v>2222.44</v>
      </c>
      <c r="F30" s="26" t="n">
        <f aca="false">IF(D30&lt;=0,0,ROUND(MIN(D30,Calculator!$H$6-E30),2))</f>
        <v>432.25</v>
      </c>
      <c r="G30" s="26" t="n">
        <f aca="false">ROUND(E30+F30,2)</f>
        <v>2654.69</v>
      </c>
      <c r="H30" s="26" t="n">
        <f aca="false">ROUND(MAX(0,D30-F30),2)</f>
        <v>409864.34</v>
      </c>
      <c r="I30" s="26" t="n">
        <f aca="false">ROUND(E30+I29,2)</f>
        <v>56231.59</v>
      </c>
    </row>
    <row r="31" customFormat="false" ht="15" hidden="false" customHeight="true" outlineLevel="0" collapsed="false">
      <c r="A31" s="19" t="n">
        <f aca="false">A30+1</f>
        <v>26</v>
      </c>
      <c r="B31" s="18" t="n">
        <f aca="false">EDATE(B30,1)</f>
        <v>47058</v>
      </c>
      <c r="C31" s="19" t="n">
        <f aca="false">ROUNDUP(A31/12,0)</f>
        <v>3</v>
      </c>
      <c r="D31" s="26" t="n">
        <f aca="false">H30</f>
        <v>409864.34</v>
      </c>
      <c r="E31" s="26" t="n">
        <f aca="false">IF(D31&lt;=0,0,ROUND(D31*Calculator!$B$7/12,2))</f>
        <v>2220.1</v>
      </c>
      <c r="F31" s="26" t="n">
        <f aca="false">IF(D31&lt;=0,0,ROUND(MIN(D31,Calculator!$H$6-E31),2))</f>
        <v>434.59</v>
      </c>
      <c r="G31" s="26" t="n">
        <f aca="false">ROUND(E31+F31,2)</f>
        <v>2654.69</v>
      </c>
      <c r="H31" s="26" t="n">
        <f aca="false">ROUND(MAX(0,D31-F31),2)</f>
        <v>409429.75</v>
      </c>
      <c r="I31" s="26" t="n">
        <f aca="false">ROUND(E31+I30,2)</f>
        <v>58451.69</v>
      </c>
    </row>
    <row r="32" customFormat="false" ht="15" hidden="false" customHeight="true" outlineLevel="0" collapsed="false">
      <c r="A32" s="19" t="n">
        <f aca="false">A31+1</f>
        <v>27</v>
      </c>
      <c r="B32" s="18" t="n">
        <f aca="false">EDATE(B31,1)</f>
        <v>47088</v>
      </c>
      <c r="C32" s="19" t="n">
        <f aca="false">ROUNDUP(A32/12,0)</f>
        <v>3</v>
      </c>
      <c r="D32" s="26" t="n">
        <f aca="false">H31</f>
        <v>409429.75</v>
      </c>
      <c r="E32" s="26" t="n">
        <f aca="false">IF(D32&lt;=0,0,ROUND(D32*Calculator!$B$7/12,2))</f>
        <v>2217.74</v>
      </c>
      <c r="F32" s="26" t="n">
        <f aca="false">IF(D32&lt;=0,0,ROUND(MIN(D32,Calculator!$H$6-E32),2))</f>
        <v>436.95</v>
      </c>
      <c r="G32" s="26" t="n">
        <f aca="false">ROUND(E32+F32,2)</f>
        <v>2654.69</v>
      </c>
      <c r="H32" s="26" t="n">
        <f aca="false">ROUND(MAX(0,D32-F32),2)</f>
        <v>408992.8</v>
      </c>
      <c r="I32" s="26" t="n">
        <f aca="false">ROUND(E32+I31,2)</f>
        <v>60669.43</v>
      </c>
    </row>
    <row r="33" customFormat="false" ht="15" hidden="false" customHeight="true" outlineLevel="0" collapsed="false">
      <c r="A33" s="19" t="n">
        <f aca="false">A32+1</f>
        <v>28</v>
      </c>
      <c r="B33" s="18" t="n">
        <f aca="false">EDATE(B32,1)</f>
        <v>47119</v>
      </c>
      <c r="C33" s="19" t="n">
        <f aca="false">ROUNDUP(A33/12,0)</f>
        <v>3</v>
      </c>
      <c r="D33" s="26" t="n">
        <f aca="false">H32</f>
        <v>408992.8</v>
      </c>
      <c r="E33" s="26" t="n">
        <f aca="false">IF(D33&lt;=0,0,ROUND(D33*Calculator!$B$7/12,2))</f>
        <v>2215.38</v>
      </c>
      <c r="F33" s="26" t="n">
        <f aca="false">IF(D33&lt;=0,0,ROUND(MIN(D33,Calculator!$H$6-E33),2))</f>
        <v>439.31</v>
      </c>
      <c r="G33" s="26" t="n">
        <f aca="false">ROUND(E33+F33,2)</f>
        <v>2654.69</v>
      </c>
      <c r="H33" s="26" t="n">
        <f aca="false">ROUND(MAX(0,D33-F33),2)</f>
        <v>408553.49</v>
      </c>
      <c r="I33" s="26" t="n">
        <f aca="false">ROUND(E33+I32,2)</f>
        <v>62884.81</v>
      </c>
    </row>
    <row r="34" customFormat="false" ht="15" hidden="false" customHeight="true" outlineLevel="0" collapsed="false">
      <c r="A34" s="19" t="n">
        <f aca="false">A33+1</f>
        <v>29</v>
      </c>
      <c r="B34" s="18" t="n">
        <f aca="false">EDATE(B33,1)</f>
        <v>47150</v>
      </c>
      <c r="C34" s="19" t="n">
        <f aca="false">ROUNDUP(A34/12,0)</f>
        <v>3</v>
      </c>
      <c r="D34" s="26" t="n">
        <f aca="false">H33</f>
        <v>408553.49</v>
      </c>
      <c r="E34" s="26" t="n">
        <f aca="false">IF(D34&lt;=0,0,ROUND(D34*Calculator!$B$7/12,2))</f>
        <v>2213</v>
      </c>
      <c r="F34" s="26" t="n">
        <f aca="false">IF(D34&lt;=0,0,ROUND(MIN(D34,Calculator!$H$6-E34),2))</f>
        <v>441.69</v>
      </c>
      <c r="G34" s="26" t="n">
        <f aca="false">ROUND(E34+F34,2)</f>
        <v>2654.69</v>
      </c>
      <c r="H34" s="26" t="n">
        <f aca="false">ROUND(MAX(0,D34-F34),2)</f>
        <v>408111.8</v>
      </c>
      <c r="I34" s="26" t="n">
        <f aca="false">ROUND(E34+I33,2)</f>
        <v>65097.81</v>
      </c>
    </row>
    <row r="35" customFormat="false" ht="15" hidden="false" customHeight="true" outlineLevel="0" collapsed="false">
      <c r="A35" s="19" t="n">
        <f aca="false">A34+1</f>
        <v>30</v>
      </c>
      <c r="B35" s="18" t="n">
        <f aca="false">EDATE(B34,1)</f>
        <v>47178</v>
      </c>
      <c r="C35" s="19" t="n">
        <f aca="false">ROUNDUP(A35/12,0)</f>
        <v>3</v>
      </c>
      <c r="D35" s="26" t="n">
        <f aca="false">H34</f>
        <v>408111.8</v>
      </c>
      <c r="E35" s="26" t="n">
        <f aca="false">IF(D35&lt;=0,0,ROUND(D35*Calculator!$B$7/12,2))</f>
        <v>2210.61</v>
      </c>
      <c r="F35" s="26" t="n">
        <f aca="false">IF(D35&lt;=0,0,ROUND(MIN(D35,Calculator!$H$6-E35),2))</f>
        <v>444.08</v>
      </c>
      <c r="G35" s="26" t="n">
        <f aca="false">ROUND(E35+F35,2)</f>
        <v>2654.69</v>
      </c>
      <c r="H35" s="26" t="n">
        <f aca="false">ROUND(MAX(0,D35-F35),2)</f>
        <v>407667.72</v>
      </c>
      <c r="I35" s="26" t="n">
        <f aca="false">ROUND(E35+I34,2)</f>
        <v>67308.42</v>
      </c>
    </row>
    <row r="36" customFormat="false" ht="15" hidden="false" customHeight="true" outlineLevel="0" collapsed="false">
      <c r="A36" s="19" t="n">
        <f aca="false">A35+1</f>
        <v>31</v>
      </c>
      <c r="B36" s="18" t="n">
        <f aca="false">EDATE(B35,1)</f>
        <v>47209</v>
      </c>
      <c r="C36" s="19" t="n">
        <f aca="false">ROUNDUP(A36/12,0)</f>
        <v>3</v>
      </c>
      <c r="D36" s="26" t="n">
        <f aca="false">H35</f>
        <v>407667.72</v>
      </c>
      <c r="E36" s="26" t="n">
        <f aca="false">IF(D36&lt;=0,0,ROUND(D36*Calculator!$B$7/12,2))</f>
        <v>2208.2</v>
      </c>
      <c r="F36" s="26" t="n">
        <f aca="false">IF(D36&lt;=0,0,ROUND(MIN(D36,Calculator!$H$6-E36),2))</f>
        <v>446.49</v>
      </c>
      <c r="G36" s="26" t="n">
        <f aca="false">ROUND(E36+F36,2)</f>
        <v>2654.69</v>
      </c>
      <c r="H36" s="26" t="n">
        <f aca="false">ROUND(MAX(0,D36-F36),2)</f>
        <v>407221.23</v>
      </c>
      <c r="I36" s="26" t="n">
        <f aca="false">ROUND(E36+I35,2)</f>
        <v>69516.62</v>
      </c>
    </row>
    <row r="37" customFormat="false" ht="15" hidden="false" customHeight="true" outlineLevel="0" collapsed="false">
      <c r="A37" s="19" t="n">
        <f aca="false">A36+1</f>
        <v>32</v>
      </c>
      <c r="B37" s="18" t="n">
        <f aca="false">EDATE(B36,1)</f>
        <v>47239</v>
      </c>
      <c r="C37" s="19" t="n">
        <f aca="false">ROUNDUP(A37/12,0)</f>
        <v>3</v>
      </c>
      <c r="D37" s="26" t="n">
        <f aca="false">H36</f>
        <v>407221.23</v>
      </c>
      <c r="E37" s="26" t="n">
        <f aca="false">IF(D37&lt;=0,0,ROUND(D37*Calculator!$B$7/12,2))</f>
        <v>2205.78</v>
      </c>
      <c r="F37" s="26" t="n">
        <f aca="false">IF(D37&lt;=0,0,ROUND(MIN(D37,Calculator!$H$6-E37),2))</f>
        <v>448.91</v>
      </c>
      <c r="G37" s="26" t="n">
        <f aca="false">ROUND(E37+F37,2)</f>
        <v>2654.69</v>
      </c>
      <c r="H37" s="26" t="n">
        <f aca="false">ROUND(MAX(0,D37-F37),2)</f>
        <v>406772.32</v>
      </c>
      <c r="I37" s="26" t="n">
        <f aca="false">ROUND(E37+I36,2)</f>
        <v>71722.4</v>
      </c>
    </row>
    <row r="38" customFormat="false" ht="15" hidden="false" customHeight="true" outlineLevel="0" collapsed="false">
      <c r="A38" s="19" t="n">
        <f aca="false">A37+1</f>
        <v>33</v>
      </c>
      <c r="B38" s="18" t="n">
        <f aca="false">EDATE(B37,1)</f>
        <v>47270</v>
      </c>
      <c r="C38" s="19" t="n">
        <f aca="false">ROUNDUP(A38/12,0)</f>
        <v>3</v>
      </c>
      <c r="D38" s="26" t="n">
        <f aca="false">H37</f>
        <v>406772.32</v>
      </c>
      <c r="E38" s="26" t="n">
        <f aca="false">IF(D38&lt;=0,0,ROUND(D38*Calculator!$B$7/12,2))</f>
        <v>2203.35</v>
      </c>
      <c r="F38" s="26" t="n">
        <f aca="false">IF(D38&lt;=0,0,ROUND(MIN(D38,Calculator!$H$6-E38),2))</f>
        <v>451.34</v>
      </c>
      <c r="G38" s="26" t="n">
        <f aca="false">ROUND(E38+F38,2)</f>
        <v>2654.69</v>
      </c>
      <c r="H38" s="26" t="n">
        <f aca="false">ROUND(MAX(0,D38-F38),2)</f>
        <v>406320.98</v>
      </c>
      <c r="I38" s="26" t="n">
        <f aca="false">ROUND(E38+I37,2)</f>
        <v>73925.75</v>
      </c>
    </row>
    <row r="39" customFormat="false" ht="15" hidden="false" customHeight="true" outlineLevel="0" collapsed="false">
      <c r="A39" s="19" t="n">
        <f aca="false">A38+1</f>
        <v>34</v>
      </c>
      <c r="B39" s="18" t="n">
        <f aca="false">EDATE(B38,1)</f>
        <v>47300</v>
      </c>
      <c r="C39" s="19" t="n">
        <f aca="false">ROUNDUP(A39/12,0)</f>
        <v>3</v>
      </c>
      <c r="D39" s="26" t="n">
        <f aca="false">H38</f>
        <v>406320.98</v>
      </c>
      <c r="E39" s="26" t="n">
        <f aca="false">IF(D39&lt;=0,0,ROUND(D39*Calculator!$B$7/12,2))</f>
        <v>2200.91</v>
      </c>
      <c r="F39" s="26" t="n">
        <f aca="false">IF(D39&lt;=0,0,ROUND(MIN(D39,Calculator!$H$6-E39),2))</f>
        <v>453.78</v>
      </c>
      <c r="G39" s="26" t="n">
        <f aca="false">ROUND(E39+F39,2)</f>
        <v>2654.69</v>
      </c>
      <c r="H39" s="26" t="n">
        <f aca="false">ROUND(MAX(0,D39-F39),2)</f>
        <v>405867.2</v>
      </c>
      <c r="I39" s="26" t="n">
        <f aca="false">ROUND(E39+I38,2)</f>
        <v>76126.66</v>
      </c>
    </row>
    <row r="40" customFormat="false" ht="15" hidden="false" customHeight="true" outlineLevel="0" collapsed="false">
      <c r="A40" s="19" t="n">
        <f aca="false">A39+1</f>
        <v>35</v>
      </c>
      <c r="B40" s="18" t="n">
        <f aca="false">EDATE(B39,1)</f>
        <v>47331</v>
      </c>
      <c r="C40" s="19" t="n">
        <f aca="false">ROUNDUP(A40/12,0)</f>
        <v>3</v>
      </c>
      <c r="D40" s="26" t="n">
        <f aca="false">H39</f>
        <v>405867.2</v>
      </c>
      <c r="E40" s="26" t="n">
        <f aca="false">IF(D40&lt;=0,0,ROUND(D40*Calculator!$B$7/12,2))</f>
        <v>2198.45</v>
      </c>
      <c r="F40" s="26" t="n">
        <f aca="false">IF(D40&lt;=0,0,ROUND(MIN(D40,Calculator!$H$6-E40),2))</f>
        <v>456.24</v>
      </c>
      <c r="G40" s="26" t="n">
        <f aca="false">ROUND(E40+F40,2)</f>
        <v>2654.69</v>
      </c>
      <c r="H40" s="26" t="n">
        <f aca="false">ROUND(MAX(0,D40-F40),2)</f>
        <v>405410.96</v>
      </c>
      <c r="I40" s="26" t="n">
        <f aca="false">ROUND(E40+I39,2)</f>
        <v>78325.11</v>
      </c>
    </row>
    <row r="41" customFormat="false" ht="15" hidden="false" customHeight="true" outlineLevel="0" collapsed="false">
      <c r="A41" s="19" t="n">
        <f aca="false">A40+1</f>
        <v>36</v>
      </c>
      <c r="B41" s="18" t="n">
        <f aca="false">EDATE(B40,1)</f>
        <v>47362</v>
      </c>
      <c r="C41" s="19" t="n">
        <f aca="false">ROUNDUP(A41/12,0)</f>
        <v>3</v>
      </c>
      <c r="D41" s="26" t="n">
        <f aca="false">H40</f>
        <v>405410.96</v>
      </c>
      <c r="E41" s="26" t="n">
        <f aca="false">IF(D41&lt;=0,0,ROUND(D41*Calculator!$B$7/12,2))</f>
        <v>2195.98</v>
      </c>
      <c r="F41" s="26" t="n">
        <f aca="false">IF(D41&lt;=0,0,ROUND(MIN(D41,Calculator!$H$6-E41),2))</f>
        <v>458.71</v>
      </c>
      <c r="G41" s="26" t="n">
        <f aca="false">ROUND(E41+F41,2)</f>
        <v>2654.69</v>
      </c>
      <c r="H41" s="26" t="n">
        <f aca="false">ROUND(MAX(0,D41-F41),2)</f>
        <v>404952.25</v>
      </c>
      <c r="I41" s="26" t="n">
        <f aca="false">ROUND(E41+I40,2)</f>
        <v>80521.09</v>
      </c>
    </row>
    <row r="42" customFormat="false" ht="15" hidden="false" customHeight="true" outlineLevel="0" collapsed="false">
      <c r="A42" s="19" t="n">
        <f aca="false">A41+1</f>
        <v>37</v>
      </c>
      <c r="B42" s="18" t="n">
        <f aca="false">EDATE(B41,1)</f>
        <v>47392</v>
      </c>
      <c r="C42" s="19" t="n">
        <f aca="false">ROUNDUP(A42/12,0)</f>
        <v>4</v>
      </c>
      <c r="D42" s="26" t="n">
        <f aca="false">H41</f>
        <v>404952.25</v>
      </c>
      <c r="E42" s="26" t="n">
        <f aca="false">IF(D42&lt;=0,0,ROUND(D42*Calculator!$B$7/12,2))</f>
        <v>2193.49</v>
      </c>
      <c r="F42" s="26" t="n">
        <f aca="false">IF(D42&lt;=0,0,ROUND(MIN(D42,Calculator!$H$6-E42),2))</f>
        <v>461.2</v>
      </c>
      <c r="G42" s="26" t="n">
        <f aca="false">ROUND(E42+F42,2)</f>
        <v>2654.69</v>
      </c>
      <c r="H42" s="26" t="n">
        <f aca="false">ROUND(MAX(0,D42-F42),2)</f>
        <v>404491.05</v>
      </c>
      <c r="I42" s="26" t="n">
        <f aca="false">ROUND(E42+I41,2)</f>
        <v>82714.58</v>
      </c>
    </row>
    <row r="43" customFormat="false" ht="15" hidden="false" customHeight="true" outlineLevel="0" collapsed="false">
      <c r="A43" s="19" t="n">
        <f aca="false">A42+1</f>
        <v>38</v>
      </c>
      <c r="B43" s="18" t="n">
        <f aca="false">EDATE(B42,1)</f>
        <v>47423</v>
      </c>
      <c r="C43" s="19" t="n">
        <f aca="false">ROUNDUP(A43/12,0)</f>
        <v>4</v>
      </c>
      <c r="D43" s="26" t="n">
        <f aca="false">H42</f>
        <v>404491.05</v>
      </c>
      <c r="E43" s="26" t="n">
        <f aca="false">IF(D43&lt;=0,0,ROUND(D43*Calculator!$B$7/12,2))</f>
        <v>2190.99</v>
      </c>
      <c r="F43" s="26" t="n">
        <f aca="false">IF(D43&lt;=0,0,ROUND(MIN(D43,Calculator!$H$6-E43),2))</f>
        <v>463.7</v>
      </c>
      <c r="G43" s="26" t="n">
        <f aca="false">ROUND(E43+F43,2)</f>
        <v>2654.69</v>
      </c>
      <c r="H43" s="26" t="n">
        <f aca="false">ROUND(MAX(0,D43-F43),2)</f>
        <v>404027.35</v>
      </c>
      <c r="I43" s="26" t="n">
        <f aca="false">ROUND(E43+I42,2)</f>
        <v>84905.57</v>
      </c>
    </row>
    <row r="44" customFormat="false" ht="15" hidden="false" customHeight="true" outlineLevel="0" collapsed="false">
      <c r="A44" s="19" t="n">
        <f aca="false">A43+1</f>
        <v>39</v>
      </c>
      <c r="B44" s="18" t="n">
        <f aca="false">EDATE(B43,1)</f>
        <v>47453</v>
      </c>
      <c r="C44" s="19" t="n">
        <f aca="false">ROUNDUP(A44/12,0)</f>
        <v>4</v>
      </c>
      <c r="D44" s="26" t="n">
        <f aca="false">H43</f>
        <v>404027.35</v>
      </c>
      <c r="E44" s="26" t="n">
        <f aca="false">IF(D44&lt;=0,0,ROUND(D44*Calculator!$B$7/12,2))</f>
        <v>2188.48</v>
      </c>
      <c r="F44" s="26" t="n">
        <f aca="false">IF(D44&lt;=0,0,ROUND(MIN(D44,Calculator!$H$6-E44),2))</f>
        <v>466.21</v>
      </c>
      <c r="G44" s="26" t="n">
        <f aca="false">ROUND(E44+F44,2)</f>
        <v>2654.69</v>
      </c>
      <c r="H44" s="26" t="n">
        <f aca="false">ROUND(MAX(0,D44-F44),2)</f>
        <v>403561.14</v>
      </c>
      <c r="I44" s="26" t="n">
        <f aca="false">ROUND(E44+I43,2)</f>
        <v>87094.05</v>
      </c>
    </row>
    <row r="45" customFormat="false" ht="15" hidden="false" customHeight="true" outlineLevel="0" collapsed="false">
      <c r="A45" s="19" t="n">
        <f aca="false">A44+1</f>
        <v>40</v>
      </c>
      <c r="B45" s="18" t="n">
        <f aca="false">EDATE(B44,1)</f>
        <v>47484</v>
      </c>
      <c r="C45" s="19" t="n">
        <f aca="false">ROUNDUP(A45/12,0)</f>
        <v>4</v>
      </c>
      <c r="D45" s="26" t="n">
        <f aca="false">H44</f>
        <v>403561.14</v>
      </c>
      <c r="E45" s="26" t="n">
        <f aca="false">IF(D45&lt;=0,0,ROUND(D45*Calculator!$B$7/12,2))</f>
        <v>2185.96</v>
      </c>
      <c r="F45" s="26" t="n">
        <f aca="false">IF(D45&lt;=0,0,ROUND(MIN(D45,Calculator!$H$6-E45),2))</f>
        <v>468.73</v>
      </c>
      <c r="G45" s="26" t="n">
        <f aca="false">ROUND(E45+F45,2)</f>
        <v>2654.69</v>
      </c>
      <c r="H45" s="26" t="n">
        <f aca="false">ROUND(MAX(0,D45-F45),2)</f>
        <v>403092.41</v>
      </c>
      <c r="I45" s="26" t="n">
        <f aca="false">ROUND(E45+I44,2)</f>
        <v>89280.01</v>
      </c>
    </row>
    <row r="46" customFormat="false" ht="15" hidden="false" customHeight="true" outlineLevel="0" collapsed="false">
      <c r="A46" s="19" t="n">
        <f aca="false">A45+1</f>
        <v>41</v>
      </c>
      <c r="B46" s="18" t="n">
        <f aca="false">EDATE(B45,1)</f>
        <v>47515</v>
      </c>
      <c r="C46" s="19" t="n">
        <f aca="false">ROUNDUP(A46/12,0)</f>
        <v>4</v>
      </c>
      <c r="D46" s="26" t="n">
        <f aca="false">H45</f>
        <v>403092.41</v>
      </c>
      <c r="E46" s="26" t="n">
        <f aca="false">IF(D46&lt;=0,0,ROUND(D46*Calculator!$B$7/12,2))</f>
        <v>2183.42</v>
      </c>
      <c r="F46" s="26" t="n">
        <f aca="false">IF(D46&lt;=0,0,ROUND(MIN(D46,Calculator!$H$6-E46),2))</f>
        <v>471.27</v>
      </c>
      <c r="G46" s="26" t="n">
        <f aca="false">ROUND(E46+F46,2)</f>
        <v>2654.69</v>
      </c>
      <c r="H46" s="26" t="n">
        <f aca="false">ROUND(MAX(0,D46-F46),2)</f>
        <v>402621.14</v>
      </c>
      <c r="I46" s="26" t="n">
        <f aca="false">ROUND(E46+I45,2)</f>
        <v>91463.43</v>
      </c>
    </row>
    <row r="47" customFormat="false" ht="15" hidden="false" customHeight="true" outlineLevel="0" collapsed="false">
      <c r="A47" s="19" t="n">
        <f aca="false">A46+1</f>
        <v>42</v>
      </c>
      <c r="B47" s="18" t="n">
        <f aca="false">EDATE(B46,1)</f>
        <v>47543</v>
      </c>
      <c r="C47" s="19" t="n">
        <f aca="false">ROUNDUP(A47/12,0)</f>
        <v>4</v>
      </c>
      <c r="D47" s="26" t="n">
        <f aca="false">H46</f>
        <v>402621.14</v>
      </c>
      <c r="E47" s="26" t="n">
        <f aca="false">IF(D47&lt;=0,0,ROUND(D47*Calculator!$B$7/12,2))</f>
        <v>2180.86</v>
      </c>
      <c r="F47" s="26" t="n">
        <f aca="false">IF(D47&lt;=0,0,ROUND(MIN(D47,Calculator!$H$6-E47),2))</f>
        <v>473.83</v>
      </c>
      <c r="G47" s="26" t="n">
        <f aca="false">ROUND(E47+F47,2)</f>
        <v>2654.69</v>
      </c>
      <c r="H47" s="26" t="n">
        <f aca="false">ROUND(MAX(0,D47-F47),2)</f>
        <v>402147.31</v>
      </c>
      <c r="I47" s="26" t="n">
        <f aca="false">ROUND(E47+I46,2)</f>
        <v>93644.29</v>
      </c>
    </row>
    <row r="48" customFormat="false" ht="15" hidden="false" customHeight="true" outlineLevel="0" collapsed="false">
      <c r="A48" s="19" t="n">
        <f aca="false">A47+1</f>
        <v>43</v>
      </c>
      <c r="B48" s="18" t="n">
        <f aca="false">EDATE(B47,1)</f>
        <v>47574</v>
      </c>
      <c r="C48" s="19" t="n">
        <f aca="false">ROUNDUP(A48/12,0)</f>
        <v>4</v>
      </c>
      <c r="D48" s="26" t="n">
        <f aca="false">H47</f>
        <v>402147.31</v>
      </c>
      <c r="E48" s="26" t="n">
        <f aca="false">IF(D48&lt;=0,0,ROUND(D48*Calculator!$B$7/12,2))</f>
        <v>2178.3</v>
      </c>
      <c r="F48" s="26" t="n">
        <f aca="false">IF(D48&lt;=0,0,ROUND(MIN(D48,Calculator!$H$6-E48),2))</f>
        <v>476.39</v>
      </c>
      <c r="G48" s="26" t="n">
        <f aca="false">ROUND(E48+F48,2)</f>
        <v>2654.69</v>
      </c>
      <c r="H48" s="26" t="n">
        <f aca="false">ROUND(MAX(0,D48-F48),2)</f>
        <v>401670.92</v>
      </c>
      <c r="I48" s="26" t="n">
        <f aca="false">ROUND(E48+I47,2)</f>
        <v>95822.59</v>
      </c>
    </row>
    <row r="49" customFormat="false" ht="15" hidden="false" customHeight="true" outlineLevel="0" collapsed="false">
      <c r="A49" s="19" t="n">
        <f aca="false">A48+1</f>
        <v>44</v>
      </c>
      <c r="B49" s="18" t="n">
        <f aca="false">EDATE(B48,1)</f>
        <v>47604</v>
      </c>
      <c r="C49" s="19" t="n">
        <f aca="false">ROUNDUP(A49/12,0)</f>
        <v>4</v>
      </c>
      <c r="D49" s="26" t="n">
        <f aca="false">H48</f>
        <v>401670.92</v>
      </c>
      <c r="E49" s="26" t="n">
        <f aca="false">IF(D49&lt;=0,0,ROUND(D49*Calculator!$B$7/12,2))</f>
        <v>2175.72</v>
      </c>
      <c r="F49" s="26" t="n">
        <f aca="false">IF(D49&lt;=0,0,ROUND(MIN(D49,Calculator!$H$6-E49),2))</f>
        <v>478.97</v>
      </c>
      <c r="G49" s="26" t="n">
        <f aca="false">ROUND(E49+F49,2)</f>
        <v>2654.69</v>
      </c>
      <c r="H49" s="26" t="n">
        <f aca="false">ROUND(MAX(0,D49-F49),2)</f>
        <v>401191.95</v>
      </c>
      <c r="I49" s="26" t="n">
        <f aca="false">ROUND(E49+I48,2)</f>
        <v>97998.31</v>
      </c>
    </row>
    <row r="50" customFormat="false" ht="15" hidden="false" customHeight="true" outlineLevel="0" collapsed="false">
      <c r="A50" s="19" t="n">
        <f aca="false">A49+1</f>
        <v>45</v>
      </c>
      <c r="B50" s="18" t="n">
        <f aca="false">EDATE(B49,1)</f>
        <v>47635</v>
      </c>
      <c r="C50" s="19" t="n">
        <f aca="false">ROUNDUP(A50/12,0)</f>
        <v>4</v>
      </c>
      <c r="D50" s="26" t="n">
        <f aca="false">H49</f>
        <v>401191.95</v>
      </c>
      <c r="E50" s="26" t="n">
        <f aca="false">IF(D50&lt;=0,0,ROUND(D50*Calculator!$B$7/12,2))</f>
        <v>2173.12</v>
      </c>
      <c r="F50" s="26" t="n">
        <f aca="false">IF(D50&lt;=0,0,ROUND(MIN(D50,Calculator!$H$6-E50),2))</f>
        <v>481.57</v>
      </c>
      <c r="G50" s="26" t="n">
        <f aca="false">ROUND(E50+F50,2)</f>
        <v>2654.69</v>
      </c>
      <c r="H50" s="26" t="n">
        <f aca="false">ROUND(MAX(0,D50-F50),2)</f>
        <v>400710.38</v>
      </c>
      <c r="I50" s="26" t="n">
        <f aca="false">ROUND(E50+I49,2)</f>
        <v>100171.43</v>
      </c>
    </row>
    <row r="51" customFormat="false" ht="15" hidden="false" customHeight="true" outlineLevel="0" collapsed="false">
      <c r="A51" s="19" t="n">
        <f aca="false">A50+1</f>
        <v>46</v>
      </c>
      <c r="B51" s="18" t="n">
        <f aca="false">EDATE(B50,1)</f>
        <v>47665</v>
      </c>
      <c r="C51" s="19" t="n">
        <f aca="false">ROUNDUP(A51/12,0)</f>
        <v>4</v>
      </c>
      <c r="D51" s="26" t="n">
        <f aca="false">H50</f>
        <v>400710.38</v>
      </c>
      <c r="E51" s="26" t="n">
        <f aca="false">IF(D51&lt;=0,0,ROUND(D51*Calculator!$B$7/12,2))</f>
        <v>2170.51</v>
      </c>
      <c r="F51" s="26" t="n">
        <f aca="false">IF(D51&lt;=0,0,ROUND(MIN(D51,Calculator!$H$6-E51),2))</f>
        <v>484.18</v>
      </c>
      <c r="G51" s="26" t="n">
        <f aca="false">ROUND(E51+F51,2)</f>
        <v>2654.69</v>
      </c>
      <c r="H51" s="26" t="n">
        <f aca="false">ROUND(MAX(0,D51-F51),2)</f>
        <v>400226.2</v>
      </c>
      <c r="I51" s="26" t="n">
        <f aca="false">ROUND(E51+I50,2)</f>
        <v>102341.94</v>
      </c>
    </row>
    <row r="52" customFormat="false" ht="15" hidden="false" customHeight="true" outlineLevel="0" collapsed="false">
      <c r="A52" s="19" t="n">
        <f aca="false">A51+1</f>
        <v>47</v>
      </c>
      <c r="B52" s="18" t="n">
        <f aca="false">EDATE(B51,1)</f>
        <v>47696</v>
      </c>
      <c r="C52" s="19" t="n">
        <f aca="false">ROUNDUP(A52/12,0)</f>
        <v>4</v>
      </c>
      <c r="D52" s="26" t="n">
        <f aca="false">H51</f>
        <v>400226.2</v>
      </c>
      <c r="E52" s="26" t="n">
        <f aca="false">IF(D52&lt;=0,0,ROUND(D52*Calculator!$B$7/12,2))</f>
        <v>2167.89</v>
      </c>
      <c r="F52" s="26" t="n">
        <f aca="false">IF(D52&lt;=0,0,ROUND(MIN(D52,Calculator!$H$6-E52),2))</f>
        <v>486.8</v>
      </c>
      <c r="G52" s="26" t="n">
        <f aca="false">ROUND(E52+F52,2)</f>
        <v>2654.69</v>
      </c>
      <c r="H52" s="26" t="n">
        <f aca="false">ROUND(MAX(0,D52-F52),2)</f>
        <v>399739.4</v>
      </c>
      <c r="I52" s="26" t="n">
        <f aca="false">ROUND(E52+I51,2)</f>
        <v>104509.83</v>
      </c>
    </row>
    <row r="53" customFormat="false" ht="15" hidden="false" customHeight="true" outlineLevel="0" collapsed="false">
      <c r="A53" s="19" t="n">
        <f aca="false">A52+1</f>
        <v>48</v>
      </c>
      <c r="B53" s="18" t="n">
        <f aca="false">EDATE(B52,1)</f>
        <v>47727</v>
      </c>
      <c r="C53" s="19" t="n">
        <f aca="false">ROUNDUP(A53/12,0)</f>
        <v>4</v>
      </c>
      <c r="D53" s="26" t="n">
        <f aca="false">H52</f>
        <v>399739.4</v>
      </c>
      <c r="E53" s="26" t="n">
        <f aca="false">IF(D53&lt;=0,0,ROUND(D53*Calculator!$B$7/12,2))</f>
        <v>2165.26</v>
      </c>
      <c r="F53" s="26" t="n">
        <f aca="false">IF(D53&lt;=0,0,ROUND(MIN(D53,Calculator!$H$6-E53),2))</f>
        <v>489.43</v>
      </c>
      <c r="G53" s="26" t="n">
        <f aca="false">ROUND(E53+F53,2)</f>
        <v>2654.69</v>
      </c>
      <c r="H53" s="26" t="n">
        <f aca="false">ROUND(MAX(0,D53-F53),2)</f>
        <v>399249.97</v>
      </c>
      <c r="I53" s="26" t="n">
        <f aca="false">ROUND(E53+I52,2)</f>
        <v>106675.09</v>
      </c>
    </row>
    <row r="54" customFormat="false" ht="15" hidden="false" customHeight="true" outlineLevel="0" collapsed="false">
      <c r="A54" s="19" t="n">
        <f aca="false">A53+1</f>
        <v>49</v>
      </c>
      <c r="B54" s="18" t="n">
        <f aca="false">EDATE(B53,1)</f>
        <v>47757</v>
      </c>
      <c r="C54" s="19" t="n">
        <f aca="false">ROUNDUP(A54/12,0)</f>
        <v>5</v>
      </c>
      <c r="D54" s="26" t="n">
        <f aca="false">H53</f>
        <v>399249.97</v>
      </c>
      <c r="E54" s="26" t="n">
        <f aca="false">IF(D54&lt;=0,0,ROUND(D54*Calculator!$B$7/12,2))</f>
        <v>2162.6</v>
      </c>
      <c r="F54" s="26" t="n">
        <f aca="false">IF(D54&lt;=0,0,ROUND(MIN(D54,Calculator!$H$6-E54),2))</f>
        <v>492.09</v>
      </c>
      <c r="G54" s="26" t="n">
        <f aca="false">ROUND(E54+F54,2)</f>
        <v>2654.69</v>
      </c>
      <c r="H54" s="26" t="n">
        <f aca="false">ROUND(MAX(0,D54-F54),2)</f>
        <v>398757.88</v>
      </c>
      <c r="I54" s="26" t="n">
        <f aca="false">ROUND(E54+I53,2)</f>
        <v>108837.69</v>
      </c>
    </row>
    <row r="55" customFormat="false" ht="15" hidden="false" customHeight="true" outlineLevel="0" collapsed="false">
      <c r="A55" s="19" t="n">
        <f aca="false">A54+1</f>
        <v>50</v>
      </c>
      <c r="B55" s="18" t="n">
        <f aca="false">EDATE(B54,1)</f>
        <v>47788</v>
      </c>
      <c r="C55" s="19" t="n">
        <f aca="false">ROUNDUP(A55/12,0)</f>
        <v>5</v>
      </c>
      <c r="D55" s="26" t="n">
        <f aca="false">H54</f>
        <v>398757.88</v>
      </c>
      <c r="E55" s="26" t="n">
        <f aca="false">IF(D55&lt;=0,0,ROUND(D55*Calculator!$B$7/12,2))</f>
        <v>2159.94</v>
      </c>
      <c r="F55" s="26" t="n">
        <f aca="false">IF(D55&lt;=0,0,ROUND(MIN(D55,Calculator!$H$6-E55),2))</f>
        <v>494.75</v>
      </c>
      <c r="G55" s="26" t="n">
        <f aca="false">ROUND(E55+F55,2)</f>
        <v>2654.69</v>
      </c>
      <c r="H55" s="26" t="n">
        <f aca="false">ROUND(MAX(0,D55-F55),2)</f>
        <v>398263.13</v>
      </c>
      <c r="I55" s="26" t="n">
        <f aca="false">ROUND(E55+I54,2)</f>
        <v>110997.63</v>
      </c>
    </row>
    <row r="56" customFormat="false" ht="15" hidden="false" customHeight="true" outlineLevel="0" collapsed="false">
      <c r="A56" s="19" t="n">
        <f aca="false">A55+1</f>
        <v>51</v>
      </c>
      <c r="B56" s="18" t="n">
        <f aca="false">EDATE(B55,1)</f>
        <v>47818</v>
      </c>
      <c r="C56" s="19" t="n">
        <f aca="false">ROUNDUP(A56/12,0)</f>
        <v>5</v>
      </c>
      <c r="D56" s="26" t="n">
        <f aca="false">H55</f>
        <v>398263.13</v>
      </c>
      <c r="E56" s="26" t="n">
        <f aca="false">IF(D56&lt;=0,0,ROUND(D56*Calculator!$B$7/12,2))</f>
        <v>2157.26</v>
      </c>
      <c r="F56" s="26" t="n">
        <f aca="false">IF(D56&lt;=0,0,ROUND(MIN(D56,Calculator!$H$6-E56),2))</f>
        <v>497.43</v>
      </c>
      <c r="G56" s="26" t="n">
        <f aca="false">ROUND(E56+F56,2)</f>
        <v>2654.69</v>
      </c>
      <c r="H56" s="26" t="n">
        <f aca="false">ROUND(MAX(0,D56-F56),2)</f>
        <v>397765.7</v>
      </c>
      <c r="I56" s="26" t="n">
        <f aca="false">ROUND(E56+I55,2)</f>
        <v>113154.89</v>
      </c>
    </row>
    <row r="57" customFormat="false" ht="15" hidden="false" customHeight="true" outlineLevel="0" collapsed="false">
      <c r="A57" s="19" t="n">
        <f aca="false">A56+1</f>
        <v>52</v>
      </c>
      <c r="B57" s="18" t="n">
        <f aca="false">EDATE(B56,1)</f>
        <v>47849</v>
      </c>
      <c r="C57" s="19" t="n">
        <f aca="false">ROUNDUP(A57/12,0)</f>
        <v>5</v>
      </c>
      <c r="D57" s="26" t="n">
        <f aca="false">H56</f>
        <v>397765.7</v>
      </c>
      <c r="E57" s="26" t="n">
        <f aca="false">IF(D57&lt;=0,0,ROUND(D57*Calculator!$B$7/12,2))</f>
        <v>2154.56</v>
      </c>
      <c r="F57" s="26" t="n">
        <f aca="false">IF(D57&lt;=0,0,ROUND(MIN(D57,Calculator!$H$6-E57),2))</f>
        <v>500.13</v>
      </c>
      <c r="G57" s="26" t="n">
        <f aca="false">ROUND(E57+F57,2)</f>
        <v>2654.69</v>
      </c>
      <c r="H57" s="26" t="n">
        <f aca="false">ROUND(MAX(0,D57-F57),2)</f>
        <v>397265.57</v>
      </c>
      <c r="I57" s="26" t="n">
        <f aca="false">ROUND(E57+I56,2)</f>
        <v>115309.45</v>
      </c>
    </row>
    <row r="58" customFormat="false" ht="15" hidden="false" customHeight="true" outlineLevel="0" collapsed="false">
      <c r="A58" s="19" t="n">
        <f aca="false">A57+1</f>
        <v>53</v>
      </c>
      <c r="B58" s="18" t="n">
        <f aca="false">EDATE(B57,1)</f>
        <v>47880</v>
      </c>
      <c r="C58" s="19" t="n">
        <f aca="false">ROUNDUP(A58/12,0)</f>
        <v>5</v>
      </c>
      <c r="D58" s="26" t="n">
        <f aca="false">H57</f>
        <v>397265.57</v>
      </c>
      <c r="E58" s="26" t="n">
        <f aca="false">IF(D58&lt;=0,0,ROUND(D58*Calculator!$B$7/12,2))</f>
        <v>2151.86</v>
      </c>
      <c r="F58" s="26" t="n">
        <f aca="false">IF(D58&lt;=0,0,ROUND(MIN(D58,Calculator!$H$6-E58),2))</f>
        <v>502.83</v>
      </c>
      <c r="G58" s="26" t="n">
        <f aca="false">ROUND(E58+F58,2)</f>
        <v>2654.69</v>
      </c>
      <c r="H58" s="26" t="n">
        <f aca="false">ROUND(MAX(0,D58-F58),2)</f>
        <v>396762.74</v>
      </c>
      <c r="I58" s="26" t="n">
        <f aca="false">ROUND(E58+I57,2)</f>
        <v>117461.31</v>
      </c>
    </row>
    <row r="59" customFormat="false" ht="15" hidden="false" customHeight="true" outlineLevel="0" collapsed="false">
      <c r="A59" s="19" t="n">
        <f aca="false">A58+1</f>
        <v>54</v>
      </c>
      <c r="B59" s="18" t="n">
        <f aca="false">EDATE(B58,1)</f>
        <v>47908</v>
      </c>
      <c r="C59" s="19" t="n">
        <f aca="false">ROUNDUP(A59/12,0)</f>
        <v>5</v>
      </c>
      <c r="D59" s="26" t="n">
        <f aca="false">H58</f>
        <v>396762.74</v>
      </c>
      <c r="E59" s="26" t="n">
        <f aca="false">IF(D59&lt;=0,0,ROUND(D59*Calculator!$B$7/12,2))</f>
        <v>2149.13</v>
      </c>
      <c r="F59" s="26" t="n">
        <f aca="false">IF(D59&lt;=0,0,ROUND(MIN(D59,Calculator!$H$6-E59),2))</f>
        <v>505.56</v>
      </c>
      <c r="G59" s="26" t="n">
        <f aca="false">ROUND(E59+F59,2)</f>
        <v>2654.69</v>
      </c>
      <c r="H59" s="26" t="n">
        <f aca="false">ROUND(MAX(0,D59-F59),2)</f>
        <v>396257.18</v>
      </c>
      <c r="I59" s="26" t="n">
        <f aca="false">ROUND(E59+I58,2)</f>
        <v>119610.44</v>
      </c>
    </row>
    <row r="60" customFormat="false" ht="15" hidden="false" customHeight="true" outlineLevel="0" collapsed="false">
      <c r="A60" s="19" t="n">
        <f aca="false">A59+1</f>
        <v>55</v>
      </c>
      <c r="B60" s="18" t="n">
        <f aca="false">EDATE(B59,1)</f>
        <v>47939</v>
      </c>
      <c r="C60" s="19" t="n">
        <f aca="false">ROUNDUP(A60/12,0)</f>
        <v>5</v>
      </c>
      <c r="D60" s="26" t="n">
        <f aca="false">H59</f>
        <v>396257.18</v>
      </c>
      <c r="E60" s="26" t="n">
        <f aca="false">IF(D60&lt;=0,0,ROUND(D60*Calculator!$B$7/12,2))</f>
        <v>2146.39</v>
      </c>
      <c r="F60" s="26" t="n">
        <f aca="false">IF(D60&lt;=0,0,ROUND(MIN(D60,Calculator!$H$6-E60),2))</f>
        <v>508.3</v>
      </c>
      <c r="G60" s="26" t="n">
        <f aca="false">ROUND(E60+F60,2)</f>
        <v>2654.69</v>
      </c>
      <c r="H60" s="26" t="n">
        <f aca="false">ROUND(MAX(0,D60-F60),2)</f>
        <v>395748.88</v>
      </c>
      <c r="I60" s="26" t="n">
        <f aca="false">ROUND(E60+I59,2)</f>
        <v>121756.83</v>
      </c>
    </row>
    <row r="61" customFormat="false" ht="15" hidden="false" customHeight="true" outlineLevel="0" collapsed="false">
      <c r="A61" s="19" t="n">
        <f aca="false">A60+1</f>
        <v>56</v>
      </c>
      <c r="B61" s="18" t="n">
        <f aca="false">EDATE(B60,1)</f>
        <v>47969</v>
      </c>
      <c r="C61" s="19" t="n">
        <f aca="false">ROUNDUP(A61/12,0)</f>
        <v>5</v>
      </c>
      <c r="D61" s="26" t="n">
        <f aca="false">H60</f>
        <v>395748.88</v>
      </c>
      <c r="E61" s="26" t="n">
        <f aca="false">IF(D61&lt;=0,0,ROUND(D61*Calculator!$B$7/12,2))</f>
        <v>2143.64</v>
      </c>
      <c r="F61" s="26" t="n">
        <f aca="false">IF(D61&lt;=0,0,ROUND(MIN(D61,Calculator!$H$6-E61),2))</f>
        <v>511.05</v>
      </c>
      <c r="G61" s="26" t="n">
        <f aca="false">ROUND(E61+F61,2)</f>
        <v>2654.69</v>
      </c>
      <c r="H61" s="26" t="n">
        <f aca="false">ROUND(MAX(0,D61-F61),2)</f>
        <v>395237.83</v>
      </c>
      <c r="I61" s="26" t="n">
        <f aca="false">ROUND(E61+I60,2)</f>
        <v>123900.47</v>
      </c>
    </row>
    <row r="62" customFormat="false" ht="15" hidden="false" customHeight="true" outlineLevel="0" collapsed="false">
      <c r="A62" s="19" t="n">
        <f aca="false">A61+1</f>
        <v>57</v>
      </c>
      <c r="B62" s="18" t="n">
        <f aca="false">EDATE(B61,1)</f>
        <v>48000</v>
      </c>
      <c r="C62" s="19" t="n">
        <f aca="false">ROUNDUP(A62/12,0)</f>
        <v>5</v>
      </c>
      <c r="D62" s="26" t="n">
        <f aca="false">H61</f>
        <v>395237.83</v>
      </c>
      <c r="E62" s="26" t="n">
        <f aca="false">IF(D62&lt;=0,0,ROUND(D62*Calculator!$B$7/12,2))</f>
        <v>2140.87</v>
      </c>
      <c r="F62" s="26" t="n">
        <f aca="false">IF(D62&lt;=0,0,ROUND(MIN(D62,Calculator!$H$6-E62),2))</f>
        <v>513.82</v>
      </c>
      <c r="G62" s="26" t="n">
        <f aca="false">ROUND(E62+F62,2)</f>
        <v>2654.69</v>
      </c>
      <c r="H62" s="26" t="n">
        <f aca="false">ROUND(MAX(0,D62-F62),2)</f>
        <v>394724.01</v>
      </c>
      <c r="I62" s="26" t="n">
        <f aca="false">ROUND(E62+I61,2)</f>
        <v>126041.34</v>
      </c>
    </row>
    <row r="63" customFormat="false" ht="15" hidden="false" customHeight="true" outlineLevel="0" collapsed="false">
      <c r="A63" s="19" t="n">
        <f aca="false">A62+1</f>
        <v>58</v>
      </c>
      <c r="B63" s="18" t="n">
        <f aca="false">EDATE(B62,1)</f>
        <v>48030</v>
      </c>
      <c r="C63" s="19" t="n">
        <f aca="false">ROUNDUP(A63/12,0)</f>
        <v>5</v>
      </c>
      <c r="D63" s="26" t="n">
        <f aca="false">H62</f>
        <v>394724.01</v>
      </c>
      <c r="E63" s="26" t="n">
        <f aca="false">IF(D63&lt;=0,0,ROUND(D63*Calculator!$B$7/12,2))</f>
        <v>2138.09</v>
      </c>
      <c r="F63" s="26" t="n">
        <f aca="false">IF(D63&lt;=0,0,ROUND(MIN(D63,Calculator!$H$6-E63),2))</f>
        <v>516.6</v>
      </c>
      <c r="G63" s="26" t="n">
        <f aca="false">ROUND(E63+F63,2)</f>
        <v>2654.69</v>
      </c>
      <c r="H63" s="26" t="n">
        <f aca="false">ROUND(MAX(0,D63-F63),2)</f>
        <v>394207.41</v>
      </c>
      <c r="I63" s="26" t="n">
        <f aca="false">ROUND(E63+I62,2)</f>
        <v>128179.43</v>
      </c>
    </row>
    <row r="64" customFormat="false" ht="15" hidden="false" customHeight="true" outlineLevel="0" collapsed="false">
      <c r="A64" s="19" t="n">
        <f aca="false">A63+1</f>
        <v>59</v>
      </c>
      <c r="B64" s="18" t="n">
        <f aca="false">EDATE(B63,1)</f>
        <v>48061</v>
      </c>
      <c r="C64" s="19" t="n">
        <f aca="false">ROUNDUP(A64/12,0)</f>
        <v>5</v>
      </c>
      <c r="D64" s="26" t="n">
        <f aca="false">H63</f>
        <v>394207.41</v>
      </c>
      <c r="E64" s="26" t="n">
        <f aca="false">IF(D64&lt;=0,0,ROUND(D64*Calculator!$B$7/12,2))</f>
        <v>2135.29</v>
      </c>
      <c r="F64" s="26" t="n">
        <f aca="false">IF(D64&lt;=0,0,ROUND(MIN(D64,Calculator!$H$6-E64),2))</f>
        <v>519.4</v>
      </c>
      <c r="G64" s="26" t="n">
        <f aca="false">ROUND(E64+F64,2)</f>
        <v>2654.69</v>
      </c>
      <c r="H64" s="26" t="n">
        <f aca="false">ROUND(MAX(0,D64-F64),2)</f>
        <v>393688.01</v>
      </c>
      <c r="I64" s="26" t="n">
        <f aca="false">ROUND(E64+I63,2)</f>
        <v>130314.72</v>
      </c>
    </row>
    <row r="65" customFormat="false" ht="15" hidden="false" customHeight="true" outlineLevel="0" collapsed="false">
      <c r="A65" s="19" t="n">
        <f aca="false">A64+1</f>
        <v>60</v>
      </c>
      <c r="B65" s="18" t="n">
        <f aca="false">EDATE(B64,1)</f>
        <v>48092</v>
      </c>
      <c r="C65" s="19" t="n">
        <f aca="false">ROUNDUP(A65/12,0)</f>
        <v>5</v>
      </c>
      <c r="D65" s="26" t="n">
        <f aca="false">H64</f>
        <v>393688.01</v>
      </c>
      <c r="E65" s="26" t="n">
        <f aca="false">IF(D65&lt;=0,0,ROUND(D65*Calculator!$B$7/12,2))</f>
        <v>2132.48</v>
      </c>
      <c r="F65" s="26" t="n">
        <f aca="false">IF(D65&lt;=0,0,ROUND(MIN(D65,Calculator!$H$6-E65),2))</f>
        <v>522.21</v>
      </c>
      <c r="G65" s="26" t="n">
        <f aca="false">ROUND(E65+F65,2)</f>
        <v>2654.69</v>
      </c>
      <c r="H65" s="26" t="n">
        <f aca="false">ROUND(MAX(0,D65-F65),2)</f>
        <v>393165.8</v>
      </c>
      <c r="I65" s="26" t="n">
        <f aca="false">ROUND(E65+I64,2)</f>
        <v>132447.2</v>
      </c>
    </row>
    <row r="66" customFormat="false" ht="15" hidden="false" customHeight="true" outlineLevel="0" collapsed="false">
      <c r="A66" s="19" t="n">
        <f aca="false">A65+1</f>
        <v>61</v>
      </c>
      <c r="B66" s="18" t="n">
        <f aca="false">EDATE(B65,1)</f>
        <v>48122</v>
      </c>
      <c r="C66" s="19" t="n">
        <f aca="false">ROUNDUP(A66/12,0)</f>
        <v>6</v>
      </c>
      <c r="D66" s="26" t="n">
        <f aca="false">H65</f>
        <v>393165.8</v>
      </c>
      <c r="E66" s="26" t="n">
        <f aca="false">IF(D66&lt;=0,0,ROUND(D66*Calculator!$B$7/12,2))</f>
        <v>2129.65</v>
      </c>
      <c r="F66" s="26" t="n">
        <f aca="false">IF(D66&lt;=0,0,ROUND(MIN(D66,Calculator!$H$6-E66),2))</f>
        <v>525.04</v>
      </c>
      <c r="G66" s="26" t="n">
        <f aca="false">ROUND(E66+F66,2)</f>
        <v>2654.69</v>
      </c>
      <c r="H66" s="26" t="n">
        <f aca="false">ROUND(MAX(0,D66-F66),2)</f>
        <v>392640.76</v>
      </c>
      <c r="I66" s="26" t="n">
        <f aca="false">ROUND(E66+I65,2)</f>
        <v>134576.85</v>
      </c>
    </row>
    <row r="67" customFormat="false" ht="15" hidden="false" customHeight="true" outlineLevel="0" collapsed="false">
      <c r="A67" s="19" t="n">
        <f aca="false">A66+1</f>
        <v>62</v>
      </c>
      <c r="B67" s="18" t="n">
        <f aca="false">EDATE(B66,1)</f>
        <v>48153</v>
      </c>
      <c r="C67" s="19" t="n">
        <f aca="false">ROUNDUP(A67/12,0)</f>
        <v>6</v>
      </c>
      <c r="D67" s="26" t="n">
        <f aca="false">H66</f>
        <v>392640.76</v>
      </c>
      <c r="E67" s="26" t="n">
        <f aca="false">IF(D67&lt;=0,0,ROUND(D67*Calculator!$B$7/12,2))</f>
        <v>2126.8</v>
      </c>
      <c r="F67" s="26" t="n">
        <f aca="false">IF(D67&lt;=0,0,ROUND(MIN(D67,Calculator!$H$6-E67),2))</f>
        <v>527.89</v>
      </c>
      <c r="G67" s="26" t="n">
        <f aca="false">ROUND(E67+F67,2)</f>
        <v>2654.69</v>
      </c>
      <c r="H67" s="26" t="n">
        <f aca="false">ROUND(MAX(0,D67-F67),2)</f>
        <v>392112.87</v>
      </c>
      <c r="I67" s="26" t="n">
        <f aca="false">ROUND(E67+I66,2)</f>
        <v>136703.65</v>
      </c>
    </row>
    <row r="68" customFormat="false" ht="15" hidden="false" customHeight="true" outlineLevel="0" collapsed="false">
      <c r="A68" s="19" t="n">
        <f aca="false">A67+1</f>
        <v>63</v>
      </c>
      <c r="B68" s="18" t="n">
        <f aca="false">EDATE(B67,1)</f>
        <v>48183</v>
      </c>
      <c r="C68" s="19" t="n">
        <f aca="false">ROUNDUP(A68/12,0)</f>
        <v>6</v>
      </c>
      <c r="D68" s="26" t="n">
        <f aca="false">H67</f>
        <v>392112.87</v>
      </c>
      <c r="E68" s="26" t="n">
        <f aca="false">IF(D68&lt;=0,0,ROUND(D68*Calculator!$B$7/12,2))</f>
        <v>2123.94</v>
      </c>
      <c r="F68" s="26" t="n">
        <f aca="false">IF(D68&lt;=0,0,ROUND(MIN(D68,Calculator!$H$6-E68),2))</f>
        <v>530.75</v>
      </c>
      <c r="G68" s="26" t="n">
        <f aca="false">ROUND(E68+F68,2)</f>
        <v>2654.69</v>
      </c>
      <c r="H68" s="26" t="n">
        <f aca="false">ROUND(MAX(0,D68-F68),2)</f>
        <v>391582.12</v>
      </c>
      <c r="I68" s="26" t="n">
        <f aca="false">ROUND(E68+I67,2)</f>
        <v>138827.59</v>
      </c>
    </row>
    <row r="69" customFormat="false" ht="15" hidden="false" customHeight="true" outlineLevel="0" collapsed="false">
      <c r="A69" s="19" t="n">
        <f aca="false">A68+1</f>
        <v>64</v>
      </c>
      <c r="B69" s="18" t="n">
        <f aca="false">EDATE(B68,1)</f>
        <v>48214</v>
      </c>
      <c r="C69" s="19" t="n">
        <f aca="false">ROUNDUP(A69/12,0)</f>
        <v>6</v>
      </c>
      <c r="D69" s="26" t="n">
        <f aca="false">H68</f>
        <v>391582.12</v>
      </c>
      <c r="E69" s="26" t="n">
        <f aca="false">IF(D69&lt;=0,0,ROUND(D69*Calculator!$B$7/12,2))</f>
        <v>2121.07</v>
      </c>
      <c r="F69" s="26" t="n">
        <f aca="false">IF(D69&lt;=0,0,ROUND(MIN(D69,Calculator!$H$6-E69),2))</f>
        <v>533.62</v>
      </c>
      <c r="G69" s="26" t="n">
        <f aca="false">ROUND(E69+F69,2)</f>
        <v>2654.69</v>
      </c>
      <c r="H69" s="26" t="n">
        <f aca="false">ROUND(MAX(0,D69-F69),2)</f>
        <v>391048.5</v>
      </c>
      <c r="I69" s="26" t="n">
        <f aca="false">ROUND(E69+I68,2)</f>
        <v>140948.66</v>
      </c>
    </row>
    <row r="70" customFormat="false" ht="15" hidden="false" customHeight="true" outlineLevel="0" collapsed="false">
      <c r="A70" s="19" t="n">
        <f aca="false">A69+1</f>
        <v>65</v>
      </c>
      <c r="B70" s="18" t="n">
        <f aca="false">EDATE(B69,1)</f>
        <v>48245</v>
      </c>
      <c r="C70" s="19" t="n">
        <f aca="false">ROUNDUP(A70/12,0)</f>
        <v>6</v>
      </c>
      <c r="D70" s="26" t="n">
        <f aca="false">H69</f>
        <v>391048.5</v>
      </c>
      <c r="E70" s="26" t="n">
        <f aca="false">IF(D70&lt;=0,0,ROUND(D70*Calculator!$B$7/12,2))</f>
        <v>2118.18</v>
      </c>
      <c r="F70" s="26" t="n">
        <f aca="false">IF(D70&lt;=0,0,ROUND(MIN(D70,Calculator!$H$6-E70),2))</f>
        <v>536.51</v>
      </c>
      <c r="G70" s="26" t="n">
        <f aca="false">ROUND(E70+F70,2)</f>
        <v>2654.69</v>
      </c>
      <c r="H70" s="26" t="n">
        <f aca="false">ROUND(MAX(0,D70-F70),2)</f>
        <v>390511.99</v>
      </c>
      <c r="I70" s="26" t="n">
        <f aca="false">ROUND(E70+I69,2)</f>
        <v>143066.84</v>
      </c>
    </row>
    <row r="71" customFormat="false" ht="15" hidden="false" customHeight="true" outlineLevel="0" collapsed="false">
      <c r="A71" s="19" t="n">
        <f aca="false">A70+1</f>
        <v>66</v>
      </c>
      <c r="B71" s="18" t="n">
        <f aca="false">EDATE(B70,1)</f>
        <v>48274</v>
      </c>
      <c r="C71" s="19" t="n">
        <f aca="false">ROUNDUP(A71/12,0)</f>
        <v>6</v>
      </c>
      <c r="D71" s="26" t="n">
        <f aca="false">H70</f>
        <v>390511.99</v>
      </c>
      <c r="E71" s="26" t="n">
        <f aca="false">IF(D71&lt;=0,0,ROUND(D71*Calculator!$B$7/12,2))</f>
        <v>2115.27</v>
      </c>
      <c r="F71" s="26" t="n">
        <f aca="false">IF(D71&lt;=0,0,ROUND(MIN(D71,Calculator!$H$6-E71),2))</f>
        <v>539.42</v>
      </c>
      <c r="G71" s="26" t="n">
        <f aca="false">ROUND(E71+F71,2)</f>
        <v>2654.69</v>
      </c>
      <c r="H71" s="26" t="n">
        <f aca="false">ROUND(MAX(0,D71-F71),2)</f>
        <v>389972.57</v>
      </c>
      <c r="I71" s="26" t="n">
        <f aca="false">ROUND(E71+I70,2)</f>
        <v>145182.11</v>
      </c>
    </row>
    <row r="72" customFormat="false" ht="15" hidden="false" customHeight="true" outlineLevel="0" collapsed="false">
      <c r="A72" s="19" t="n">
        <f aca="false">A71+1</f>
        <v>67</v>
      </c>
      <c r="B72" s="18" t="n">
        <f aca="false">EDATE(B71,1)</f>
        <v>48305</v>
      </c>
      <c r="C72" s="19" t="n">
        <f aca="false">ROUNDUP(A72/12,0)</f>
        <v>6</v>
      </c>
      <c r="D72" s="26" t="n">
        <f aca="false">H71</f>
        <v>389972.57</v>
      </c>
      <c r="E72" s="26" t="n">
        <f aca="false">IF(D72&lt;=0,0,ROUND(D72*Calculator!$B$7/12,2))</f>
        <v>2112.35</v>
      </c>
      <c r="F72" s="26" t="n">
        <f aca="false">IF(D72&lt;=0,0,ROUND(MIN(D72,Calculator!$H$6-E72),2))</f>
        <v>542.34</v>
      </c>
      <c r="G72" s="26" t="n">
        <f aca="false">ROUND(E72+F72,2)</f>
        <v>2654.69</v>
      </c>
      <c r="H72" s="26" t="n">
        <f aca="false">ROUND(MAX(0,D72-F72),2)</f>
        <v>389430.23</v>
      </c>
      <c r="I72" s="26" t="n">
        <f aca="false">ROUND(E72+I71,2)</f>
        <v>147294.46</v>
      </c>
    </row>
    <row r="73" customFormat="false" ht="15" hidden="false" customHeight="true" outlineLevel="0" collapsed="false">
      <c r="A73" s="19" t="n">
        <f aca="false">A72+1</f>
        <v>68</v>
      </c>
      <c r="B73" s="18" t="n">
        <f aca="false">EDATE(B72,1)</f>
        <v>48335</v>
      </c>
      <c r="C73" s="19" t="n">
        <f aca="false">ROUNDUP(A73/12,0)</f>
        <v>6</v>
      </c>
      <c r="D73" s="26" t="n">
        <f aca="false">H72</f>
        <v>389430.23</v>
      </c>
      <c r="E73" s="26" t="n">
        <f aca="false">IF(D73&lt;=0,0,ROUND(D73*Calculator!$B$7/12,2))</f>
        <v>2109.41</v>
      </c>
      <c r="F73" s="26" t="n">
        <f aca="false">IF(D73&lt;=0,0,ROUND(MIN(D73,Calculator!$H$6-E73),2))</f>
        <v>545.28</v>
      </c>
      <c r="G73" s="26" t="n">
        <f aca="false">ROUND(E73+F73,2)</f>
        <v>2654.69</v>
      </c>
      <c r="H73" s="26" t="n">
        <f aca="false">ROUND(MAX(0,D73-F73),2)</f>
        <v>388884.95</v>
      </c>
      <c r="I73" s="26" t="n">
        <f aca="false">ROUND(E73+I72,2)</f>
        <v>149403.87</v>
      </c>
    </row>
    <row r="74" customFormat="false" ht="15" hidden="false" customHeight="true" outlineLevel="0" collapsed="false">
      <c r="A74" s="19" t="n">
        <f aca="false">A73+1</f>
        <v>69</v>
      </c>
      <c r="B74" s="18" t="n">
        <f aca="false">EDATE(B73,1)</f>
        <v>48366</v>
      </c>
      <c r="C74" s="19" t="n">
        <f aca="false">ROUNDUP(A74/12,0)</f>
        <v>6</v>
      </c>
      <c r="D74" s="26" t="n">
        <f aca="false">H73</f>
        <v>388884.95</v>
      </c>
      <c r="E74" s="26" t="n">
        <f aca="false">IF(D74&lt;=0,0,ROUND(D74*Calculator!$B$7/12,2))</f>
        <v>2106.46</v>
      </c>
      <c r="F74" s="26" t="n">
        <f aca="false">IF(D74&lt;=0,0,ROUND(MIN(D74,Calculator!$H$6-E74),2))</f>
        <v>548.23</v>
      </c>
      <c r="G74" s="26" t="n">
        <f aca="false">ROUND(E74+F74,2)</f>
        <v>2654.69</v>
      </c>
      <c r="H74" s="26" t="n">
        <f aca="false">ROUND(MAX(0,D74-F74),2)</f>
        <v>388336.72</v>
      </c>
      <c r="I74" s="26" t="n">
        <f aca="false">ROUND(E74+I73,2)</f>
        <v>151510.33</v>
      </c>
    </row>
    <row r="75" customFormat="false" ht="15" hidden="false" customHeight="true" outlineLevel="0" collapsed="false">
      <c r="A75" s="19" t="n">
        <f aca="false">A74+1</f>
        <v>70</v>
      </c>
      <c r="B75" s="18" t="n">
        <f aca="false">EDATE(B74,1)</f>
        <v>48396</v>
      </c>
      <c r="C75" s="19" t="n">
        <f aca="false">ROUNDUP(A75/12,0)</f>
        <v>6</v>
      </c>
      <c r="D75" s="26" t="n">
        <f aca="false">H74</f>
        <v>388336.72</v>
      </c>
      <c r="E75" s="26" t="n">
        <f aca="false">IF(D75&lt;=0,0,ROUND(D75*Calculator!$B$7/12,2))</f>
        <v>2103.49</v>
      </c>
      <c r="F75" s="26" t="n">
        <f aca="false">IF(D75&lt;=0,0,ROUND(MIN(D75,Calculator!$H$6-E75),2))</f>
        <v>551.2</v>
      </c>
      <c r="G75" s="26" t="n">
        <f aca="false">ROUND(E75+F75,2)</f>
        <v>2654.69</v>
      </c>
      <c r="H75" s="26" t="n">
        <f aca="false">ROUND(MAX(0,D75-F75),2)</f>
        <v>387785.52</v>
      </c>
      <c r="I75" s="26" t="n">
        <f aca="false">ROUND(E75+I74,2)</f>
        <v>153613.82</v>
      </c>
    </row>
    <row r="76" customFormat="false" ht="15" hidden="false" customHeight="true" outlineLevel="0" collapsed="false">
      <c r="A76" s="19" t="n">
        <f aca="false">A75+1</f>
        <v>71</v>
      </c>
      <c r="B76" s="18" t="n">
        <f aca="false">EDATE(B75,1)</f>
        <v>48427</v>
      </c>
      <c r="C76" s="19" t="n">
        <f aca="false">ROUNDUP(A76/12,0)</f>
        <v>6</v>
      </c>
      <c r="D76" s="26" t="n">
        <f aca="false">H75</f>
        <v>387785.52</v>
      </c>
      <c r="E76" s="26" t="n">
        <f aca="false">IF(D76&lt;=0,0,ROUND(D76*Calculator!$B$7/12,2))</f>
        <v>2100.5</v>
      </c>
      <c r="F76" s="26" t="n">
        <f aca="false">IF(D76&lt;=0,0,ROUND(MIN(D76,Calculator!$H$6-E76),2))</f>
        <v>554.19</v>
      </c>
      <c r="G76" s="26" t="n">
        <f aca="false">ROUND(E76+F76,2)</f>
        <v>2654.69</v>
      </c>
      <c r="H76" s="26" t="n">
        <f aca="false">ROUND(MAX(0,D76-F76),2)</f>
        <v>387231.33</v>
      </c>
      <c r="I76" s="26" t="n">
        <f aca="false">ROUND(E76+I75,2)</f>
        <v>155714.32</v>
      </c>
    </row>
    <row r="77" customFormat="false" ht="15" hidden="false" customHeight="true" outlineLevel="0" collapsed="false">
      <c r="A77" s="19" t="n">
        <f aca="false">A76+1</f>
        <v>72</v>
      </c>
      <c r="B77" s="18" t="n">
        <f aca="false">EDATE(B76,1)</f>
        <v>48458</v>
      </c>
      <c r="C77" s="19" t="n">
        <f aca="false">ROUNDUP(A77/12,0)</f>
        <v>6</v>
      </c>
      <c r="D77" s="26" t="n">
        <f aca="false">H76</f>
        <v>387231.33</v>
      </c>
      <c r="E77" s="26" t="n">
        <f aca="false">IF(D77&lt;=0,0,ROUND(D77*Calculator!$B$7/12,2))</f>
        <v>2097.5</v>
      </c>
      <c r="F77" s="26" t="n">
        <f aca="false">IF(D77&lt;=0,0,ROUND(MIN(D77,Calculator!$H$6-E77),2))</f>
        <v>557.19</v>
      </c>
      <c r="G77" s="26" t="n">
        <f aca="false">ROUND(E77+F77,2)</f>
        <v>2654.69</v>
      </c>
      <c r="H77" s="26" t="n">
        <f aca="false">ROUND(MAX(0,D77-F77),2)</f>
        <v>386674.14</v>
      </c>
      <c r="I77" s="26" t="n">
        <f aca="false">ROUND(E77+I76,2)</f>
        <v>157811.82</v>
      </c>
    </row>
    <row r="78" customFormat="false" ht="15" hidden="false" customHeight="true" outlineLevel="0" collapsed="false">
      <c r="A78" s="19" t="n">
        <f aca="false">A77+1</f>
        <v>73</v>
      </c>
      <c r="B78" s="18" t="n">
        <f aca="false">EDATE(B77,1)</f>
        <v>48488</v>
      </c>
      <c r="C78" s="19" t="n">
        <f aca="false">ROUNDUP(A78/12,0)</f>
        <v>7</v>
      </c>
      <c r="D78" s="26" t="n">
        <f aca="false">H77</f>
        <v>386674.14</v>
      </c>
      <c r="E78" s="26" t="n">
        <f aca="false">IF(D78&lt;=0,0,ROUND(D78*Calculator!$B$7/12,2))</f>
        <v>2094.48</v>
      </c>
      <c r="F78" s="26" t="n">
        <f aca="false">IF(D78&lt;=0,0,ROUND(MIN(D78,Calculator!$H$6-E78),2))</f>
        <v>560.21</v>
      </c>
      <c r="G78" s="26" t="n">
        <f aca="false">ROUND(E78+F78,2)</f>
        <v>2654.69</v>
      </c>
      <c r="H78" s="26" t="n">
        <f aca="false">ROUND(MAX(0,D78-F78),2)</f>
        <v>386113.93</v>
      </c>
      <c r="I78" s="26" t="n">
        <f aca="false">ROUND(E78+I77,2)</f>
        <v>159906.3</v>
      </c>
    </row>
    <row r="79" customFormat="false" ht="15" hidden="false" customHeight="true" outlineLevel="0" collapsed="false">
      <c r="A79" s="19" t="n">
        <f aca="false">A78+1</f>
        <v>74</v>
      </c>
      <c r="B79" s="18" t="n">
        <f aca="false">EDATE(B78,1)</f>
        <v>48519</v>
      </c>
      <c r="C79" s="19" t="n">
        <f aca="false">ROUNDUP(A79/12,0)</f>
        <v>7</v>
      </c>
      <c r="D79" s="26" t="n">
        <f aca="false">H78</f>
        <v>386113.93</v>
      </c>
      <c r="E79" s="26" t="n">
        <f aca="false">IF(D79&lt;=0,0,ROUND(D79*Calculator!$B$7/12,2))</f>
        <v>2091.45</v>
      </c>
      <c r="F79" s="26" t="n">
        <f aca="false">IF(D79&lt;=0,0,ROUND(MIN(D79,Calculator!$H$6-E79),2))</f>
        <v>563.24</v>
      </c>
      <c r="G79" s="26" t="n">
        <f aca="false">ROUND(E79+F79,2)</f>
        <v>2654.69</v>
      </c>
      <c r="H79" s="26" t="n">
        <f aca="false">ROUND(MAX(0,D79-F79),2)</f>
        <v>385550.69</v>
      </c>
      <c r="I79" s="26" t="n">
        <f aca="false">ROUND(E79+I78,2)</f>
        <v>161997.75</v>
      </c>
    </row>
    <row r="80" customFormat="false" ht="15" hidden="false" customHeight="true" outlineLevel="0" collapsed="false">
      <c r="A80" s="19" t="n">
        <f aca="false">A79+1</f>
        <v>75</v>
      </c>
      <c r="B80" s="18" t="n">
        <f aca="false">EDATE(B79,1)</f>
        <v>48549</v>
      </c>
      <c r="C80" s="19" t="n">
        <f aca="false">ROUNDUP(A80/12,0)</f>
        <v>7</v>
      </c>
      <c r="D80" s="26" t="n">
        <f aca="false">H79</f>
        <v>385550.69</v>
      </c>
      <c r="E80" s="26" t="n">
        <f aca="false">IF(D80&lt;=0,0,ROUND(D80*Calculator!$B$7/12,2))</f>
        <v>2088.4</v>
      </c>
      <c r="F80" s="26" t="n">
        <f aca="false">IF(D80&lt;=0,0,ROUND(MIN(D80,Calculator!$H$6-E80),2))</f>
        <v>566.29</v>
      </c>
      <c r="G80" s="26" t="n">
        <f aca="false">ROUND(E80+F80,2)</f>
        <v>2654.69</v>
      </c>
      <c r="H80" s="26" t="n">
        <f aca="false">ROUND(MAX(0,D80-F80),2)</f>
        <v>384984.4</v>
      </c>
      <c r="I80" s="26" t="n">
        <f aca="false">ROUND(E80+I79,2)</f>
        <v>164086.15</v>
      </c>
    </row>
    <row r="81" customFormat="false" ht="15" hidden="false" customHeight="true" outlineLevel="0" collapsed="false">
      <c r="A81" s="19" t="n">
        <f aca="false">A80+1</f>
        <v>76</v>
      </c>
      <c r="B81" s="18" t="n">
        <f aca="false">EDATE(B80,1)</f>
        <v>48580</v>
      </c>
      <c r="C81" s="19" t="n">
        <f aca="false">ROUNDUP(A81/12,0)</f>
        <v>7</v>
      </c>
      <c r="D81" s="26" t="n">
        <f aca="false">H80</f>
        <v>384984.4</v>
      </c>
      <c r="E81" s="26" t="n">
        <f aca="false">IF(D81&lt;=0,0,ROUND(D81*Calculator!$B$7/12,2))</f>
        <v>2085.33</v>
      </c>
      <c r="F81" s="26" t="n">
        <f aca="false">IF(D81&lt;=0,0,ROUND(MIN(D81,Calculator!$H$6-E81),2))</f>
        <v>569.36</v>
      </c>
      <c r="G81" s="26" t="n">
        <f aca="false">ROUND(E81+F81,2)</f>
        <v>2654.69</v>
      </c>
      <c r="H81" s="26" t="n">
        <f aca="false">ROUND(MAX(0,D81-F81),2)</f>
        <v>384415.04</v>
      </c>
      <c r="I81" s="26" t="n">
        <f aca="false">ROUND(E81+I80,2)</f>
        <v>166171.48</v>
      </c>
    </row>
    <row r="82" customFormat="false" ht="15" hidden="false" customHeight="true" outlineLevel="0" collapsed="false">
      <c r="A82" s="19" t="n">
        <f aca="false">A81+1</f>
        <v>77</v>
      </c>
      <c r="B82" s="18" t="n">
        <f aca="false">EDATE(B81,1)</f>
        <v>48611</v>
      </c>
      <c r="C82" s="19" t="n">
        <f aca="false">ROUNDUP(A82/12,0)</f>
        <v>7</v>
      </c>
      <c r="D82" s="26" t="n">
        <f aca="false">H81</f>
        <v>384415.04</v>
      </c>
      <c r="E82" s="26" t="n">
        <f aca="false">IF(D82&lt;=0,0,ROUND(D82*Calculator!$B$7/12,2))</f>
        <v>2082.25</v>
      </c>
      <c r="F82" s="26" t="n">
        <f aca="false">IF(D82&lt;=0,0,ROUND(MIN(D82,Calculator!$H$6-E82),2))</f>
        <v>572.44</v>
      </c>
      <c r="G82" s="26" t="n">
        <f aca="false">ROUND(E82+F82,2)</f>
        <v>2654.69</v>
      </c>
      <c r="H82" s="26" t="n">
        <f aca="false">ROUND(MAX(0,D82-F82),2)</f>
        <v>383842.6</v>
      </c>
      <c r="I82" s="26" t="n">
        <f aca="false">ROUND(E82+I81,2)</f>
        <v>168253.73</v>
      </c>
    </row>
    <row r="83" customFormat="false" ht="15" hidden="false" customHeight="true" outlineLevel="0" collapsed="false">
      <c r="A83" s="19" t="n">
        <f aca="false">A82+1</f>
        <v>78</v>
      </c>
      <c r="B83" s="18" t="n">
        <f aca="false">EDATE(B82,1)</f>
        <v>48639</v>
      </c>
      <c r="C83" s="19" t="n">
        <f aca="false">ROUNDUP(A83/12,0)</f>
        <v>7</v>
      </c>
      <c r="D83" s="26" t="n">
        <f aca="false">H82</f>
        <v>383842.6</v>
      </c>
      <c r="E83" s="26" t="n">
        <f aca="false">IF(D83&lt;=0,0,ROUND(D83*Calculator!$B$7/12,2))</f>
        <v>2079.15</v>
      </c>
      <c r="F83" s="26" t="n">
        <f aca="false">IF(D83&lt;=0,0,ROUND(MIN(D83,Calculator!$H$6-E83),2))</f>
        <v>575.54</v>
      </c>
      <c r="G83" s="26" t="n">
        <f aca="false">ROUND(E83+F83,2)</f>
        <v>2654.69</v>
      </c>
      <c r="H83" s="26" t="n">
        <f aca="false">ROUND(MAX(0,D83-F83),2)</f>
        <v>383267.06</v>
      </c>
      <c r="I83" s="26" t="n">
        <f aca="false">ROUND(E83+I82,2)</f>
        <v>170332.88</v>
      </c>
    </row>
    <row r="84" customFormat="false" ht="15" hidden="false" customHeight="true" outlineLevel="0" collapsed="false">
      <c r="A84" s="19" t="n">
        <f aca="false">A83+1</f>
        <v>79</v>
      </c>
      <c r="B84" s="18" t="n">
        <f aca="false">EDATE(B83,1)</f>
        <v>48670</v>
      </c>
      <c r="C84" s="19" t="n">
        <f aca="false">ROUNDUP(A84/12,0)</f>
        <v>7</v>
      </c>
      <c r="D84" s="26" t="n">
        <f aca="false">H83</f>
        <v>383267.06</v>
      </c>
      <c r="E84" s="26" t="n">
        <f aca="false">IF(D84&lt;=0,0,ROUND(D84*Calculator!$B$7/12,2))</f>
        <v>2076.03</v>
      </c>
      <c r="F84" s="26" t="n">
        <f aca="false">IF(D84&lt;=0,0,ROUND(MIN(D84,Calculator!$H$6-E84),2))</f>
        <v>578.66</v>
      </c>
      <c r="G84" s="26" t="n">
        <f aca="false">ROUND(E84+F84,2)</f>
        <v>2654.69</v>
      </c>
      <c r="H84" s="26" t="n">
        <f aca="false">ROUND(MAX(0,D84-F84),2)</f>
        <v>382688.4</v>
      </c>
      <c r="I84" s="26" t="n">
        <f aca="false">ROUND(E84+I83,2)</f>
        <v>172408.91</v>
      </c>
    </row>
    <row r="85" customFormat="false" ht="15" hidden="false" customHeight="true" outlineLevel="0" collapsed="false">
      <c r="A85" s="19" t="n">
        <f aca="false">A84+1</f>
        <v>80</v>
      </c>
      <c r="B85" s="18" t="n">
        <f aca="false">EDATE(B84,1)</f>
        <v>48700</v>
      </c>
      <c r="C85" s="19" t="n">
        <f aca="false">ROUNDUP(A85/12,0)</f>
        <v>7</v>
      </c>
      <c r="D85" s="26" t="n">
        <f aca="false">H84</f>
        <v>382688.4</v>
      </c>
      <c r="E85" s="26" t="n">
        <f aca="false">IF(D85&lt;=0,0,ROUND(D85*Calculator!$B$7/12,2))</f>
        <v>2072.9</v>
      </c>
      <c r="F85" s="26" t="n">
        <f aca="false">IF(D85&lt;=0,0,ROUND(MIN(D85,Calculator!$H$6-E85),2))</f>
        <v>581.79</v>
      </c>
      <c r="G85" s="26" t="n">
        <f aca="false">ROUND(E85+F85,2)</f>
        <v>2654.69</v>
      </c>
      <c r="H85" s="26" t="n">
        <f aca="false">ROUND(MAX(0,D85-F85),2)</f>
        <v>382106.61</v>
      </c>
      <c r="I85" s="26" t="n">
        <f aca="false">ROUND(E85+I84,2)</f>
        <v>174481.81</v>
      </c>
    </row>
    <row r="86" customFormat="false" ht="15" hidden="false" customHeight="true" outlineLevel="0" collapsed="false">
      <c r="A86" s="19" t="n">
        <f aca="false">A85+1</f>
        <v>81</v>
      </c>
      <c r="B86" s="18" t="n">
        <f aca="false">EDATE(B85,1)</f>
        <v>48731</v>
      </c>
      <c r="C86" s="19" t="n">
        <f aca="false">ROUNDUP(A86/12,0)</f>
        <v>7</v>
      </c>
      <c r="D86" s="26" t="n">
        <f aca="false">H85</f>
        <v>382106.61</v>
      </c>
      <c r="E86" s="26" t="n">
        <f aca="false">IF(D86&lt;=0,0,ROUND(D86*Calculator!$B$7/12,2))</f>
        <v>2069.74</v>
      </c>
      <c r="F86" s="26" t="n">
        <f aca="false">IF(D86&lt;=0,0,ROUND(MIN(D86,Calculator!$H$6-E86),2))</f>
        <v>584.95</v>
      </c>
      <c r="G86" s="26" t="n">
        <f aca="false">ROUND(E86+F86,2)</f>
        <v>2654.69</v>
      </c>
      <c r="H86" s="26" t="n">
        <f aca="false">ROUND(MAX(0,D86-F86),2)</f>
        <v>381521.66</v>
      </c>
      <c r="I86" s="26" t="n">
        <f aca="false">ROUND(E86+I85,2)</f>
        <v>176551.55</v>
      </c>
    </row>
    <row r="87" customFormat="false" ht="15" hidden="false" customHeight="true" outlineLevel="0" collapsed="false">
      <c r="A87" s="19" t="n">
        <f aca="false">A86+1</f>
        <v>82</v>
      </c>
      <c r="B87" s="18" t="n">
        <f aca="false">EDATE(B86,1)</f>
        <v>48761</v>
      </c>
      <c r="C87" s="19" t="n">
        <f aca="false">ROUNDUP(A87/12,0)</f>
        <v>7</v>
      </c>
      <c r="D87" s="26" t="n">
        <f aca="false">H86</f>
        <v>381521.66</v>
      </c>
      <c r="E87" s="26" t="n">
        <f aca="false">IF(D87&lt;=0,0,ROUND(D87*Calculator!$B$7/12,2))</f>
        <v>2066.58</v>
      </c>
      <c r="F87" s="26" t="n">
        <f aca="false">IF(D87&lt;=0,0,ROUND(MIN(D87,Calculator!$H$6-E87),2))</f>
        <v>588.11</v>
      </c>
      <c r="G87" s="26" t="n">
        <f aca="false">ROUND(E87+F87,2)</f>
        <v>2654.69</v>
      </c>
      <c r="H87" s="26" t="n">
        <f aca="false">ROUND(MAX(0,D87-F87),2)</f>
        <v>380933.55</v>
      </c>
      <c r="I87" s="26" t="n">
        <f aca="false">ROUND(E87+I86,2)</f>
        <v>178618.13</v>
      </c>
    </row>
    <row r="88" customFormat="false" ht="15" hidden="false" customHeight="true" outlineLevel="0" collapsed="false">
      <c r="A88" s="19" t="n">
        <f aca="false">A87+1</f>
        <v>83</v>
      </c>
      <c r="B88" s="18" t="n">
        <f aca="false">EDATE(B87,1)</f>
        <v>48792</v>
      </c>
      <c r="C88" s="19" t="n">
        <f aca="false">ROUNDUP(A88/12,0)</f>
        <v>7</v>
      </c>
      <c r="D88" s="26" t="n">
        <f aca="false">H87</f>
        <v>380933.55</v>
      </c>
      <c r="E88" s="26" t="n">
        <f aca="false">IF(D88&lt;=0,0,ROUND(D88*Calculator!$B$7/12,2))</f>
        <v>2063.39</v>
      </c>
      <c r="F88" s="26" t="n">
        <f aca="false">IF(D88&lt;=0,0,ROUND(MIN(D88,Calculator!$H$6-E88),2))</f>
        <v>591.3</v>
      </c>
      <c r="G88" s="26" t="n">
        <f aca="false">ROUND(E88+F88,2)</f>
        <v>2654.69</v>
      </c>
      <c r="H88" s="26" t="n">
        <f aca="false">ROUND(MAX(0,D88-F88),2)</f>
        <v>380342.25</v>
      </c>
      <c r="I88" s="26" t="n">
        <f aca="false">ROUND(E88+I87,2)</f>
        <v>180681.52</v>
      </c>
    </row>
    <row r="89" customFormat="false" ht="15" hidden="false" customHeight="true" outlineLevel="0" collapsed="false">
      <c r="A89" s="19" t="n">
        <f aca="false">A88+1</f>
        <v>84</v>
      </c>
      <c r="B89" s="18" t="n">
        <f aca="false">EDATE(B88,1)</f>
        <v>48823</v>
      </c>
      <c r="C89" s="19" t="n">
        <f aca="false">ROUNDUP(A89/12,0)</f>
        <v>7</v>
      </c>
      <c r="D89" s="26" t="n">
        <f aca="false">H88</f>
        <v>380342.25</v>
      </c>
      <c r="E89" s="26" t="n">
        <f aca="false">IF(D89&lt;=0,0,ROUND(D89*Calculator!$B$7/12,2))</f>
        <v>2060.19</v>
      </c>
      <c r="F89" s="26" t="n">
        <f aca="false">IF(D89&lt;=0,0,ROUND(MIN(D89,Calculator!$H$6-E89),2))</f>
        <v>594.5</v>
      </c>
      <c r="G89" s="26" t="n">
        <f aca="false">ROUND(E89+F89,2)</f>
        <v>2654.69</v>
      </c>
      <c r="H89" s="26" t="n">
        <f aca="false">ROUND(MAX(0,D89-F89),2)</f>
        <v>379747.75</v>
      </c>
      <c r="I89" s="26" t="n">
        <f aca="false">ROUND(E89+I88,2)</f>
        <v>182741.71</v>
      </c>
    </row>
    <row r="90" customFormat="false" ht="15" hidden="false" customHeight="true" outlineLevel="0" collapsed="false">
      <c r="A90" s="19" t="n">
        <f aca="false">A89+1</f>
        <v>85</v>
      </c>
      <c r="B90" s="18" t="n">
        <f aca="false">EDATE(B89,1)</f>
        <v>48853</v>
      </c>
      <c r="C90" s="19" t="n">
        <f aca="false">ROUNDUP(A90/12,0)</f>
        <v>8</v>
      </c>
      <c r="D90" s="26" t="n">
        <f aca="false">H89</f>
        <v>379747.75</v>
      </c>
      <c r="E90" s="26" t="n">
        <f aca="false">IF(D90&lt;=0,0,ROUND(D90*Calculator!$B$7/12,2))</f>
        <v>2056.97</v>
      </c>
      <c r="F90" s="26" t="n">
        <f aca="false">IF(D90&lt;=0,0,ROUND(MIN(D90,Calculator!$H$6-E90),2))</f>
        <v>597.72</v>
      </c>
      <c r="G90" s="26" t="n">
        <f aca="false">ROUND(E90+F90,2)</f>
        <v>2654.69</v>
      </c>
      <c r="H90" s="26" t="n">
        <f aca="false">ROUND(MAX(0,D90-F90),2)</f>
        <v>379150.03</v>
      </c>
      <c r="I90" s="26" t="n">
        <f aca="false">ROUND(E90+I89,2)</f>
        <v>184798.68</v>
      </c>
    </row>
    <row r="91" customFormat="false" ht="15" hidden="false" customHeight="true" outlineLevel="0" collapsed="false">
      <c r="A91" s="19" t="n">
        <f aca="false">A90+1</f>
        <v>86</v>
      </c>
      <c r="B91" s="18" t="n">
        <f aca="false">EDATE(B90,1)</f>
        <v>48884</v>
      </c>
      <c r="C91" s="19" t="n">
        <f aca="false">ROUNDUP(A91/12,0)</f>
        <v>8</v>
      </c>
      <c r="D91" s="26" t="n">
        <f aca="false">H90</f>
        <v>379150.03</v>
      </c>
      <c r="E91" s="26" t="n">
        <f aca="false">IF(D91&lt;=0,0,ROUND(D91*Calculator!$B$7/12,2))</f>
        <v>2053.73</v>
      </c>
      <c r="F91" s="26" t="n">
        <f aca="false">IF(D91&lt;=0,0,ROUND(MIN(D91,Calculator!$H$6-E91),2))</f>
        <v>600.96</v>
      </c>
      <c r="G91" s="26" t="n">
        <f aca="false">ROUND(E91+F91,2)</f>
        <v>2654.69</v>
      </c>
      <c r="H91" s="26" t="n">
        <f aca="false">ROUND(MAX(0,D91-F91),2)</f>
        <v>378549.07</v>
      </c>
      <c r="I91" s="26" t="n">
        <f aca="false">ROUND(E91+I90,2)</f>
        <v>186852.41</v>
      </c>
    </row>
    <row r="92" customFormat="false" ht="15" hidden="false" customHeight="true" outlineLevel="0" collapsed="false">
      <c r="A92" s="19" t="n">
        <f aca="false">A91+1</f>
        <v>87</v>
      </c>
      <c r="B92" s="18" t="n">
        <f aca="false">EDATE(B91,1)</f>
        <v>48914</v>
      </c>
      <c r="C92" s="19" t="n">
        <f aca="false">ROUNDUP(A92/12,0)</f>
        <v>8</v>
      </c>
      <c r="D92" s="26" t="n">
        <f aca="false">H91</f>
        <v>378549.07</v>
      </c>
      <c r="E92" s="26" t="n">
        <f aca="false">IF(D92&lt;=0,0,ROUND(D92*Calculator!$B$7/12,2))</f>
        <v>2050.47</v>
      </c>
      <c r="F92" s="26" t="n">
        <f aca="false">IF(D92&lt;=0,0,ROUND(MIN(D92,Calculator!$H$6-E92),2))</f>
        <v>604.22</v>
      </c>
      <c r="G92" s="26" t="n">
        <f aca="false">ROUND(E92+F92,2)</f>
        <v>2654.69</v>
      </c>
      <c r="H92" s="26" t="n">
        <f aca="false">ROUND(MAX(0,D92-F92),2)</f>
        <v>377944.85</v>
      </c>
      <c r="I92" s="26" t="n">
        <f aca="false">ROUND(E92+I91,2)</f>
        <v>188902.88</v>
      </c>
    </row>
    <row r="93" customFormat="false" ht="15" hidden="false" customHeight="true" outlineLevel="0" collapsed="false">
      <c r="A93" s="19" t="n">
        <f aca="false">A92+1</f>
        <v>88</v>
      </c>
      <c r="B93" s="18" t="n">
        <f aca="false">EDATE(B92,1)</f>
        <v>48945</v>
      </c>
      <c r="C93" s="19" t="n">
        <f aca="false">ROUNDUP(A93/12,0)</f>
        <v>8</v>
      </c>
      <c r="D93" s="26" t="n">
        <f aca="false">H92</f>
        <v>377944.85</v>
      </c>
      <c r="E93" s="26" t="n">
        <f aca="false">IF(D93&lt;=0,0,ROUND(D93*Calculator!$B$7/12,2))</f>
        <v>2047.2</v>
      </c>
      <c r="F93" s="26" t="n">
        <f aca="false">IF(D93&lt;=0,0,ROUND(MIN(D93,Calculator!$H$6-E93),2))</f>
        <v>607.49</v>
      </c>
      <c r="G93" s="26" t="n">
        <f aca="false">ROUND(E93+F93,2)</f>
        <v>2654.69</v>
      </c>
      <c r="H93" s="26" t="n">
        <f aca="false">ROUND(MAX(0,D93-F93),2)</f>
        <v>377337.36</v>
      </c>
      <c r="I93" s="26" t="n">
        <f aca="false">ROUND(E93+I92,2)</f>
        <v>190950.08</v>
      </c>
    </row>
    <row r="94" customFormat="false" ht="15" hidden="false" customHeight="true" outlineLevel="0" collapsed="false">
      <c r="A94" s="19" t="n">
        <f aca="false">A93+1</f>
        <v>89</v>
      </c>
      <c r="B94" s="18" t="n">
        <f aca="false">EDATE(B93,1)</f>
        <v>48976</v>
      </c>
      <c r="C94" s="19" t="n">
        <f aca="false">ROUNDUP(A94/12,0)</f>
        <v>8</v>
      </c>
      <c r="D94" s="26" t="n">
        <f aca="false">H93</f>
        <v>377337.36</v>
      </c>
      <c r="E94" s="26" t="n">
        <f aca="false">IF(D94&lt;=0,0,ROUND(D94*Calculator!$B$7/12,2))</f>
        <v>2043.91</v>
      </c>
      <c r="F94" s="26" t="n">
        <f aca="false">IF(D94&lt;=0,0,ROUND(MIN(D94,Calculator!$H$6-E94),2))</f>
        <v>610.78</v>
      </c>
      <c r="G94" s="26" t="n">
        <f aca="false">ROUND(E94+F94,2)</f>
        <v>2654.69</v>
      </c>
      <c r="H94" s="26" t="n">
        <f aca="false">ROUND(MAX(0,D94-F94),2)</f>
        <v>376726.58</v>
      </c>
      <c r="I94" s="26" t="n">
        <f aca="false">ROUND(E94+I93,2)</f>
        <v>192993.99</v>
      </c>
    </row>
    <row r="95" customFormat="false" ht="15" hidden="false" customHeight="true" outlineLevel="0" collapsed="false">
      <c r="A95" s="19" t="n">
        <f aca="false">A94+1</f>
        <v>90</v>
      </c>
      <c r="B95" s="18" t="n">
        <f aca="false">EDATE(B94,1)</f>
        <v>49004</v>
      </c>
      <c r="C95" s="19" t="n">
        <f aca="false">ROUNDUP(A95/12,0)</f>
        <v>8</v>
      </c>
      <c r="D95" s="26" t="n">
        <f aca="false">H94</f>
        <v>376726.58</v>
      </c>
      <c r="E95" s="26" t="n">
        <f aca="false">IF(D95&lt;=0,0,ROUND(D95*Calculator!$B$7/12,2))</f>
        <v>2040.6</v>
      </c>
      <c r="F95" s="26" t="n">
        <f aca="false">IF(D95&lt;=0,0,ROUND(MIN(D95,Calculator!$H$6-E95),2))</f>
        <v>614.09</v>
      </c>
      <c r="G95" s="26" t="n">
        <f aca="false">ROUND(E95+F95,2)</f>
        <v>2654.69</v>
      </c>
      <c r="H95" s="26" t="n">
        <f aca="false">ROUND(MAX(0,D95-F95),2)</f>
        <v>376112.49</v>
      </c>
      <c r="I95" s="26" t="n">
        <f aca="false">ROUND(E95+I94,2)</f>
        <v>195034.59</v>
      </c>
    </row>
    <row r="96" customFormat="false" ht="15" hidden="false" customHeight="true" outlineLevel="0" collapsed="false">
      <c r="A96" s="19" t="n">
        <f aca="false">A95+1</f>
        <v>91</v>
      </c>
      <c r="B96" s="18" t="n">
        <f aca="false">EDATE(B95,1)</f>
        <v>49035</v>
      </c>
      <c r="C96" s="19" t="n">
        <f aca="false">ROUNDUP(A96/12,0)</f>
        <v>8</v>
      </c>
      <c r="D96" s="26" t="n">
        <f aca="false">H95</f>
        <v>376112.49</v>
      </c>
      <c r="E96" s="26" t="n">
        <f aca="false">IF(D96&lt;=0,0,ROUND(D96*Calculator!$B$7/12,2))</f>
        <v>2037.28</v>
      </c>
      <c r="F96" s="26" t="n">
        <f aca="false">IF(D96&lt;=0,0,ROUND(MIN(D96,Calculator!$H$6-E96),2))</f>
        <v>617.41</v>
      </c>
      <c r="G96" s="26" t="n">
        <f aca="false">ROUND(E96+F96,2)</f>
        <v>2654.69</v>
      </c>
      <c r="H96" s="26" t="n">
        <f aca="false">ROUND(MAX(0,D96-F96),2)</f>
        <v>375495.08</v>
      </c>
      <c r="I96" s="26" t="n">
        <f aca="false">ROUND(E96+I95,2)</f>
        <v>197071.87</v>
      </c>
    </row>
    <row r="97" customFormat="false" ht="15" hidden="false" customHeight="true" outlineLevel="0" collapsed="false">
      <c r="A97" s="19" t="n">
        <f aca="false">A96+1</f>
        <v>92</v>
      </c>
      <c r="B97" s="18" t="n">
        <f aca="false">EDATE(B96,1)</f>
        <v>49065</v>
      </c>
      <c r="C97" s="19" t="n">
        <f aca="false">ROUNDUP(A97/12,0)</f>
        <v>8</v>
      </c>
      <c r="D97" s="26" t="n">
        <f aca="false">H96</f>
        <v>375495.08</v>
      </c>
      <c r="E97" s="26" t="n">
        <f aca="false">IF(D97&lt;=0,0,ROUND(D97*Calculator!$B$7/12,2))</f>
        <v>2033.93</v>
      </c>
      <c r="F97" s="26" t="n">
        <f aca="false">IF(D97&lt;=0,0,ROUND(MIN(D97,Calculator!$H$6-E97),2))</f>
        <v>620.76</v>
      </c>
      <c r="G97" s="26" t="n">
        <f aca="false">ROUND(E97+F97,2)</f>
        <v>2654.69</v>
      </c>
      <c r="H97" s="26" t="n">
        <f aca="false">ROUND(MAX(0,D97-F97),2)</f>
        <v>374874.32</v>
      </c>
      <c r="I97" s="26" t="n">
        <f aca="false">ROUND(E97+I96,2)</f>
        <v>199105.8</v>
      </c>
    </row>
    <row r="98" customFormat="false" ht="15" hidden="false" customHeight="true" outlineLevel="0" collapsed="false">
      <c r="A98" s="19" t="n">
        <f aca="false">A97+1</f>
        <v>93</v>
      </c>
      <c r="B98" s="18" t="n">
        <f aca="false">EDATE(B97,1)</f>
        <v>49096</v>
      </c>
      <c r="C98" s="19" t="n">
        <f aca="false">ROUNDUP(A98/12,0)</f>
        <v>8</v>
      </c>
      <c r="D98" s="26" t="n">
        <f aca="false">H97</f>
        <v>374874.32</v>
      </c>
      <c r="E98" s="26" t="n">
        <f aca="false">IF(D98&lt;=0,0,ROUND(D98*Calculator!$B$7/12,2))</f>
        <v>2030.57</v>
      </c>
      <c r="F98" s="26" t="n">
        <f aca="false">IF(D98&lt;=0,0,ROUND(MIN(D98,Calculator!$H$6-E98),2))</f>
        <v>624.12</v>
      </c>
      <c r="G98" s="26" t="n">
        <f aca="false">ROUND(E98+F98,2)</f>
        <v>2654.69</v>
      </c>
      <c r="H98" s="26" t="n">
        <f aca="false">ROUND(MAX(0,D98-F98),2)</f>
        <v>374250.2</v>
      </c>
      <c r="I98" s="26" t="n">
        <f aca="false">ROUND(E98+I97,2)</f>
        <v>201136.37</v>
      </c>
    </row>
    <row r="99" customFormat="false" ht="15" hidden="false" customHeight="true" outlineLevel="0" collapsed="false">
      <c r="A99" s="19" t="n">
        <f aca="false">A98+1</f>
        <v>94</v>
      </c>
      <c r="B99" s="18" t="n">
        <f aca="false">EDATE(B98,1)</f>
        <v>49126</v>
      </c>
      <c r="C99" s="19" t="n">
        <f aca="false">ROUNDUP(A99/12,0)</f>
        <v>8</v>
      </c>
      <c r="D99" s="26" t="n">
        <f aca="false">H98</f>
        <v>374250.2</v>
      </c>
      <c r="E99" s="26" t="n">
        <f aca="false">IF(D99&lt;=0,0,ROUND(D99*Calculator!$B$7/12,2))</f>
        <v>2027.19</v>
      </c>
      <c r="F99" s="26" t="n">
        <f aca="false">IF(D99&lt;=0,0,ROUND(MIN(D99,Calculator!$H$6-E99),2))</f>
        <v>627.5</v>
      </c>
      <c r="G99" s="26" t="n">
        <f aca="false">ROUND(E99+F99,2)</f>
        <v>2654.69</v>
      </c>
      <c r="H99" s="26" t="n">
        <f aca="false">ROUND(MAX(0,D99-F99),2)</f>
        <v>373622.7</v>
      </c>
      <c r="I99" s="26" t="n">
        <f aca="false">ROUND(E99+I98,2)</f>
        <v>203163.56</v>
      </c>
    </row>
    <row r="100" customFormat="false" ht="15" hidden="false" customHeight="true" outlineLevel="0" collapsed="false">
      <c r="A100" s="19" t="n">
        <f aca="false">A99+1</f>
        <v>95</v>
      </c>
      <c r="B100" s="18" t="n">
        <f aca="false">EDATE(B99,1)</f>
        <v>49157</v>
      </c>
      <c r="C100" s="19" t="n">
        <f aca="false">ROUNDUP(A100/12,0)</f>
        <v>8</v>
      </c>
      <c r="D100" s="26" t="n">
        <f aca="false">H99</f>
        <v>373622.7</v>
      </c>
      <c r="E100" s="26" t="n">
        <f aca="false">IF(D100&lt;=0,0,ROUND(D100*Calculator!$B$7/12,2))</f>
        <v>2023.79</v>
      </c>
      <c r="F100" s="26" t="n">
        <f aca="false">IF(D100&lt;=0,0,ROUND(MIN(D100,Calculator!$H$6-E100),2))</f>
        <v>630.9</v>
      </c>
      <c r="G100" s="26" t="n">
        <f aca="false">ROUND(E100+F100,2)</f>
        <v>2654.69</v>
      </c>
      <c r="H100" s="26" t="n">
        <f aca="false">ROUND(MAX(0,D100-F100),2)</f>
        <v>372991.8</v>
      </c>
      <c r="I100" s="26" t="n">
        <f aca="false">ROUND(E100+I99,2)</f>
        <v>205187.35</v>
      </c>
    </row>
    <row r="101" customFormat="false" ht="15" hidden="false" customHeight="true" outlineLevel="0" collapsed="false">
      <c r="A101" s="19" t="n">
        <f aca="false">A100+1</f>
        <v>96</v>
      </c>
      <c r="B101" s="18" t="n">
        <f aca="false">EDATE(B100,1)</f>
        <v>49188</v>
      </c>
      <c r="C101" s="19" t="n">
        <f aca="false">ROUNDUP(A101/12,0)</f>
        <v>8</v>
      </c>
      <c r="D101" s="26" t="n">
        <f aca="false">H100</f>
        <v>372991.8</v>
      </c>
      <c r="E101" s="26" t="n">
        <f aca="false">IF(D101&lt;=0,0,ROUND(D101*Calculator!$B$7/12,2))</f>
        <v>2020.37</v>
      </c>
      <c r="F101" s="26" t="n">
        <f aca="false">IF(D101&lt;=0,0,ROUND(MIN(D101,Calculator!$H$6-E101),2))</f>
        <v>634.32</v>
      </c>
      <c r="G101" s="26" t="n">
        <f aca="false">ROUND(E101+F101,2)</f>
        <v>2654.69</v>
      </c>
      <c r="H101" s="26" t="n">
        <f aca="false">ROUND(MAX(0,D101-F101),2)</f>
        <v>372357.48</v>
      </c>
      <c r="I101" s="26" t="n">
        <f aca="false">ROUND(E101+I100,2)</f>
        <v>207207.72</v>
      </c>
    </row>
    <row r="102" customFormat="false" ht="15" hidden="false" customHeight="true" outlineLevel="0" collapsed="false">
      <c r="A102" s="19" t="n">
        <f aca="false">A101+1</f>
        <v>97</v>
      </c>
      <c r="B102" s="18" t="n">
        <f aca="false">EDATE(B101,1)</f>
        <v>49218</v>
      </c>
      <c r="C102" s="19" t="n">
        <f aca="false">ROUNDUP(A102/12,0)</f>
        <v>9</v>
      </c>
      <c r="D102" s="26" t="n">
        <f aca="false">H101</f>
        <v>372357.48</v>
      </c>
      <c r="E102" s="26" t="n">
        <f aca="false">IF(D102&lt;=0,0,ROUND(D102*Calculator!$B$7/12,2))</f>
        <v>2016.94</v>
      </c>
      <c r="F102" s="26" t="n">
        <f aca="false">IF(D102&lt;=0,0,ROUND(MIN(D102,Calculator!$H$6-E102),2))</f>
        <v>637.75</v>
      </c>
      <c r="G102" s="26" t="n">
        <f aca="false">ROUND(E102+F102,2)</f>
        <v>2654.69</v>
      </c>
      <c r="H102" s="26" t="n">
        <f aca="false">ROUND(MAX(0,D102-F102),2)</f>
        <v>371719.73</v>
      </c>
      <c r="I102" s="26" t="n">
        <f aca="false">ROUND(E102+I101,2)</f>
        <v>209224.66</v>
      </c>
    </row>
    <row r="103" customFormat="false" ht="15" hidden="false" customHeight="true" outlineLevel="0" collapsed="false">
      <c r="A103" s="19" t="n">
        <f aca="false">A102+1</f>
        <v>98</v>
      </c>
      <c r="B103" s="18" t="n">
        <f aca="false">EDATE(B102,1)</f>
        <v>49249</v>
      </c>
      <c r="C103" s="19" t="n">
        <f aca="false">ROUNDUP(A103/12,0)</f>
        <v>9</v>
      </c>
      <c r="D103" s="26" t="n">
        <f aca="false">H102</f>
        <v>371719.73</v>
      </c>
      <c r="E103" s="26" t="n">
        <f aca="false">IF(D103&lt;=0,0,ROUND(D103*Calculator!$B$7/12,2))</f>
        <v>2013.48</v>
      </c>
      <c r="F103" s="26" t="n">
        <f aca="false">IF(D103&lt;=0,0,ROUND(MIN(D103,Calculator!$H$6-E103),2))</f>
        <v>641.21</v>
      </c>
      <c r="G103" s="26" t="n">
        <f aca="false">ROUND(E103+F103,2)</f>
        <v>2654.69</v>
      </c>
      <c r="H103" s="26" t="n">
        <f aca="false">ROUND(MAX(0,D103-F103),2)</f>
        <v>371078.52</v>
      </c>
      <c r="I103" s="26" t="n">
        <f aca="false">ROUND(E103+I102,2)</f>
        <v>211238.14</v>
      </c>
    </row>
    <row r="104" customFormat="false" ht="15" hidden="false" customHeight="true" outlineLevel="0" collapsed="false">
      <c r="A104" s="19" t="n">
        <f aca="false">A103+1</f>
        <v>99</v>
      </c>
      <c r="B104" s="18" t="n">
        <f aca="false">EDATE(B103,1)</f>
        <v>49279</v>
      </c>
      <c r="C104" s="19" t="n">
        <f aca="false">ROUNDUP(A104/12,0)</f>
        <v>9</v>
      </c>
      <c r="D104" s="26" t="n">
        <f aca="false">H103</f>
        <v>371078.52</v>
      </c>
      <c r="E104" s="26" t="n">
        <f aca="false">IF(D104&lt;=0,0,ROUND(D104*Calculator!$B$7/12,2))</f>
        <v>2010.01</v>
      </c>
      <c r="F104" s="26" t="n">
        <f aca="false">IF(D104&lt;=0,0,ROUND(MIN(D104,Calculator!$H$6-E104),2))</f>
        <v>644.68</v>
      </c>
      <c r="G104" s="26" t="n">
        <f aca="false">ROUND(E104+F104,2)</f>
        <v>2654.69</v>
      </c>
      <c r="H104" s="26" t="n">
        <f aca="false">ROUND(MAX(0,D104-F104),2)</f>
        <v>370433.84</v>
      </c>
      <c r="I104" s="26" t="n">
        <f aca="false">ROUND(E104+I103,2)</f>
        <v>213248.15</v>
      </c>
    </row>
    <row r="105" customFormat="false" ht="15" hidden="false" customHeight="true" outlineLevel="0" collapsed="false">
      <c r="A105" s="19" t="n">
        <f aca="false">A104+1</f>
        <v>100</v>
      </c>
      <c r="B105" s="18" t="n">
        <f aca="false">EDATE(B104,1)</f>
        <v>49310</v>
      </c>
      <c r="C105" s="19" t="n">
        <f aca="false">ROUNDUP(A105/12,0)</f>
        <v>9</v>
      </c>
      <c r="D105" s="26" t="n">
        <f aca="false">H104</f>
        <v>370433.84</v>
      </c>
      <c r="E105" s="26" t="n">
        <f aca="false">IF(D105&lt;=0,0,ROUND(D105*Calculator!$B$7/12,2))</f>
        <v>2006.52</v>
      </c>
      <c r="F105" s="26" t="n">
        <f aca="false">IF(D105&lt;=0,0,ROUND(MIN(D105,Calculator!$H$6-E105),2))</f>
        <v>648.17</v>
      </c>
      <c r="G105" s="26" t="n">
        <f aca="false">ROUND(E105+F105,2)</f>
        <v>2654.69</v>
      </c>
      <c r="H105" s="26" t="n">
        <f aca="false">ROUND(MAX(0,D105-F105),2)</f>
        <v>369785.67</v>
      </c>
      <c r="I105" s="26" t="n">
        <f aca="false">ROUND(E105+I104,2)</f>
        <v>215254.67</v>
      </c>
    </row>
    <row r="106" customFormat="false" ht="15" hidden="false" customHeight="true" outlineLevel="0" collapsed="false">
      <c r="A106" s="19" t="n">
        <f aca="false">A105+1</f>
        <v>101</v>
      </c>
      <c r="B106" s="18" t="n">
        <f aca="false">EDATE(B105,1)</f>
        <v>49341</v>
      </c>
      <c r="C106" s="19" t="n">
        <f aca="false">ROUNDUP(A106/12,0)</f>
        <v>9</v>
      </c>
      <c r="D106" s="26" t="n">
        <f aca="false">H105</f>
        <v>369785.67</v>
      </c>
      <c r="E106" s="26" t="n">
        <f aca="false">IF(D106&lt;=0,0,ROUND(D106*Calculator!$B$7/12,2))</f>
        <v>2003.01</v>
      </c>
      <c r="F106" s="26" t="n">
        <f aca="false">IF(D106&lt;=0,0,ROUND(MIN(D106,Calculator!$H$6-E106),2))</f>
        <v>651.68</v>
      </c>
      <c r="G106" s="26" t="n">
        <f aca="false">ROUND(E106+F106,2)</f>
        <v>2654.69</v>
      </c>
      <c r="H106" s="26" t="n">
        <f aca="false">ROUND(MAX(0,D106-F106),2)</f>
        <v>369133.99</v>
      </c>
      <c r="I106" s="26" t="n">
        <f aca="false">ROUND(E106+I105,2)</f>
        <v>217257.68</v>
      </c>
    </row>
    <row r="107" customFormat="false" ht="15" hidden="false" customHeight="true" outlineLevel="0" collapsed="false">
      <c r="A107" s="19" t="n">
        <f aca="false">A106+1</f>
        <v>102</v>
      </c>
      <c r="B107" s="18" t="n">
        <f aca="false">EDATE(B106,1)</f>
        <v>49369</v>
      </c>
      <c r="C107" s="19" t="n">
        <f aca="false">ROUNDUP(A107/12,0)</f>
        <v>9</v>
      </c>
      <c r="D107" s="26" t="n">
        <f aca="false">H106</f>
        <v>369133.99</v>
      </c>
      <c r="E107" s="26" t="n">
        <f aca="false">IF(D107&lt;=0,0,ROUND(D107*Calculator!$B$7/12,2))</f>
        <v>1999.48</v>
      </c>
      <c r="F107" s="26" t="n">
        <f aca="false">IF(D107&lt;=0,0,ROUND(MIN(D107,Calculator!$H$6-E107),2))</f>
        <v>655.21</v>
      </c>
      <c r="G107" s="26" t="n">
        <f aca="false">ROUND(E107+F107,2)</f>
        <v>2654.69</v>
      </c>
      <c r="H107" s="26" t="n">
        <f aca="false">ROUND(MAX(0,D107-F107),2)</f>
        <v>368478.78</v>
      </c>
      <c r="I107" s="26" t="n">
        <f aca="false">ROUND(E107+I106,2)</f>
        <v>219257.16</v>
      </c>
    </row>
    <row r="108" customFormat="false" ht="15" hidden="false" customHeight="true" outlineLevel="0" collapsed="false">
      <c r="A108" s="19" t="n">
        <f aca="false">A107+1</f>
        <v>103</v>
      </c>
      <c r="B108" s="18" t="n">
        <f aca="false">EDATE(B107,1)</f>
        <v>49400</v>
      </c>
      <c r="C108" s="19" t="n">
        <f aca="false">ROUNDUP(A108/12,0)</f>
        <v>9</v>
      </c>
      <c r="D108" s="26" t="n">
        <f aca="false">H107</f>
        <v>368478.78</v>
      </c>
      <c r="E108" s="26" t="n">
        <f aca="false">IF(D108&lt;=0,0,ROUND(D108*Calculator!$B$7/12,2))</f>
        <v>1995.93</v>
      </c>
      <c r="F108" s="26" t="n">
        <f aca="false">IF(D108&lt;=0,0,ROUND(MIN(D108,Calculator!$H$6-E108),2))</f>
        <v>658.76</v>
      </c>
      <c r="G108" s="26" t="n">
        <f aca="false">ROUND(E108+F108,2)</f>
        <v>2654.69</v>
      </c>
      <c r="H108" s="26" t="n">
        <f aca="false">ROUND(MAX(0,D108-F108),2)</f>
        <v>367820.02</v>
      </c>
      <c r="I108" s="26" t="n">
        <f aca="false">ROUND(E108+I107,2)</f>
        <v>221253.09</v>
      </c>
    </row>
    <row r="109" customFormat="false" ht="15" hidden="false" customHeight="true" outlineLevel="0" collapsed="false">
      <c r="A109" s="19" t="n">
        <f aca="false">A108+1</f>
        <v>104</v>
      </c>
      <c r="B109" s="18" t="n">
        <f aca="false">EDATE(B108,1)</f>
        <v>49430</v>
      </c>
      <c r="C109" s="19" t="n">
        <f aca="false">ROUNDUP(A109/12,0)</f>
        <v>9</v>
      </c>
      <c r="D109" s="26" t="n">
        <f aca="false">H108</f>
        <v>367820.02</v>
      </c>
      <c r="E109" s="26" t="n">
        <f aca="false">IF(D109&lt;=0,0,ROUND(D109*Calculator!$B$7/12,2))</f>
        <v>1992.36</v>
      </c>
      <c r="F109" s="26" t="n">
        <f aca="false">IF(D109&lt;=0,0,ROUND(MIN(D109,Calculator!$H$6-E109),2))</f>
        <v>662.33</v>
      </c>
      <c r="G109" s="26" t="n">
        <f aca="false">ROUND(E109+F109,2)</f>
        <v>2654.69</v>
      </c>
      <c r="H109" s="26" t="n">
        <f aca="false">ROUND(MAX(0,D109-F109),2)</f>
        <v>367157.69</v>
      </c>
      <c r="I109" s="26" t="n">
        <f aca="false">ROUND(E109+I108,2)</f>
        <v>223245.45</v>
      </c>
    </row>
    <row r="110" customFormat="false" ht="15" hidden="false" customHeight="true" outlineLevel="0" collapsed="false">
      <c r="A110" s="19" t="n">
        <f aca="false">A109+1</f>
        <v>105</v>
      </c>
      <c r="B110" s="18" t="n">
        <f aca="false">EDATE(B109,1)</f>
        <v>49461</v>
      </c>
      <c r="C110" s="19" t="n">
        <f aca="false">ROUNDUP(A110/12,0)</f>
        <v>9</v>
      </c>
      <c r="D110" s="26" t="n">
        <f aca="false">H109</f>
        <v>367157.69</v>
      </c>
      <c r="E110" s="26" t="n">
        <f aca="false">IF(D110&lt;=0,0,ROUND(D110*Calculator!$B$7/12,2))</f>
        <v>1988.77</v>
      </c>
      <c r="F110" s="26" t="n">
        <f aca="false">IF(D110&lt;=0,0,ROUND(MIN(D110,Calculator!$H$6-E110),2))</f>
        <v>665.92</v>
      </c>
      <c r="G110" s="26" t="n">
        <f aca="false">ROUND(E110+F110,2)</f>
        <v>2654.69</v>
      </c>
      <c r="H110" s="26" t="n">
        <f aca="false">ROUND(MAX(0,D110-F110),2)</f>
        <v>366491.77</v>
      </c>
      <c r="I110" s="26" t="n">
        <f aca="false">ROUND(E110+I109,2)</f>
        <v>225234.22</v>
      </c>
    </row>
    <row r="111" customFormat="false" ht="15" hidden="false" customHeight="true" outlineLevel="0" collapsed="false">
      <c r="A111" s="19" t="n">
        <f aca="false">A110+1</f>
        <v>106</v>
      </c>
      <c r="B111" s="18" t="n">
        <f aca="false">EDATE(B110,1)</f>
        <v>49491</v>
      </c>
      <c r="C111" s="19" t="n">
        <f aca="false">ROUNDUP(A111/12,0)</f>
        <v>9</v>
      </c>
      <c r="D111" s="26" t="n">
        <f aca="false">H110</f>
        <v>366491.77</v>
      </c>
      <c r="E111" s="26" t="n">
        <f aca="false">IF(D111&lt;=0,0,ROUND(D111*Calculator!$B$7/12,2))</f>
        <v>1985.16</v>
      </c>
      <c r="F111" s="26" t="n">
        <f aca="false">IF(D111&lt;=0,0,ROUND(MIN(D111,Calculator!$H$6-E111),2))</f>
        <v>669.53</v>
      </c>
      <c r="G111" s="26" t="n">
        <f aca="false">ROUND(E111+F111,2)</f>
        <v>2654.69</v>
      </c>
      <c r="H111" s="26" t="n">
        <f aca="false">ROUND(MAX(0,D111-F111),2)</f>
        <v>365822.24</v>
      </c>
      <c r="I111" s="26" t="n">
        <f aca="false">ROUND(E111+I110,2)</f>
        <v>227219.38</v>
      </c>
    </row>
    <row r="112" customFormat="false" ht="15" hidden="false" customHeight="true" outlineLevel="0" collapsed="false">
      <c r="A112" s="19" t="n">
        <f aca="false">A111+1</f>
        <v>107</v>
      </c>
      <c r="B112" s="18" t="n">
        <f aca="false">EDATE(B111,1)</f>
        <v>49522</v>
      </c>
      <c r="C112" s="19" t="n">
        <f aca="false">ROUNDUP(A112/12,0)</f>
        <v>9</v>
      </c>
      <c r="D112" s="26" t="n">
        <f aca="false">H111</f>
        <v>365822.24</v>
      </c>
      <c r="E112" s="26" t="n">
        <f aca="false">IF(D112&lt;=0,0,ROUND(D112*Calculator!$B$7/12,2))</f>
        <v>1981.54</v>
      </c>
      <c r="F112" s="26" t="n">
        <f aca="false">IF(D112&lt;=0,0,ROUND(MIN(D112,Calculator!$H$6-E112),2))</f>
        <v>673.15</v>
      </c>
      <c r="G112" s="26" t="n">
        <f aca="false">ROUND(E112+F112,2)</f>
        <v>2654.69</v>
      </c>
      <c r="H112" s="26" t="n">
        <f aca="false">ROUND(MAX(0,D112-F112),2)</f>
        <v>365149.09</v>
      </c>
      <c r="I112" s="26" t="n">
        <f aca="false">ROUND(E112+I111,2)</f>
        <v>229200.92</v>
      </c>
    </row>
    <row r="113" customFormat="false" ht="15" hidden="false" customHeight="true" outlineLevel="0" collapsed="false">
      <c r="A113" s="19" t="n">
        <f aca="false">A112+1</f>
        <v>108</v>
      </c>
      <c r="B113" s="18" t="n">
        <f aca="false">EDATE(B112,1)</f>
        <v>49553</v>
      </c>
      <c r="C113" s="19" t="n">
        <f aca="false">ROUNDUP(A113/12,0)</f>
        <v>9</v>
      </c>
      <c r="D113" s="26" t="n">
        <f aca="false">H112</f>
        <v>365149.09</v>
      </c>
      <c r="E113" s="26" t="n">
        <f aca="false">IF(D113&lt;=0,0,ROUND(D113*Calculator!$B$7/12,2))</f>
        <v>1977.89</v>
      </c>
      <c r="F113" s="26" t="n">
        <f aca="false">IF(D113&lt;=0,0,ROUND(MIN(D113,Calculator!$H$6-E113),2))</f>
        <v>676.8</v>
      </c>
      <c r="G113" s="26" t="n">
        <f aca="false">ROUND(E113+F113,2)</f>
        <v>2654.69</v>
      </c>
      <c r="H113" s="26" t="n">
        <f aca="false">ROUND(MAX(0,D113-F113),2)</f>
        <v>364472.29</v>
      </c>
      <c r="I113" s="26" t="n">
        <f aca="false">ROUND(E113+I112,2)</f>
        <v>231178.81</v>
      </c>
    </row>
    <row r="114" customFormat="false" ht="15" hidden="false" customHeight="true" outlineLevel="0" collapsed="false">
      <c r="A114" s="19" t="n">
        <f aca="false">A113+1</f>
        <v>109</v>
      </c>
      <c r="B114" s="18" t="n">
        <f aca="false">EDATE(B113,1)</f>
        <v>49583</v>
      </c>
      <c r="C114" s="19" t="n">
        <f aca="false">ROUNDUP(A114/12,0)</f>
        <v>10</v>
      </c>
      <c r="D114" s="26" t="n">
        <f aca="false">H113</f>
        <v>364472.29</v>
      </c>
      <c r="E114" s="26" t="n">
        <f aca="false">IF(D114&lt;=0,0,ROUND(D114*Calculator!$B$7/12,2))</f>
        <v>1974.22</v>
      </c>
      <c r="F114" s="26" t="n">
        <f aca="false">IF(D114&lt;=0,0,ROUND(MIN(D114,Calculator!$H$6-E114),2))</f>
        <v>680.47</v>
      </c>
      <c r="G114" s="26" t="n">
        <f aca="false">ROUND(E114+F114,2)</f>
        <v>2654.69</v>
      </c>
      <c r="H114" s="26" t="n">
        <f aca="false">ROUND(MAX(0,D114-F114),2)</f>
        <v>363791.82</v>
      </c>
      <c r="I114" s="26" t="n">
        <f aca="false">ROUND(E114+I113,2)</f>
        <v>233153.03</v>
      </c>
    </row>
    <row r="115" customFormat="false" ht="15" hidden="false" customHeight="true" outlineLevel="0" collapsed="false">
      <c r="A115" s="19" t="n">
        <f aca="false">A114+1</f>
        <v>110</v>
      </c>
      <c r="B115" s="18" t="n">
        <f aca="false">EDATE(B114,1)</f>
        <v>49614</v>
      </c>
      <c r="C115" s="19" t="n">
        <f aca="false">ROUNDUP(A115/12,0)</f>
        <v>10</v>
      </c>
      <c r="D115" s="26" t="n">
        <f aca="false">H114</f>
        <v>363791.82</v>
      </c>
      <c r="E115" s="26" t="n">
        <f aca="false">IF(D115&lt;=0,0,ROUND(D115*Calculator!$B$7/12,2))</f>
        <v>1970.54</v>
      </c>
      <c r="F115" s="26" t="n">
        <f aca="false">IF(D115&lt;=0,0,ROUND(MIN(D115,Calculator!$H$6-E115),2))</f>
        <v>684.15</v>
      </c>
      <c r="G115" s="26" t="n">
        <f aca="false">ROUND(E115+F115,2)</f>
        <v>2654.69</v>
      </c>
      <c r="H115" s="26" t="n">
        <f aca="false">ROUND(MAX(0,D115-F115),2)</f>
        <v>363107.67</v>
      </c>
      <c r="I115" s="26" t="n">
        <f aca="false">ROUND(E115+I114,2)</f>
        <v>235123.57</v>
      </c>
    </row>
    <row r="116" customFormat="false" ht="15" hidden="false" customHeight="true" outlineLevel="0" collapsed="false">
      <c r="A116" s="19" t="n">
        <f aca="false">A115+1</f>
        <v>111</v>
      </c>
      <c r="B116" s="18" t="n">
        <f aca="false">EDATE(B115,1)</f>
        <v>49644</v>
      </c>
      <c r="C116" s="19" t="n">
        <f aca="false">ROUNDUP(A116/12,0)</f>
        <v>10</v>
      </c>
      <c r="D116" s="26" t="n">
        <f aca="false">H115</f>
        <v>363107.67</v>
      </c>
      <c r="E116" s="26" t="n">
        <f aca="false">IF(D116&lt;=0,0,ROUND(D116*Calculator!$B$7/12,2))</f>
        <v>1966.83</v>
      </c>
      <c r="F116" s="26" t="n">
        <f aca="false">IF(D116&lt;=0,0,ROUND(MIN(D116,Calculator!$H$6-E116),2))</f>
        <v>687.86</v>
      </c>
      <c r="G116" s="26" t="n">
        <f aca="false">ROUND(E116+F116,2)</f>
        <v>2654.69</v>
      </c>
      <c r="H116" s="26" t="n">
        <f aca="false">ROUND(MAX(0,D116-F116),2)</f>
        <v>362419.81</v>
      </c>
      <c r="I116" s="26" t="n">
        <f aca="false">ROUND(E116+I115,2)</f>
        <v>237090.4</v>
      </c>
    </row>
    <row r="117" customFormat="false" ht="15" hidden="false" customHeight="true" outlineLevel="0" collapsed="false">
      <c r="A117" s="19" t="n">
        <f aca="false">A116+1</f>
        <v>112</v>
      </c>
      <c r="B117" s="18" t="n">
        <f aca="false">EDATE(B116,1)</f>
        <v>49675</v>
      </c>
      <c r="C117" s="19" t="n">
        <f aca="false">ROUNDUP(A117/12,0)</f>
        <v>10</v>
      </c>
      <c r="D117" s="26" t="n">
        <f aca="false">H116</f>
        <v>362419.81</v>
      </c>
      <c r="E117" s="26" t="n">
        <f aca="false">IF(D117&lt;=0,0,ROUND(D117*Calculator!$B$7/12,2))</f>
        <v>1963.11</v>
      </c>
      <c r="F117" s="26" t="n">
        <f aca="false">IF(D117&lt;=0,0,ROUND(MIN(D117,Calculator!$H$6-E117),2))</f>
        <v>691.58</v>
      </c>
      <c r="G117" s="26" t="n">
        <f aca="false">ROUND(E117+F117,2)</f>
        <v>2654.69</v>
      </c>
      <c r="H117" s="26" t="n">
        <f aca="false">ROUND(MAX(0,D117-F117),2)</f>
        <v>361728.23</v>
      </c>
      <c r="I117" s="26" t="n">
        <f aca="false">ROUND(E117+I116,2)</f>
        <v>239053.51</v>
      </c>
    </row>
    <row r="118" customFormat="false" ht="15" hidden="false" customHeight="true" outlineLevel="0" collapsed="false">
      <c r="A118" s="19" t="n">
        <f aca="false">A117+1</f>
        <v>113</v>
      </c>
      <c r="B118" s="18" t="n">
        <f aca="false">EDATE(B117,1)</f>
        <v>49706</v>
      </c>
      <c r="C118" s="19" t="n">
        <f aca="false">ROUNDUP(A118/12,0)</f>
        <v>10</v>
      </c>
      <c r="D118" s="26" t="n">
        <f aca="false">H117</f>
        <v>361728.23</v>
      </c>
      <c r="E118" s="26" t="n">
        <f aca="false">IF(D118&lt;=0,0,ROUND(D118*Calculator!$B$7/12,2))</f>
        <v>1959.36</v>
      </c>
      <c r="F118" s="26" t="n">
        <f aca="false">IF(D118&lt;=0,0,ROUND(MIN(D118,Calculator!$H$6-E118),2))</f>
        <v>695.33</v>
      </c>
      <c r="G118" s="26" t="n">
        <f aca="false">ROUND(E118+F118,2)</f>
        <v>2654.69</v>
      </c>
      <c r="H118" s="26" t="n">
        <f aca="false">ROUND(MAX(0,D118-F118),2)</f>
        <v>361032.9</v>
      </c>
      <c r="I118" s="26" t="n">
        <f aca="false">ROUND(E118+I117,2)</f>
        <v>241012.87</v>
      </c>
    </row>
    <row r="119" customFormat="false" ht="15" hidden="false" customHeight="true" outlineLevel="0" collapsed="false">
      <c r="A119" s="19" t="n">
        <f aca="false">A118+1</f>
        <v>114</v>
      </c>
      <c r="B119" s="18" t="n">
        <f aca="false">EDATE(B118,1)</f>
        <v>49735</v>
      </c>
      <c r="C119" s="19" t="n">
        <f aca="false">ROUNDUP(A119/12,0)</f>
        <v>10</v>
      </c>
      <c r="D119" s="26" t="n">
        <f aca="false">H118</f>
        <v>361032.9</v>
      </c>
      <c r="E119" s="26" t="n">
        <f aca="false">IF(D119&lt;=0,0,ROUND(D119*Calculator!$B$7/12,2))</f>
        <v>1955.59</v>
      </c>
      <c r="F119" s="26" t="n">
        <f aca="false">IF(D119&lt;=0,0,ROUND(MIN(D119,Calculator!$H$6-E119),2))</f>
        <v>699.1</v>
      </c>
      <c r="G119" s="26" t="n">
        <f aca="false">ROUND(E119+F119,2)</f>
        <v>2654.69</v>
      </c>
      <c r="H119" s="26" t="n">
        <f aca="false">ROUND(MAX(0,D119-F119),2)</f>
        <v>360333.8</v>
      </c>
      <c r="I119" s="26" t="n">
        <f aca="false">ROUND(E119+I118,2)</f>
        <v>242968.46</v>
      </c>
    </row>
    <row r="120" customFormat="false" ht="15" hidden="false" customHeight="true" outlineLevel="0" collapsed="false">
      <c r="A120" s="19" t="n">
        <f aca="false">A119+1</f>
        <v>115</v>
      </c>
      <c r="B120" s="18" t="n">
        <f aca="false">EDATE(B119,1)</f>
        <v>49766</v>
      </c>
      <c r="C120" s="19" t="n">
        <f aca="false">ROUNDUP(A120/12,0)</f>
        <v>10</v>
      </c>
      <c r="D120" s="26" t="n">
        <f aca="false">H119</f>
        <v>360333.8</v>
      </c>
      <c r="E120" s="26" t="n">
        <f aca="false">IF(D120&lt;=0,0,ROUND(D120*Calculator!$B$7/12,2))</f>
        <v>1951.81</v>
      </c>
      <c r="F120" s="26" t="n">
        <f aca="false">IF(D120&lt;=0,0,ROUND(MIN(D120,Calculator!$H$6-E120),2))</f>
        <v>702.88</v>
      </c>
      <c r="G120" s="26" t="n">
        <f aca="false">ROUND(E120+F120,2)</f>
        <v>2654.69</v>
      </c>
      <c r="H120" s="26" t="n">
        <f aca="false">ROUND(MAX(0,D120-F120),2)</f>
        <v>359630.92</v>
      </c>
      <c r="I120" s="26" t="n">
        <f aca="false">ROUND(E120+I119,2)</f>
        <v>244920.27</v>
      </c>
    </row>
    <row r="121" customFormat="false" ht="15" hidden="false" customHeight="true" outlineLevel="0" collapsed="false">
      <c r="A121" s="19" t="n">
        <f aca="false">A120+1</f>
        <v>116</v>
      </c>
      <c r="B121" s="18" t="n">
        <f aca="false">EDATE(B120,1)</f>
        <v>49796</v>
      </c>
      <c r="C121" s="19" t="n">
        <f aca="false">ROUNDUP(A121/12,0)</f>
        <v>10</v>
      </c>
      <c r="D121" s="26" t="n">
        <f aca="false">H120</f>
        <v>359630.92</v>
      </c>
      <c r="E121" s="26" t="n">
        <f aca="false">IF(D121&lt;=0,0,ROUND(D121*Calculator!$B$7/12,2))</f>
        <v>1948</v>
      </c>
      <c r="F121" s="26" t="n">
        <f aca="false">IF(D121&lt;=0,0,ROUND(MIN(D121,Calculator!$H$6-E121),2))</f>
        <v>706.69</v>
      </c>
      <c r="G121" s="26" t="n">
        <f aca="false">ROUND(E121+F121,2)</f>
        <v>2654.69</v>
      </c>
      <c r="H121" s="26" t="n">
        <f aca="false">ROUND(MAX(0,D121-F121),2)</f>
        <v>358924.23</v>
      </c>
      <c r="I121" s="26" t="n">
        <f aca="false">ROUND(E121+I120,2)</f>
        <v>246868.27</v>
      </c>
    </row>
    <row r="122" customFormat="false" ht="15" hidden="false" customHeight="true" outlineLevel="0" collapsed="false">
      <c r="A122" s="19" t="n">
        <f aca="false">A121+1</f>
        <v>117</v>
      </c>
      <c r="B122" s="18" t="n">
        <f aca="false">EDATE(B121,1)</f>
        <v>49827</v>
      </c>
      <c r="C122" s="19" t="n">
        <f aca="false">ROUNDUP(A122/12,0)</f>
        <v>10</v>
      </c>
      <c r="D122" s="26" t="n">
        <f aca="false">H121</f>
        <v>358924.23</v>
      </c>
      <c r="E122" s="26" t="n">
        <f aca="false">IF(D122&lt;=0,0,ROUND(D122*Calculator!$B$7/12,2))</f>
        <v>1944.17</v>
      </c>
      <c r="F122" s="26" t="n">
        <f aca="false">IF(D122&lt;=0,0,ROUND(MIN(D122,Calculator!$H$6-E122),2))</f>
        <v>710.52</v>
      </c>
      <c r="G122" s="26" t="n">
        <f aca="false">ROUND(E122+F122,2)</f>
        <v>2654.69</v>
      </c>
      <c r="H122" s="26" t="n">
        <f aca="false">ROUND(MAX(0,D122-F122),2)</f>
        <v>358213.71</v>
      </c>
      <c r="I122" s="26" t="n">
        <f aca="false">ROUND(E122+I121,2)</f>
        <v>248812.44</v>
      </c>
    </row>
    <row r="123" customFormat="false" ht="15" hidden="false" customHeight="true" outlineLevel="0" collapsed="false">
      <c r="A123" s="19" t="n">
        <f aca="false">A122+1</f>
        <v>118</v>
      </c>
      <c r="B123" s="18" t="n">
        <f aca="false">EDATE(B122,1)</f>
        <v>49857</v>
      </c>
      <c r="C123" s="19" t="n">
        <f aca="false">ROUNDUP(A123/12,0)</f>
        <v>10</v>
      </c>
      <c r="D123" s="26" t="n">
        <f aca="false">H122</f>
        <v>358213.71</v>
      </c>
      <c r="E123" s="26" t="n">
        <f aca="false">IF(D123&lt;=0,0,ROUND(D123*Calculator!$B$7/12,2))</f>
        <v>1940.32</v>
      </c>
      <c r="F123" s="26" t="n">
        <f aca="false">IF(D123&lt;=0,0,ROUND(MIN(D123,Calculator!$H$6-E123),2))</f>
        <v>714.37</v>
      </c>
      <c r="G123" s="26" t="n">
        <f aca="false">ROUND(E123+F123,2)</f>
        <v>2654.69</v>
      </c>
      <c r="H123" s="26" t="n">
        <f aca="false">ROUND(MAX(0,D123-F123),2)</f>
        <v>357499.34</v>
      </c>
      <c r="I123" s="26" t="n">
        <f aca="false">ROUND(E123+I122,2)</f>
        <v>250752.76</v>
      </c>
    </row>
    <row r="124" customFormat="false" ht="15" hidden="false" customHeight="true" outlineLevel="0" collapsed="false">
      <c r="A124" s="19" t="n">
        <f aca="false">A123+1</f>
        <v>119</v>
      </c>
      <c r="B124" s="18" t="n">
        <f aca="false">EDATE(B123,1)</f>
        <v>49888</v>
      </c>
      <c r="C124" s="19" t="n">
        <f aca="false">ROUNDUP(A124/12,0)</f>
        <v>10</v>
      </c>
      <c r="D124" s="26" t="n">
        <f aca="false">H123</f>
        <v>357499.34</v>
      </c>
      <c r="E124" s="26" t="n">
        <f aca="false">IF(D124&lt;=0,0,ROUND(D124*Calculator!$B$7/12,2))</f>
        <v>1936.45</v>
      </c>
      <c r="F124" s="26" t="n">
        <f aca="false">IF(D124&lt;=0,0,ROUND(MIN(D124,Calculator!$H$6-E124),2))</f>
        <v>718.24</v>
      </c>
      <c r="G124" s="26" t="n">
        <f aca="false">ROUND(E124+F124,2)</f>
        <v>2654.69</v>
      </c>
      <c r="H124" s="26" t="n">
        <f aca="false">ROUND(MAX(0,D124-F124),2)</f>
        <v>356781.1</v>
      </c>
      <c r="I124" s="26" t="n">
        <f aca="false">ROUND(E124+I123,2)</f>
        <v>252689.21</v>
      </c>
    </row>
    <row r="125" customFormat="false" ht="15" hidden="false" customHeight="true" outlineLevel="0" collapsed="false">
      <c r="A125" s="19" t="n">
        <f aca="false">A124+1</f>
        <v>120</v>
      </c>
      <c r="B125" s="18" t="n">
        <f aca="false">EDATE(B124,1)</f>
        <v>49919</v>
      </c>
      <c r="C125" s="19" t="n">
        <f aca="false">ROUNDUP(A125/12,0)</f>
        <v>10</v>
      </c>
      <c r="D125" s="26" t="n">
        <f aca="false">H124</f>
        <v>356781.1</v>
      </c>
      <c r="E125" s="26" t="n">
        <f aca="false">IF(D125&lt;=0,0,ROUND(D125*Calculator!$B$7/12,2))</f>
        <v>1932.56</v>
      </c>
      <c r="F125" s="26" t="n">
        <f aca="false">IF(D125&lt;=0,0,ROUND(MIN(D125,Calculator!$H$6-E125),2))</f>
        <v>722.13</v>
      </c>
      <c r="G125" s="26" t="n">
        <f aca="false">ROUND(E125+F125,2)</f>
        <v>2654.69</v>
      </c>
      <c r="H125" s="26" t="n">
        <f aca="false">ROUND(MAX(0,D125-F125),2)</f>
        <v>356058.97</v>
      </c>
      <c r="I125" s="26" t="n">
        <f aca="false">ROUND(E125+I124,2)</f>
        <v>254621.77</v>
      </c>
    </row>
    <row r="126" customFormat="false" ht="15" hidden="false" customHeight="true" outlineLevel="0" collapsed="false">
      <c r="A126" s="19" t="n">
        <f aca="false">A125+1</f>
        <v>121</v>
      </c>
      <c r="B126" s="18" t="n">
        <f aca="false">EDATE(B125,1)</f>
        <v>49949</v>
      </c>
      <c r="C126" s="19" t="n">
        <f aca="false">ROUNDUP(A126/12,0)</f>
        <v>11</v>
      </c>
      <c r="D126" s="26" t="n">
        <f aca="false">H125</f>
        <v>356058.97</v>
      </c>
      <c r="E126" s="26" t="n">
        <f aca="false">IF(D126&lt;=0,0,ROUND(D126*Calculator!$B$7/12,2))</f>
        <v>1928.65</v>
      </c>
      <c r="F126" s="26" t="n">
        <f aca="false">IF(D126&lt;=0,0,ROUND(MIN(D126,Calculator!$H$6-E126),2))</f>
        <v>726.04</v>
      </c>
      <c r="G126" s="26" t="n">
        <f aca="false">ROUND(E126+F126,2)</f>
        <v>2654.69</v>
      </c>
      <c r="H126" s="26" t="n">
        <f aca="false">ROUND(MAX(0,D126-F126),2)</f>
        <v>355332.93</v>
      </c>
      <c r="I126" s="26" t="n">
        <f aca="false">ROUND(E126+I125,2)</f>
        <v>256550.42</v>
      </c>
    </row>
    <row r="127" customFormat="false" ht="15" hidden="false" customHeight="true" outlineLevel="0" collapsed="false">
      <c r="A127" s="19" t="n">
        <f aca="false">A126+1</f>
        <v>122</v>
      </c>
      <c r="B127" s="18" t="n">
        <f aca="false">EDATE(B126,1)</f>
        <v>49980</v>
      </c>
      <c r="C127" s="19" t="n">
        <f aca="false">ROUNDUP(A127/12,0)</f>
        <v>11</v>
      </c>
      <c r="D127" s="26" t="n">
        <f aca="false">H126</f>
        <v>355332.93</v>
      </c>
      <c r="E127" s="26" t="n">
        <f aca="false">IF(D127&lt;=0,0,ROUND(D127*Calculator!$B$7/12,2))</f>
        <v>1924.72</v>
      </c>
      <c r="F127" s="26" t="n">
        <f aca="false">IF(D127&lt;=0,0,ROUND(MIN(D127,Calculator!$H$6-E127),2))</f>
        <v>729.97</v>
      </c>
      <c r="G127" s="26" t="n">
        <f aca="false">ROUND(E127+F127,2)</f>
        <v>2654.69</v>
      </c>
      <c r="H127" s="26" t="n">
        <f aca="false">ROUND(MAX(0,D127-F127),2)</f>
        <v>354602.96</v>
      </c>
      <c r="I127" s="26" t="n">
        <f aca="false">ROUND(E127+I126,2)</f>
        <v>258475.14</v>
      </c>
    </row>
    <row r="128" customFormat="false" ht="15" hidden="false" customHeight="true" outlineLevel="0" collapsed="false">
      <c r="A128" s="19" t="n">
        <f aca="false">A127+1</f>
        <v>123</v>
      </c>
      <c r="B128" s="18" t="n">
        <f aca="false">EDATE(B127,1)</f>
        <v>50010</v>
      </c>
      <c r="C128" s="19" t="n">
        <f aca="false">ROUNDUP(A128/12,0)</f>
        <v>11</v>
      </c>
      <c r="D128" s="26" t="n">
        <f aca="false">H127</f>
        <v>354602.96</v>
      </c>
      <c r="E128" s="26" t="n">
        <f aca="false">IF(D128&lt;=0,0,ROUND(D128*Calculator!$B$7/12,2))</f>
        <v>1920.77</v>
      </c>
      <c r="F128" s="26" t="n">
        <f aca="false">IF(D128&lt;=0,0,ROUND(MIN(D128,Calculator!$H$6-E128),2))</f>
        <v>733.92</v>
      </c>
      <c r="G128" s="26" t="n">
        <f aca="false">ROUND(E128+F128,2)</f>
        <v>2654.69</v>
      </c>
      <c r="H128" s="26" t="n">
        <f aca="false">ROUND(MAX(0,D128-F128),2)</f>
        <v>353869.04</v>
      </c>
      <c r="I128" s="26" t="n">
        <f aca="false">ROUND(E128+I127,2)</f>
        <v>260395.91</v>
      </c>
    </row>
    <row r="129" customFormat="false" ht="15" hidden="false" customHeight="true" outlineLevel="0" collapsed="false">
      <c r="A129" s="19" t="n">
        <f aca="false">A128+1</f>
        <v>124</v>
      </c>
      <c r="B129" s="18" t="n">
        <f aca="false">EDATE(B128,1)</f>
        <v>50041</v>
      </c>
      <c r="C129" s="19" t="n">
        <f aca="false">ROUNDUP(A129/12,0)</f>
        <v>11</v>
      </c>
      <c r="D129" s="26" t="n">
        <f aca="false">H128</f>
        <v>353869.04</v>
      </c>
      <c r="E129" s="26" t="n">
        <f aca="false">IF(D129&lt;=0,0,ROUND(D129*Calculator!$B$7/12,2))</f>
        <v>1916.79</v>
      </c>
      <c r="F129" s="26" t="n">
        <f aca="false">IF(D129&lt;=0,0,ROUND(MIN(D129,Calculator!$H$6-E129),2))</f>
        <v>737.9</v>
      </c>
      <c r="G129" s="26" t="n">
        <f aca="false">ROUND(E129+F129,2)</f>
        <v>2654.69</v>
      </c>
      <c r="H129" s="26" t="n">
        <f aca="false">ROUND(MAX(0,D129-F129),2)</f>
        <v>353131.14</v>
      </c>
      <c r="I129" s="26" t="n">
        <f aca="false">ROUND(E129+I128,2)</f>
        <v>262312.7</v>
      </c>
    </row>
    <row r="130" customFormat="false" ht="15" hidden="false" customHeight="true" outlineLevel="0" collapsed="false">
      <c r="A130" s="19" t="n">
        <f aca="false">A129+1</f>
        <v>125</v>
      </c>
      <c r="B130" s="18" t="n">
        <f aca="false">EDATE(B129,1)</f>
        <v>50072</v>
      </c>
      <c r="C130" s="19" t="n">
        <f aca="false">ROUNDUP(A130/12,0)</f>
        <v>11</v>
      </c>
      <c r="D130" s="26" t="n">
        <f aca="false">H129</f>
        <v>353131.14</v>
      </c>
      <c r="E130" s="26" t="n">
        <f aca="false">IF(D130&lt;=0,0,ROUND(D130*Calculator!$B$7/12,2))</f>
        <v>1912.79</v>
      </c>
      <c r="F130" s="26" t="n">
        <f aca="false">IF(D130&lt;=0,0,ROUND(MIN(D130,Calculator!$H$6-E130),2))</f>
        <v>741.9</v>
      </c>
      <c r="G130" s="26" t="n">
        <f aca="false">ROUND(E130+F130,2)</f>
        <v>2654.69</v>
      </c>
      <c r="H130" s="26" t="n">
        <f aca="false">ROUND(MAX(0,D130-F130),2)</f>
        <v>352389.24</v>
      </c>
      <c r="I130" s="26" t="n">
        <f aca="false">ROUND(E130+I129,2)</f>
        <v>264225.49</v>
      </c>
    </row>
    <row r="131" customFormat="false" ht="15" hidden="false" customHeight="true" outlineLevel="0" collapsed="false">
      <c r="A131" s="19" t="n">
        <f aca="false">A130+1</f>
        <v>126</v>
      </c>
      <c r="B131" s="18" t="n">
        <f aca="false">EDATE(B130,1)</f>
        <v>50100</v>
      </c>
      <c r="C131" s="19" t="n">
        <f aca="false">ROUNDUP(A131/12,0)</f>
        <v>11</v>
      </c>
      <c r="D131" s="26" t="n">
        <f aca="false">H130</f>
        <v>352389.24</v>
      </c>
      <c r="E131" s="26" t="n">
        <f aca="false">IF(D131&lt;=0,0,ROUND(D131*Calculator!$B$7/12,2))</f>
        <v>1908.78</v>
      </c>
      <c r="F131" s="26" t="n">
        <f aca="false">IF(D131&lt;=0,0,ROUND(MIN(D131,Calculator!$H$6-E131),2))</f>
        <v>745.91</v>
      </c>
      <c r="G131" s="26" t="n">
        <f aca="false">ROUND(E131+F131,2)</f>
        <v>2654.69</v>
      </c>
      <c r="H131" s="26" t="n">
        <f aca="false">ROUND(MAX(0,D131-F131),2)</f>
        <v>351643.33</v>
      </c>
      <c r="I131" s="26" t="n">
        <f aca="false">ROUND(E131+I130,2)</f>
        <v>266134.27</v>
      </c>
    </row>
    <row r="132" customFormat="false" ht="15" hidden="false" customHeight="true" outlineLevel="0" collapsed="false">
      <c r="A132" s="19" t="n">
        <f aca="false">A131+1</f>
        <v>127</v>
      </c>
      <c r="B132" s="18" t="n">
        <f aca="false">EDATE(B131,1)</f>
        <v>50131</v>
      </c>
      <c r="C132" s="19" t="n">
        <f aca="false">ROUNDUP(A132/12,0)</f>
        <v>11</v>
      </c>
      <c r="D132" s="26" t="n">
        <f aca="false">H131</f>
        <v>351643.33</v>
      </c>
      <c r="E132" s="26" t="n">
        <f aca="false">IF(D132&lt;=0,0,ROUND(D132*Calculator!$B$7/12,2))</f>
        <v>1904.73</v>
      </c>
      <c r="F132" s="26" t="n">
        <f aca="false">IF(D132&lt;=0,0,ROUND(MIN(D132,Calculator!$H$6-E132),2))</f>
        <v>749.96</v>
      </c>
      <c r="G132" s="26" t="n">
        <f aca="false">ROUND(E132+F132,2)</f>
        <v>2654.69</v>
      </c>
      <c r="H132" s="26" t="n">
        <f aca="false">ROUND(MAX(0,D132-F132),2)</f>
        <v>350893.37</v>
      </c>
      <c r="I132" s="26" t="n">
        <f aca="false">ROUND(E132+I131,2)</f>
        <v>268039</v>
      </c>
    </row>
    <row r="133" customFormat="false" ht="15" hidden="false" customHeight="true" outlineLevel="0" collapsed="false">
      <c r="A133" s="19" t="n">
        <f aca="false">A132+1</f>
        <v>128</v>
      </c>
      <c r="B133" s="18" t="n">
        <f aca="false">EDATE(B132,1)</f>
        <v>50161</v>
      </c>
      <c r="C133" s="19" t="n">
        <f aca="false">ROUNDUP(A133/12,0)</f>
        <v>11</v>
      </c>
      <c r="D133" s="26" t="n">
        <f aca="false">H132</f>
        <v>350893.37</v>
      </c>
      <c r="E133" s="26" t="n">
        <f aca="false">IF(D133&lt;=0,0,ROUND(D133*Calculator!$B$7/12,2))</f>
        <v>1900.67</v>
      </c>
      <c r="F133" s="26" t="n">
        <f aca="false">IF(D133&lt;=0,0,ROUND(MIN(D133,Calculator!$H$6-E133),2))</f>
        <v>754.02</v>
      </c>
      <c r="G133" s="26" t="n">
        <f aca="false">ROUND(E133+F133,2)</f>
        <v>2654.69</v>
      </c>
      <c r="H133" s="26" t="n">
        <f aca="false">ROUND(MAX(0,D133-F133),2)</f>
        <v>350139.35</v>
      </c>
      <c r="I133" s="26" t="n">
        <f aca="false">ROUND(E133+I132,2)</f>
        <v>269939.67</v>
      </c>
    </row>
    <row r="134" customFormat="false" ht="15" hidden="false" customHeight="true" outlineLevel="0" collapsed="false">
      <c r="A134" s="19" t="n">
        <f aca="false">A133+1</f>
        <v>129</v>
      </c>
      <c r="B134" s="18" t="n">
        <f aca="false">EDATE(B133,1)</f>
        <v>50192</v>
      </c>
      <c r="C134" s="19" t="n">
        <f aca="false">ROUNDUP(A134/12,0)</f>
        <v>11</v>
      </c>
      <c r="D134" s="26" t="n">
        <f aca="false">H133</f>
        <v>350139.35</v>
      </c>
      <c r="E134" s="26" t="n">
        <f aca="false">IF(D134&lt;=0,0,ROUND(D134*Calculator!$B$7/12,2))</f>
        <v>1896.59</v>
      </c>
      <c r="F134" s="26" t="n">
        <f aca="false">IF(D134&lt;=0,0,ROUND(MIN(D134,Calculator!$H$6-E134),2))</f>
        <v>758.1</v>
      </c>
      <c r="G134" s="26" t="n">
        <f aca="false">ROUND(E134+F134,2)</f>
        <v>2654.69</v>
      </c>
      <c r="H134" s="26" t="n">
        <f aca="false">ROUND(MAX(0,D134-F134),2)</f>
        <v>349381.25</v>
      </c>
      <c r="I134" s="26" t="n">
        <f aca="false">ROUND(E134+I133,2)</f>
        <v>271836.26</v>
      </c>
    </row>
    <row r="135" customFormat="false" ht="15" hidden="false" customHeight="true" outlineLevel="0" collapsed="false">
      <c r="A135" s="19" t="n">
        <f aca="false">A134+1</f>
        <v>130</v>
      </c>
      <c r="B135" s="18" t="n">
        <f aca="false">EDATE(B134,1)</f>
        <v>50222</v>
      </c>
      <c r="C135" s="19" t="n">
        <f aca="false">ROUNDUP(A135/12,0)</f>
        <v>11</v>
      </c>
      <c r="D135" s="26" t="n">
        <f aca="false">H134</f>
        <v>349381.25</v>
      </c>
      <c r="E135" s="26" t="n">
        <f aca="false">IF(D135&lt;=0,0,ROUND(D135*Calculator!$B$7/12,2))</f>
        <v>1892.48</v>
      </c>
      <c r="F135" s="26" t="n">
        <f aca="false">IF(D135&lt;=0,0,ROUND(MIN(D135,Calculator!$H$6-E135),2))</f>
        <v>762.21</v>
      </c>
      <c r="G135" s="26" t="n">
        <f aca="false">ROUND(E135+F135,2)</f>
        <v>2654.69</v>
      </c>
      <c r="H135" s="26" t="n">
        <f aca="false">ROUND(MAX(0,D135-F135),2)</f>
        <v>348619.04</v>
      </c>
      <c r="I135" s="26" t="n">
        <f aca="false">ROUND(E135+I134,2)</f>
        <v>273728.74</v>
      </c>
    </row>
    <row r="136" customFormat="false" ht="15" hidden="false" customHeight="true" outlineLevel="0" collapsed="false">
      <c r="A136" s="19" t="n">
        <f aca="false">A135+1</f>
        <v>131</v>
      </c>
      <c r="B136" s="18" t="n">
        <f aca="false">EDATE(B135,1)</f>
        <v>50253</v>
      </c>
      <c r="C136" s="19" t="n">
        <f aca="false">ROUNDUP(A136/12,0)</f>
        <v>11</v>
      </c>
      <c r="D136" s="26" t="n">
        <f aca="false">H135</f>
        <v>348619.04</v>
      </c>
      <c r="E136" s="26" t="n">
        <f aca="false">IF(D136&lt;=0,0,ROUND(D136*Calculator!$B$7/12,2))</f>
        <v>1888.35</v>
      </c>
      <c r="F136" s="26" t="n">
        <f aca="false">IF(D136&lt;=0,0,ROUND(MIN(D136,Calculator!$H$6-E136),2))</f>
        <v>766.34</v>
      </c>
      <c r="G136" s="26" t="n">
        <f aca="false">ROUND(E136+F136,2)</f>
        <v>2654.69</v>
      </c>
      <c r="H136" s="26" t="n">
        <f aca="false">ROUND(MAX(0,D136-F136),2)</f>
        <v>347852.7</v>
      </c>
      <c r="I136" s="26" t="n">
        <f aca="false">ROUND(E136+I135,2)</f>
        <v>275617.09</v>
      </c>
    </row>
    <row r="137" customFormat="false" ht="15" hidden="false" customHeight="true" outlineLevel="0" collapsed="false">
      <c r="A137" s="19" t="n">
        <f aca="false">A136+1</f>
        <v>132</v>
      </c>
      <c r="B137" s="18" t="n">
        <f aca="false">EDATE(B136,1)</f>
        <v>50284</v>
      </c>
      <c r="C137" s="19" t="n">
        <f aca="false">ROUNDUP(A137/12,0)</f>
        <v>11</v>
      </c>
      <c r="D137" s="26" t="n">
        <f aca="false">H136</f>
        <v>347852.7</v>
      </c>
      <c r="E137" s="26" t="n">
        <f aca="false">IF(D137&lt;=0,0,ROUND(D137*Calculator!$B$7/12,2))</f>
        <v>1884.2</v>
      </c>
      <c r="F137" s="26" t="n">
        <f aca="false">IF(D137&lt;=0,0,ROUND(MIN(D137,Calculator!$H$6-E137),2))</f>
        <v>770.49</v>
      </c>
      <c r="G137" s="26" t="n">
        <f aca="false">ROUND(E137+F137,2)</f>
        <v>2654.69</v>
      </c>
      <c r="H137" s="26" t="n">
        <f aca="false">ROUND(MAX(0,D137-F137),2)</f>
        <v>347082.21</v>
      </c>
      <c r="I137" s="26" t="n">
        <f aca="false">ROUND(E137+I136,2)</f>
        <v>277501.29</v>
      </c>
    </row>
    <row r="138" customFormat="false" ht="15" hidden="false" customHeight="true" outlineLevel="0" collapsed="false">
      <c r="A138" s="19" t="n">
        <f aca="false">A137+1</f>
        <v>133</v>
      </c>
      <c r="B138" s="18" t="n">
        <f aca="false">EDATE(B137,1)</f>
        <v>50314</v>
      </c>
      <c r="C138" s="19" t="n">
        <f aca="false">ROUNDUP(A138/12,0)</f>
        <v>12</v>
      </c>
      <c r="D138" s="26" t="n">
        <f aca="false">H137</f>
        <v>347082.21</v>
      </c>
      <c r="E138" s="26" t="n">
        <f aca="false">IF(D138&lt;=0,0,ROUND(D138*Calculator!$B$7/12,2))</f>
        <v>1880.03</v>
      </c>
      <c r="F138" s="26" t="n">
        <f aca="false">IF(D138&lt;=0,0,ROUND(MIN(D138,Calculator!$H$6-E138),2))</f>
        <v>774.66</v>
      </c>
      <c r="G138" s="26" t="n">
        <f aca="false">ROUND(E138+F138,2)</f>
        <v>2654.69</v>
      </c>
      <c r="H138" s="26" t="n">
        <f aca="false">ROUND(MAX(0,D138-F138),2)</f>
        <v>346307.55</v>
      </c>
      <c r="I138" s="26" t="n">
        <f aca="false">ROUND(E138+I137,2)</f>
        <v>279381.32</v>
      </c>
    </row>
    <row r="139" customFormat="false" ht="15" hidden="false" customHeight="true" outlineLevel="0" collapsed="false">
      <c r="A139" s="19" t="n">
        <f aca="false">A138+1</f>
        <v>134</v>
      </c>
      <c r="B139" s="18" t="n">
        <f aca="false">EDATE(B138,1)</f>
        <v>50345</v>
      </c>
      <c r="C139" s="19" t="n">
        <f aca="false">ROUNDUP(A139/12,0)</f>
        <v>12</v>
      </c>
      <c r="D139" s="26" t="n">
        <f aca="false">H138</f>
        <v>346307.55</v>
      </c>
      <c r="E139" s="26" t="n">
        <f aca="false">IF(D139&lt;=0,0,ROUND(D139*Calculator!$B$7/12,2))</f>
        <v>1875.83</v>
      </c>
      <c r="F139" s="26" t="n">
        <f aca="false">IF(D139&lt;=0,0,ROUND(MIN(D139,Calculator!$H$6-E139),2))</f>
        <v>778.86</v>
      </c>
      <c r="G139" s="26" t="n">
        <f aca="false">ROUND(E139+F139,2)</f>
        <v>2654.69</v>
      </c>
      <c r="H139" s="26" t="n">
        <f aca="false">ROUND(MAX(0,D139-F139),2)</f>
        <v>345528.69</v>
      </c>
      <c r="I139" s="26" t="n">
        <f aca="false">ROUND(E139+I138,2)</f>
        <v>281257.15</v>
      </c>
    </row>
    <row r="140" customFormat="false" ht="15" hidden="false" customHeight="true" outlineLevel="0" collapsed="false">
      <c r="A140" s="19" t="n">
        <f aca="false">A139+1</f>
        <v>135</v>
      </c>
      <c r="B140" s="18" t="n">
        <f aca="false">EDATE(B139,1)</f>
        <v>50375</v>
      </c>
      <c r="C140" s="19" t="n">
        <f aca="false">ROUNDUP(A140/12,0)</f>
        <v>12</v>
      </c>
      <c r="D140" s="26" t="n">
        <f aca="false">H139</f>
        <v>345528.69</v>
      </c>
      <c r="E140" s="26" t="n">
        <f aca="false">IF(D140&lt;=0,0,ROUND(D140*Calculator!$B$7/12,2))</f>
        <v>1871.61</v>
      </c>
      <c r="F140" s="26" t="n">
        <f aca="false">IF(D140&lt;=0,0,ROUND(MIN(D140,Calculator!$H$6-E140),2))</f>
        <v>783.08</v>
      </c>
      <c r="G140" s="26" t="n">
        <f aca="false">ROUND(E140+F140,2)</f>
        <v>2654.69</v>
      </c>
      <c r="H140" s="26" t="n">
        <f aca="false">ROUND(MAX(0,D140-F140),2)</f>
        <v>344745.61</v>
      </c>
      <c r="I140" s="26" t="n">
        <f aca="false">ROUND(E140+I139,2)</f>
        <v>283128.76</v>
      </c>
    </row>
    <row r="141" customFormat="false" ht="15" hidden="false" customHeight="true" outlineLevel="0" collapsed="false">
      <c r="A141" s="19" t="n">
        <f aca="false">A140+1</f>
        <v>136</v>
      </c>
      <c r="B141" s="18" t="n">
        <f aca="false">EDATE(B140,1)</f>
        <v>50406</v>
      </c>
      <c r="C141" s="19" t="n">
        <f aca="false">ROUNDUP(A141/12,0)</f>
        <v>12</v>
      </c>
      <c r="D141" s="26" t="n">
        <f aca="false">H140</f>
        <v>344745.61</v>
      </c>
      <c r="E141" s="26" t="n">
        <f aca="false">IF(D141&lt;=0,0,ROUND(D141*Calculator!$B$7/12,2))</f>
        <v>1867.37</v>
      </c>
      <c r="F141" s="26" t="n">
        <f aca="false">IF(D141&lt;=0,0,ROUND(MIN(D141,Calculator!$H$6-E141),2))</f>
        <v>787.32</v>
      </c>
      <c r="G141" s="26" t="n">
        <f aca="false">ROUND(E141+F141,2)</f>
        <v>2654.69</v>
      </c>
      <c r="H141" s="26" t="n">
        <f aca="false">ROUND(MAX(0,D141-F141),2)</f>
        <v>343958.29</v>
      </c>
      <c r="I141" s="26" t="n">
        <f aca="false">ROUND(E141+I140,2)</f>
        <v>284996.13</v>
      </c>
    </row>
    <row r="142" customFormat="false" ht="15" hidden="false" customHeight="true" outlineLevel="0" collapsed="false">
      <c r="A142" s="19" t="n">
        <f aca="false">A141+1</f>
        <v>137</v>
      </c>
      <c r="B142" s="18" t="n">
        <f aca="false">EDATE(B141,1)</f>
        <v>50437</v>
      </c>
      <c r="C142" s="19" t="n">
        <f aca="false">ROUNDUP(A142/12,0)</f>
        <v>12</v>
      </c>
      <c r="D142" s="26" t="n">
        <f aca="false">H141</f>
        <v>343958.29</v>
      </c>
      <c r="E142" s="26" t="n">
        <f aca="false">IF(D142&lt;=0,0,ROUND(D142*Calculator!$B$7/12,2))</f>
        <v>1863.11</v>
      </c>
      <c r="F142" s="26" t="n">
        <f aca="false">IF(D142&lt;=0,0,ROUND(MIN(D142,Calculator!$H$6-E142),2))</f>
        <v>791.58</v>
      </c>
      <c r="G142" s="26" t="n">
        <f aca="false">ROUND(E142+F142,2)</f>
        <v>2654.69</v>
      </c>
      <c r="H142" s="26" t="n">
        <f aca="false">ROUND(MAX(0,D142-F142),2)</f>
        <v>343166.71</v>
      </c>
      <c r="I142" s="26" t="n">
        <f aca="false">ROUND(E142+I141,2)</f>
        <v>286859.24</v>
      </c>
    </row>
    <row r="143" customFormat="false" ht="15" hidden="false" customHeight="true" outlineLevel="0" collapsed="false">
      <c r="A143" s="19" t="n">
        <f aca="false">A142+1</f>
        <v>138</v>
      </c>
      <c r="B143" s="18" t="n">
        <f aca="false">EDATE(B142,1)</f>
        <v>50465</v>
      </c>
      <c r="C143" s="19" t="n">
        <f aca="false">ROUNDUP(A143/12,0)</f>
        <v>12</v>
      </c>
      <c r="D143" s="26" t="n">
        <f aca="false">H142</f>
        <v>343166.71</v>
      </c>
      <c r="E143" s="26" t="n">
        <f aca="false">IF(D143&lt;=0,0,ROUND(D143*Calculator!$B$7/12,2))</f>
        <v>1858.82</v>
      </c>
      <c r="F143" s="26" t="n">
        <f aca="false">IF(D143&lt;=0,0,ROUND(MIN(D143,Calculator!$H$6-E143),2))</f>
        <v>795.87</v>
      </c>
      <c r="G143" s="26" t="n">
        <f aca="false">ROUND(E143+F143,2)</f>
        <v>2654.69</v>
      </c>
      <c r="H143" s="26" t="n">
        <f aca="false">ROUND(MAX(0,D143-F143),2)</f>
        <v>342370.84</v>
      </c>
      <c r="I143" s="26" t="n">
        <f aca="false">ROUND(E143+I142,2)</f>
        <v>288718.06</v>
      </c>
    </row>
    <row r="144" customFormat="false" ht="15" hidden="false" customHeight="true" outlineLevel="0" collapsed="false">
      <c r="A144" s="19" t="n">
        <f aca="false">A143+1</f>
        <v>139</v>
      </c>
      <c r="B144" s="18" t="n">
        <f aca="false">EDATE(B143,1)</f>
        <v>50496</v>
      </c>
      <c r="C144" s="19" t="n">
        <f aca="false">ROUNDUP(A144/12,0)</f>
        <v>12</v>
      </c>
      <c r="D144" s="26" t="n">
        <f aca="false">H143</f>
        <v>342370.84</v>
      </c>
      <c r="E144" s="26" t="n">
        <f aca="false">IF(D144&lt;=0,0,ROUND(D144*Calculator!$B$7/12,2))</f>
        <v>1854.51</v>
      </c>
      <c r="F144" s="26" t="n">
        <f aca="false">IF(D144&lt;=0,0,ROUND(MIN(D144,Calculator!$H$6-E144),2))</f>
        <v>800.18</v>
      </c>
      <c r="G144" s="26" t="n">
        <f aca="false">ROUND(E144+F144,2)</f>
        <v>2654.69</v>
      </c>
      <c r="H144" s="26" t="n">
        <f aca="false">ROUND(MAX(0,D144-F144),2)</f>
        <v>341570.66</v>
      </c>
      <c r="I144" s="26" t="n">
        <f aca="false">ROUND(E144+I143,2)</f>
        <v>290572.57</v>
      </c>
    </row>
    <row r="145" customFormat="false" ht="15" hidden="false" customHeight="true" outlineLevel="0" collapsed="false">
      <c r="A145" s="19" t="n">
        <f aca="false">A144+1</f>
        <v>140</v>
      </c>
      <c r="B145" s="18" t="n">
        <f aca="false">EDATE(B144,1)</f>
        <v>50526</v>
      </c>
      <c r="C145" s="19" t="n">
        <f aca="false">ROUNDUP(A145/12,0)</f>
        <v>12</v>
      </c>
      <c r="D145" s="26" t="n">
        <f aca="false">H144</f>
        <v>341570.66</v>
      </c>
      <c r="E145" s="26" t="n">
        <f aca="false">IF(D145&lt;=0,0,ROUND(D145*Calculator!$B$7/12,2))</f>
        <v>1850.17</v>
      </c>
      <c r="F145" s="26" t="n">
        <f aca="false">IF(D145&lt;=0,0,ROUND(MIN(D145,Calculator!$H$6-E145),2))</f>
        <v>804.52</v>
      </c>
      <c r="G145" s="26" t="n">
        <f aca="false">ROUND(E145+F145,2)</f>
        <v>2654.69</v>
      </c>
      <c r="H145" s="26" t="n">
        <f aca="false">ROUND(MAX(0,D145-F145),2)</f>
        <v>340766.14</v>
      </c>
      <c r="I145" s="26" t="n">
        <f aca="false">ROUND(E145+I144,2)</f>
        <v>292422.74</v>
      </c>
    </row>
    <row r="146" customFormat="false" ht="15" hidden="false" customHeight="true" outlineLevel="0" collapsed="false">
      <c r="A146" s="19" t="n">
        <f aca="false">A145+1</f>
        <v>141</v>
      </c>
      <c r="B146" s="18" t="n">
        <f aca="false">EDATE(B145,1)</f>
        <v>50557</v>
      </c>
      <c r="C146" s="19" t="n">
        <f aca="false">ROUNDUP(A146/12,0)</f>
        <v>12</v>
      </c>
      <c r="D146" s="26" t="n">
        <f aca="false">H145</f>
        <v>340766.14</v>
      </c>
      <c r="E146" s="26" t="n">
        <f aca="false">IF(D146&lt;=0,0,ROUND(D146*Calculator!$B$7/12,2))</f>
        <v>1845.82</v>
      </c>
      <c r="F146" s="26" t="n">
        <f aca="false">IF(D146&lt;=0,0,ROUND(MIN(D146,Calculator!$H$6-E146),2))</f>
        <v>808.87</v>
      </c>
      <c r="G146" s="26" t="n">
        <f aca="false">ROUND(E146+F146,2)</f>
        <v>2654.69</v>
      </c>
      <c r="H146" s="26" t="n">
        <f aca="false">ROUND(MAX(0,D146-F146),2)</f>
        <v>339957.27</v>
      </c>
      <c r="I146" s="26" t="n">
        <f aca="false">ROUND(E146+I145,2)</f>
        <v>294268.56</v>
      </c>
    </row>
    <row r="147" customFormat="false" ht="15" hidden="false" customHeight="true" outlineLevel="0" collapsed="false">
      <c r="A147" s="19" t="n">
        <f aca="false">A146+1</f>
        <v>142</v>
      </c>
      <c r="B147" s="18" t="n">
        <f aca="false">EDATE(B146,1)</f>
        <v>50587</v>
      </c>
      <c r="C147" s="19" t="n">
        <f aca="false">ROUNDUP(A147/12,0)</f>
        <v>12</v>
      </c>
      <c r="D147" s="26" t="n">
        <f aca="false">H146</f>
        <v>339957.27</v>
      </c>
      <c r="E147" s="26" t="n">
        <f aca="false">IF(D147&lt;=0,0,ROUND(D147*Calculator!$B$7/12,2))</f>
        <v>1841.44</v>
      </c>
      <c r="F147" s="26" t="n">
        <f aca="false">IF(D147&lt;=0,0,ROUND(MIN(D147,Calculator!$H$6-E147),2))</f>
        <v>813.25</v>
      </c>
      <c r="G147" s="26" t="n">
        <f aca="false">ROUND(E147+F147,2)</f>
        <v>2654.69</v>
      </c>
      <c r="H147" s="26" t="n">
        <f aca="false">ROUND(MAX(0,D147-F147),2)</f>
        <v>339144.02</v>
      </c>
      <c r="I147" s="26" t="n">
        <f aca="false">ROUND(E147+I146,2)</f>
        <v>296110</v>
      </c>
    </row>
    <row r="148" customFormat="false" ht="15" hidden="false" customHeight="true" outlineLevel="0" collapsed="false">
      <c r="A148" s="19" t="n">
        <f aca="false">A147+1</f>
        <v>143</v>
      </c>
      <c r="B148" s="18" t="n">
        <f aca="false">EDATE(B147,1)</f>
        <v>50618</v>
      </c>
      <c r="C148" s="19" t="n">
        <f aca="false">ROUNDUP(A148/12,0)</f>
        <v>12</v>
      </c>
      <c r="D148" s="26" t="n">
        <f aca="false">H147</f>
        <v>339144.02</v>
      </c>
      <c r="E148" s="26" t="n">
        <f aca="false">IF(D148&lt;=0,0,ROUND(D148*Calculator!$B$7/12,2))</f>
        <v>1837.03</v>
      </c>
      <c r="F148" s="26" t="n">
        <f aca="false">IF(D148&lt;=0,0,ROUND(MIN(D148,Calculator!$H$6-E148),2))</f>
        <v>817.66</v>
      </c>
      <c r="G148" s="26" t="n">
        <f aca="false">ROUND(E148+F148,2)</f>
        <v>2654.69</v>
      </c>
      <c r="H148" s="26" t="n">
        <f aca="false">ROUND(MAX(0,D148-F148),2)</f>
        <v>338326.36</v>
      </c>
      <c r="I148" s="26" t="n">
        <f aca="false">ROUND(E148+I147,2)</f>
        <v>297947.03</v>
      </c>
    </row>
    <row r="149" customFormat="false" ht="15" hidden="false" customHeight="true" outlineLevel="0" collapsed="false">
      <c r="A149" s="19" t="n">
        <f aca="false">A148+1</f>
        <v>144</v>
      </c>
      <c r="B149" s="18" t="n">
        <f aca="false">EDATE(B148,1)</f>
        <v>50649</v>
      </c>
      <c r="C149" s="19" t="n">
        <f aca="false">ROUNDUP(A149/12,0)</f>
        <v>12</v>
      </c>
      <c r="D149" s="26" t="n">
        <f aca="false">H148</f>
        <v>338326.36</v>
      </c>
      <c r="E149" s="26" t="n">
        <f aca="false">IF(D149&lt;=0,0,ROUND(D149*Calculator!$B$7/12,2))</f>
        <v>1832.6</v>
      </c>
      <c r="F149" s="26" t="n">
        <f aca="false">IF(D149&lt;=0,0,ROUND(MIN(D149,Calculator!$H$6-E149),2))</f>
        <v>822.09</v>
      </c>
      <c r="G149" s="26" t="n">
        <f aca="false">ROUND(E149+F149,2)</f>
        <v>2654.69</v>
      </c>
      <c r="H149" s="26" t="n">
        <f aca="false">ROUND(MAX(0,D149-F149),2)</f>
        <v>337504.27</v>
      </c>
      <c r="I149" s="26" t="n">
        <f aca="false">ROUND(E149+I148,2)</f>
        <v>299779.63</v>
      </c>
    </row>
    <row r="150" customFormat="false" ht="15" hidden="false" customHeight="true" outlineLevel="0" collapsed="false">
      <c r="A150" s="19" t="n">
        <f aca="false">A149+1</f>
        <v>145</v>
      </c>
      <c r="B150" s="18" t="n">
        <f aca="false">EDATE(B149,1)</f>
        <v>50679</v>
      </c>
      <c r="C150" s="19" t="n">
        <f aca="false">ROUNDUP(A150/12,0)</f>
        <v>13</v>
      </c>
      <c r="D150" s="26" t="n">
        <f aca="false">H149</f>
        <v>337504.27</v>
      </c>
      <c r="E150" s="26" t="n">
        <f aca="false">IF(D150&lt;=0,0,ROUND(D150*Calculator!$B$7/12,2))</f>
        <v>1828.15</v>
      </c>
      <c r="F150" s="26" t="n">
        <f aca="false">IF(D150&lt;=0,0,ROUND(MIN(D150,Calculator!$H$6-E150),2))</f>
        <v>826.54</v>
      </c>
      <c r="G150" s="26" t="n">
        <f aca="false">ROUND(E150+F150,2)</f>
        <v>2654.69</v>
      </c>
      <c r="H150" s="26" t="n">
        <f aca="false">ROUND(MAX(0,D150-F150),2)</f>
        <v>336677.73</v>
      </c>
      <c r="I150" s="26" t="n">
        <f aca="false">ROUND(E150+I149,2)</f>
        <v>301607.78</v>
      </c>
    </row>
    <row r="151" customFormat="false" ht="15" hidden="false" customHeight="true" outlineLevel="0" collapsed="false">
      <c r="A151" s="19" t="n">
        <f aca="false">A150+1</f>
        <v>146</v>
      </c>
      <c r="B151" s="18" t="n">
        <f aca="false">EDATE(B150,1)</f>
        <v>50710</v>
      </c>
      <c r="C151" s="19" t="n">
        <f aca="false">ROUNDUP(A151/12,0)</f>
        <v>13</v>
      </c>
      <c r="D151" s="26" t="n">
        <f aca="false">H150</f>
        <v>336677.73</v>
      </c>
      <c r="E151" s="26" t="n">
        <f aca="false">IF(D151&lt;=0,0,ROUND(D151*Calculator!$B$7/12,2))</f>
        <v>1823.67</v>
      </c>
      <c r="F151" s="26" t="n">
        <f aca="false">IF(D151&lt;=0,0,ROUND(MIN(D151,Calculator!$H$6-E151),2))</f>
        <v>831.02</v>
      </c>
      <c r="G151" s="26" t="n">
        <f aca="false">ROUND(E151+F151,2)</f>
        <v>2654.69</v>
      </c>
      <c r="H151" s="26" t="n">
        <f aca="false">ROUND(MAX(0,D151-F151),2)</f>
        <v>335846.71</v>
      </c>
      <c r="I151" s="26" t="n">
        <f aca="false">ROUND(E151+I150,2)</f>
        <v>303431.45</v>
      </c>
    </row>
    <row r="152" customFormat="false" ht="15" hidden="false" customHeight="true" outlineLevel="0" collapsed="false">
      <c r="A152" s="19" t="n">
        <f aca="false">A151+1</f>
        <v>147</v>
      </c>
      <c r="B152" s="18" t="n">
        <f aca="false">EDATE(B151,1)</f>
        <v>50740</v>
      </c>
      <c r="C152" s="19" t="n">
        <f aca="false">ROUNDUP(A152/12,0)</f>
        <v>13</v>
      </c>
      <c r="D152" s="26" t="n">
        <f aca="false">H151</f>
        <v>335846.71</v>
      </c>
      <c r="E152" s="26" t="n">
        <f aca="false">IF(D152&lt;=0,0,ROUND(D152*Calculator!$B$7/12,2))</f>
        <v>1819.17</v>
      </c>
      <c r="F152" s="26" t="n">
        <f aca="false">IF(D152&lt;=0,0,ROUND(MIN(D152,Calculator!$H$6-E152),2))</f>
        <v>835.52</v>
      </c>
      <c r="G152" s="26" t="n">
        <f aca="false">ROUND(E152+F152,2)</f>
        <v>2654.69</v>
      </c>
      <c r="H152" s="26" t="n">
        <f aca="false">ROUND(MAX(0,D152-F152),2)</f>
        <v>335011.19</v>
      </c>
      <c r="I152" s="26" t="n">
        <f aca="false">ROUND(E152+I151,2)</f>
        <v>305250.62</v>
      </c>
    </row>
    <row r="153" customFormat="false" ht="15" hidden="false" customHeight="true" outlineLevel="0" collapsed="false">
      <c r="A153" s="19" t="n">
        <f aca="false">A152+1</f>
        <v>148</v>
      </c>
      <c r="B153" s="18" t="n">
        <f aca="false">EDATE(B152,1)</f>
        <v>50771</v>
      </c>
      <c r="C153" s="19" t="n">
        <f aca="false">ROUNDUP(A153/12,0)</f>
        <v>13</v>
      </c>
      <c r="D153" s="26" t="n">
        <f aca="false">H152</f>
        <v>335011.19</v>
      </c>
      <c r="E153" s="26" t="n">
        <f aca="false">IF(D153&lt;=0,0,ROUND(D153*Calculator!$B$7/12,2))</f>
        <v>1814.64</v>
      </c>
      <c r="F153" s="26" t="n">
        <f aca="false">IF(D153&lt;=0,0,ROUND(MIN(D153,Calculator!$H$6-E153),2))</f>
        <v>840.05</v>
      </c>
      <c r="G153" s="26" t="n">
        <f aca="false">ROUND(E153+F153,2)</f>
        <v>2654.69</v>
      </c>
      <c r="H153" s="26" t="n">
        <f aca="false">ROUND(MAX(0,D153-F153),2)</f>
        <v>334171.14</v>
      </c>
      <c r="I153" s="26" t="n">
        <f aca="false">ROUND(E153+I152,2)</f>
        <v>307065.26</v>
      </c>
    </row>
    <row r="154" customFormat="false" ht="15" hidden="false" customHeight="true" outlineLevel="0" collapsed="false">
      <c r="A154" s="19" t="n">
        <f aca="false">A153+1</f>
        <v>149</v>
      </c>
      <c r="B154" s="18" t="n">
        <f aca="false">EDATE(B153,1)</f>
        <v>50802</v>
      </c>
      <c r="C154" s="19" t="n">
        <f aca="false">ROUNDUP(A154/12,0)</f>
        <v>13</v>
      </c>
      <c r="D154" s="26" t="n">
        <f aca="false">H153</f>
        <v>334171.14</v>
      </c>
      <c r="E154" s="26" t="n">
        <f aca="false">IF(D154&lt;=0,0,ROUND(D154*Calculator!$B$7/12,2))</f>
        <v>1810.09</v>
      </c>
      <c r="F154" s="26" t="n">
        <f aca="false">IF(D154&lt;=0,0,ROUND(MIN(D154,Calculator!$H$6-E154),2))</f>
        <v>844.6</v>
      </c>
      <c r="G154" s="26" t="n">
        <f aca="false">ROUND(E154+F154,2)</f>
        <v>2654.69</v>
      </c>
      <c r="H154" s="26" t="n">
        <f aca="false">ROUND(MAX(0,D154-F154),2)</f>
        <v>333326.54</v>
      </c>
      <c r="I154" s="26" t="n">
        <f aca="false">ROUND(E154+I153,2)</f>
        <v>308875.35</v>
      </c>
    </row>
    <row r="155" customFormat="false" ht="15" hidden="false" customHeight="true" outlineLevel="0" collapsed="false">
      <c r="A155" s="19" t="n">
        <f aca="false">A154+1</f>
        <v>150</v>
      </c>
      <c r="B155" s="18" t="n">
        <f aca="false">EDATE(B154,1)</f>
        <v>50830</v>
      </c>
      <c r="C155" s="19" t="n">
        <f aca="false">ROUNDUP(A155/12,0)</f>
        <v>13</v>
      </c>
      <c r="D155" s="26" t="n">
        <f aca="false">H154</f>
        <v>333326.54</v>
      </c>
      <c r="E155" s="26" t="n">
        <f aca="false">IF(D155&lt;=0,0,ROUND(D155*Calculator!$B$7/12,2))</f>
        <v>1805.52</v>
      </c>
      <c r="F155" s="26" t="n">
        <f aca="false">IF(D155&lt;=0,0,ROUND(MIN(D155,Calculator!$H$6-E155),2))</f>
        <v>849.17</v>
      </c>
      <c r="G155" s="26" t="n">
        <f aca="false">ROUND(E155+F155,2)</f>
        <v>2654.69</v>
      </c>
      <c r="H155" s="26" t="n">
        <f aca="false">ROUND(MAX(0,D155-F155),2)</f>
        <v>332477.37</v>
      </c>
      <c r="I155" s="26" t="n">
        <f aca="false">ROUND(E155+I154,2)</f>
        <v>310680.87</v>
      </c>
    </row>
    <row r="156" customFormat="false" ht="15" hidden="false" customHeight="true" outlineLevel="0" collapsed="false">
      <c r="A156" s="19" t="n">
        <f aca="false">A155+1</f>
        <v>151</v>
      </c>
      <c r="B156" s="18" t="n">
        <f aca="false">EDATE(B155,1)</f>
        <v>50861</v>
      </c>
      <c r="C156" s="19" t="n">
        <f aca="false">ROUNDUP(A156/12,0)</f>
        <v>13</v>
      </c>
      <c r="D156" s="26" t="n">
        <f aca="false">H155</f>
        <v>332477.37</v>
      </c>
      <c r="E156" s="26" t="n">
        <f aca="false">IF(D156&lt;=0,0,ROUND(D156*Calculator!$B$7/12,2))</f>
        <v>1800.92</v>
      </c>
      <c r="F156" s="26" t="n">
        <f aca="false">IF(D156&lt;=0,0,ROUND(MIN(D156,Calculator!$H$6-E156),2))</f>
        <v>853.77</v>
      </c>
      <c r="G156" s="26" t="n">
        <f aca="false">ROUND(E156+F156,2)</f>
        <v>2654.69</v>
      </c>
      <c r="H156" s="26" t="n">
        <f aca="false">ROUND(MAX(0,D156-F156),2)</f>
        <v>331623.6</v>
      </c>
      <c r="I156" s="26" t="n">
        <f aca="false">ROUND(E156+I155,2)</f>
        <v>312481.79</v>
      </c>
    </row>
    <row r="157" customFormat="false" ht="15" hidden="false" customHeight="true" outlineLevel="0" collapsed="false">
      <c r="A157" s="19" t="n">
        <f aca="false">A156+1</f>
        <v>152</v>
      </c>
      <c r="B157" s="18" t="n">
        <f aca="false">EDATE(B156,1)</f>
        <v>50891</v>
      </c>
      <c r="C157" s="19" t="n">
        <f aca="false">ROUNDUP(A157/12,0)</f>
        <v>13</v>
      </c>
      <c r="D157" s="26" t="n">
        <f aca="false">H156</f>
        <v>331623.6</v>
      </c>
      <c r="E157" s="26" t="n">
        <f aca="false">IF(D157&lt;=0,0,ROUND(D157*Calculator!$B$7/12,2))</f>
        <v>1796.29</v>
      </c>
      <c r="F157" s="26" t="n">
        <f aca="false">IF(D157&lt;=0,0,ROUND(MIN(D157,Calculator!$H$6-E157),2))</f>
        <v>858.4</v>
      </c>
      <c r="G157" s="26" t="n">
        <f aca="false">ROUND(E157+F157,2)</f>
        <v>2654.69</v>
      </c>
      <c r="H157" s="26" t="n">
        <f aca="false">ROUND(MAX(0,D157-F157),2)</f>
        <v>330765.2</v>
      </c>
      <c r="I157" s="26" t="n">
        <f aca="false">ROUND(E157+I156,2)</f>
        <v>314278.08</v>
      </c>
    </row>
    <row r="158" customFormat="false" ht="15" hidden="false" customHeight="true" outlineLevel="0" collapsed="false">
      <c r="A158" s="19" t="n">
        <f aca="false">A157+1</f>
        <v>153</v>
      </c>
      <c r="B158" s="18" t="n">
        <f aca="false">EDATE(B157,1)</f>
        <v>50922</v>
      </c>
      <c r="C158" s="19" t="n">
        <f aca="false">ROUNDUP(A158/12,0)</f>
        <v>13</v>
      </c>
      <c r="D158" s="26" t="n">
        <f aca="false">H157</f>
        <v>330765.2</v>
      </c>
      <c r="E158" s="26" t="n">
        <f aca="false">IF(D158&lt;=0,0,ROUND(D158*Calculator!$B$7/12,2))</f>
        <v>1791.64</v>
      </c>
      <c r="F158" s="26" t="n">
        <f aca="false">IF(D158&lt;=0,0,ROUND(MIN(D158,Calculator!$H$6-E158),2))</f>
        <v>863.05</v>
      </c>
      <c r="G158" s="26" t="n">
        <f aca="false">ROUND(E158+F158,2)</f>
        <v>2654.69</v>
      </c>
      <c r="H158" s="26" t="n">
        <f aca="false">ROUND(MAX(0,D158-F158),2)</f>
        <v>329902.15</v>
      </c>
      <c r="I158" s="26" t="n">
        <f aca="false">ROUND(E158+I157,2)</f>
        <v>316069.72</v>
      </c>
    </row>
    <row r="159" customFormat="false" ht="15" hidden="false" customHeight="true" outlineLevel="0" collapsed="false">
      <c r="A159" s="19" t="n">
        <f aca="false">A158+1</f>
        <v>154</v>
      </c>
      <c r="B159" s="18" t="n">
        <f aca="false">EDATE(B158,1)</f>
        <v>50952</v>
      </c>
      <c r="C159" s="19" t="n">
        <f aca="false">ROUNDUP(A159/12,0)</f>
        <v>13</v>
      </c>
      <c r="D159" s="26" t="n">
        <f aca="false">H158</f>
        <v>329902.15</v>
      </c>
      <c r="E159" s="26" t="n">
        <f aca="false">IF(D159&lt;=0,0,ROUND(D159*Calculator!$B$7/12,2))</f>
        <v>1786.97</v>
      </c>
      <c r="F159" s="26" t="n">
        <f aca="false">IF(D159&lt;=0,0,ROUND(MIN(D159,Calculator!$H$6-E159),2))</f>
        <v>867.72</v>
      </c>
      <c r="G159" s="26" t="n">
        <f aca="false">ROUND(E159+F159,2)</f>
        <v>2654.69</v>
      </c>
      <c r="H159" s="26" t="n">
        <f aca="false">ROUND(MAX(0,D159-F159),2)</f>
        <v>329034.43</v>
      </c>
      <c r="I159" s="26" t="n">
        <f aca="false">ROUND(E159+I158,2)</f>
        <v>317856.69</v>
      </c>
    </row>
    <row r="160" customFormat="false" ht="15" hidden="false" customHeight="true" outlineLevel="0" collapsed="false">
      <c r="A160" s="19" t="n">
        <f aca="false">A159+1</f>
        <v>155</v>
      </c>
      <c r="B160" s="18" t="n">
        <f aca="false">EDATE(B159,1)</f>
        <v>50983</v>
      </c>
      <c r="C160" s="19" t="n">
        <f aca="false">ROUNDUP(A160/12,0)</f>
        <v>13</v>
      </c>
      <c r="D160" s="26" t="n">
        <f aca="false">H159</f>
        <v>329034.43</v>
      </c>
      <c r="E160" s="26" t="n">
        <f aca="false">IF(D160&lt;=0,0,ROUND(D160*Calculator!$B$7/12,2))</f>
        <v>1782.27</v>
      </c>
      <c r="F160" s="26" t="n">
        <f aca="false">IF(D160&lt;=0,0,ROUND(MIN(D160,Calculator!$H$6-E160),2))</f>
        <v>872.42</v>
      </c>
      <c r="G160" s="26" t="n">
        <f aca="false">ROUND(E160+F160,2)</f>
        <v>2654.69</v>
      </c>
      <c r="H160" s="26" t="n">
        <f aca="false">ROUND(MAX(0,D160-F160),2)</f>
        <v>328162.01</v>
      </c>
      <c r="I160" s="26" t="n">
        <f aca="false">ROUND(E160+I159,2)</f>
        <v>319638.96</v>
      </c>
    </row>
    <row r="161" customFormat="false" ht="15" hidden="false" customHeight="true" outlineLevel="0" collapsed="false">
      <c r="A161" s="19" t="n">
        <f aca="false">A160+1</f>
        <v>156</v>
      </c>
      <c r="B161" s="18" t="n">
        <f aca="false">EDATE(B160,1)</f>
        <v>51014</v>
      </c>
      <c r="C161" s="19" t="n">
        <f aca="false">ROUNDUP(A161/12,0)</f>
        <v>13</v>
      </c>
      <c r="D161" s="26" t="n">
        <f aca="false">H160</f>
        <v>328162.01</v>
      </c>
      <c r="E161" s="26" t="n">
        <f aca="false">IF(D161&lt;=0,0,ROUND(D161*Calculator!$B$7/12,2))</f>
        <v>1777.54</v>
      </c>
      <c r="F161" s="26" t="n">
        <f aca="false">IF(D161&lt;=0,0,ROUND(MIN(D161,Calculator!$H$6-E161),2))</f>
        <v>877.15</v>
      </c>
      <c r="G161" s="26" t="n">
        <f aca="false">ROUND(E161+F161,2)</f>
        <v>2654.69</v>
      </c>
      <c r="H161" s="26" t="n">
        <f aca="false">ROUND(MAX(0,D161-F161),2)</f>
        <v>327284.86</v>
      </c>
      <c r="I161" s="26" t="n">
        <f aca="false">ROUND(E161+I160,2)</f>
        <v>321416.5</v>
      </c>
    </row>
    <row r="162" customFormat="false" ht="15" hidden="false" customHeight="true" outlineLevel="0" collapsed="false">
      <c r="A162" s="19" t="n">
        <f aca="false">A161+1</f>
        <v>157</v>
      </c>
      <c r="B162" s="18" t="n">
        <f aca="false">EDATE(B161,1)</f>
        <v>51044</v>
      </c>
      <c r="C162" s="19" t="n">
        <f aca="false">ROUNDUP(A162/12,0)</f>
        <v>14</v>
      </c>
      <c r="D162" s="26" t="n">
        <f aca="false">H161</f>
        <v>327284.86</v>
      </c>
      <c r="E162" s="26" t="n">
        <f aca="false">IF(D162&lt;=0,0,ROUND(D162*Calculator!$B$7/12,2))</f>
        <v>1772.79</v>
      </c>
      <c r="F162" s="26" t="n">
        <f aca="false">IF(D162&lt;=0,0,ROUND(MIN(D162,Calculator!$H$6-E162),2))</f>
        <v>881.9</v>
      </c>
      <c r="G162" s="26" t="n">
        <f aca="false">ROUND(E162+F162,2)</f>
        <v>2654.69</v>
      </c>
      <c r="H162" s="26" t="n">
        <f aca="false">ROUND(MAX(0,D162-F162),2)</f>
        <v>326402.96</v>
      </c>
      <c r="I162" s="26" t="n">
        <f aca="false">ROUND(E162+I161,2)</f>
        <v>323189.29</v>
      </c>
    </row>
    <row r="163" customFormat="false" ht="15" hidden="false" customHeight="true" outlineLevel="0" collapsed="false">
      <c r="A163" s="19" t="n">
        <f aca="false">A162+1</f>
        <v>158</v>
      </c>
      <c r="B163" s="18" t="n">
        <f aca="false">EDATE(B162,1)</f>
        <v>51075</v>
      </c>
      <c r="C163" s="19" t="n">
        <f aca="false">ROUNDUP(A163/12,0)</f>
        <v>14</v>
      </c>
      <c r="D163" s="26" t="n">
        <f aca="false">H162</f>
        <v>326402.96</v>
      </c>
      <c r="E163" s="26" t="n">
        <f aca="false">IF(D163&lt;=0,0,ROUND(D163*Calculator!$B$7/12,2))</f>
        <v>1768.02</v>
      </c>
      <c r="F163" s="26" t="n">
        <f aca="false">IF(D163&lt;=0,0,ROUND(MIN(D163,Calculator!$H$6-E163),2))</f>
        <v>886.67</v>
      </c>
      <c r="G163" s="26" t="n">
        <f aca="false">ROUND(E163+F163,2)</f>
        <v>2654.69</v>
      </c>
      <c r="H163" s="26" t="n">
        <f aca="false">ROUND(MAX(0,D163-F163),2)</f>
        <v>325516.29</v>
      </c>
      <c r="I163" s="26" t="n">
        <f aca="false">ROUND(E163+I162,2)</f>
        <v>324957.31</v>
      </c>
    </row>
    <row r="164" customFormat="false" ht="15" hidden="false" customHeight="true" outlineLevel="0" collapsed="false">
      <c r="A164" s="19" t="n">
        <f aca="false">A163+1</f>
        <v>159</v>
      </c>
      <c r="B164" s="18" t="n">
        <f aca="false">EDATE(B163,1)</f>
        <v>51105</v>
      </c>
      <c r="C164" s="19" t="n">
        <f aca="false">ROUNDUP(A164/12,0)</f>
        <v>14</v>
      </c>
      <c r="D164" s="26" t="n">
        <f aca="false">H163</f>
        <v>325516.29</v>
      </c>
      <c r="E164" s="26" t="n">
        <f aca="false">IF(D164&lt;=0,0,ROUND(D164*Calculator!$B$7/12,2))</f>
        <v>1763.21</v>
      </c>
      <c r="F164" s="26" t="n">
        <f aca="false">IF(D164&lt;=0,0,ROUND(MIN(D164,Calculator!$H$6-E164),2))</f>
        <v>891.48</v>
      </c>
      <c r="G164" s="26" t="n">
        <f aca="false">ROUND(E164+F164,2)</f>
        <v>2654.69</v>
      </c>
      <c r="H164" s="26" t="n">
        <f aca="false">ROUND(MAX(0,D164-F164),2)</f>
        <v>324624.81</v>
      </c>
      <c r="I164" s="26" t="n">
        <f aca="false">ROUND(E164+I163,2)</f>
        <v>326720.52</v>
      </c>
    </row>
    <row r="165" customFormat="false" ht="15" hidden="false" customHeight="true" outlineLevel="0" collapsed="false">
      <c r="A165" s="19" t="n">
        <f aca="false">A164+1</f>
        <v>160</v>
      </c>
      <c r="B165" s="18" t="n">
        <f aca="false">EDATE(B164,1)</f>
        <v>51136</v>
      </c>
      <c r="C165" s="19" t="n">
        <f aca="false">ROUNDUP(A165/12,0)</f>
        <v>14</v>
      </c>
      <c r="D165" s="26" t="n">
        <f aca="false">H164</f>
        <v>324624.81</v>
      </c>
      <c r="E165" s="26" t="n">
        <f aca="false">IF(D165&lt;=0,0,ROUND(D165*Calculator!$B$7/12,2))</f>
        <v>1758.38</v>
      </c>
      <c r="F165" s="26" t="n">
        <f aca="false">IF(D165&lt;=0,0,ROUND(MIN(D165,Calculator!$H$6-E165),2))</f>
        <v>896.31</v>
      </c>
      <c r="G165" s="26" t="n">
        <f aca="false">ROUND(E165+F165,2)</f>
        <v>2654.69</v>
      </c>
      <c r="H165" s="26" t="n">
        <f aca="false">ROUND(MAX(0,D165-F165),2)</f>
        <v>323728.5</v>
      </c>
      <c r="I165" s="26" t="n">
        <f aca="false">ROUND(E165+I164,2)</f>
        <v>328478.9</v>
      </c>
    </row>
    <row r="166" customFormat="false" ht="15" hidden="false" customHeight="true" outlineLevel="0" collapsed="false">
      <c r="A166" s="19" t="n">
        <f aca="false">A165+1</f>
        <v>161</v>
      </c>
      <c r="B166" s="18" t="n">
        <f aca="false">EDATE(B165,1)</f>
        <v>51167</v>
      </c>
      <c r="C166" s="19" t="n">
        <f aca="false">ROUNDUP(A166/12,0)</f>
        <v>14</v>
      </c>
      <c r="D166" s="26" t="n">
        <f aca="false">H165</f>
        <v>323728.5</v>
      </c>
      <c r="E166" s="26" t="n">
        <f aca="false">IF(D166&lt;=0,0,ROUND(D166*Calculator!$B$7/12,2))</f>
        <v>1753.53</v>
      </c>
      <c r="F166" s="26" t="n">
        <f aca="false">IF(D166&lt;=0,0,ROUND(MIN(D166,Calculator!$H$6-E166),2))</f>
        <v>901.16</v>
      </c>
      <c r="G166" s="26" t="n">
        <f aca="false">ROUND(E166+F166,2)</f>
        <v>2654.69</v>
      </c>
      <c r="H166" s="26" t="n">
        <f aca="false">ROUND(MAX(0,D166-F166),2)</f>
        <v>322827.34</v>
      </c>
      <c r="I166" s="26" t="n">
        <f aca="false">ROUND(E166+I165,2)</f>
        <v>330232.43</v>
      </c>
    </row>
    <row r="167" customFormat="false" ht="15" hidden="false" customHeight="true" outlineLevel="0" collapsed="false">
      <c r="A167" s="19" t="n">
        <f aca="false">A166+1</f>
        <v>162</v>
      </c>
      <c r="B167" s="18" t="n">
        <f aca="false">EDATE(B166,1)</f>
        <v>51196</v>
      </c>
      <c r="C167" s="19" t="n">
        <f aca="false">ROUNDUP(A167/12,0)</f>
        <v>14</v>
      </c>
      <c r="D167" s="26" t="n">
        <f aca="false">H166</f>
        <v>322827.34</v>
      </c>
      <c r="E167" s="26" t="n">
        <f aca="false">IF(D167&lt;=0,0,ROUND(D167*Calculator!$B$7/12,2))</f>
        <v>1748.65</v>
      </c>
      <c r="F167" s="26" t="n">
        <f aca="false">IF(D167&lt;=0,0,ROUND(MIN(D167,Calculator!$H$6-E167),2))</f>
        <v>906.04</v>
      </c>
      <c r="G167" s="26" t="n">
        <f aca="false">ROUND(E167+F167,2)</f>
        <v>2654.69</v>
      </c>
      <c r="H167" s="26" t="n">
        <f aca="false">ROUND(MAX(0,D167-F167),2)</f>
        <v>321921.3</v>
      </c>
      <c r="I167" s="26" t="n">
        <f aca="false">ROUND(E167+I166,2)</f>
        <v>331981.08</v>
      </c>
    </row>
    <row r="168" customFormat="false" ht="15" hidden="false" customHeight="true" outlineLevel="0" collapsed="false">
      <c r="A168" s="19" t="n">
        <f aca="false">A167+1</f>
        <v>163</v>
      </c>
      <c r="B168" s="18" t="n">
        <f aca="false">EDATE(B167,1)</f>
        <v>51227</v>
      </c>
      <c r="C168" s="19" t="n">
        <f aca="false">ROUNDUP(A168/12,0)</f>
        <v>14</v>
      </c>
      <c r="D168" s="26" t="n">
        <f aca="false">H167</f>
        <v>321921.3</v>
      </c>
      <c r="E168" s="26" t="n">
        <f aca="false">IF(D168&lt;=0,0,ROUND(D168*Calculator!$B$7/12,2))</f>
        <v>1743.74</v>
      </c>
      <c r="F168" s="26" t="n">
        <f aca="false">IF(D168&lt;=0,0,ROUND(MIN(D168,Calculator!$H$6-E168),2))</f>
        <v>910.95</v>
      </c>
      <c r="G168" s="26" t="n">
        <f aca="false">ROUND(E168+F168,2)</f>
        <v>2654.69</v>
      </c>
      <c r="H168" s="26" t="n">
        <f aca="false">ROUND(MAX(0,D168-F168),2)</f>
        <v>321010.35</v>
      </c>
      <c r="I168" s="26" t="n">
        <f aca="false">ROUND(E168+I167,2)</f>
        <v>333724.82</v>
      </c>
    </row>
    <row r="169" customFormat="false" ht="15" hidden="false" customHeight="true" outlineLevel="0" collapsed="false">
      <c r="A169" s="19" t="n">
        <f aca="false">A168+1</f>
        <v>164</v>
      </c>
      <c r="B169" s="18" t="n">
        <f aca="false">EDATE(B168,1)</f>
        <v>51257</v>
      </c>
      <c r="C169" s="19" t="n">
        <f aca="false">ROUNDUP(A169/12,0)</f>
        <v>14</v>
      </c>
      <c r="D169" s="26" t="n">
        <f aca="false">H168</f>
        <v>321010.35</v>
      </c>
      <c r="E169" s="26" t="n">
        <f aca="false">IF(D169&lt;=0,0,ROUND(D169*Calculator!$B$7/12,2))</f>
        <v>1738.81</v>
      </c>
      <c r="F169" s="26" t="n">
        <f aca="false">IF(D169&lt;=0,0,ROUND(MIN(D169,Calculator!$H$6-E169),2))</f>
        <v>915.88</v>
      </c>
      <c r="G169" s="26" t="n">
        <f aca="false">ROUND(E169+F169,2)</f>
        <v>2654.69</v>
      </c>
      <c r="H169" s="26" t="n">
        <f aca="false">ROUND(MAX(0,D169-F169),2)</f>
        <v>320094.47</v>
      </c>
      <c r="I169" s="26" t="n">
        <f aca="false">ROUND(E169+I168,2)</f>
        <v>335463.63</v>
      </c>
    </row>
    <row r="170" customFormat="false" ht="15" hidden="false" customHeight="true" outlineLevel="0" collapsed="false">
      <c r="A170" s="19" t="n">
        <f aca="false">A169+1</f>
        <v>165</v>
      </c>
      <c r="B170" s="18" t="n">
        <f aca="false">EDATE(B169,1)</f>
        <v>51288</v>
      </c>
      <c r="C170" s="19" t="n">
        <f aca="false">ROUNDUP(A170/12,0)</f>
        <v>14</v>
      </c>
      <c r="D170" s="26" t="n">
        <f aca="false">H169</f>
        <v>320094.47</v>
      </c>
      <c r="E170" s="26" t="n">
        <f aca="false">IF(D170&lt;=0,0,ROUND(D170*Calculator!$B$7/12,2))</f>
        <v>1733.85</v>
      </c>
      <c r="F170" s="26" t="n">
        <f aca="false">IF(D170&lt;=0,0,ROUND(MIN(D170,Calculator!$H$6-E170),2))</f>
        <v>920.84</v>
      </c>
      <c r="G170" s="26" t="n">
        <f aca="false">ROUND(E170+F170,2)</f>
        <v>2654.69</v>
      </c>
      <c r="H170" s="26" t="n">
        <f aca="false">ROUND(MAX(0,D170-F170),2)</f>
        <v>319173.63</v>
      </c>
      <c r="I170" s="26" t="n">
        <f aca="false">ROUND(E170+I169,2)</f>
        <v>337197.48</v>
      </c>
    </row>
    <row r="171" customFormat="false" ht="15" hidden="false" customHeight="true" outlineLevel="0" collapsed="false">
      <c r="A171" s="19" t="n">
        <f aca="false">A170+1</f>
        <v>166</v>
      </c>
      <c r="B171" s="18" t="n">
        <f aca="false">EDATE(B170,1)</f>
        <v>51318</v>
      </c>
      <c r="C171" s="19" t="n">
        <f aca="false">ROUNDUP(A171/12,0)</f>
        <v>14</v>
      </c>
      <c r="D171" s="26" t="n">
        <f aca="false">H170</f>
        <v>319173.63</v>
      </c>
      <c r="E171" s="26" t="n">
        <f aca="false">IF(D171&lt;=0,0,ROUND(D171*Calculator!$B$7/12,2))</f>
        <v>1728.86</v>
      </c>
      <c r="F171" s="26" t="n">
        <f aca="false">IF(D171&lt;=0,0,ROUND(MIN(D171,Calculator!$H$6-E171),2))</f>
        <v>925.83</v>
      </c>
      <c r="G171" s="26" t="n">
        <f aca="false">ROUND(E171+F171,2)</f>
        <v>2654.69</v>
      </c>
      <c r="H171" s="26" t="n">
        <f aca="false">ROUND(MAX(0,D171-F171),2)</f>
        <v>318247.8</v>
      </c>
      <c r="I171" s="26" t="n">
        <f aca="false">ROUND(E171+I170,2)</f>
        <v>338926.34</v>
      </c>
    </row>
    <row r="172" customFormat="false" ht="15" hidden="false" customHeight="true" outlineLevel="0" collapsed="false">
      <c r="A172" s="19" t="n">
        <f aca="false">A171+1</f>
        <v>167</v>
      </c>
      <c r="B172" s="18" t="n">
        <f aca="false">EDATE(B171,1)</f>
        <v>51349</v>
      </c>
      <c r="C172" s="19" t="n">
        <f aca="false">ROUNDUP(A172/12,0)</f>
        <v>14</v>
      </c>
      <c r="D172" s="26" t="n">
        <f aca="false">H171</f>
        <v>318247.8</v>
      </c>
      <c r="E172" s="26" t="n">
        <f aca="false">IF(D172&lt;=0,0,ROUND(D172*Calculator!$B$7/12,2))</f>
        <v>1723.84</v>
      </c>
      <c r="F172" s="26" t="n">
        <f aca="false">IF(D172&lt;=0,0,ROUND(MIN(D172,Calculator!$H$6-E172),2))</f>
        <v>930.85</v>
      </c>
      <c r="G172" s="26" t="n">
        <f aca="false">ROUND(E172+F172,2)</f>
        <v>2654.69</v>
      </c>
      <c r="H172" s="26" t="n">
        <f aca="false">ROUND(MAX(0,D172-F172),2)</f>
        <v>317316.95</v>
      </c>
      <c r="I172" s="26" t="n">
        <f aca="false">ROUND(E172+I171,2)</f>
        <v>340650.18</v>
      </c>
    </row>
    <row r="173" customFormat="false" ht="15" hidden="false" customHeight="true" outlineLevel="0" collapsed="false">
      <c r="A173" s="19" t="n">
        <f aca="false">A172+1</f>
        <v>168</v>
      </c>
      <c r="B173" s="18" t="n">
        <f aca="false">EDATE(B172,1)</f>
        <v>51380</v>
      </c>
      <c r="C173" s="19" t="n">
        <f aca="false">ROUNDUP(A173/12,0)</f>
        <v>14</v>
      </c>
      <c r="D173" s="26" t="n">
        <f aca="false">H172</f>
        <v>317316.95</v>
      </c>
      <c r="E173" s="26" t="n">
        <f aca="false">IF(D173&lt;=0,0,ROUND(D173*Calculator!$B$7/12,2))</f>
        <v>1718.8</v>
      </c>
      <c r="F173" s="26" t="n">
        <f aca="false">IF(D173&lt;=0,0,ROUND(MIN(D173,Calculator!$H$6-E173),2))</f>
        <v>935.89</v>
      </c>
      <c r="G173" s="26" t="n">
        <f aca="false">ROUND(E173+F173,2)</f>
        <v>2654.69</v>
      </c>
      <c r="H173" s="26" t="n">
        <f aca="false">ROUND(MAX(0,D173-F173),2)</f>
        <v>316381.06</v>
      </c>
      <c r="I173" s="26" t="n">
        <f aca="false">ROUND(E173+I172,2)</f>
        <v>342368.98</v>
      </c>
    </row>
    <row r="174" customFormat="false" ht="15" hidden="false" customHeight="true" outlineLevel="0" collapsed="false">
      <c r="A174" s="19" t="n">
        <f aca="false">A173+1</f>
        <v>169</v>
      </c>
      <c r="B174" s="18" t="n">
        <f aca="false">EDATE(B173,1)</f>
        <v>51410</v>
      </c>
      <c r="C174" s="19" t="n">
        <f aca="false">ROUNDUP(A174/12,0)</f>
        <v>15</v>
      </c>
      <c r="D174" s="26" t="n">
        <f aca="false">H173</f>
        <v>316381.06</v>
      </c>
      <c r="E174" s="26" t="n">
        <f aca="false">IF(D174&lt;=0,0,ROUND(D174*Calculator!$B$7/12,2))</f>
        <v>1713.73</v>
      </c>
      <c r="F174" s="26" t="n">
        <f aca="false">IF(D174&lt;=0,0,ROUND(MIN(D174,Calculator!$H$6-E174),2))</f>
        <v>940.96</v>
      </c>
      <c r="G174" s="26" t="n">
        <f aca="false">ROUND(E174+F174,2)</f>
        <v>2654.69</v>
      </c>
      <c r="H174" s="26" t="n">
        <f aca="false">ROUND(MAX(0,D174-F174),2)</f>
        <v>315440.1</v>
      </c>
      <c r="I174" s="26" t="n">
        <f aca="false">ROUND(E174+I173,2)</f>
        <v>344082.71</v>
      </c>
    </row>
    <row r="175" customFormat="false" ht="15" hidden="false" customHeight="true" outlineLevel="0" collapsed="false">
      <c r="A175" s="19" t="n">
        <f aca="false">A174+1</f>
        <v>170</v>
      </c>
      <c r="B175" s="18" t="n">
        <f aca="false">EDATE(B174,1)</f>
        <v>51441</v>
      </c>
      <c r="C175" s="19" t="n">
        <f aca="false">ROUNDUP(A175/12,0)</f>
        <v>15</v>
      </c>
      <c r="D175" s="26" t="n">
        <f aca="false">H174</f>
        <v>315440.1</v>
      </c>
      <c r="E175" s="26" t="n">
        <f aca="false">IF(D175&lt;=0,0,ROUND(D175*Calculator!$B$7/12,2))</f>
        <v>1708.63</v>
      </c>
      <c r="F175" s="26" t="n">
        <f aca="false">IF(D175&lt;=0,0,ROUND(MIN(D175,Calculator!$H$6-E175),2))</f>
        <v>946.06</v>
      </c>
      <c r="G175" s="26" t="n">
        <f aca="false">ROUND(E175+F175,2)</f>
        <v>2654.69</v>
      </c>
      <c r="H175" s="26" t="n">
        <f aca="false">ROUND(MAX(0,D175-F175),2)</f>
        <v>314494.04</v>
      </c>
      <c r="I175" s="26" t="n">
        <f aca="false">ROUND(E175+I174,2)</f>
        <v>345791.34</v>
      </c>
    </row>
    <row r="176" customFormat="false" ht="15" hidden="false" customHeight="true" outlineLevel="0" collapsed="false">
      <c r="A176" s="19" t="n">
        <f aca="false">A175+1</f>
        <v>171</v>
      </c>
      <c r="B176" s="18" t="n">
        <f aca="false">EDATE(B175,1)</f>
        <v>51471</v>
      </c>
      <c r="C176" s="19" t="n">
        <f aca="false">ROUNDUP(A176/12,0)</f>
        <v>15</v>
      </c>
      <c r="D176" s="26" t="n">
        <f aca="false">H175</f>
        <v>314494.04</v>
      </c>
      <c r="E176" s="26" t="n">
        <f aca="false">IF(D176&lt;=0,0,ROUND(D176*Calculator!$B$7/12,2))</f>
        <v>1703.51</v>
      </c>
      <c r="F176" s="26" t="n">
        <f aca="false">IF(D176&lt;=0,0,ROUND(MIN(D176,Calculator!$H$6-E176),2))</f>
        <v>951.18</v>
      </c>
      <c r="G176" s="26" t="n">
        <f aca="false">ROUND(E176+F176,2)</f>
        <v>2654.69</v>
      </c>
      <c r="H176" s="26" t="n">
        <f aca="false">ROUND(MAX(0,D176-F176),2)</f>
        <v>313542.86</v>
      </c>
      <c r="I176" s="26" t="n">
        <f aca="false">ROUND(E176+I175,2)</f>
        <v>347494.85</v>
      </c>
    </row>
    <row r="177" customFormat="false" ht="15" hidden="false" customHeight="true" outlineLevel="0" collapsed="false">
      <c r="A177" s="19" t="n">
        <f aca="false">A176+1</f>
        <v>172</v>
      </c>
      <c r="B177" s="18" t="n">
        <f aca="false">EDATE(B176,1)</f>
        <v>51502</v>
      </c>
      <c r="C177" s="19" t="n">
        <f aca="false">ROUNDUP(A177/12,0)</f>
        <v>15</v>
      </c>
      <c r="D177" s="26" t="n">
        <f aca="false">H176</f>
        <v>313542.86</v>
      </c>
      <c r="E177" s="26" t="n">
        <f aca="false">IF(D177&lt;=0,0,ROUND(D177*Calculator!$B$7/12,2))</f>
        <v>1698.36</v>
      </c>
      <c r="F177" s="26" t="n">
        <f aca="false">IF(D177&lt;=0,0,ROUND(MIN(D177,Calculator!$H$6-E177),2))</f>
        <v>956.33</v>
      </c>
      <c r="G177" s="26" t="n">
        <f aca="false">ROUND(E177+F177,2)</f>
        <v>2654.69</v>
      </c>
      <c r="H177" s="26" t="n">
        <f aca="false">ROUND(MAX(0,D177-F177),2)</f>
        <v>312586.53</v>
      </c>
      <c r="I177" s="26" t="n">
        <f aca="false">ROUND(E177+I176,2)</f>
        <v>349193.21</v>
      </c>
    </row>
    <row r="178" customFormat="false" ht="15" hidden="false" customHeight="true" outlineLevel="0" collapsed="false">
      <c r="A178" s="19" t="n">
        <f aca="false">A177+1</f>
        <v>173</v>
      </c>
      <c r="B178" s="18" t="n">
        <f aca="false">EDATE(B177,1)</f>
        <v>51533</v>
      </c>
      <c r="C178" s="19" t="n">
        <f aca="false">ROUNDUP(A178/12,0)</f>
        <v>15</v>
      </c>
      <c r="D178" s="26" t="n">
        <f aca="false">H177</f>
        <v>312586.53</v>
      </c>
      <c r="E178" s="26" t="n">
        <f aca="false">IF(D178&lt;=0,0,ROUND(D178*Calculator!$B$7/12,2))</f>
        <v>1693.18</v>
      </c>
      <c r="F178" s="26" t="n">
        <f aca="false">IF(D178&lt;=0,0,ROUND(MIN(D178,Calculator!$H$6-E178),2))</f>
        <v>961.51</v>
      </c>
      <c r="G178" s="26" t="n">
        <f aca="false">ROUND(E178+F178,2)</f>
        <v>2654.69</v>
      </c>
      <c r="H178" s="26" t="n">
        <f aca="false">ROUND(MAX(0,D178-F178),2)</f>
        <v>311625.02</v>
      </c>
      <c r="I178" s="26" t="n">
        <f aca="false">ROUND(E178+I177,2)</f>
        <v>350886.39</v>
      </c>
    </row>
    <row r="179" customFormat="false" ht="15" hidden="false" customHeight="true" outlineLevel="0" collapsed="false">
      <c r="A179" s="19" t="n">
        <f aca="false">A178+1</f>
        <v>174</v>
      </c>
      <c r="B179" s="18" t="n">
        <f aca="false">EDATE(B178,1)</f>
        <v>51561</v>
      </c>
      <c r="C179" s="19" t="n">
        <f aca="false">ROUNDUP(A179/12,0)</f>
        <v>15</v>
      </c>
      <c r="D179" s="26" t="n">
        <f aca="false">H178</f>
        <v>311625.02</v>
      </c>
      <c r="E179" s="26" t="n">
        <f aca="false">IF(D179&lt;=0,0,ROUND(D179*Calculator!$B$7/12,2))</f>
        <v>1687.97</v>
      </c>
      <c r="F179" s="26" t="n">
        <f aca="false">IF(D179&lt;=0,0,ROUND(MIN(D179,Calculator!$H$6-E179),2))</f>
        <v>966.72</v>
      </c>
      <c r="G179" s="26" t="n">
        <f aca="false">ROUND(E179+F179,2)</f>
        <v>2654.69</v>
      </c>
      <c r="H179" s="26" t="n">
        <f aca="false">ROUND(MAX(0,D179-F179),2)</f>
        <v>310658.3</v>
      </c>
      <c r="I179" s="26" t="n">
        <f aca="false">ROUND(E179+I178,2)</f>
        <v>352574.36</v>
      </c>
    </row>
    <row r="180" customFormat="false" ht="15" hidden="false" customHeight="true" outlineLevel="0" collapsed="false">
      <c r="A180" s="19" t="n">
        <f aca="false">A179+1</f>
        <v>175</v>
      </c>
      <c r="B180" s="18" t="n">
        <f aca="false">EDATE(B179,1)</f>
        <v>51592</v>
      </c>
      <c r="C180" s="19" t="n">
        <f aca="false">ROUNDUP(A180/12,0)</f>
        <v>15</v>
      </c>
      <c r="D180" s="26" t="n">
        <f aca="false">H179</f>
        <v>310658.3</v>
      </c>
      <c r="E180" s="26" t="n">
        <f aca="false">IF(D180&lt;=0,0,ROUND(D180*Calculator!$B$7/12,2))</f>
        <v>1682.73</v>
      </c>
      <c r="F180" s="26" t="n">
        <f aca="false">IF(D180&lt;=0,0,ROUND(MIN(D180,Calculator!$H$6-E180),2))</f>
        <v>971.96</v>
      </c>
      <c r="G180" s="26" t="n">
        <f aca="false">ROUND(E180+F180,2)</f>
        <v>2654.69</v>
      </c>
      <c r="H180" s="26" t="n">
        <f aca="false">ROUND(MAX(0,D180-F180),2)</f>
        <v>309686.34</v>
      </c>
      <c r="I180" s="26" t="n">
        <f aca="false">ROUND(E180+I179,2)</f>
        <v>354257.09</v>
      </c>
    </row>
    <row r="181" customFormat="false" ht="15" hidden="false" customHeight="true" outlineLevel="0" collapsed="false">
      <c r="A181" s="19" t="n">
        <f aca="false">A180+1</f>
        <v>176</v>
      </c>
      <c r="B181" s="18" t="n">
        <f aca="false">EDATE(B180,1)</f>
        <v>51622</v>
      </c>
      <c r="C181" s="19" t="n">
        <f aca="false">ROUNDUP(A181/12,0)</f>
        <v>15</v>
      </c>
      <c r="D181" s="26" t="n">
        <f aca="false">H180</f>
        <v>309686.34</v>
      </c>
      <c r="E181" s="26" t="n">
        <f aca="false">IF(D181&lt;=0,0,ROUND(D181*Calculator!$B$7/12,2))</f>
        <v>1677.47</v>
      </c>
      <c r="F181" s="26" t="n">
        <f aca="false">IF(D181&lt;=0,0,ROUND(MIN(D181,Calculator!$H$6-E181),2))</f>
        <v>977.22</v>
      </c>
      <c r="G181" s="26" t="n">
        <f aca="false">ROUND(E181+F181,2)</f>
        <v>2654.69</v>
      </c>
      <c r="H181" s="26" t="n">
        <f aca="false">ROUND(MAX(0,D181-F181),2)</f>
        <v>308709.12</v>
      </c>
      <c r="I181" s="26" t="n">
        <f aca="false">ROUND(E181+I180,2)</f>
        <v>355934.56</v>
      </c>
    </row>
    <row r="182" customFormat="false" ht="15" hidden="false" customHeight="true" outlineLevel="0" collapsed="false">
      <c r="A182" s="19" t="n">
        <f aca="false">A181+1</f>
        <v>177</v>
      </c>
      <c r="B182" s="18" t="n">
        <f aca="false">EDATE(B181,1)</f>
        <v>51653</v>
      </c>
      <c r="C182" s="19" t="n">
        <f aca="false">ROUNDUP(A182/12,0)</f>
        <v>15</v>
      </c>
      <c r="D182" s="26" t="n">
        <f aca="false">H181</f>
        <v>308709.12</v>
      </c>
      <c r="E182" s="26" t="n">
        <f aca="false">IF(D182&lt;=0,0,ROUND(D182*Calculator!$B$7/12,2))</f>
        <v>1672.17</v>
      </c>
      <c r="F182" s="26" t="n">
        <f aca="false">IF(D182&lt;=0,0,ROUND(MIN(D182,Calculator!$H$6-E182),2))</f>
        <v>982.52</v>
      </c>
      <c r="G182" s="26" t="n">
        <f aca="false">ROUND(E182+F182,2)</f>
        <v>2654.69</v>
      </c>
      <c r="H182" s="26" t="n">
        <f aca="false">ROUND(MAX(0,D182-F182),2)</f>
        <v>307726.6</v>
      </c>
      <c r="I182" s="26" t="n">
        <f aca="false">ROUND(E182+I181,2)</f>
        <v>357606.73</v>
      </c>
    </row>
    <row r="183" customFormat="false" ht="15" hidden="false" customHeight="true" outlineLevel="0" collapsed="false">
      <c r="A183" s="19" t="n">
        <f aca="false">A182+1</f>
        <v>178</v>
      </c>
      <c r="B183" s="18" t="n">
        <f aca="false">EDATE(B182,1)</f>
        <v>51683</v>
      </c>
      <c r="C183" s="19" t="n">
        <f aca="false">ROUNDUP(A183/12,0)</f>
        <v>15</v>
      </c>
      <c r="D183" s="26" t="n">
        <f aca="false">H182</f>
        <v>307726.6</v>
      </c>
      <c r="E183" s="26" t="n">
        <f aca="false">IF(D183&lt;=0,0,ROUND(D183*Calculator!$B$7/12,2))</f>
        <v>1666.85</v>
      </c>
      <c r="F183" s="26" t="n">
        <f aca="false">IF(D183&lt;=0,0,ROUND(MIN(D183,Calculator!$H$6-E183),2))</f>
        <v>987.84</v>
      </c>
      <c r="G183" s="26" t="n">
        <f aca="false">ROUND(E183+F183,2)</f>
        <v>2654.69</v>
      </c>
      <c r="H183" s="26" t="n">
        <f aca="false">ROUND(MAX(0,D183-F183),2)</f>
        <v>306738.76</v>
      </c>
      <c r="I183" s="26" t="n">
        <f aca="false">ROUND(E183+I182,2)</f>
        <v>359273.58</v>
      </c>
    </row>
    <row r="184" customFormat="false" ht="15" hidden="false" customHeight="true" outlineLevel="0" collapsed="false">
      <c r="A184" s="19" t="n">
        <f aca="false">A183+1</f>
        <v>179</v>
      </c>
      <c r="B184" s="18" t="n">
        <f aca="false">EDATE(B183,1)</f>
        <v>51714</v>
      </c>
      <c r="C184" s="19" t="n">
        <f aca="false">ROUNDUP(A184/12,0)</f>
        <v>15</v>
      </c>
      <c r="D184" s="26" t="n">
        <f aca="false">H183</f>
        <v>306738.76</v>
      </c>
      <c r="E184" s="26" t="n">
        <f aca="false">IF(D184&lt;=0,0,ROUND(D184*Calculator!$B$7/12,2))</f>
        <v>1661.5</v>
      </c>
      <c r="F184" s="26" t="n">
        <f aca="false">IF(D184&lt;=0,0,ROUND(MIN(D184,Calculator!$H$6-E184),2))</f>
        <v>993.19</v>
      </c>
      <c r="G184" s="26" t="n">
        <f aca="false">ROUND(E184+F184,2)</f>
        <v>2654.69</v>
      </c>
      <c r="H184" s="26" t="n">
        <f aca="false">ROUND(MAX(0,D184-F184),2)</f>
        <v>305745.57</v>
      </c>
      <c r="I184" s="26" t="n">
        <f aca="false">ROUND(E184+I183,2)</f>
        <v>360935.08</v>
      </c>
    </row>
    <row r="185" customFormat="false" ht="15" hidden="false" customHeight="true" outlineLevel="0" collapsed="false">
      <c r="A185" s="19" t="n">
        <f aca="false">A184+1</f>
        <v>180</v>
      </c>
      <c r="B185" s="18" t="n">
        <f aca="false">EDATE(B184,1)</f>
        <v>51745</v>
      </c>
      <c r="C185" s="19" t="n">
        <f aca="false">ROUNDUP(A185/12,0)</f>
        <v>15</v>
      </c>
      <c r="D185" s="26" t="n">
        <f aca="false">H184</f>
        <v>305745.57</v>
      </c>
      <c r="E185" s="26" t="n">
        <f aca="false">IF(D185&lt;=0,0,ROUND(D185*Calculator!$B$7/12,2))</f>
        <v>1656.12</v>
      </c>
      <c r="F185" s="26" t="n">
        <f aca="false">IF(D185&lt;=0,0,ROUND(MIN(D185,Calculator!$H$6-E185),2))</f>
        <v>998.57</v>
      </c>
      <c r="G185" s="26" t="n">
        <f aca="false">ROUND(E185+F185,2)</f>
        <v>2654.69</v>
      </c>
      <c r="H185" s="26" t="n">
        <f aca="false">ROUND(MAX(0,D185-F185),2)</f>
        <v>304747</v>
      </c>
      <c r="I185" s="26" t="n">
        <f aca="false">ROUND(E185+I184,2)</f>
        <v>362591.2</v>
      </c>
    </row>
    <row r="186" customFormat="false" ht="15" hidden="false" customHeight="true" outlineLevel="0" collapsed="false">
      <c r="A186" s="19" t="n">
        <f aca="false">A185+1</f>
        <v>181</v>
      </c>
      <c r="B186" s="18" t="n">
        <f aca="false">EDATE(B185,1)</f>
        <v>51775</v>
      </c>
      <c r="C186" s="19" t="n">
        <f aca="false">ROUNDUP(A186/12,0)</f>
        <v>16</v>
      </c>
      <c r="D186" s="26" t="n">
        <f aca="false">H185</f>
        <v>304747</v>
      </c>
      <c r="E186" s="26" t="n">
        <f aca="false">IF(D186&lt;=0,0,ROUND(D186*Calculator!$B$7/12,2))</f>
        <v>1650.71</v>
      </c>
      <c r="F186" s="26" t="n">
        <f aca="false">IF(D186&lt;=0,0,ROUND(MIN(D186,Calculator!$H$6-E186),2))</f>
        <v>1003.98</v>
      </c>
      <c r="G186" s="26" t="n">
        <f aca="false">ROUND(E186+F186,2)</f>
        <v>2654.69</v>
      </c>
      <c r="H186" s="26" t="n">
        <f aca="false">ROUND(MAX(0,D186-F186),2)</f>
        <v>303743.02</v>
      </c>
      <c r="I186" s="26" t="n">
        <f aca="false">ROUND(E186+I185,2)</f>
        <v>364241.91</v>
      </c>
    </row>
    <row r="187" customFormat="false" ht="15" hidden="false" customHeight="true" outlineLevel="0" collapsed="false">
      <c r="A187" s="19" t="n">
        <f aca="false">A186+1</f>
        <v>182</v>
      </c>
      <c r="B187" s="18" t="n">
        <f aca="false">EDATE(B186,1)</f>
        <v>51806</v>
      </c>
      <c r="C187" s="19" t="n">
        <f aca="false">ROUNDUP(A187/12,0)</f>
        <v>16</v>
      </c>
      <c r="D187" s="26" t="n">
        <f aca="false">H186</f>
        <v>303743.02</v>
      </c>
      <c r="E187" s="26" t="n">
        <f aca="false">IF(D187&lt;=0,0,ROUND(D187*Calculator!$B$7/12,2))</f>
        <v>1645.27</v>
      </c>
      <c r="F187" s="26" t="n">
        <f aca="false">IF(D187&lt;=0,0,ROUND(MIN(D187,Calculator!$H$6-E187),2))</f>
        <v>1009.42</v>
      </c>
      <c r="G187" s="26" t="n">
        <f aca="false">ROUND(E187+F187,2)</f>
        <v>2654.69</v>
      </c>
      <c r="H187" s="26" t="n">
        <f aca="false">ROUND(MAX(0,D187-F187),2)</f>
        <v>302733.6</v>
      </c>
      <c r="I187" s="26" t="n">
        <f aca="false">ROUND(E187+I186,2)</f>
        <v>365887.18</v>
      </c>
    </row>
    <row r="188" customFormat="false" ht="15" hidden="false" customHeight="true" outlineLevel="0" collapsed="false">
      <c r="A188" s="19" t="n">
        <f aca="false">A187+1</f>
        <v>183</v>
      </c>
      <c r="B188" s="18" t="n">
        <f aca="false">EDATE(B187,1)</f>
        <v>51836</v>
      </c>
      <c r="C188" s="19" t="n">
        <f aca="false">ROUNDUP(A188/12,0)</f>
        <v>16</v>
      </c>
      <c r="D188" s="26" t="n">
        <f aca="false">H187</f>
        <v>302733.6</v>
      </c>
      <c r="E188" s="26" t="n">
        <f aca="false">IF(D188&lt;=0,0,ROUND(D188*Calculator!$B$7/12,2))</f>
        <v>1639.81</v>
      </c>
      <c r="F188" s="26" t="n">
        <f aca="false">IF(D188&lt;=0,0,ROUND(MIN(D188,Calculator!$H$6-E188),2))</f>
        <v>1014.88</v>
      </c>
      <c r="G188" s="26" t="n">
        <f aca="false">ROUND(E188+F188,2)</f>
        <v>2654.69</v>
      </c>
      <c r="H188" s="26" t="n">
        <f aca="false">ROUND(MAX(0,D188-F188),2)</f>
        <v>301718.72</v>
      </c>
      <c r="I188" s="26" t="n">
        <f aca="false">ROUND(E188+I187,2)</f>
        <v>367526.99</v>
      </c>
    </row>
    <row r="189" customFormat="false" ht="15" hidden="false" customHeight="true" outlineLevel="0" collapsed="false">
      <c r="A189" s="19" t="n">
        <f aca="false">A188+1</f>
        <v>184</v>
      </c>
      <c r="B189" s="18" t="n">
        <f aca="false">EDATE(B188,1)</f>
        <v>51867</v>
      </c>
      <c r="C189" s="19" t="n">
        <f aca="false">ROUNDUP(A189/12,0)</f>
        <v>16</v>
      </c>
      <c r="D189" s="26" t="n">
        <f aca="false">H188</f>
        <v>301718.72</v>
      </c>
      <c r="E189" s="26" t="n">
        <f aca="false">IF(D189&lt;=0,0,ROUND(D189*Calculator!$B$7/12,2))</f>
        <v>1634.31</v>
      </c>
      <c r="F189" s="26" t="n">
        <f aca="false">IF(D189&lt;=0,0,ROUND(MIN(D189,Calculator!$H$6-E189),2))</f>
        <v>1020.38</v>
      </c>
      <c r="G189" s="26" t="n">
        <f aca="false">ROUND(E189+F189,2)</f>
        <v>2654.69</v>
      </c>
      <c r="H189" s="26" t="n">
        <f aca="false">ROUND(MAX(0,D189-F189),2)</f>
        <v>300698.34</v>
      </c>
      <c r="I189" s="26" t="n">
        <f aca="false">ROUND(E189+I188,2)</f>
        <v>369161.3</v>
      </c>
    </row>
    <row r="190" customFormat="false" ht="15" hidden="false" customHeight="true" outlineLevel="0" collapsed="false">
      <c r="A190" s="19" t="n">
        <f aca="false">A189+1</f>
        <v>185</v>
      </c>
      <c r="B190" s="18" t="n">
        <f aca="false">EDATE(B189,1)</f>
        <v>51898</v>
      </c>
      <c r="C190" s="19" t="n">
        <f aca="false">ROUNDUP(A190/12,0)</f>
        <v>16</v>
      </c>
      <c r="D190" s="26" t="n">
        <f aca="false">H189</f>
        <v>300698.34</v>
      </c>
      <c r="E190" s="26" t="n">
        <f aca="false">IF(D190&lt;=0,0,ROUND(D190*Calculator!$B$7/12,2))</f>
        <v>1628.78</v>
      </c>
      <c r="F190" s="26" t="n">
        <f aca="false">IF(D190&lt;=0,0,ROUND(MIN(D190,Calculator!$H$6-E190),2))</f>
        <v>1025.91</v>
      </c>
      <c r="G190" s="26" t="n">
        <f aca="false">ROUND(E190+F190,2)</f>
        <v>2654.69</v>
      </c>
      <c r="H190" s="26" t="n">
        <f aca="false">ROUND(MAX(0,D190-F190),2)</f>
        <v>299672.43</v>
      </c>
      <c r="I190" s="26" t="n">
        <f aca="false">ROUND(E190+I189,2)</f>
        <v>370790.08</v>
      </c>
    </row>
    <row r="191" customFormat="false" ht="15" hidden="false" customHeight="true" outlineLevel="0" collapsed="false">
      <c r="A191" s="19" t="n">
        <f aca="false">A190+1</f>
        <v>186</v>
      </c>
      <c r="B191" s="18" t="n">
        <f aca="false">EDATE(B190,1)</f>
        <v>51926</v>
      </c>
      <c r="C191" s="19" t="n">
        <f aca="false">ROUNDUP(A191/12,0)</f>
        <v>16</v>
      </c>
      <c r="D191" s="26" t="n">
        <f aca="false">H190</f>
        <v>299672.43</v>
      </c>
      <c r="E191" s="26" t="n">
        <f aca="false">IF(D191&lt;=0,0,ROUND(D191*Calculator!$B$7/12,2))</f>
        <v>1623.23</v>
      </c>
      <c r="F191" s="26" t="n">
        <f aca="false">IF(D191&lt;=0,0,ROUND(MIN(D191,Calculator!$H$6-E191),2))</f>
        <v>1031.46</v>
      </c>
      <c r="G191" s="26" t="n">
        <f aca="false">ROUND(E191+F191,2)</f>
        <v>2654.69</v>
      </c>
      <c r="H191" s="26" t="n">
        <f aca="false">ROUND(MAX(0,D191-F191),2)</f>
        <v>298640.97</v>
      </c>
      <c r="I191" s="26" t="n">
        <f aca="false">ROUND(E191+I190,2)</f>
        <v>372413.31</v>
      </c>
    </row>
    <row r="192" customFormat="false" ht="15" hidden="false" customHeight="true" outlineLevel="0" collapsed="false">
      <c r="A192" s="19" t="n">
        <f aca="false">A191+1</f>
        <v>187</v>
      </c>
      <c r="B192" s="18" t="n">
        <f aca="false">EDATE(B191,1)</f>
        <v>51957</v>
      </c>
      <c r="C192" s="19" t="n">
        <f aca="false">ROUNDUP(A192/12,0)</f>
        <v>16</v>
      </c>
      <c r="D192" s="26" t="n">
        <f aca="false">H191</f>
        <v>298640.97</v>
      </c>
      <c r="E192" s="26" t="n">
        <f aca="false">IF(D192&lt;=0,0,ROUND(D192*Calculator!$B$7/12,2))</f>
        <v>1617.64</v>
      </c>
      <c r="F192" s="26" t="n">
        <f aca="false">IF(D192&lt;=0,0,ROUND(MIN(D192,Calculator!$H$6-E192),2))</f>
        <v>1037.05</v>
      </c>
      <c r="G192" s="26" t="n">
        <f aca="false">ROUND(E192+F192,2)</f>
        <v>2654.69</v>
      </c>
      <c r="H192" s="26" t="n">
        <f aca="false">ROUND(MAX(0,D192-F192),2)</f>
        <v>297603.92</v>
      </c>
      <c r="I192" s="26" t="n">
        <f aca="false">ROUND(E192+I191,2)</f>
        <v>374030.95</v>
      </c>
    </row>
    <row r="193" customFormat="false" ht="15" hidden="false" customHeight="true" outlineLevel="0" collapsed="false">
      <c r="A193" s="19" t="n">
        <f aca="false">A192+1</f>
        <v>188</v>
      </c>
      <c r="B193" s="18" t="n">
        <f aca="false">EDATE(B192,1)</f>
        <v>51987</v>
      </c>
      <c r="C193" s="19" t="n">
        <f aca="false">ROUNDUP(A193/12,0)</f>
        <v>16</v>
      </c>
      <c r="D193" s="26" t="n">
        <f aca="false">H192</f>
        <v>297603.92</v>
      </c>
      <c r="E193" s="26" t="n">
        <f aca="false">IF(D193&lt;=0,0,ROUND(D193*Calculator!$B$7/12,2))</f>
        <v>1612.02</v>
      </c>
      <c r="F193" s="26" t="n">
        <f aca="false">IF(D193&lt;=0,0,ROUND(MIN(D193,Calculator!$H$6-E193),2))</f>
        <v>1042.67</v>
      </c>
      <c r="G193" s="26" t="n">
        <f aca="false">ROUND(E193+F193,2)</f>
        <v>2654.69</v>
      </c>
      <c r="H193" s="26" t="n">
        <f aca="false">ROUND(MAX(0,D193-F193),2)</f>
        <v>296561.25</v>
      </c>
      <c r="I193" s="26" t="n">
        <f aca="false">ROUND(E193+I192,2)</f>
        <v>375642.97</v>
      </c>
    </row>
    <row r="194" customFormat="false" ht="15" hidden="false" customHeight="true" outlineLevel="0" collapsed="false">
      <c r="A194" s="19" t="n">
        <f aca="false">A193+1</f>
        <v>189</v>
      </c>
      <c r="B194" s="18" t="n">
        <f aca="false">EDATE(B193,1)</f>
        <v>52018</v>
      </c>
      <c r="C194" s="19" t="n">
        <f aca="false">ROUNDUP(A194/12,0)</f>
        <v>16</v>
      </c>
      <c r="D194" s="26" t="n">
        <f aca="false">H193</f>
        <v>296561.25</v>
      </c>
      <c r="E194" s="26" t="n">
        <f aca="false">IF(D194&lt;=0,0,ROUND(D194*Calculator!$B$7/12,2))</f>
        <v>1606.37</v>
      </c>
      <c r="F194" s="26" t="n">
        <f aca="false">IF(D194&lt;=0,0,ROUND(MIN(D194,Calculator!$H$6-E194),2))</f>
        <v>1048.32</v>
      </c>
      <c r="G194" s="26" t="n">
        <f aca="false">ROUND(E194+F194,2)</f>
        <v>2654.69</v>
      </c>
      <c r="H194" s="26" t="n">
        <f aca="false">ROUND(MAX(0,D194-F194),2)</f>
        <v>295512.93</v>
      </c>
      <c r="I194" s="26" t="n">
        <f aca="false">ROUND(E194+I193,2)</f>
        <v>377249.34</v>
      </c>
    </row>
    <row r="195" customFormat="false" ht="15" hidden="false" customHeight="true" outlineLevel="0" collapsed="false">
      <c r="A195" s="19" t="n">
        <f aca="false">A194+1</f>
        <v>190</v>
      </c>
      <c r="B195" s="18" t="n">
        <f aca="false">EDATE(B194,1)</f>
        <v>52048</v>
      </c>
      <c r="C195" s="19" t="n">
        <f aca="false">ROUNDUP(A195/12,0)</f>
        <v>16</v>
      </c>
      <c r="D195" s="26" t="n">
        <f aca="false">H194</f>
        <v>295512.93</v>
      </c>
      <c r="E195" s="26" t="n">
        <f aca="false">IF(D195&lt;=0,0,ROUND(D195*Calculator!$B$7/12,2))</f>
        <v>1600.7</v>
      </c>
      <c r="F195" s="26" t="n">
        <f aca="false">IF(D195&lt;=0,0,ROUND(MIN(D195,Calculator!$H$6-E195),2))</f>
        <v>1053.99</v>
      </c>
      <c r="G195" s="26" t="n">
        <f aca="false">ROUND(E195+F195,2)</f>
        <v>2654.69</v>
      </c>
      <c r="H195" s="26" t="n">
        <f aca="false">ROUND(MAX(0,D195-F195),2)</f>
        <v>294458.94</v>
      </c>
      <c r="I195" s="26" t="n">
        <f aca="false">ROUND(E195+I194,2)</f>
        <v>378850.04</v>
      </c>
    </row>
    <row r="196" customFormat="false" ht="15" hidden="false" customHeight="true" outlineLevel="0" collapsed="false">
      <c r="A196" s="19" t="n">
        <f aca="false">A195+1</f>
        <v>191</v>
      </c>
      <c r="B196" s="18" t="n">
        <f aca="false">EDATE(B195,1)</f>
        <v>52079</v>
      </c>
      <c r="C196" s="19" t="n">
        <f aca="false">ROUNDUP(A196/12,0)</f>
        <v>16</v>
      </c>
      <c r="D196" s="26" t="n">
        <f aca="false">H195</f>
        <v>294458.94</v>
      </c>
      <c r="E196" s="26" t="n">
        <f aca="false">IF(D196&lt;=0,0,ROUND(D196*Calculator!$B$7/12,2))</f>
        <v>1594.99</v>
      </c>
      <c r="F196" s="26" t="n">
        <f aca="false">IF(D196&lt;=0,0,ROUND(MIN(D196,Calculator!$H$6-E196),2))</f>
        <v>1059.7</v>
      </c>
      <c r="G196" s="26" t="n">
        <f aca="false">ROUND(E196+F196,2)</f>
        <v>2654.69</v>
      </c>
      <c r="H196" s="26" t="n">
        <f aca="false">ROUND(MAX(0,D196-F196),2)</f>
        <v>293399.24</v>
      </c>
      <c r="I196" s="26" t="n">
        <f aca="false">ROUND(E196+I195,2)</f>
        <v>380445.03</v>
      </c>
    </row>
    <row r="197" customFormat="false" ht="15" hidden="false" customHeight="true" outlineLevel="0" collapsed="false">
      <c r="A197" s="19" t="n">
        <f aca="false">A196+1</f>
        <v>192</v>
      </c>
      <c r="B197" s="18" t="n">
        <f aca="false">EDATE(B196,1)</f>
        <v>52110</v>
      </c>
      <c r="C197" s="19" t="n">
        <f aca="false">ROUNDUP(A197/12,0)</f>
        <v>16</v>
      </c>
      <c r="D197" s="26" t="n">
        <f aca="false">H196</f>
        <v>293399.24</v>
      </c>
      <c r="E197" s="26" t="n">
        <f aca="false">IF(D197&lt;=0,0,ROUND(D197*Calculator!$B$7/12,2))</f>
        <v>1589.25</v>
      </c>
      <c r="F197" s="26" t="n">
        <f aca="false">IF(D197&lt;=0,0,ROUND(MIN(D197,Calculator!$H$6-E197),2))</f>
        <v>1065.44</v>
      </c>
      <c r="G197" s="26" t="n">
        <f aca="false">ROUND(E197+F197,2)</f>
        <v>2654.69</v>
      </c>
      <c r="H197" s="26" t="n">
        <f aca="false">ROUND(MAX(0,D197-F197),2)</f>
        <v>292333.8</v>
      </c>
      <c r="I197" s="26" t="n">
        <f aca="false">ROUND(E197+I196,2)</f>
        <v>382034.28</v>
      </c>
    </row>
    <row r="198" customFormat="false" ht="15" hidden="false" customHeight="true" outlineLevel="0" collapsed="false">
      <c r="A198" s="19" t="n">
        <f aca="false">A197+1</f>
        <v>193</v>
      </c>
      <c r="B198" s="18" t="n">
        <f aca="false">EDATE(B197,1)</f>
        <v>52140</v>
      </c>
      <c r="C198" s="19" t="n">
        <f aca="false">ROUNDUP(A198/12,0)</f>
        <v>17</v>
      </c>
      <c r="D198" s="26" t="n">
        <f aca="false">H197</f>
        <v>292333.8</v>
      </c>
      <c r="E198" s="26" t="n">
        <f aca="false">IF(D198&lt;=0,0,ROUND(D198*Calculator!$B$7/12,2))</f>
        <v>1583.47</v>
      </c>
      <c r="F198" s="26" t="n">
        <f aca="false">IF(D198&lt;=0,0,ROUND(MIN(D198,Calculator!$H$6-E198),2))</f>
        <v>1071.22</v>
      </c>
      <c r="G198" s="26" t="n">
        <f aca="false">ROUND(E198+F198,2)</f>
        <v>2654.69</v>
      </c>
      <c r="H198" s="26" t="n">
        <f aca="false">ROUND(MAX(0,D198-F198),2)</f>
        <v>291262.58</v>
      </c>
      <c r="I198" s="26" t="n">
        <f aca="false">ROUND(E198+I197,2)</f>
        <v>383617.75</v>
      </c>
    </row>
    <row r="199" customFormat="false" ht="15" hidden="false" customHeight="true" outlineLevel="0" collapsed="false">
      <c r="A199" s="19" t="n">
        <f aca="false">A198+1</f>
        <v>194</v>
      </c>
      <c r="B199" s="18" t="n">
        <f aca="false">EDATE(B198,1)</f>
        <v>52171</v>
      </c>
      <c r="C199" s="19" t="n">
        <f aca="false">ROUNDUP(A199/12,0)</f>
        <v>17</v>
      </c>
      <c r="D199" s="26" t="n">
        <f aca="false">H198</f>
        <v>291262.58</v>
      </c>
      <c r="E199" s="26" t="n">
        <f aca="false">IF(D199&lt;=0,0,ROUND(D199*Calculator!$B$7/12,2))</f>
        <v>1577.67</v>
      </c>
      <c r="F199" s="26" t="n">
        <f aca="false">IF(D199&lt;=0,0,ROUND(MIN(D199,Calculator!$H$6-E199),2))</f>
        <v>1077.02</v>
      </c>
      <c r="G199" s="26" t="n">
        <f aca="false">ROUND(E199+F199,2)</f>
        <v>2654.69</v>
      </c>
      <c r="H199" s="26" t="n">
        <f aca="false">ROUND(MAX(0,D199-F199),2)</f>
        <v>290185.56</v>
      </c>
      <c r="I199" s="26" t="n">
        <f aca="false">ROUND(E199+I198,2)</f>
        <v>385195.42</v>
      </c>
    </row>
    <row r="200" customFormat="false" ht="15" hidden="false" customHeight="true" outlineLevel="0" collapsed="false">
      <c r="A200" s="19" t="n">
        <f aca="false">A199+1</f>
        <v>195</v>
      </c>
      <c r="B200" s="18" t="n">
        <f aca="false">EDATE(B199,1)</f>
        <v>52201</v>
      </c>
      <c r="C200" s="19" t="n">
        <f aca="false">ROUNDUP(A200/12,0)</f>
        <v>17</v>
      </c>
      <c r="D200" s="26" t="n">
        <f aca="false">H199</f>
        <v>290185.56</v>
      </c>
      <c r="E200" s="26" t="n">
        <f aca="false">IF(D200&lt;=0,0,ROUND(D200*Calculator!$B$7/12,2))</f>
        <v>1571.84</v>
      </c>
      <c r="F200" s="26" t="n">
        <f aca="false">IF(D200&lt;=0,0,ROUND(MIN(D200,Calculator!$H$6-E200),2))</f>
        <v>1082.85</v>
      </c>
      <c r="G200" s="26" t="n">
        <f aca="false">ROUND(E200+F200,2)</f>
        <v>2654.69</v>
      </c>
      <c r="H200" s="26" t="n">
        <f aca="false">ROUND(MAX(0,D200-F200),2)</f>
        <v>289102.71</v>
      </c>
      <c r="I200" s="26" t="n">
        <f aca="false">ROUND(E200+I199,2)</f>
        <v>386767.26</v>
      </c>
    </row>
    <row r="201" customFormat="false" ht="15" hidden="false" customHeight="true" outlineLevel="0" collapsed="false">
      <c r="A201" s="19" t="n">
        <f aca="false">A200+1</f>
        <v>196</v>
      </c>
      <c r="B201" s="18" t="n">
        <f aca="false">EDATE(B200,1)</f>
        <v>52232</v>
      </c>
      <c r="C201" s="19" t="n">
        <f aca="false">ROUNDUP(A201/12,0)</f>
        <v>17</v>
      </c>
      <c r="D201" s="26" t="n">
        <f aca="false">H200</f>
        <v>289102.71</v>
      </c>
      <c r="E201" s="26" t="n">
        <f aca="false">IF(D201&lt;=0,0,ROUND(D201*Calculator!$B$7/12,2))</f>
        <v>1565.97</v>
      </c>
      <c r="F201" s="26" t="n">
        <f aca="false">IF(D201&lt;=0,0,ROUND(MIN(D201,Calculator!$H$6-E201),2))</f>
        <v>1088.72</v>
      </c>
      <c r="G201" s="26" t="n">
        <f aca="false">ROUND(E201+F201,2)</f>
        <v>2654.69</v>
      </c>
      <c r="H201" s="26" t="n">
        <f aca="false">ROUND(MAX(0,D201-F201),2)</f>
        <v>288013.99</v>
      </c>
      <c r="I201" s="26" t="n">
        <f aca="false">ROUND(E201+I200,2)</f>
        <v>388333.23</v>
      </c>
    </row>
    <row r="202" customFormat="false" ht="15" hidden="false" customHeight="true" outlineLevel="0" collapsed="false">
      <c r="A202" s="19" t="n">
        <f aca="false">A201+1</f>
        <v>197</v>
      </c>
      <c r="B202" s="18" t="n">
        <f aca="false">EDATE(B201,1)</f>
        <v>52263</v>
      </c>
      <c r="C202" s="19" t="n">
        <f aca="false">ROUNDUP(A202/12,0)</f>
        <v>17</v>
      </c>
      <c r="D202" s="26" t="n">
        <f aca="false">H201</f>
        <v>288013.99</v>
      </c>
      <c r="E202" s="26" t="n">
        <f aca="false">IF(D202&lt;=0,0,ROUND(D202*Calculator!$B$7/12,2))</f>
        <v>1560.08</v>
      </c>
      <c r="F202" s="26" t="n">
        <f aca="false">IF(D202&lt;=0,0,ROUND(MIN(D202,Calculator!$H$6-E202),2))</f>
        <v>1094.61</v>
      </c>
      <c r="G202" s="26" t="n">
        <f aca="false">ROUND(E202+F202,2)</f>
        <v>2654.69</v>
      </c>
      <c r="H202" s="26" t="n">
        <f aca="false">ROUND(MAX(0,D202-F202),2)</f>
        <v>286919.38</v>
      </c>
      <c r="I202" s="26" t="n">
        <f aca="false">ROUND(E202+I201,2)</f>
        <v>389893.31</v>
      </c>
    </row>
    <row r="203" customFormat="false" ht="15" hidden="false" customHeight="true" outlineLevel="0" collapsed="false">
      <c r="A203" s="19" t="n">
        <f aca="false">A202+1</f>
        <v>198</v>
      </c>
      <c r="B203" s="18" t="n">
        <f aca="false">EDATE(B202,1)</f>
        <v>52291</v>
      </c>
      <c r="C203" s="19" t="n">
        <f aca="false">ROUNDUP(A203/12,0)</f>
        <v>17</v>
      </c>
      <c r="D203" s="26" t="n">
        <f aca="false">H202</f>
        <v>286919.38</v>
      </c>
      <c r="E203" s="26" t="n">
        <f aca="false">IF(D203&lt;=0,0,ROUND(D203*Calculator!$B$7/12,2))</f>
        <v>1554.15</v>
      </c>
      <c r="F203" s="26" t="n">
        <f aca="false">IF(D203&lt;=0,0,ROUND(MIN(D203,Calculator!$H$6-E203),2))</f>
        <v>1100.54</v>
      </c>
      <c r="G203" s="26" t="n">
        <f aca="false">ROUND(E203+F203,2)</f>
        <v>2654.69</v>
      </c>
      <c r="H203" s="26" t="n">
        <f aca="false">ROUND(MAX(0,D203-F203),2)</f>
        <v>285818.84</v>
      </c>
      <c r="I203" s="26" t="n">
        <f aca="false">ROUND(E203+I202,2)</f>
        <v>391447.46</v>
      </c>
    </row>
    <row r="204" customFormat="false" ht="15" hidden="false" customHeight="true" outlineLevel="0" collapsed="false">
      <c r="A204" s="19" t="n">
        <f aca="false">A203+1</f>
        <v>199</v>
      </c>
      <c r="B204" s="18" t="n">
        <f aca="false">EDATE(B203,1)</f>
        <v>52322</v>
      </c>
      <c r="C204" s="19" t="n">
        <f aca="false">ROUNDUP(A204/12,0)</f>
        <v>17</v>
      </c>
      <c r="D204" s="26" t="n">
        <f aca="false">H203</f>
        <v>285818.84</v>
      </c>
      <c r="E204" s="26" t="n">
        <f aca="false">IF(D204&lt;=0,0,ROUND(D204*Calculator!$B$7/12,2))</f>
        <v>1548.19</v>
      </c>
      <c r="F204" s="26" t="n">
        <f aca="false">IF(D204&lt;=0,0,ROUND(MIN(D204,Calculator!$H$6-E204),2))</f>
        <v>1106.5</v>
      </c>
      <c r="G204" s="26" t="n">
        <f aca="false">ROUND(E204+F204,2)</f>
        <v>2654.69</v>
      </c>
      <c r="H204" s="26" t="n">
        <f aca="false">ROUND(MAX(0,D204-F204),2)</f>
        <v>284712.34</v>
      </c>
      <c r="I204" s="26" t="n">
        <f aca="false">ROUND(E204+I203,2)</f>
        <v>392995.65</v>
      </c>
    </row>
    <row r="205" customFormat="false" ht="15" hidden="false" customHeight="true" outlineLevel="0" collapsed="false">
      <c r="A205" s="19" t="n">
        <f aca="false">A204+1</f>
        <v>200</v>
      </c>
      <c r="B205" s="18" t="n">
        <f aca="false">EDATE(B204,1)</f>
        <v>52352</v>
      </c>
      <c r="C205" s="19" t="n">
        <f aca="false">ROUNDUP(A205/12,0)</f>
        <v>17</v>
      </c>
      <c r="D205" s="26" t="n">
        <f aca="false">H204</f>
        <v>284712.34</v>
      </c>
      <c r="E205" s="26" t="n">
        <f aca="false">IF(D205&lt;=0,0,ROUND(D205*Calculator!$B$7/12,2))</f>
        <v>1542.19</v>
      </c>
      <c r="F205" s="26" t="n">
        <f aca="false">IF(D205&lt;=0,0,ROUND(MIN(D205,Calculator!$H$6-E205),2))</f>
        <v>1112.5</v>
      </c>
      <c r="G205" s="26" t="n">
        <f aca="false">ROUND(E205+F205,2)</f>
        <v>2654.69</v>
      </c>
      <c r="H205" s="26" t="n">
        <f aca="false">ROUND(MAX(0,D205-F205),2)</f>
        <v>283599.84</v>
      </c>
      <c r="I205" s="26" t="n">
        <f aca="false">ROUND(E205+I204,2)</f>
        <v>394537.84</v>
      </c>
    </row>
    <row r="206" customFormat="false" ht="15" hidden="false" customHeight="true" outlineLevel="0" collapsed="false">
      <c r="A206" s="19" t="n">
        <f aca="false">A205+1</f>
        <v>201</v>
      </c>
      <c r="B206" s="18" t="n">
        <f aca="false">EDATE(B205,1)</f>
        <v>52383</v>
      </c>
      <c r="C206" s="19" t="n">
        <f aca="false">ROUNDUP(A206/12,0)</f>
        <v>17</v>
      </c>
      <c r="D206" s="26" t="n">
        <f aca="false">H205</f>
        <v>283599.84</v>
      </c>
      <c r="E206" s="26" t="n">
        <f aca="false">IF(D206&lt;=0,0,ROUND(D206*Calculator!$B$7/12,2))</f>
        <v>1536.17</v>
      </c>
      <c r="F206" s="26" t="n">
        <f aca="false">IF(D206&lt;=0,0,ROUND(MIN(D206,Calculator!$H$6-E206),2))</f>
        <v>1118.52</v>
      </c>
      <c r="G206" s="26" t="n">
        <f aca="false">ROUND(E206+F206,2)</f>
        <v>2654.69</v>
      </c>
      <c r="H206" s="26" t="n">
        <f aca="false">ROUND(MAX(0,D206-F206),2)</f>
        <v>282481.32</v>
      </c>
      <c r="I206" s="26" t="n">
        <f aca="false">ROUND(E206+I205,2)</f>
        <v>396074.01</v>
      </c>
    </row>
    <row r="207" customFormat="false" ht="15" hidden="false" customHeight="true" outlineLevel="0" collapsed="false">
      <c r="A207" s="19" t="n">
        <f aca="false">A206+1</f>
        <v>202</v>
      </c>
      <c r="B207" s="18" t="n">
        <f aca="false">EDATE(B206,1)</f>
        <v>52413</v>
      </c>
      <c r="C207" s="19" t="n">
        <f aca="false">ROUNDUP(A207/12,0)</f>
        <v>17</v>
      </c>
      <c r="D207" s="26" t="n">
        <f aca="false">H206</f>
        <v>282481.32</v>
      </c>
      <c r="E207" s="26" t="n">
        <f aca="false">IF(D207&lt;=0,0,ROUND(D207*Calculator!$B$7/12,2))</f>
        <v>1530.11</v>
      </c>
      <c r="F207" s="26" t="n">
        <f aca="false">IF(D207&lt;=0,0,ROUND(MIN(D207,Calculator!$H$6-E207),2))</f>
        <v>1124.58</v>
      </c>
      <c r="G207" s="26" t="n">
        <f aca="false">ROUND(E207+F207,2)</f>
        <v>2654.69</v>
      </c>
      <c r="H207" s="26" t="n">
        <f aca="false">ROUND(MAX(0,D207-F207),2)</f>
        <v>281356.74</v>
      </c>
      <c r="I207" s="26" t="n">
        <f aca="false">ROUND(E207+I206,2)</f>
        <v>397604.12</v>
      </c>
    </row>
    <row r="208" customFormat="false" ht="15" hidden="false" customHeight="true" outlineLevel="0" collapsed="false">
      <c r="A208" s="19" t="n">
        <f aca="false">A207+1</f>
        <v>203</v>
      </c>
      <c r="B208" s="18" t="n">
        <f aca="false">EDATE(B207,1)</f>
        <v>52444</v>
      </c>
      <c r="C208" s="19" t="n">
        <f aca="false">ROUNDUP(A208/12,0)</f>
        <v>17</v>
      </c>
      <c r="D208" s="26" t="n">
        <f aca="false">H207</f>
        <v>281356.74</v>
      </c>
      <c r="E208" s="26" t="n">
        <f aca="false">IF(D208&lt;=0,0,ROUND(D208*Calculator!$B$7/12,2))</f>
        <v>1524.02</v>
      </c>
      <c r="F208" s="26" t="n">
        <f aca="false">IF(D208&lt;=0,0,ROUND(MIN(D208,Calculator!$H$6-E208),2))</f>
        <v>1130.67</v>
      </c>
      <c r="G208" s="26" t="n">
        <f aca="false">ROUND(E208+F208,2)</f>
        <v>2654.69</v>
      </c>
      <c r="H208" s="26" t="n">
        <f aca="false">ROUND(MAX(0,D208-F208),2)</f>
        <v>280226.07</v>
      </c>
      <c r="I208" s="26" t="n">
        <f aca="false">ROUND(E208+I207,2)</f>
        <v>399128.14</v>
      </c>
    </row>
    <row r="209" customFormat="false" ht="15" hidden="false" customHeight="true" outlineLevel="0" collapsed="false">
      <c r="A209" s="19" t="n">
        <f aca="false">A208+1</f>
        <v>204</v>
      </c>
      <c r="B209" s="18" t="n">
        <f aca="false">EDATE(B208,1)</f>
        <v>52475</v>
      </c>
      <c r="C209" s="19" t="n">
        <f aca="false">ROUNDUP(A209/12,0)</f>
        <v>17</v>
      </c>
      <c r="D209" s="26" t="n">
        <f aca="false">H208</f>
        <v>280226.07</v>
      </c>
      <c r="E209" s="26" t="n">
        <f aca="false">IF(D209&lt;=0,0,ROUND(D209*Calculator!$B$7/12,2))</f>
        <v>1517.89</v>
      </c>
      <c r="F209" s="26" t="n">
        <f aca="false">IF(D209&lt;=0,0,ROUND(MIN(D209,Calculator!$H$6-E209),2))</f>
        <v>1136.8</v>
      </c>
      <c r="G209" s="26" t="n">
        <f aca="false">ROUND(E209+F209,2)</f>
        <v>2654.69</v>
      </c>
      <c r="H209" s="26" t="n">
        <f aca="false">ROUND(MAX(0,D209-F209),2)</f>
        <v>279089.27</v>
      </c>
      <c r="I209" s="26" t="n">
        <f aca="false">ROUND(E209+I208,2)</f>
        <v>400646.03</v>
      </c>
    </row>
    <row r="210" customFormat="false" ht="15" hidden="false" customHeight="true" outlineLevel="0" collapsed="false">
      <c r="A210" s="19" t="n">
        <f aca="false">A209+1</f>
        <v>205</v>
      </c>
      <c r="B210" s="18" t="n">
        <f aca="false">EDATE(B209,1)</f>
        <v>52505</v>
      </c>
      <c r="C210" s="19" t="n">
        <f aca="false">ROUNDUP(A210/12,0)</f>
        <v>18</v>
      </c>
      <c r="D210" s="26" t="n">
        <f aca="false">H209</f>
        <v>279089.27</v>
      </c>
      <c r="E210" s="26" t="n">
        <f aca="false">IF(D210&lt;=0,0,ROUND(D210*Calculator!$B$7/12,2))</f>
        <v>1511.73</v>
      </c>
      <c r="F210" s="26" t="n">
        <f aca="false">IF(D210&lt;=0,0,ROUND(MIN(D210,Calculator!$H$6-E210),2))</f>
        <v>1142.96</v>
      </c>
      <c r="G210" s="26" t="n">
        <f aca="false">ROUND(E210+F210,2)</f>
        <v>2654.69</v>
      </c>
      <c r="H210" s="26" t="n">
        <f aca="false">ROUND(MAX(0,D210-F210),2)</f>
        <v>277946.31</v>
      </c>
      <c r="I210" s="26" t="n">
        <f aca="false">ROUND(E210+I209,2)</f>
        <v>402157.76</v>
      </c>
    </row>
    <row r="211" customFormat="false" ht="15" hidden="false" customHeight="true" outlineLevel="0" collapsed="false">
      <c r="A211" s="19" t="n">
        <f aca="false">A210+1</f>
        <v>206</v>
      </c>
      <c r="B211" s="18" t="n">
        <f aca="false">EDATE(B210,1)</f>
        <v>52536</v>
      </c>
      <c r="C211" s="19" t="n">
        <f aca="false">ROUNDUP(A211/12,0)</f>
        <v>18</v>
      </c>
      <c r="D211" s="26" t="n">
        <f aca="false">H210</f>
        <v>277946.31</v>
      </c>
      <c r="E211" s="26" t="n">
        <f aca="false">IF(D211&lt;=0,0,ROUND(D211*Calculator!$B$7/12,2))</f>
        <v>1505.54</v>
      </c>
      <c r="F211" s="26" t="n">
        <f aca="false">IF(D211&lt;=0,0,ROUND(MIN(D211,Calculator!$H$6-E211),2))</f>
        <v>1149.15</v>
      </c>
      <c r="G211" s="26" t="n">
        <f aca="false">ROUND(E211+F211,2)</f>
        <v>2654.69</v>
      </c>
      <c r="H211" s="26" t="n">
        <f aca="false">ROUND(MAX(0,D211-F211),2)</f>
        <v>276797.16</v>
      </c>
      <c r="I211" s="26" t="n">
        <f aca="false">ROUND(E211+I210,2)</f>
        <v>403663.3</v>
      </c>
    </row>
    <row r="212" customFormat="false" ht="15" hidden="false" customHeight="true" outlineLevel="0" collapsed="false">
      <c r="A212" s="19" t="n">
        <f aca="false">A211+1</f>
        <v>207</v>
      </c>
      <c r="B212" s="18" t="n">
        <f aca="false">EDATE(B211,1)</f>
        <v>52566</v>
      </c>
      <c r="C212" s="19" t="n">
        <f aca="false">ROUNDUP(A212/12,0)</f>
        <v>18</v>
      </c>
      <c r="D212" s="26" t="n">
        <f aca="false">H211</f>
        <v>276797.16</v>
      </c>
      <c r="E212" s="26" t="n">
        <f aca="false">IF(D212&lt;=0,0,ROUND(D212*Calculator!$B$7/12,2))</f>
        <v>1499.32</v>
      </c>
      <c r="F212" s="26" t="n">
        <f aca="false">IF(D212&lt;=0,0,ROUND(MIN(D212,Calculator!$H$6-E212),2))</f>
        <v>1155.37</v>
      </c>
      <c r="G212" s="26" t="n">
        <f aca="false">ROUND(E212+F212,2)</f>
        <v>2654.69</v>
      </c>
      <c r="H212" s="26" t="n">
        <f aca="false">ROUND(MAX(0,D212-F212),2)</f>
        <v>275641.79</v>
      </c>
      <c r="I212" s="26" t="n">
        <f aca="false">ROUND(E212+I211,2)</f>
        <v>405162.62</v>
      </c>
    </row>
    <row r="213" customFormat="false" ht="15" hidden="false" customHeight="true" outlineLevel="0" collapsed="false">
      <c r="A213" s="19" t="n">
        <f aca="false">A212+1</f>
        <v>208</v>
      </c>
      <c r="B213" s="18" t="n">
        <f aca="false">EDATE(B212,1)</f>
        <v>52597</v>
      </c>
      <c r="C213" s="19" t="n">
        <f aca="false">ROUNDUP(A213/12,0)</f>
        <v>18</v>
      </c>
      <c r="D213" s="26" t="n">
        <f aca="false">H212</f>
        <v>275641.79</v>
      </c>
      <c r="E213" s="26" t="n">
        <f aca="false">IF(D213&lt;=0,0,ROUND(D213*Calculator!$B$7/12,2))</f>
        <v>1493.06</v>
      </c>
      <c r="F213" s="26" t="n">
        <f aca="false">IF(D213&lt;=0,0,ROUND(MIN(D213,Calculator!$H$6-E213),2))</f>
        <v>1161.63</v>
      </c>
      <c r="G213" s="26" t="n">
        <f aca="false">ROUND(E213+F213,2)</f>
        <v>2654.69</v>
      </c>
      <c r="H213" s="26" t="n">
        <f aca="false">ROUND(MAX(0,D213-F213),2)</f>
        <v>274480.16</v>
      </c>
      <c r="I213" s="26" t="n">
        <f aca="false">ROUND(E213+I212,2)</f>
        <v>406655.68</v>
      </c>
    </row>
    <row r="214" customFormat="false" ht="15" hidden="false" customHeight="true" outlineLevel="0" collapsed="false">
      <c r="A214" s="19" t="n">
        <f aca="false">A213+1</f>
        <v>209</v>
      </c>
      <c r="B214" s="18" t="n">
        <f aca="false">EDATE(B213,1)</f>
        <v>52628</v>
      </c>
      <c r="C214" s="19" t="n">
        <f aca="false">ROUNDUP(A214/12,0)</f>
        <v>18</v>
      </c>
      <c r="D214" s="26" t="n">
        <f aca="false">H213</f>
        <v>274480.16</v>
      </c>
      <c r="E214" s="26" t="n">
        <f aca="false">IF(D214&lt;=0,0,ROUND(D214*Calculator!$B$7/12,2))</f>
        <v>1486.77</v>
      </c>
      <c r="F214" s="26" t="n">
        <f aca="false">IF(D214&lt;=0,0,ROUND(MIN(D214,Calculator!$H$6-E214),2))</f>
        <v>1167.92</v>
      </c>
      <c r="G214" s="26" t="n">
        <f aca="false">ROUND(E214+F214,2)</f>
        <v>2654.69</v>
      </c>
      <c r="H214" s="26" t="n">
        <f aca="false">ROUND(MAX(0,D214-F214),2)</f>
        <v>273312.24</v>
      </c>
      <c r="I214" s="26" t="n">
        <f aca="false">ROUND(E214+I213,2)</f>
        <v>408142.45</v>
      </c>
    </row>
    <row r="215" customFormat="false" ht="15" hidden="false" customHeight="true" outlineLevel="0" collapsed="false">
      <c r="A215" s="19" t="n">
        <f aca="false">A214+1</f>
        <v>210</v>
      </c>
      <c r="B215" s="18" t="n">
        <f aca="false">EDATE(B214,1)</f>
        <v>52657</v>
      </c>
      <c r="C215" s="19" t="n">
        <f aca="false">ROUNDUP(A215/12,0)</f>
        <v>18</v>
      </c>
      <c r="D215" s="26" t="n">
        <f aca="false">H214</f>
        <v>273312.24</v>
      </c>
      <c r="E215" s="26" t="n">
        <f aca="false">IF(D215&lt;=0,0,ROUND(D215*Calculator!$B$7/12,2))</f>
        <v>1480.44</v>
      </c>
      <c r="F215" s="26" t="n">
        <f aca="false">IF(D215&lt;=0,0,ROUND(MIN(D215,Calculator!$H$6-E215),2))</f>
        <v>1174.25</v>
      </c>
      <c r="G215" s="26" t="n">
        <f aca="false">ROUND(E215+F215,2)</f>
        <v>2654.69</v>
      </c>
      <c r="H215" s="26" t="n">
        <f aca="false">ROUND(MAX(0,D215-F215),2)</f>
        <v>272137.99</v>
      </c>
      <c r="I215" s="26" t="n">
        <f aca="false">ROUND(E215+I214,2)</f>
        <v>409622.89</v>
      </c>
    </row>
    <row r="216" customFormat="false" ht="15" hidden="false" customHeight="true" outlineLevel="0" collapsed="false">
      <c r="A216" s="19" t="n">
        <f aca="false">A215+1</f>
        <v>211</v>
      </c>
      <c r="B216" s="18" t="n">
        <f aca="false">EDATE(B215,1)</f>
        <v>52688</v>
      </c>
      <c r="C216" s="19" t="n">
        <f aca="false">ROUNDUP(A216/12,0)</f>
        <v>18</v>
      </c>
      <c r="D216" s="26" t="n">
        <f aca="false">H215</f>
        <v>272137.99</v>
      </c>
      <c r="E216" s="26" t="n">
        <f aca="false">IF(D216&lt;=0,0,ROUND(D216*Calculator!$B$7/12,2))</f>
        <v>1474.08</v>
      </c>
      <c r="F216" s="26" t="n">
        <f aca="false">IF(D216&lt;=0,0,ROUND(MIN(D216,Calculator!$H$6-E216),2))</f>
        <v>1180.61</v>
      </c>
      <c r="G216" s="26" t="n">
        <f aca="false">ROUND(E216+F216,2)</f>
        <v>2654.69</v>
      </c>
      <c r="H216" s="26" t="n">
        <f aca="false">ROUND(MAX(0,D216-F216),2)</f>
        <v>270957.38</v>
      </c>
      <c r="I216" s="26" t="n">
        <f aca="false">ROUND(E216+I215,2)</f>
        <v>411096.97</v>
      </c>
    </row>
    <row r="217" customFormat="false" ht="15" hidden="false" customHeight="true" outlineLevel="0" collapsed="false">
      <c r="A217" s="19" t="n">
        <f aca="false">A216+1</f>
        <v>212</v>
      </c>
      <c r="B217" s="18" t="n">
        <f aca="false">EDATE(B216,1)</f>
        <v>52718</v>
      </c>
      <c r="C217" s="19" t="n">
        <f aca="false">ROUNDUP(A217/12,0)</f>
        <v>18</v>
      </c>
      <c r="D217" s="26" t="n">
        <f aca="false">H216</f>
        <v>270957.38</v>
      </c>
      <c r="E217" s="26" t="n">
        <f aca="false">IF(D217&lt;=0,0,ROUND(D217*Calculator!$B$7/12,2))</f>
        <v>1467.69</v>
      </c>
      <c r="F217" s="26" t="n">
        <f aca="false">IF(D217&lt;=0,0,ROUND(MIN(D217,Calculator!$H$6-E217),2))</f>
        <v>1187</v>
      </c>
      <c r="G217" s="26" t="n">
        <f aca="false">ROUND(E217+F217,2)</f>
        <v>2654.69</v>
      </c>
      <c r="H217" s="26" t="n">
        <f aca="false">ROUND(MAX(0,D217-F217),2)</f>
        <v>269770.38</v>
      </c>
      <c r="I217" s="26" t="n">
        <f aca="false">ROUND(E217+I216,2)</f>
        <v>412564.66</v>
      </c>
    </row>
    <row r="218" customFormat="false" ht="15" hidden="false" customHeight="true" outlineLevel="0" collapsed="false">
      <c r="A218" s="19" t="n">
        <f aca="false">A217+1</f>
        <v>213</v>
      </c>
      <c r="B218" s="18" t="n">
        <f aca="false">EDATE(B217,1)</f>
        <v>52749</v>
      </c>
      <c r="C218" s="19" t="n">
        <f aca="false">ROUNDUP(A218/12,0)</f>
        <v>18</v>
      </c>
      <c r="D218" s="26" t="n">
        <f aca="false">H217</f>
        <v>269770.38</v>
      </c>
      <c r="E218" s="26" t="n">
        <f aca="false">IF(D218&lt;=0,0,ROUND(D218*Calculator!$B$7/12,2))</f>
        <v>1461.26</v>
      </c>
      <c r="F218" s="26" t="n">
        <f aca="false">IF(D218&lt;=0,0,ROUND(MIN(D218,Calculator!$H$6-E218),2))</f>
        <v>1193.43</v>
      </c>
      <c r="G218" s="26" t="n">
        <f aca="false">ROUND(E218+F218,2)</f>
        <v>2654.69</v>
      </c>
      <c r="H218" s="26" t="n">
        <f aca="false">ROUND(MAX(0,D218-F218),2)</f>
        <v>268576.95</v>
      </c>
      <c r="I218" s="26" t="n">
        <f aca="false">ROUND(E218+I217,2)</f>
        <v>414025.92</v>
      </c>
    </row>
    <row r="219" customFormat="false" ht="15" hidden="false" customHeight="true" outlineLevel="0" collapsed="false">
      <c r="A219" s="19" t="n">
        <f aca="false">A218+1</f>
        <v>214</v>
      </c>
      <c r="B219" s="18" t="n">
        <f aca="false">EDATE(B218,1)</f>
        <v>52779</v>
      </c>
      <c r="C219" s="19" t="n">
        <f aca="false">ROUNDUP(A219/12,0)</f>
        <v>18</v>
      </c>
      <c r="D219" s="26" t="n">
        <f aca="false">H218</f>
        <v>268576.95</v>
      </c>
      <c r="E219" s="26" t="n">
        <f aca="false">IF(D219&lt;=0,0,ROUND(D219*Calculator!$B$7/12,2))</f>
        <v>1454.79</v>
      </c>
      <c r="F219" s="26" t="n">
        <f aca="false">IF(D219&lt;=0,0,ROUND(MIN(D219,Calculator!$H$6-E219),2))</f>
        <v>1199.9</v>
      </c>
      <c r="G219" s="26" t="n">
        <f aca="false">ROUND(E219+F219,2)</f>
        <v>2654.69</v>
      </c>
      <c r="H219" s="26" t="n">
        <f aca="false">ROUND(MAX(0,D219-F219),2)</f>
        <v>267377.05</v>
      </c>
      <c r="I219" s="26" t="n">
        <f aca="false">ROUND(E219+I218,2)</f>
        <v>415480.71</v>
      </c>
    </row>
    <row r="220" customFormat="false" ht="15" hidden="false" customHeight="true" outlineLevel="0" collapsed="false">
      <c r="A220" s="19" t="n">
        <f aca="false">A219+1</f>
        <v>215</v>
      </c>
      <c r="B220" s="18" t="n">
        <f aca="false">EDATE(B219,1)</f>
        <v>52810</v>
      </c>
      <c r="C220" s="19" t="n">
        <f aca="false">ROUNDUP(A220/12,0)</f>
        <v>18</v>
      </c>
      <c r="D220" s="26" t="n">
        <f aca="false">H219</f>
        <v>267377.05</v>
      </c>
      <c r="E220" s="26" t="n">
        <f aca="false">IF(D220&lt;=0,0,ROUND(D220*Calculator!$B$7/12,2))</f>
        <v>1448.29</v>
      </c>
      <c r="F220" s="26" t="n">
        <f aca="false">IF(D220&lt;=0,0,ROUND(MIN(D220,Calculator!$H$6-E220),2))</f>
        <v>1206.4</v>
      </c>
      <c r="G220" s="26" t="n">
        <f aca="false">ROUND(E220+F220,2)</f>
        <v>2654.69</v>
      </c>
      <c r="H220" s="26" t="n">
        <f aca="false">ROUND(MAX(0,D220-F220),2)</f>
        <v>266170.65</v>
      </c>
      <c r="I220" s="26" t="n">
        <f aca="false">ROUND(E220+I219,2)</f>
        <v>416929</v>
      </c>
    </row>
    <row r="221" customFormat="false" ht="15" hidden="false" customHeight="true" outlineLevel="0" collapsed="false">
      <c r="A221" s="19" t="n">
        <f aca="false">A220+1</f>
        <v>216</v>
      </c>
      <c r="B221" s="18" t="n">
        <f aca="false">EDATE(B220,1)</f>
        <v>52841</v>
      </c>
      <c r="C221" s="19" t="n">
        <f aca="false">ROUNDUP(A221/12,0)</f>
        <v>18</v>
      </c>
      <c r="D221" s="26" t="n">
        <f aca="false">H220</f>
        <v>266170.65</v>
      </c>
      <c r="E221" s="26" t="n">
        <f aca="false">IF(D221&lt;=0,0,ROUND(D221*Calculator!$B$7/12,2))</f>
        <v>1441.76</v>
      </c>
      <c r="F221" s="26" t="n">
        <f aca="false">IF(D221&lt;=0,0,ROUND(MIN(D221,Calculator!$H$6-E221),2))</f>
        <v>1212.93</v>
      </c>
      <c r="G221" s="26" t="n">
        <f aca="false">ROUND(E221+F221,2)</f>
        <v>2654.69</v>
      </c>
      <c r="H221" s="26" t="n">
        <f aca="false">ROUND(MAX(0,D221-F221),2)</f>
        <v>264957.72</v>
      </c>
      <c r="I221" s="26" t="n">
        <f aca="false">ROUND(E221+I220,2)</f>
        <v>418370.76</v>
      </c>
    </row>
    <row r="222" customFormat="false" ht="15" hidden="false" customHeight="true" outlineLevel="0" collapsed="false">
      <c r="A222" s="19" t="n">
        <f aca="false">A221+1</f>
        <v>217</v>
      </c>
      <c r="B222" s="18" t="n">
        <f aca="false">EDATE(B221,1)</f>
        <v>52871</v>
      </c>
      <c r="C222" s="19" t="n">
        <f aca="false">ROUNDUP(A222/12,0)</f>
        <v>19</v>
      </c>
      <c r="D222" s="26" t="n">
        <f aca="false">H221</f>
        <v>264957.72</v>
      </c>
      <c r="E222" s="26" t="n">
        <f aca="false">IF(D222&lt;=0,0,ROUND(D222*Calculator!$B$7/12,2))</f>
        <v>1435.19</v>
      </c>
      <c r="F222" s="26" t="n">
        <f aca="false">IF(D222&lt;=0,0,ROUND(MIN(D222,Calculator!$H$6-E222),2))</f>
        <v>1219.5</v>
      </c>
      <c r="G222" s="26" t="n">
        <f aca="false">ROUND(E222+F222,2)</f>
        <v>2654.69</v>
      </c>
      <c r="H222" s="26" t="n">
        <f aca="false">ROUND(MAX(0,D222-F222),2)</f>
        <v>263738.22</v>
      </c>
      <c r="I222" s="26" t="n">
        <f aca="false">ROUND(E222+I221,2)</f>
        <v>419805.95</v>
      </c>
    </row>
    <row r="223" customFormat="false" ht="15" hidden="false" customHeight="true" outlineLevel="0" collapsed="false">
      <c r="A223" s="19" t="n">
        <f aca="false">A222+1</f>
        <v>218</v>
      </c>
      <c r="B223" s="18" t="n">
        <f aca="false">EDATE(B222,1)</f>
        <v>52902</v>
      </c>
      <c r="C223" s="19" t="n">
        <f aca="false">ROUNDUP(A223/12,0)</f>
        <v>19</v>
      </c>
      <c r="D223" s="26" t="n">
        <f aca="false">H222</f>
        <v>263738.22</v>
      </c>
      <c r="E223" s="26" t="n">
        <f aca="false">IF(D223&lt;=0,0,ROUND(D223*Calculator!$B$7/12,2))</f>
        <v>1428.58</v>
      </c>
      <c r="F223" s="26" t="n">
        <f aca="false">IF(D223&lt;=0,0,ROUND(MIN(D223,Calculator!$H$6-E223),2))</f>
        <v>1226.11</v>
      </c>
      <c r="G223" s="26" t="n">
        <f aca="false">ROUND(E223+F223,2)</f>
        <v>2654.69</v>
      </c>
      <c r="H223" s="26" t="n">
        <f aca="false">ROUND(MAX(0,D223-F223),2)</f>
        <v>262512.11</v>
      </c>
      <c r="I223" s="26" t="n">
        <f aca="false">ROUND(E223+I222,2)</f>
        <v>421234.53</v>
      </c>
    </row>
    <row r="224" customFormat="false" ht="15" hidden="false" customHeight="true" outlineLevel="0" collapsed="false">
      <c r="A224" s="19" t="n">
        <f aca="false">A223+1</f>
        <v>219</v>
      </c>
      <c r="B224" s="18" t="n">
        <f aca="false">EDATE(B223,1)</f>
        <v>52932</v>
      </c>
      <c r="C224" s="19" t="n">
        <f aca="false">ROUNDUP(A224/12,0)</f>
        <v>19</v>
      </c>
      <c r="D224" s="26" t="n">
        <f aca="false">H223</f>
        <v>262512.11</v>
      </c>
      <c r="E224" s="26" t="n">
        <f aca="false">IF(D224&lt;=0,0,ROUND(D224*Calculator!$B$7/12,2))</f>
        <v>1421.94</v>
      </c>
      <c r="F224" s="26" t="n">
        <f aca="false">IF(D224&lt;=0,0,ROUND(MIN(D224,Calculator!$H$6-E224),2))</f>
        <v>1232.75</v>
      </c>
      <c r="G224" s="26" t="n">
        <f aca="false">ROUND(E224+F224,2)</f>
        <v>2654.69</v>
      </c>
      <c r="H224" s="26" t="n">
        <f aca="false">ROUND(MAX(0,D224-F224),2)</f>
        <v>261279.36</v>
      </c>
      <c r="I224" s="26" t="n">
        <f aca="false">ROUND(E224+I223,2)</f>
        <v>422656.47</v>
      </c>
    </row>
    <row r="225" customFormat="false" ht="15" hidden="false" customHeight="true" outlineLevel="0" collapsed="false">
      <c r="A225" s="19" t="n">
        <f aca="false">A224+1</f>
        <v>220</v>
      </c>
      <c r="B225" s="18" t="n">
        <f aca="false">EDATE(B224,1)</f>
        <v>52963</v>
      </c>
      <c r="C225" s="19" t="n">
        <f aca="false">ROUNDUP(A225/12,0)</f>
        <v>19</v>
      </c>
      <c r="D225" s="26" t="n">
        <f aca="false">H224</f>
        <v>261279.36</v>
      </c>
      <c r="E225" s="26" t="n">
        <f aca="false">IF(D225&lt;=0,0,ROUND(D225*Calculator!$B$7/12,2))</f>
        <v>1415.26</v>
      </c>
      <c r="F225" s="26" t="n">
        <f aca="false">IF(D225&lt;=0,0,ROUND(MIN(D225,Calculator!$H$6-E225),2))</f>
        <v>1239.43</v>
      </c>
      <c r="G225" s="26" t="n">
        <f aca="false">ROUND(E225+F225,2)</f>
        <v>2654.69</v>
      </c>
      <c r="H225" s="26" t="n">
        <f aca="false">ROUND(MAX(0,D225-F225),2)</f>
        <v>260039.93</v>
      </c>
      <c r="I225" s="26" t="n">
        <f aca="false">ROUND(E225+I224,2)</f>
        <v>424071.73</v>
      </c>
    </row>
    <row r="226" customFormat="false" ht="15" hidden="false" customHeight="true" outlineLevel="0" collapsed="false">
      <c r="A226" s="19" t="n">
        <f aca="false">A225+1</f>
        <v>221</v>
      </c>
      <c r="B226" s="18" t="n">
        <f aca="false">EDATE(B225,1)</f>
        <v>52994</v>
      </c>
      <c r="C226" s="19" t="n">
        <f aca="false">ROUNDUP(A226/12,0)</f>
        <v>19</v>
      </c>
      <c r="D226" s="26" t="n">
        <f aca="false">H225</f>
        <v>260039.93</v>
      </c>
      <c r="E226" s="26" t="n">
        <f aca="false">IF(D226&lt;=0,0,ROUND(D226*Calculator!$B$7/12,2))</f>
        <v>1408.55</v>
      </c>
      <c r="F226" s="26" t="n">
        <f aca="false">IF(D226&lt;=0,0,ROUND(MIN(D226,Calculator!$H$6-E226),2))</f>
        <v>1246.14</v>
      </c>
      <c r="G226" s="26" t="n">
        <f aca="false">ROUND(E226+F226,2)</f>
        <v>2654.69</v>
      </c>
      <c r="H226" s="26" t="n">
        <f aca="false">ROUND(MAX(0,D226-F226),2)</f>
        <v>258793.79</v>
      </c>
      <c r="I226" s="26" t="n">
        <f aca="false">ROUND(E226+I225,2)</f>
        <v>425480.28</v>
      </c>
    </row>
    <row r="227" customFormat="false" ht="15" hidden="false" customHeight="true" outlineLevel="0" collapsed="false">
      <c r="A227" s="19" t="n">
        <f aca="false">A226+1</f>
        <v>222</v>
      </c>
      <c r="B227" s="18" t="n">
        <f aca="false">EDATE(B226,1)</f>
        <v>53022</v>
      </c>
      <c r="C227" s="19" t="n">
        <f aca="false">ROUNDUP(A227/12,0)</f>
        <v>19</v>
      </c>
      <c r="D227" s="26" t="n">
        <f aca="false">H226</f>
        <v>258793.79</v>
      </c>
      <c r="E227" s="26" t="n">
        <f aca="false">IF(D227&lt;=0,0,ROUND(D227*Calculator!$B$7/12,2))</f>
        <v>1401.8</v>
      </c>
      <c r="F227" s="26" t="n">
        <f aca="false">IF(D227&lt;=0,0,ROUND(MIN(D227,Calculator!$H$6-E227),2))</f>
        <v>1252.89</v>
      </c>
      <c r="G227" s="26" t="n">
        <f aca="false">ROUND(E227+F227,2)</f>
        <v>2654.69</v>
      </c>
      <c r="H227" s="26" t="n">
        <f aca="false">ROUND(MAX(0,D227-F227),2)</f>
        <v>257540.9</v>
      </c>
      <c r="I227" s="26" t="n">
        <f aca="false">ROUND(E227+I226,2)</f>
        <v>426882.08</v>
      </c>
    </row>
    <row r="228" customFormat="false" ht="15" hidden="false" customHeight="true" outlineLevel="0" collapsed="false">
      <c r="A228" s="19" t="n">
        <f aca="false">A227+1</f>
        <v>223</v>
      </c>
      <c r="B228" s="18" t="n">
        <f aca="false">EDATE(B227,1)</f>
        <v>53053</v>
      </c>
      <c r="C228" s="19" t="n">
        <f aca="false">ROUNDUP(A228/12,0)</f>
        <v>19</v>
      </c>
      <c r="D228" s="26" t="n">
        <f aca="false">H227</f>
        <v>257540.9</v>
      </c>
      <c r="E228" s="26" t="n">
        <f aca="false">IF(D228&lt;=0,0,ROUND(D228*Calculator!$B$7/12,2))</f>
        <v>1395.01</v>
      </c>
      <c r="F228" s="26" t="n">
        <f aca="false">IF(D228&lt;=0,0,ROUND(MIN(D228,Calculator!$H$6-E228),2))</f>
        <v>1259.68</v>
      </c>
      <c r="G228" s="26" t="n">
        <f aca="false">ROUND(E228+F228,2)</f>
        <v>2654.69</v>
      </c>
      <c r="H228" s="26" t="n">
        <f aca="false">ROUND(MAX(0,D228-F228),2)</f>
        <v>256281.22</v>
      </c>
      <c r="I228" s="26" t="n">
        <f aca="false">ROUND(E228+I227,2)</f>
        <v>428277.09</v>
      </c>
    </row>
    <row r="229" customFormat="false" ht="15" hidden="false" customHeight="true" outlineLevel="0" collapsed="false">
      <c r="A229" s="19" t="n">
        <f aca="false">A228+1</f>
        <v>224</v>
      </c>
      <c r="B229" s="18" t="n">
        <f aca="false">EDATE(B228,1)</f>
        <v>53083</v>
      </c>
      <c r="C229" s="19" t="n">
        <f aca="false">ROUNDUP(A229/12,0)</f>
        <v>19</v>
      </c>
      <c r="D229" s="26" t="n">
        <f aca="false">H228</f>
        <v>256281.22</v>
      </c>
      <c r="E229" s="26" t="n">
        <f aca="false">IF(D229&lt;=0,0,ROUND(D229*Calculator!$B$7/12,2))</f>
        <v>1388.19</v>
      </c>
      <c r="F229" s="26" t="n">
        <f aca="false">IF(D229&lt;=0,0,ROUND(MIN(D229,Calculator!$H$6-E229),2))</f>
        <v>1266.5</v>
      </c>
      <c r="G229" s="26" t="n">
        <f aca="false">ROUND(E229+F229,2)</f>
        <v>2654.69</v>
      </c>
      <c r="H229" s="26" t="n">
        <f aca="false">ROUND(MAX(0,D229-F229),2)</f>
        <v>255014.72</v>
      </c>
      <c r="I229" s="26" t="n">
        <f aca="false">ROUND(E229+I228,2)</f>
        <v>429665.28</v>
      </c>
    </row>
    <row r="230" customFormat="false" ht="15" hidden="false" customHeight="true" outlineLevel="0" collapsed="false">
      <c r="A230" s="19" t="n">
        <f aca="false">A229+1</f>
        <v>225</v>
      </c>
      <c r="B230" s="18" t="n">
        <f aca="false">EDATE(B229,1)</f>
        <v>53114</v>
      </c>
      <c r="C230" s="19" t="n">
        <f aca="false">ROUNDUP(A230/12,0)</f>
        <v>19</v>
      </c>
      <c r="D230" s="26" t="n">
        <f aca="false">H229</f>
        <v>255014.72</v>
      </c>
      <c r="E230" s="26" t="n">
        <f aca="false">IF(D230&lt;=0,0,ROUND(D230*Calculator!$B$7/12,2))</f>
        <v>1381.33</v>
      </c>
      <c r="F230" s="26" t="n">
        <f aca="false">IF(D230&lt;=0,0,ROUND(MIN(D230,Calculator!$H$6-E230),2))</f>
        <v>1273.36</v>
      </c>
      <c r="G230" s="26" t="n">
        <f aca="false">ROUND(E230+F230,2)</f>
        <v>2654.69</v>
      </c>
      <c r="H230" s="26" t="n">
        <f aca="false">ROUND(MAX(0,D230-F230),2)</f>
        <v>253741.36</v>
      </c>
      <c r="I230" s="26" t="n">
        <f aca="false">ROUND(E230+I229,2)</f>
        <v>431046.61</v>
      </c>
    </row>
    <row r="231" customFormat="false" ht="15" hidden="false" customHeight="true" outlineLevel="0" collapsed="false">
      <c r="A231" s="19" t="n">
        <f aca="false">A230+1</f>
        <v>226</v>
      </c>
      <c r="B231" s="18" t="n">
        <f aca="false">EDATE(B230,1)</f>
        <v>53144</v>
      </c>
      <c r="C231" s="19" t="n">
        <f aca="false">ROUNDUP(A231/12,0)</f>
        <v>19</v>
      </c>
      <c r="D231" s="26" t="n">
        <f aca="false">H230</f>
        <v>253741.36</v>
      </c>
      <c r="E231" s="26" t="n">
        <f aca="false">IF(D231&lt;=0,0,ROUND(D231*Calculator!$B$7/12,2))</f>
        <v>1374.43</v>
      </c>
      <c r="F231" s="26" t="n">
        <f aca="false">IF(D231&lt;=0,0,ROUND(MIN(D231,Calculator!$H$6-E231),2))</f>
        <v>1280.26</v>
      </c>
      <c r="G231" s="26" t="n">
        <f aca="false">ROUND(E231+F231,2)</f>
        <v>2654.69</v>
      </c>
      <c r="H231" s="26" t="n">
        <f aca="false">ROUND(MAX(0,D231-F231),2)</f>
        <v>252461.1</v>
      </c>
      <c r="I231" s="26" t="n">
        <f aca="false">ROUND(E231+I230,2)</f>
        <v>432421.04</v>
      </c>
    </row>
    <row r="232" customFormat="false" ht="15" hidden="false" customHeight="true" outlineLevel="0" collapsed="false">
      <c r="A232" s="19" t="n">
        <f aca="false">A231+1</f>
        <v>227</v>
      </c>
      <c r="B232" s="18" t="n">
        <f aca="false">EDATE(B231,1)</f>
        <v>53175</v>
      </c>
      <c r="C232" s="19" t="n">
        <f aca="false">ROUNDUP(A232/12,0)</f>
        <v>19</v>
      </c>
      <c r="D232" s="26" t="n">
        <f aca="false">H231</f>
        <v>252461.1</v>
      </c>
      <c r="E232" s="26" t="n">
        <f aca="false">IF(D232&lt;=0,0,ROUND(D232*Calculator!$B$7/12,2))</f>
        <v>1367.5</v>
      </c>
      <c r="F232" s="26" t="n">
        <f aca="false">IF(D232&lt;=0,0,ROUND(MIN(D232,Calculator!$H$6-E232),2))</f>
        <v>1287.19</v>
      </c>
      <c r="G232" s="26" t="n">
        <f aca="false">ROUND(E232+F232,2)</f>
        <v>2654.69</v>
      </c>
      <c r="H232" s="26" t="n">
        <f aca="false">ROUND(MAX(0,D232-F232),2)</f>
        <v>251173.91</v>
      </c>
      <c r="I232" s="26" t="n">
        <f aca="false">ROUND(E232+I231,2)</f>
        <v>433788.54</v>
      </c>
    </row>
    <row r="233" customFormat="false" ht="15" hidden="false" customHeight="true" outlineLevel="0" collapsed="false">
      <c r="A233" s="19" t="n">
        <f aca="false">A232+1</f>
        <v>228</v>
      </c>
      <c r="B233" s="18" t="n">
        <f aca="false">EDATE(B232,1)</f>
        <v>53206</v>
      </c>
      <c r="C233" s="19" t="n">
        <f aca="false">ROUNDUP(A233/12,0)</f>
        <v>19</v>
      </c>
      <c r="D233" s="26" t="n">
        <f aca="false">H232</f>
        <v>251173.91</v>
      </c>
      <c r="E233" s="26" t="n">
        <f aca="false">IF(D233&lt;=0,0,ROUND(D233*Calculator!$B$7/12,2))</f>
        <v>1360.53</v>
      </c>
      <c r="F233" s="26" t="n">
        <f aca="false">IF(D233&lt;=0,0,ROUND(MIN(D233,Calculator!$H$6-E233),2))</f>
        <v>1294.16</v>
      </c>
      <c r="G233" s="26" t="n">
        <f aca="false">ROUND(E233+F233,2)</f>
        <v>2654.69</v>
      </c>
      <c r="H233" s="26" t="n">
        <f aca="false">ROUND(MAX(0,D233-F233),2)</f>
        <v>249879.75</v>
      </c>
      <c r="I233" s="26" t="n">
        <f aca="false">ROUND(E233+I232,2)</f>
        <v>435149.07</v>
      </c>
    </row>
    <row r="234" customFormat="false" ht="15" hidden="false" customHeight="true" outlineLevel="0" collapsed="false">
      <c r="A234" s="19" t="n">
        <f aca="false">A233+1</f>
        <v>229</v>
      </c>
      <c r="B234" s="18" t="n">
        <f aca="false">EDATE(B233,1)</f>
        <v>53236</v>
      </c>
      <c r="C234" s="19" t="n">
        <f aca="false">ROUNDUP(A234/12,0)</f>
        <v>20</v>
      </c>
      <c r="D234" s="26" t="n">
        <f aca="false">H233</f>
        <v>249879.75</v>
      </c>
      <c r="E234" s="26" t="n">
        <f aca="false">IF(D234&lt;=0,0,ROUND(D234*Calculator!$B$7/12,2))</f>
        <v>1353.52</v>
      </c>
      <c r="F234" s="26" t="n">
        <f aca="false">IF(D234&lt;=0,0,ROUND(MIN(D234,Calculator!$H$6-E234),2))</f>
        <v>1301.17</v>
      </c>
      <c r="G234" s="26" t="n">
        <f aca="false">ROUND(E234+F234,2)</f>
        <v>2654.69</v>
      </c>
      <c r="H234" s="26" t="n">
        <f aca="false">ROUND(MAX(0,D234-F234),2)</f>
        <v>248578.58</v>
      </c>
      <c r="I234" s="26" t="n">
        <f aca="false">ROUND(E234+I233,2)</f>
        <v>436502.59</v>
      </c>
    </row>
    <row r="235" customFormat="false" ht="15" hidden="false" customHeight="true" outlineLevel="0" collapsed="false">
      <c r="A235" s="19" t="n">
        <f aca="false">A234+1</f>
        <v>230</v>
      </c>
      <c r="B235" s="18" t="n">
        <f aca="false">EDATE(B234,1)</f>
        <v>53267</v>
      </c>
      <c r="C235" s="19" t="n">
        <f aca="false">ROUNDUP(A235/12,0)</f>
        <v>20</v>
      </c>
      <c r="D235" s="26" t="n">
        <f aca="false">H234</f>
        <v>248578.58</v>
      </c>
      <c r="E235" s="26" t="n">
        <f aca="false">IF(D235&lt;=0,0,ROUND(D235*Calculator!$B$7/12,2))</f>
        <v>1346.47</v>
      </c>
      <c r="F235" s="26" t="n">
        <f aca="false">IF(D235&lt;=0,0,ROUND(MIN(D235,Calculator!$H$6-E235),2))</f>
        <v>1308.22</v>
      </c>
      <c r="G235" s="26" t="n">
        <f aca="false">ROUND(E235+F235,2)</f>
        <v>2654.69</v>
      </c>
      <c r="H235" s="26" t="n">
        <f aca="false">ROUND(MAX(0,D235-F235),2)</f>
        <v>247270.36</v>
      </c>
      <c r="I235" s="26" t="n">
        <f aca="false">ROUND(E235+I234,2)</f>
        <v>437849.06</v>
      </c>
    </row>
    <row r="236" customFormat="false" ht="15" hidden="false" customHeight="true" outlineLevel="0" collapsed="false">
      <c r="A236" s="19" t="n">
        <f aca="false">A235+1</f>
        <v>231</v>
      </c>
      <c r="B236" s="18" t="n">
        <f aca="false">EDATE(B235,1)</f>
        <v>53297</v>
      </c>
      <c r="C236" s="19" t="n">
        <f aca="false">ROUNDUP(A236/12,0)</f>
        <v>20</v>
      </c>
      <c r="D236" s="26" t="n">
        <f aca="false">H235</f>
        <v>247270.36</v>
      </c>
      <c r="E236" s="26" t="n">
        <f aca="false">IF(D236&lt;=0,0,ROUND(D236*Calculator!$B$7/12,2))</f>
        <v>1339.38</v>
      </c>
      <c r="F236" s="26" t="n">
        <f aca="false">IF(D236&lt;=0,0,ROUND(MIN(D236,Calculator!$H$6-E236),2))</f>
        <v>1315.31</v>
      </c>
      <c r="G236" s="26" t="n">
        <f aca="false">ROUND(E236+F236,2)</f>
        <v>2654.69</v>
      </c>
      <c r="H236" s="26" t="n">
        <f aca="false">ROUND(MAX(0,D236-F236),2)</f>
        <v>245955.05</v>
      </c>
      <c r="I236" s="26" t="n">
        <f aca="false">ROUND(E236+I235,2)</f>
        <v>439188.44</v>
      </c>
    </row>
    <row r="237" customFormat="false" ht="15" hidden="false" customHeight="true" outlineLevel="0" collapsed="false">
      <c r="A237" s="19" t="n">
        <f aca="false">A236+1</f>
        <v>232</v>
      </c>
      <c r="B237" s="18" t="n">
        <f aca="false">EDATE(B236,1)</f>
        <v>53328</v>
      </c>
      <c r="C237" s="19" t="n">
        <f aca="false">ROUNDUP(A237/12,0)</f>
        <v>20</v>
      </c>
      <c r="D237" s="26" t="n">
        <f aca="false">H236</f>
        <v>245955.05</v>
      </c>
      <c r="E237" s="26" t="n">
        <f aca="false">IF(D237&lt;=0,0,ROUND(D237*Calculator!$B$7/12,2))</f>
        <v>1332.26</v>
      </c>
      <c r="F237" s="26" t="n">
        <f aca="false">IF(D237&lt;=0,0,ROUND(MIN(D237,Calculator!$H$6-E237),2))</f>
        <v>1322.43</v>
      </c>
      <c r="G237" s="26" t="n">
        <f aca="false">ROUND(E237+F237,2)</f>
        <v>2654.69</v>
      </c>
      <c r="H237" s="26" t="n">
        <f aca="false">ROUND(MAX(0,D237-F237),2)</f>
        <v>244632.62</v>
      </c>
      <c r="I237" s="26" t="n">
        <f aca="false">ROUND(E237+I236,2)</f>
        <v>440520.7</v>
      </c>
    </row>
    <row r="238" customFormat="false" ht="15" hidden="false" customHeight="true" outlineLevel="0" collapsed="false">
      <c r="A238" s="19" t="n">
        <f aca="false">A237+1</f>
        <v>233</v>
      </c>
      <c r="B238" s="18" t="n">
        <f aca="false">EDATE(B237,1)</f>
        <v>53359</v>
      </c>
      <c r="C238" s="19" t="n">
        <f aca="false">ROUNDUP(A238/12,0)</f>
        <v>20</v>
      </c>
      <c r="D238" s="26" t="n">
        <f aca="false">H237</f>
        <v>244632.62</v>
      </c>
      <c r="E238" s="26" t="n">
        <f aca="false">IF(D238&lt;=0,0,ROUND(D238*Calculator!$B$7/12,2))</f>
        <v>1325.09</v>
      </c>
      <c r="F238" s="26" t="n">
        <f aca="false">IF(D238&lt;=0,0,ROUND(MIN(D238,Calculator!$H$6-E238),2))</f>
        <v>1329.6</v>
      </c>
      <c r="G238" s="26" t="n">
        <f aca="false">ROUND(E238+F238,2)</f>
        <v>2654.69</v>
      </c>
      <c r="H238" s="26" t="n">
        <f aca="false">ROUND(MAX(0,D238-F238),2)</f>
        <v>243303.02</v>
      </c>
      <c r="I238" s="26" t="n">
        <f aca="false">ROUND(E238+I237,2)</f>
        <v>441845.79</v>
      </c>
    </row>
    <row r="239" customFormat="false" ht="15" hidden="false" customHeight="true" outlineLevel="0" collapsed="false">
      <c r="A239" s="19" t="n">
        <f aca="false">A238+1</f>
        <v>234</v>
      </c>
      <c r="B239" s="18" t="n">
        <f aca="false">EDATE(B238,1)</f>
        <v>53387</v>
      </c>
      <c r="C239" s="19" t="n">
        <f aca="false">ROUNDUP(A239/12,0)</f>
        <v>20</v>
      </c>
      <c r="D239" s="26" t="n">
        <f aca="false">H238</f>
        <v>243303.02</v>
      </c>
      <c r="E239" s="26" t="n">
        <f aca="false">IF(D239&lt;=0,0,ROUND(D239*Calculator!$B$7/12,2))</f>
        <v>1317.89</v>
      </c>
      <c r="F239" s="26" t="n">
        <f aca="false">IF(D239&lt;=0,0,ROUND(MIN(D239,Calculator!$H$6-E239),2))</f>
        <v>1336.8</v>
      </c>
      <c r="G239" s="26" t="n">
        <f aca="false">ROUND(E239+F239,2)</f>
        <v>2654.69</v>
      </c>
      <c r="H239" s="26" t="n">
        <f aca="false">ROUND(MAX(0,D239-F239),2)</f>
        <v>241966.22</v>
      </c>
      <c r="I239" s="26" t="n">
        <f aca="false">ROUND(E239+I238,2)</f>
        <v>443163.68</v>
      </c>
    </row>
    <row r="240" customFormat="false" ht="15" hidden="false" customHeight="true" outlineLevel="0" collapsed="false">
      <c r="A240" s="19" t="n">
        <f aca="false">A239+1</f>
        <v>235</v>
      </c>
      <c r="B240" s="18" t="n">
        <f aca="false">EDATE(B239,1)</f>
        <v>53418</v>
      </c>
      <c r="C240" s="19" t="n">
        <f aca="false">ROUNDUP(A240/12,0)</f>
        <v>20</v>
      </c>
      <c r="D240" s="26" t="n">
        <f aca="false">H239</f>
        <v>241966.22</v>
      </c>
      <c r="E240" s="26" t="n">
        <f aca="false">IF(D240&lt;=0,0,ROUND(D240*Calculator!$B$7/12,2))</f>
        <v>1310.65</v>
      </c>
      <c r="F240" s="26" t="n">
        <f aca="false">IF(D240&lt;=0,0,ROUND(MIN(D240,Calculator!$H$6-E240),2))</f>
        <v>1344.04</v>
      </c>
      <c r="G240" s="26" t="n">
        <f aca="false">ROUND(E240+F240,2)</f>
        <v>2654.69</v>
      </c>
      <c r="H240" s="26" t="n">
        <f aca="false">ROUND(MAX(0,D240-F240),2)</f>
        <v>240622.18</v>
      </c>
      <c r="I240" s="26" t="n">
        <f aca="false">ROUND(E240+I239,2)</f>
        <v>444474.33</v>
      </c>
    </row>
    <row r="241" customFormat="false" ht="15" hidden="false" customHeight="true" outlineLevel="0" collapsed="false">
      <c r="A241" s="19" t="n">
        <f aca="false">A240+1</f>
        <v>236</v>
      </c>
      <c r="B241" s="18" t="n">
        <f aca="false">EDATE(B240,1)</f>
        <v>53448</v>
      </c>
      <c r="C241" s="19" t="n">
        <f aca="false">ROUNDUP(A241/12,0)</f>
        <v>20</v>
      </c>
      <c r="D241" s="26" t="n">
        <f aca="false">H240</f>
        <v>240622.18</v>
      </c>
      <c r="E241" s="26" t="n">
        <f aca="false">IF(D241&lt;=0,0,ROUND(D241*Calculator!$B$7/12,2))</f>
        <v>1303.37</v>
      </c>
      <c r="F241" s="26" t="n">
        <f aca="false">IF(D241&lt;=0,0,ROUND(MIN(D241,Calculator!$H$6-E241),2))</f>
        <v>1351.32</v>
      </c>
      <c r="G241" s="26" t="n">
        <f aca="false">ROUND(E241+F241,2)</f>
        <v>2654.69</v>
      </c>
      <c r="H241" s="26" t="n">
        <f aca="false">ROUND(MAX(0,D241-F241),2)</f>
        <v>239270.86</v>
      </c>
      <c r="I241" s="26" t="n">
        <f aca="false">ROUND(E241+I240,2)</f>
        <v>445777.7</v>
      </c>
    </row>
    <row r="242" customFormat="false" ht="15" hidden="false" customHeight="true" outlineLevel="0" collapsed="false">
      <c r="A242" s="19" t="n">
        <f aca="false">A241+1</f>
        <v>237</v>
      </c>
      <c r="B242" s="18" t="n">
        <f aca="false">EDATE(B241,1)</f>
        <v>53479</v>
      </c>
      <c r="C242" s="19" t="n">
        <f aca="false">ROUNDUP(A242/12,0)</f>
        <v>20</v>
      </c>
      <c r="D242" s="26" t="n">
        <f aca="false">H241</f>
        <v>239270.86</v>
      </c>
      <c r="E242" s="26" t="n">
        <f aca="false">IF(D242&lt;=0,0,ROUND(D242*Calculator!$B$7/12,2))</f>
        <v>1296.05</v>
      </c>
      <c r="F242" s="26" t="n">
        <f aca="false">IF(D242&lt;=0,0,ROUND(MIN(D242,Calculator!$H$6-E242),2))</f>
        <v>1358.64</v>
      </c>
      <c r="G242" s="26" t="n">
        <f aca="false">ROUND(E242+F242,2)</f>
        <v>2654.69</v>
      </c>
      <c r="H242" s="26" t="n">
        <f aca="false">ROUND(MAX(0,D242-F242),2)</f>
        <v>237912.22</v>
      </c>
      <c r="I242" s="26" t="n">
        <f aca="false">ROUND(E242+I241,2)</f>
        <v>447073.75</v>
      </c>
    </row>
    <row r="243" customFormat="false" ht="15" hidden="false" customHeight="true" outlineLevel="0" collapsed="false">
      <c r="A243" s="19" t="n">
        <f aca="false">A242+1</f>
        <v>238</v>
      </c>
      <c r="B243" s="18" t="n">
        <f aca="false">EDATE(B242,1)</f>
        <v>53509</v>
      </c>
      <c r="C243" s="19" t="n">
        <f aca="false">ROUNDUP(A243/12,0)</f>
        <v>20</v>
      </c>
      <c r="D243" s="26" t="n">
        <f aca="false">H242</f>
        <v>237912.22</v>
      </c>
      <c r="E243" s="26" t="n">
        <f aca="false">IF(D243&lt;=0,0,ROUND(D243*Calculator!$B$7/12,2))</f>
        <v>1288.69</v>
      </c>
      <c r="F243" s="26" t="n">
        <f aca="false">IF(D243&lt;=0,0,ROUND(MIN(D243,Calculator!$H$6-E243),2))</f>
        <v>1366</v>
      </c>
      <c r="G243" s="26" t="n">
        <f aca="false">ROUND(E243+F243,2)</f>
        <v>2654.69</v>
      </c>
      <c r="H243" s="26" t="n">
        <f aca="false">ROUND(MAX(0,D243-F243),2)</f>
        <v>236546.22</v>
      </c>
      <c r="I243" s="26" t="n">
        <f aca="false">ROUND(E243+I242,2)</f>
        <v>448362.44</v>
      </c>
    </row>
    <row r="244" customFormat="false" ht="15" hidden="false" customHeight="true" outlineLevel="0" collapsed="false">
      <c r="A244" s="19" t="n">
        <f aca="false">A243+1</f>
        <v>239</v>
      </c>
      <c r="B244" s="18" t="n">
        <f aca="false">EDATE(B243,1)</f>
        <v>53540</v>
      </c>
      <c r="C244" s="19" t="n">
        <f aca="false">ROUNDUP(A244/12,0)</f>
        <v>20</v>
      </c>
      <c r="D244" s="26" t="n">
        <f aca="false">H243</f>
        <v>236546.22</v>
      </c>
      <c r="E244" s="26" t="n">
        <f aca="false">IF(D244&lt;=0,0,ROUND(D244*Calculator!$B$7/12,2))</f>
        <v>1281.29</v>
      </c>
      <c r="F244" s="26" t="n">
        <f aca="false">IF(D244&lt;=0,0,ROUND(MIN(D244,Calculator!$H$6-E244),2))</f>
        <v>1373.4</v>
      </c>
      <c r="G244" s="26" t="n">
        <f aca="false">ROUND(E244+F244,2)</f>
        <v>2654.69</v>
      </c>
      <c r="H244" s="26" t="n">
        <f aca="false">ROUND(MAX(0,D244-F244),2)</f>
        <v>235172.82</v>
      </c>
      <c r="I244" s="26" t="n">
        <f aca="false">ROUND(E244+I243,2)</f>
        <v>449643.73</v>
      </c>
    </row>
    <row r="245" customFormat="false" ht="15" hidden="false" customHeight="true" outlineLevel="0" collapsed="false">
      <c r="A245" s="19" t="n">
        <f aca="false">A244+1</f>
        <v>240</v>
      </c>
      <c r="B245" s="18" t="n">
        <f aca="false">EDATE(B244,1)</f>
        <v>53571</v>
      </c>
      <c r="C245" s="19" t="n">
        <f aca="false">ROUNDUP(A245/12,0)</f>
        <v>20</v>
      </c>
      <c r="D245" s="26" t="n">
        <f aca="false">H244</f>
        <v>235172.82</v>
      </c>
      <c r="E245" s="26" t="n">
        <f aca="false">IF(D245&lt;=0,0,ROUND(D245*Calculator!$B$7/12,2))</f>
        <v>1273.85</v>
      </c>
      <c r="F245" s="26" t="n">
        <f aca="false">IF(D245&lt;=0,0,ROUND(MIN(D245,Calculator!$H$6-E245),2))</f>
        <v>1380.84</v>
      </c>
      <c r="G245" s="26" t="n">
        <f aca="false">ROUND(E245+F245,2)</f>
        <v>2654.69</v>
      </c>
      <c r="H245" s="26" t="n">
        <f aca="false">ROUND(MAX(0,D245-F245),2)</f>
        <v>233791.98</v>
      </c>
      <c r="I245" s="26" t="n">
        <f aca="false">ROUND(E245+I244,2)</f>
        <v>450917.58</v>
      </c>
    </row>
    <row r="246" customFormat="false" ht="15" hidden="false" customHeight="true" outlineLevel="0" collapsed="false">
      <c r="A246" s="19" t="n">
        <f aca="false">A245+1</f>
        <v>241</v>
      </c>
      <c r="B246" s="18" t="n">
        <f aca="false">EDATE(B245,1)</f>
        <v>53601</v>
      </c>
      <c r="C246" s="19" t="n">
        <f aca="false">ROUNDUP(A246/12,0)</f>
        <v>21</v>
      </c>
      <c r="D246" s="26" t="n">
        <f aca="false">H245</f>
        <v>233791.98</v>
      </c>
      <c r="E246" s="26" t="n">
        <f aca="false">IF(D246&lt;=0,0,ROUND(D246*Calculator!$B$7/12,2))</f>
        <v>1266.37</v>
      </c>
      <c r="F246" s="26" t="n">
        <f aca="false">IF(D246&lt;=0,0,ROUND(MIN(D246,Calculator!$H$6-E246),2))</f>
        <v>1388.32</v>
      </c>
      <c r="G246" s="26" t="n">
        <f aca="false">ROUND(E246+F246,2)</f>
        <v>2654.69</v>
      </c>
      <c r="H246" s="26" t="n">
        <f aca="false">ROUND(MAX(0,D246-F246),2)</f>
        <v>232403.66</v>
      </c>
      <c r="I246" s="26" t="n">
        <f aca="false">ROUND(E246+I245,2)</f>
        <v>452183.95</v>
      </c>
    </row>
    <row r="247" customFormat="false" ht="15" hidden="false" customHeight="true" outlineLevel="0" collapsed="false">
      <c r="A247" s="19" t="n">
        <f aca="false">A246+1</f>
        <v>242</v>
      </c>
      <c r="B247" s="18" t="n">
        <f aca="false">EDATE(B246,1)</f>
        <v>53632</v>
      </c>
      <c r="C247" s="19" t="n">
        <f aca="false">ROUNDUP(A247/12,0)</f>
        <v>21</v>
      </c>
      <c r="D247" s="26" t="n">
        <f aca="false">H246</f>
        <v>232403.66</v>
      </c>
      <c r="E247" s="26" t="n">
        <f aca="false">IF(D247&lt;=0,0,ROUND(D247*Calculator!$B$7/12,2))</f>
        <v>1258.85</v>
      </c>
      <c r="F247" s="26" t="n">
        <f aca="false">IF(D247&lt;=0,0,ROUND(MIN(D247,Calculator!$H$6-E247),2))</f>
        <v>1395.84</v>
      </c>
      <c r="G247" s="26" t="n">
        <f aca="false">ROUND(E247+F247,2)</f>
        <v>2654.69</v>
      </c>
      <c r="H247" s="26" t="n">
        <f aca="false">ROUND(MAX(0,D247-F247),2)</f>
        <v>231007.82</v>
      </c>
      <c r="I247" s="26" t="n">
        <f aca="false">ROUND(E247+I246,2)</f>
        <v>453442.8</v>
      </c>
    </row>
    <row r="248" customFormat="false" ht="15" hidden="false" customHeight="true" outlineLevel="0" collapsed="false">
      <c r="A248" s="19" t="n">
        <f aca="false">A247+1</f>
        <v>243</v>
      </c>
      <c r="B248" s="18" t="n">
        <f aca="false">EDATE(B247,1)</f>
        <v>53662</v>
      </c>
      <c r="C248" s="19" t="n">
        <f aca="false">ROUNDUP(A248/12,0)</f>
        <v>21</v>
      </c>
      <c r="D248" s="26" t="n">
        <f aca="false">H247</f>
        <v>231007.82</v>
      </c>
      <c r="E248" s="26" t="n">
        <f aca="false">IF(D248&lt;=0,0,ROUND(D248*Calculator!$B$7/12,2))</f>
        <v>1251.29</v>
      </c>
      <c r="F248" s="26" t="n">
        <f aca="false">IF(D248&lt;=0,0,ROUND(MIN(D248,Calculator!$H$6-E248),2))</f>
        <v>1403.4</v>
      </c>
      <c r="G248" s="26" t="n">
        <f aca="false">ROUND(E248+F248,2)</f>
        <v>2654.69</v>
      </c>
      <c r="H248" s="26" t="n">
        <f aca="false">ROUND(MAX(0,D248-F248),2)</f>
        <v>229604.42</v>
      </c>
      <c r="I248" s="26" t="n">
        <f aca="false">ROUND(E248+I247,2)</f>
        <v>454694.09</v>
      </c>
    </row>
    <row r="249" customFormat="false" ht="15" hidden="false" customHeight="true" outlineLevel="0" collapsed="false">
      <c r="A249" s="19" t="n">
        <f aca="false">A248+1</f>
        <v>244</v>
      </c>
      <c r="B249" s="18" t="n">
        <f aca="false">EDATE(B248,1)</f>
        <v>53693</v>
      </c>
      <c r="C249" s="19" t="n">
        <f aca="false">ROUNDUP(A249/12,0)</f>
        <v>21</v>
      </c>
      <c r="D249" s="26" t="n">
        <f aca="false">H248</f>
        <v>229604.42</v>
      </c>
      <c r="E249" s="26" t="n">
        <f aca="false">IF(D249&lt;=0,0,ROUND(D249*Calculator!$B$7/12,2))</f>
        <v>1243.69</v>
      </c>
      <c r="F249" s="26" t="n">
        <f aca="false">IF(D249&lt;=0,0,ROUND(MIN(D249,Calculator!$H$6-E249),2))</f>
        <v>1411</v>
      </c>
      <c r="G249" s="26" t="n">
        <f aca="false">ROUND(E249+F249,2)</f>
        <v>2654.69</v>
      </c>
      <c r="H249" s="26" t="n">
        <f aca="false">ROUND(MAX(0,D249-F249),2)</f>
        <v>228193.42</v>
      </c>
      <c r="I249" s="26" t="n">
        <f aca="false">ROUND(E249+I248,2)</f>
        <v>455937.78</v>
      </c>
    </row>
    <row r="250" customFormat="false" ht="15" hidden="false" customHeight="true" outlineLevel="0" collapsed="false">
      <c r="A250" s="19" t="n">
        <f aca="false">A249+1</f>
        <v>245</v>
      </c>
      <c r="B250" s="18" t="n">
        <f aca="false">EDATE(B249,1)</f>
        <v>53724</v>
      </c>
      <c r="C250" s="19" t="n">
        <f aca="false">ROUNDUP(A250/12,0)</f>
        <v>21</v>
      </c>
      <c r="D250" s="26" t="n">
        <f aca="false">H249</f>
        <v>228193.42</v>
      </c>
      <c r="E250" s="26" t="n">
        <f aca="false">IF(D250&lt;=0,0,ROUND(D250*Calculator!$B$7/12,2))</f>
        <v>1236.05</v>
      </c>
      <c r="F250" s="26" t="n">
        <f aca="false">IF(D250&lt;=0,0,ROUND(MIN(D250,Calculator!$H$6-E250),2))</f>
        <v>1418.64</v>
      </c>
      <c r="G250" s="26" t="n">
        <f aca="false">ROUND(E250+F250,2)</f>
        <v>2654.69</v>
      </c>
      <c r="H250" s="26" t="n">
        <f aca="false">ROUND(MAX(0,D250-F250),2)</f>
        <v>226774.78</v>
      </c>
      <c r="I250" s="26" t="n">
        <f aca="false">ROUND(E250+I249,2)</f>
        <v>457173.83</v>
      </c>
    </row>
    <row r="251" customFormat="false" ht="15" hidden="false" customHeight="true" outlineLevel="0" collapsed="false">
      <c r="A251" s="19" t="n">
        <f aca="false">A250+1</f>
        <v>246</v>
      </c>
      <c r="B251" s="18" t="n">
        <f aca="false">EDATE(B250,1)</f>
        <v>53752</v>
      </c>
      <c r="C251" s="19" t="n">
        <f aca="false">ROUNDUP(A251/12,0)</f>
        <v>21</v>
      </c>
      <c r="D251" s="26" t="n">
        <f aca="false">H250</f>
        <v>226774.78</v>
      </c>
      <c r="E251" s="26" t="n">
        <f aca="false">IF(D251&lt;=0,0,ROUND(D251*Calculator!$B$7/12,2))</f>
        <v>1228.36</v>
      </c>
      <c r="F251" s="26" t="n">
        <f aca="false">IF(D251&lt;=0,0,ROUND(MIN(D251,Calculator!$H$6-E251),2))</f>
        <v>1426.33</v>
      </c>
      <c r="G251" s="26" t="n">
        <f aca="false">ROUND(E251+F251,2)</f>
        <v>2654.69</v>
      </c>
      <c r="H251" s="26" t="n">
        <f aca="false">ROUND(MAX(0,D251-F251),2)</f>
        <v>225348.45</v>
      </c>
      <c r="I251" s="26" t="n">
        <f aca="false">ROUND(E251+I250,2)</f>
        <v>458402.19</v>
      </c>
    </row>
    <row r="252" customFormat="false" ht="15" hidden="false" customHeight="true" outlineLevel="0" collapsed="false">
      <c r="A252" s="19" t="n">
        <f aca="false">A251+1</f>
        <v>247</v>
      </c>
      <c r="B252" s="18" t="n">
        <f aca="false">EDATE(B251,1)</f>
        <v>53783</v>
      </c>
      <c r="C252" s="19" t="n">
        <f aca="false">ROUNDUP(A252/12,0)</f>
        <v>21</v>
      </c>
      <c r="D252" s="26" t="n">
        <f aca="false">H251</f>
        <v>225348.45</v>
      </c>
      <c r="E252" s="26" t="n">
        <f aca="false">IF(D252&lt;=0,0,ROUND(D252*Calculator!$B$7/12,2))</f>
        <v>1220.64</v>
      </c>
      <c r="F252" s="26" t="n">
        <f aca="false">IF(D252&lt;=0,0,ROUND(MIN(D252,Calculator!$H$6-E252),2))</f>
        <v>1434.05</v>
      </c>
      <c r="G252" s="26" t="n">
        <f aca="false">ROUND(E252+F252,2)</f>
        <v>2654.69</v>
      </c>
      <c r="H252" s="26" t="n">
        <f aca="false">ROUND(MAX(0,D252-F252),2)</f>
        <v>223914.4</v>
      </c>
      <c r="I252" s="26" t="n">
        <f aca="false">ROUND(E252+I251,2)</f>
        <v>459622.83</v>
      </c>
    </row>
    <row r="253" customFormat="false" ht="15" hidden="false" customHeight="true" outlineLevel="0" collapsed="false">
      <c r="A253" s="19" t="n">
        <f aca="false">A252+1</f>
        <v>248</v>
      </c>
      <c r="B253" s="18" t="n">
        <f aca="false">EDATE(B252,1)</f>
        <v>53813</v>
      </c>
      <c r="C253" s="19" t="n">
        <f aca="false">ROUNDUP(A253/12,0)</f>
        <v>21</v>
      </c>
      <c r="D253" s="26" t="n">
        <f aca="false">H252</f>
        <v>223914.4</v>
      </c>
      <c r="E253" s="26" t="n">
        <f aca="false">IF(D253&lt;=0,0,ROUND(D253*Calculator!$B$7/12,2))</f>
        <v>1212.87</v>
      </c>
      <c r="F253" s="26" t="n">
        <f aca="false">IF(D253&lt;=0,0,ROUND(MIN(D253,Calculator!$H$6-E253),2))</f>
        <v>1441.82</v>
      </c>
      <c r="G253" s="26" t="n">
        <f aca="false">ROUND(E253+F253,2)</f>
        <v>2654.69</v>
      </c>
      <c r="H253" s="26" t="n">
        <f aca="false">ROUND(MAX(0,D253-F253),2)</f>
        <v>222472.58</v>
      </c>
      <c r="I253" s="26" t="n">
        <f aca="false">ROUND(E253+I252,2)</f>
        <v>460835.7</v>
      </c>
    </row>
    <row r="254" customFormat="false" ht="15" hidden="false" customHeight="true" outlineLevel="0" collapsed="false">
      <c r="A254" s="19" t="n">
        <f aca="false">A253+1</f>
        <v>249</v>
      </c>
      <c r="B254" s="18" t="n">
        <f aca="false">EDATE(B253,1)</f>
        <v>53844</v>
      </c>
      <c r="C254" s="19" t="n">
        <f aca="false">ROUNDUP(A254/12,0)</f>
        <v>21</v>
      </c>
      <c r="D254" s="26" t="n">
        <f aca="false">H253</f>
        <v>222472.58</v>
      </c>
      <c r="E254" s="26" t="n">
        <f aca="false">IF(D254&lt;=0,0,ROUND(D254*Calculator!$B$7/12,2))</f>
        <v>1205.06</v>
      </c>
      <c r="F254" s="26" t="n">
        <f aca="false">IF(D254&lt;=0,0,ROUND(MIN(D254,Calculator!$H$6-E254),2))</f>
        <v>1449.63</v>
      </c>
      <c r="G254" s="26" t="n">
        <f aca="false">ROUND(E254+F254,2)</f>
        <v>2654.69</v>
      </c>
      <c r="H254" s="26" t="n">
        <f aca="false">ROUND(MAX(0,D254-F254),2)</f>
        <v>221022.95</v>
      </c>
      <c r="I254" s="26" t="n">
        <f aca="false">ROUND(E254+I253,2)</f>
        <v>462040.76</v>
      </c>
    </row>
    <row r="255" customFormat="false" ht="15" hidden="false" customHeight="true" outlineLevel="0" collapsed="false">
      <c r="A255" s="19" t="n">
        <f aca="false">A254+1</f>
        <v>250</v>
      </c>
      <c r="B255" s="18" t="n">
        <f aca="false">EDATE(B254,1)</f>
        <v>53874</v>
      </c>
      <c r="C255" s="19" t="n">
        <f aca="false">ROUNDUP(A255/12,0)</f>
        <v>21</v>
      </c>
      <c r="D255" s="26" t="n">
        <f aca="false">H254</f>
        <v>221022.95</v>
      </c>
      <c r="E255" s="26" t="n">
        <f aca="false">IF(D255&lt;=0,0,ROUND(D255*Calculator!$B$7/12,2))</f>
        <v>1197.21</v>
      </c>
      <c r="F255" s="26" t="n">
        <f aca="false">IF(D255&lt;=0,0,ROUND(MIN(D255,Calculator!$H$6-E255),2))</f>
        <v>1457.48</v>
      </c>
      <c r="G255" s="26" t="n">
        <f aca="false">ROUND(E255+F255,2)</f>
        <v>2654.69</v>
      </c>
      <c r="H255" s="26" t="n">
        <f aca="false">ROUND(MAX(0,D255-F255),2)</f>
        <v>219565.47</v>
      </c>
      <c r="I255" s="26" t="n">
        <f aca="false">ROUND(E255+I254,2)</f>
        <v>463237.97</v>
      </c>
    </row>
    <row r="256" customFormat="false" ht="15" hidden="false" customHeight="true" outlineLevel="0" collapsed="false">
      <c r="A256" s="19" t="n">
        <f aca="false">A255+1</f>
        <v>251</v>
      </c>
      <c r="B256" s="18" t="n">
        <f aca="false">EDATE(B255,1)</f>
        <v>53905</v>
      </c>
      <c r="C256" s="19" t="n">
        <f aca="false">ROUNDUP(A256/12,0)</f>
        <v>21</v>
      </c>
      <c r="D256" s="26" t="n">
        <f aca="false">H255</f>
        <v>219565.47</v>
      </c>
      <c r="E256" s="26" t="n">
        <f aca="false">IF(D256&lt;=0,0,ROUND(D256*Calculator!$B$7/12,2))</f>
        <v>1189.31</v>
      </c>
      <c r="F256" s="26" t="n">
        <f aca="false">IF(D256&lt;=0,0,ROUND(MIN(D256,Calculator!$H$6-E256),2))</f>
        <v>1465.38</v>
      </c>
      <c r="G256" s="26" t="n">
        <f aca="false">ROUND(E256+F256,2)</f>
        <v>2654.69</v>
      </c>
      <c r="H256" s="26" t="n">
        <f aca="false">ROUND(MAX(0,D256-F256),2)</f>
        <v>218100.09</v>
      </c>
      <c r="I256" s="26" t="n">
        <f aca="false">ROUND(E256+I255,2)</f>
        <v>464427.28</v>
      </c>
    </row>
    <row r="257" customFormat="false" ht="15" hidden="false" customHeight="true" outlineLevel="0" collapsed="false">
      <c r="A257" s="19" t="n">
        <f aca="false">A256+1</f>
        <v>252</v>
      </c>
      <c r="B257" s="18" t="n">
        <f aca="false">EDATE(B256,1)</f>
        <v>53936</v>
      </c>
      <c r="C257" s="19" t="n">
        <f aca="false">ROUNDUP(A257/12,0)</f>
        <v>21</v>
      </c>
      <c r="D257" s="26" t="n">
        <f aca="false">H256</f>
        <v>218100.09</v>
      </c>
      <c r="E257" s="26" t="n">
        <f aca="false">IF(D257&lt;=0,0,ROUND(D257*Calculator!$B$7/12,2))</f>
        <v>1181.38</v>
      </c>
      <c r="F257" s="26" t="n">
        <f aca="false">IF(D257&lt;=0,0,ROUND(MIN(D257,Calculator!$H$6-E257),2))</f>
        <v>1473.31</v>
      </c>
      <c r="G257" s="26" t="n">
        <f aca="false">ROUND(E257+F257,2)</f>
        <v>2654.69</v>
      </c>
      <c r="H257" s="26" t="n">
        <f aca="false">ROUND(MAX(0,D257-F257),2)</f>
        <v>216626.78</v>
      </c>
      <c r="I257" s="26" t="n">
        <f aca="false">ROUND(E257+I256,2)</f>
        <v>465608.66</v>
      </c>
    </row>
    <row r="258" customFormat="false" ht="15" hidden="false" customHeight="true" outlineLevel="0" collapsed="false">
      <c r="A258" s="19" t="n">
        <f aca="false">A257+1</f>
        <v>253</v>
      </c>
      <c r="B258" s="18" t="n">
        <f aca="false">EDATE(B257,1)</f>
        <v>53966</v>
      </c>
      <c r="C258" s="19" t="n">
        <f aca="false">ROUNDUP(A258/12,0)</f>
        <v>22</v>
      </c>
      <c r="D258" s="26" t="n">
        <f aca="false">H257</f>
        <v>216626.78</v>
      </c>
      <c r="E258" s="26" t="n">
        <f aca="false">IF(D258&lt;=0,0,ROUND(D258*Calculator!$B$7/12,2))</f>
        <v>1173.4</v>
      </c>
      <c r="F258" s="26" t="n">
        <f aca="false">IF(D258&lt;=0,0,ROUND(MIN(D258,Calculator!$H$6-E258),2))</f>
        <v>1481.29</v>
      </c>
      <c r="G258" s="26" t="n">
        <f aca="false">ROUND(E258+F258,2)</f>
        <v>2654.69</v>
      </c>
      <c r="H258" s="26" t="n">
        <f aca="false">ROUND(MAX(0,D258-F258),2)</f>
        <v>215145.49</v>
      </c>
      <c r="I258" s="26" t="n">
        <f aca="false">ROUND(E258+I257,2)</f>
        <v>466782.06</v>
      </c>
    </row>
    <row r="259" customFormat="false" ht="15" hidden="false" customHeight="true" outlineLevel="0" collapsed="false">
      <c r="A259" s="19" t="n">
        <f aca="false">A258+1</f>
        <v>254</v>
      </c>
      <c r="B259" s="18" t="n">
        <f aca="false">EDATE(B258,1)</f>
        <v>53997</v>
      </c>
      <c r="C259" s="19" t="n">
        <f aca="false">ROUNDUP(A259/12,0)</f>
        <v>22</v>
      </c>
      <c r="D259" s="26" t="n">
        <f aca="false">H258</f>
        <v>215145.49</v>
      </c>
      <c r="E259" s="26" t="n">
        <f aca="false">IF(D259&lt;=0,0,ROUND(D259*Calculator!$B$7/12,2))</f>
        <v>1165.37</v>
      </c>
      <c r="F259" s="26" t="n">
        <f aca="false">IF(D259&lt;=0,0,ROUND(MIN(D259,Calculator!$H$6-E259),2))</f>
        <v>1489.32</v>
      </c>
      <c r="G259" s="26" t="n">
        <f aca="false">ROUND(E259+F259,2)</f>
        <v>2654.69</v>
      </c>
      <c r="H259" s="26" t="n">
        <f aca="false">ROUND(MAX(0,D259-F259),2)</f>
        <v>213656.17</v>
      </c>
      <c r="I259" s="26" t="n">
        <f aca="false">ROUND(E259+I258,2)</f>
        <v>467947.43</v>
      </c>
    </row>
    <row r="260" customFormat="false" ht="15" hidden="false" customHeight="true" outlineLevel="0" collapsed="false">
      <c r="A260" s="19" t="n">
        <f aca="false">A259+1</f>
        <v>255</v>
      </c>
      <c r="B260" s="18" t="n">
        <f aca="false">EDATE(B259,1)</f>
        <v>54027</v>
      </c>
      <c r="C260" s="19" t="n">
        <f aca="false">ROUNDUP(A260/12,0)</f>
        <v>22</v>
      </c>
      <c r="D260" s="26" t="n">
        <f aca="false">H259</f>
        <v>213656.17</v>
      </c>
      <c r="E260" s="26" t="n">
        <f aca="false">IF(D260&lt;=0,0,ROUND(D260*Calculator!$B$7/12,2))</f>
        <v>1157.3</v>
      </c>
      <c r="F260" s="26" t="n">
        <f aca="false">IF(D260&lt;=0,0,ROUND(MIN(D260,Calculator!$H$6-E260),2))</f>
        <v>1497.39</v>
      </c>
      <c r="G260" s="26" t="n">
        <f aca="false">ROUND(E260+F260,2)</f>
        <v>2654.69</v>
      </c>
      <c r="H260" s="26" t="n">
        <f aca="false">ROUND(MAX(0,D260-F260),2)</f>
        <v>212158.78</v>
      </c>
      <c r="I260" s="26" t="n">
        <f aca="false">ROUND(E260+I259,2)</f>
        <v>469104.73</v>
      </c>
    </row>
    <row r="261" customFormat="false" ht="15" hidden="false" customHeight="true" outlineLevel="0" collapsed="false">
      <c r="A261" s="19" t="n">
        <f aca="false">A260+1</f>
        <v>256</v>
      </c>
      <c r="B261" s="18" t="n">
        <f aca="false">EDATE(B260,1)</f>
        <v>54058</v>
      </c>
      <c r="C261" s="19" t="n">
        <f aca="false">ROUNDUP(A261/12,0)</f>
        <v>22</v>
      </c>
      <c r="D261" s="26" t="n">
        <f aca="false">H260</f>
        <v>212158.78</v>
      </c>
      <c r="E261" s="26" t="n">
        <f aca="false">IF(D261&lt;=0,0,ROUND(D261*Calculator!$B$7/12,2))</f>
        <v>1149.19</v>
      </c>
      <c r="F261" s="26" t="n">
        <f aca="false">IF(D261&lt;=0,0,ROUND(MIN(D261,Calculator!$H$6-E261),2))</f>
        <v>1505.5</v>
      </c>
      <c r="G261" s="26" t="n">
        <f aca="false">ROUND(E261+F261,2)</f>
        <v>2654.69</v>
      </c>
      <c r="H261" s="26" t="n">
        <f aca="false">ROUND(MAX(0,D261-F261),2)</f>
        <v>210653.28</v>
      </c>
      <c r="I261" s="26" t="n">
        <f aca="false">ROUND(E261+I260,2)</f>
        <v>470253.92</v>
      </c>
    </row>
    <row r="262" customFormat="false" ht="15" hidden="false" customHeight="true" outlineLevel="0" collapsed="false">
      <c r="A262" s="19" t="n">
        <f aca="false">A261+1</f>
        <v>257</v>
      </c>
      <c r="B262" s="18" t="n">
        <f aca="false">EDATE(B261,1)</f>
        <v>54089</v>
      </c>
      <c r="C262" s="19" t="n">
        <f aca="false">ROUNDUP(A262/12,0)</f>
        <v>22</v>
      </c>
      <c r="D262" s="26" t="n">
        <f aca="false">H261</f>
        <v>210653.28</v>
      </c>
      <c r="E262" s="26" t="n">
        <f aca="false">IF(D262&lt;=0,0,ROUND(D262*Calculator!$B$7/12,2))</f>
        <v>1141.04</v>
      </c>
      <c r="F262" s="26" t="n">
        <f aca="false">IF(D262&lt;=0,0,ROUND(MIN(D262,Calculator!$H$6-E262),2))</f>
        <v>1513.65</v>
      </c>
      <c r="G262" s="26" t="n">
        <f aca="false">ROUND(E262+F262,2)</f>
        <v>2654.69</v>
      </c>
      <c r="H262" s="26" t="n">
        <f aca="false">ROUND(MAX(0,D262-F262),2)</f>
        <v>209139.63</v>
      </c>
      <c r="I262" s="26" t="n">
        <f aca="false">ROUND(E262+I261,2)</f>
        <v>471394.96</v>
      </c>
    </row>
    <row r="263" customFormat="false" ht="15" hidden="false" customHeight="true" outlineLevel="0" collapsed="false">
      <c r="A263" s="19" t="n">
        <f aca="false">A262+1</f>
        <v>258</v>
      </c>
      <c r="B263" s="18" t="n">
        <f aca="false">EDATE(B262,1)</f>
        <v>54118</v>
      </c>
      <c r="C263" s="19" t="n">
        <f aca="false">ROUNDUP(A263/12,0)</f>
        <v>22</v>
      </c>
      <c r="D263" s="26" t="n">
        <f aca="false">H262</f>
        <v>209139.63</v>
      </c>
      <c r="E263" s="26" t="n">
        <f aca="false">IF(D263&lt;=0,0,ROUND(D263*Calculator!$B$7/12,2))</f>
        <v>1132.84</v>
      </c>
      <c r="F263" s="26" t="n">
        <f aca="false">IF(D263&lt;=0,0,ROUND(MIN(D263,Calculator!$H$6-E263),2))</f>
        <v>1521.85</v>
      </c>
      <c r="G263" s="26" t="n">
        <f aca="false">ROUND(E263+F263,2)</f>
        <v>2654.69</v>
      </c>
      <c r="H263" s="26" t="n">
        <f aca="false">ROUND(MAX(0,D263-F263),2)</f>
        <v>207617.78</v>
      </c>
      <c r="I263" s="26" t="n">
        <f aca="false">ROUND(E263+I262,2)</f>
        <v>472527.8</v>
      </c>
    </row>
    <row r="264" customFormat="false" ht="15" hidden="false" customHeight="true" outlineLevel="0" collapsed="false">
      <c r="A264" s="19" t="n">
        <f aca="false">A263+1</f>
        <v>259</v>
      </c>
      <c r="B264" s="18" t="n">
        <f aca="false">EDATE(B263,1)</f>
        <v>54149</v>
      </c>
      <c r="C264" s="19" t="n">
        <f aca="false">ROUNDUP(A264/12,0)</f>
        <v>22</v>
      </c>
      <c r="D264" s="26" t="n">
        <f aca="false">H263</f>
        <v>207617.78</v>
      </c>
      <c r="E264" s="26" t="n">
        <f aca="false">IF(D264&lt;=0,0,ROUND(D264*Calculator!$B$7/12,2))</f>
        <v>1124.6</v>
      </c>
      <c r="F264" s="26" t="n">
        <f aca="false">IF(D264&lt;=0,0,ROUND(MIN(D264,Calculator!$H$6-E264),2))</f>
        <v>1530.09</v>
      </c>
      <c r="G264" s="26" t="n">
        <f aca="false">ROUND(E264+F264,2)</f>
        <v>2654.69</v>
      </c>
      <c r="H264" s="26" t="n">
        <f aca="false">ROUND(MAX(0,D264-F264),2)</f>
        <v>206087.69</v>
      </c>
      <c r="I264" s="26" t="n">
        <f aca="false">ROUND(E264+I263,2)</f>
        <v>473652.4</v>
      </c>
    </row>
    <row r="265" customFormat="false" ht="15" hidden="false" customHeight="true" outlineLevel="0" collapsed="false">
      <c r="A265" s="19" t="n">
        <f aca="false">A264+1</f>
        <v>260</v>
      </c>
      <c r="B265" s="18" t="n">
        <f aca="false">EDATE(B264,1)</f>
        <v>54179</v>
      </c>
      <c r="C265" s="19" t="n">
        <f aca="false">ROUNDUP(A265/12,0)</f>
        <v>22</v>
      </c>
      <c r="D265" s="26" t="n">
        <f aca="false">H264</f>
        <v>206087.69</v>
      </c>
      <c r="E265" s="26" t="n">
        <f aca="false">IF(D265&lt;=0,0,ROUND(D265*Calculator!$B$7/12,2))</f>
        <v>1116.31</v>
      </c>
      <c r="F265" s="26" t="n">
        <f aca="false">IF(D265&lt;=0,0,ROUND(MIN(D265,Calculator!$H$6-E265),2))</f>
        <v>1538.38</v>
      </c>
      <c r="G265" s="26" t="n">
        <f aca="false">ROUND(E265+F265,2)</f>
        <v>2654.69</v>
      </c>
      <c r="H265" s="26" t="n">
        <f aca="false">ROUND(MAX(0,D265-F265),2)</f>
        <v>204549.31</v>
      </c>
      <c r="I265" s="26" t="n">
        <f aca="false">ROUND(E265+I264,2)</f>
        <v>474768.71</v>
      </c>
    </row>
    <row r="266" customFormat="false" ht="15" hidden="false" customHeight="true" outlineLevel="0" collapsed="false">
      <c r="A266" s="19" t="n">
        <f aca="false">A265+1</f>
        <v>261</v>
      </c>
      <c r="B266" s="18" t="n">
        <f aca="false">EDATE(B265,1)</f>
        <v>54210</v>
      </c>
      <c r="C266" s="19" t="n">
        <f aca="false">ROUNDUP(A266/12,0)</f>
        <v>22</v>
      </c>
      <c r="D266" s="26" t="n">
        <f aca="false">H265</f>
        <v>204549.31</v>
      </c>
      <c r="E266" s="26" t="n">
        <f aca="false">IF(D266&lt;=0,0,ROUND(D266*Calculator!$B$7/12,2))</f>
        <v>1107.98</v>
      </c>
      <c r="F266" s="26" t="n">
        <f aca="false">IF(D266&lt;=0,0,ROUND(MIN(D266,Calculator!$H$6-E266),2))</f>
        <v>1546.71</v>
      </c>
      <c r="G266" s="26" t="n">
        <f aca="false">ROUND(E266+F266,2)</f>
        <v>2654.69</v>
      </c>
      <c r="H266" s="26" t="n">
        <f aca="false">ROUND(MAX(0,D266-F266),2)</f>
        <v>203002.6</v>
      </c>
      <c r="I266" s="26" t="n">
        <f aca="false">ROUND(E266+I265,2)</f>
        <v>475876.69</v>
      </c>
    </row>
    <row r="267" customFormat="false" ht="15" hidden="false" customHeight="true" outlineLevel="0" collapsed="false">
      <c r="A267" s="19" t="n">
        <f aca="false">A266+1</f>
        <v>262</v>
      </c>
      <c r="B267" s="18" t="n">
        <f aca="false">EDATE(B266,1)</f>
        <v>54240</v>
      </c>
      <c r="C267" s="19" t="n">
        <f aca="false">ROUNDUP(A267/12,0)</f>
        <v>22</v>
      </c>
      <c r="D267" s="26" t="n">
        <f aca="false">H266</f>
        <v>203002.6</v>
      </c>
      <c r="E267" s="26" t="n">
        <f aca="false">IF(D267&lt;=0,0,ROUND(D267*Calculator!$B$7/12,2))</f>
        <v>1099.6</v>
      </c>
      <c r="F267" s="26" t="n">
        <f aca="false">IF(D267&lt;=0,0,ROUND(MIN(D267,Calculator!$H$6-E267),2))</f>
        <v>1555.09</v>
      </c>
      <c r="G267" s="26" t="n">
        <f aca="false">ROUND(E267+F267,2)</f>
        <v>2654.69</v>
      </c>
      <c r="H267" s="26" t="n">
        <f aca="false">ROUND(MAX(0,D267-F267),2)</f>
        <v>201447.51</v>
      </c>
      <c r="I267" s="26" t="n">
        <f aca="false">ROUND(E267+I266,2)</f>
        <v>476976.29</v>
      </c>
    </row>
    <row r="268" customFormat="false" ht="15" hidden="false" customHeight="true" outlineLevel="0" collapsed="false">
      <c r="A268" s="19" t="n">
        <f aca="false">A267+1</f>
        <v>263</v>
      </c>
      <c r="B268" s="18" t="n">
        <f aca="false">EDATE(B267,1)</f>
        <v>54271</v>
      </c>
      <c r="C268" s="19" t="n">
        <f aca="false">ROUNDUP(A268/12,0)</f>
        <v>22</v>
      </c>
      <c r="D268" s="26" t="n">
        <f aca="false">H267</f>
        <v>201447.51</v>
      </c>
      <c r="E268" s="26" t="n">
        <f aca="false">IF(D268&lt;=0,0,ROUND(D268*Calculator!$B$7/12,2))</f>
        <v>1091.17</v>
      </c>
      <c r="F268" s="26" t="n">
        <f aca="false">IF(D268&lt;=0,0,ROUND(MIN(D268,Calculator!$H$6-E268),2))</f>
        <v>1563.52</v>
      </c>
      <c r="G268" s="26" t="n">
        <f aca="false">ROUND(E268+F268,2)</f>
        <v>2654.69</v>
      </c>
      <c r="H268" s="26" t="n">
        <f aca="false">ROUND(MAX(0,D268-F268),2)</f>
        <v>199883.99</v>
      </c>
      <c r="I268" s="26" t="n">
        <f aca="false">ROUND(E268+I267,2)</f>
        <v>478067.46</v>
      </c>
    </row>
    <row r="269" customFormat="false" ht="15" hidden="false" customHeight="true" outlineLevel="0" collapsed="false">
      <c r="A269" s="19" t="n">
        <f aca="false">A268+1</f>
        <v>264</v>
      </c>
      <c r="B269" s="18" t="n">
        <f aca="false">EDATE(B268,1)</f>
        <v>54302</v>
      </c>
      <c r="C269" s="19" t="n">
        <f aca="false">ROUNDUP(A269/12,0)</f>
        <v>22</v>
      </c>
      <c r="D269" s="26" t="n">
        <f aca="false">H268</f>
        <v>199883.99</v>
      </c>
      <c r="E269" s="26" t="n">
        <f aca="false">IF(D269&lt;=0,0,ROUND(D269*Calculator!$B$7/12,2))</f>
        <v>1082.7</v>
      </c>
      <c r="F269" s="26" t="n">
        <f aca="false">IF(D269&lt;=0,0,ROUND(MIN(D269,Calculator!$H$6-E269),2))</f>
        <v>1571.99</v>
      </c>
      <c r="G269" s="26" t="n">
        <f aca="false">ROUND(E269+F269,2)</f>
        <v>2654.69</v>
      </c>
      <c r="H269" s="26" t="n">
        <f aca="false">ROUND(MAX(0,D269-F269),2)</f>
        <v>198312</v>
      </c>
      <c r="I269" s="26" t="n">
        <f aca="false">ROUND(E269+I268,2)</f>
        <v>479150.16</v>
      </c>
    </row>
    <row r="270" customFormat="false" ht="15" hidden="false" customHeight="true" outlineLevel="0" collapsed="false">
      <c r="A270" s="19" t="n">
        <f aca="false">A269+1</f>
        <v>265</v>
      </c>
      <c r="B270" s="18" t="n">
        <f aca="false">EDATE(B269,1)</f>
        <v>54332</v>
      </c>
      <c r="C270" s="19" t="n">
        <f aca="false">ROUNDUP(A270/12,0)</f>
        <v>23</v>
      </c>
      <c r="D270" s="26" t="n">
        <f aca="false">H269</f>
        <v>198312</v>
      </c>
      <c r="E270" s="26" t="n">
        <f aca="false">IF(D270&lt;=0,0,ROUND(D270*Calculator!$B$7/12,2))</f>
        <v>1074.19</v>
      </c>
      <c r="F270" s="26" t="n">
        <f aca="false">IF(D270&lt;=0,0,ROUND(MIN(D270,Calculator!$H$6-E270),2))</f>
        <v>1580.5</v>
      </c>
      <c r="G270" s="26" t="n">
        <f aca="false">ROUND(E270+F270,2)</f>
        <v>2654.69</v>
      </c>
      <c r="H270" s="26" t="n">
        <f aca="false">ROUND(MAX(0,D270-F270),2)</f>
        <v>196731.5</v>
      </c>
      <c r="I270" s="26" t="n">
        <f aca="false">ROUND(E270+I269,2)</f>
        <v>480224.35</v>
      </c>
    </row>
    <row r="271" customFormat="false" ht="15" hidden="false" customHeight="true" outlineLevel="0" collapsed="false">
      <c r="A271" s="19" t="n">
        <f aca="false">A270+1</f>
        <v>266</v>
      </c>
      <c r="B271" s="18" t="n">
        <f aca="false">EDATE(B270,1)</f>
        <v>54363</v>
      </c>
      <c r="C271" s="19" t="n">
        <f aca="false">ROUNDUP(A271/12,0)</f>
        <v>23</v>
      </c>
      <c r="D271" s="26" t="n">
        <f aca="false">H270</f>
        <v>196731.5</v>
      </c>
      <c r="E271" s="26" t="n">
        <f aca="false">IF(D271&lt;=0,0,ROUND(D271*Calculator!$B$7/12,2))</f>
        <v>1065.63</v>
      </c>
      <c r="F271" s="26" t="n">
        <f aca="false">IF(D271&lt;=0,0,ROUND(MIN(D271,Calculator!$H$6-E271),2))</f>
        <v>1589.06</v>
      </c>
      <c r="G271" s="26" t="n">
        <f aca="false">ROUND(E271+F271,2)</f>
        <v>2654.69</v>
      </c>
      <c r="H271" s="26" t="n">
        <f aca="false">ROUND(MAX(0,D271-F271),2)</f>
        <v>195142.44</v>
      </c>
      <c r="I271" s="26" t="n">
        <f aca="false">ROUND(E271+I270,2)</f>
        <v>481289.98</v>
      </c>
    </row>
    <row r="272" customFormat="false" ht="15" hidden="false" customHeight="true" outlineLevel="0" collapsed="false">
      <c r="A272" s="19" t="n">
        <f aca="false">A271+1</f>
        <v>267</v>
      </c>
      <c r="B272" s="18" t="n">
        <f aca="false">EDATE(B271,1)</f>
        <v>54393</v>
      </c>
      <c r="C272" s="19" t="n">
        <f aca="false">ROUNDUP(A272/12,0)</f>
        <v>23</v>
      </c>
      <c r="D272" s="26" t="n">
        <f aca="false">H271</f>
        <v>195142.44</v>
      </c>
      <c r="E272" s="26" t="n">
        <f aca="false">IF(D272&lt;=0,0,ROUND(D272*Calculator!$B$7/12,2))</f>
        <v>1057.02</v>
      </c>
      <c r="F272" s="26" t="n">
        <f aca="false">IF(D272&lt;=0,0,ROUND(MIN(D272,Calculator!$H$6-E272),2))</f>
        <v>1597.67</v>
      </c>
      <c r="G272" s="26" t="n">
        <f aca="false">ROUND(E272+F272,2)</f>
        <v>2654.69</v>
      </c>
      <c r="H272" s="26" t="n">
        <f aca="false">ROUND(MAX(0,D272-F272),2)</f>
        <v>193544.77</v>
      </c>
      <c r="I272" s="26" t="n">
        <f aca="false">ROUND(E272+I271,2)</f>
        <v>482347</v>
      </c>
    </row>
    <row r="273" customFormat="false" ht="15" hidden="false" customHeight="true" outlineLevel="0" collapsed="false">
      <c r="A273" s="19" t="n">
        <f aca="false">A272+1</f>
        <v>268</v>
      </c>
      <c r="B273" s="18" t="n">
        <f aca="false">EDATE(B272,1)</f>
        <v>54424</v>
      </c>
      <c r="C273" s="19" t="n">
        <f aca="false">ROUNDUP(A273/12,0)</f>
        <v>23</v>
      </c>
      <c r="D273" s="26" t="n">
        <f aca="false">H272</f>
        <v>193544.77</v>
      </c>
      <c r="E273" s="26" t="n">
        <f aca="false">IF(D273&lt;=0,0,ROUND(D273*Calculator!$B$7/12,2))</f>
        <v>1048.37</v>
      </c>
      <c r="F273" s="26" t="n">
        <f aca="false">IF(D273&lt;=0,0,ROUND(MIN(D273,Calculator!$H$6-E273),2))</f>
        <v>1606.32</v>
      </c>
      <c r="G273" s="26" t="n">
        <f aca="false">ROUND(E273+F273,2)</f>
        <v>2654.69</v>
      </c>
      <c r="H273" s="26" t="n">
        <f aca="false">ROUND(MAX(0,D273-F273),2)</f>
        <v>191938.45</v>
      </c>
      <c r="I273" s="26" t="n">
        <f aca="false">ROUND(E273+I272,2)</f>
        <v>483395.37</v>
      </c>
    </row>
    <row r="274" customFormat="false" ht="15" hidden="false" customHeight="true" outlineLevel="0" collapsed="false">
      <c r="A274" s="19" t="n">
        <f aca="false">A273+1</f>
        <v>269</v>
      </c>
      <c r="B274" s="18" t="n">
        <f aca="false">EDATE(B273,1)</f>
        <v>54455</v>
      </c>
      <c r="C274" s="19" t="n">
        <f aca="false">ROUNDUP(A274/12,0)</f>
        <v>23</v>
      </c>
      <c r="D274" s="26" t="n">
        <f aca="false">H273</f>
        <v>191938.45</v>
      </c>
      <c r="E274" s="26" t="n">
        <f aca="false">IF(D274&lt;=0,0,ROUND(D274*Calculator!$B$7/12,2))</f>
        <v>1039.67</v>
      </c>
      <c r="F274" s="26" t="n">
        <f aca="false">IF(D274&lt;=0,0,ROUND(MIN(D274,Calculator!$H$6-E274),2))</f>
        <v>1615.02</v>
      </c>
      <c r="G274" s="26" t="n">
        <f aca="false">ROUND(E274+F274,2)</f>
        <v>2654.69</v>
      </c>
      <c r="H274" s="26" t="n">
        <f aca="false">ROUND(MAX(0,D274-F274),2)</f>
        <v>190323.43</v>
      </c>
      <c r="I274" s="26" t="n">
        <f aca="false">ROUND(E274+I273,2)</f>
        <v>484435.04</v>
      </c>
    </row>
    <row r="275" customFormat="false" ht="15" hidden="false" customHeight="true" outlineLevel="0" collapsed="false">
      <c r="A275" s="19" t="n">
        <f aca="false">A274+1</f>
        <v>270</v>
      </c>
      <c r="B275" s="18" t="n">
        <f aca="false">EDATE(B274,1)</f>
        <v>54483</v>
      </c>
      <c r="C275" s="19" t="n">
        <f aca="false">ROUNDUP(A275/12,0)</f>
        <v>23</v>
      </c>
      <c r="D275" s="26" t="n">
        <f aca="false">H274</f>
        <v>190323.43</v>
      </c>
      <c r="E275" s="26" t="n">
        <f aca="false">IF(D275&lt;=0,0,ROUND(D275*Calculator!$B$7/12,2))</f>
        <v>1030.92</v>
      </c>
      <c r="F275" s="26" t="n">
        <f aca="false">IF(D275&lt;=0,0,ROUND(MIN(D275,Calculator!$H$6-E275),2))</f>
        <v>1623.77</v>
      </c>
      <c r="G275" s="26" t="n">
        <f aca="false">ROUND(E275+F275,2)</f>
        <v>2654.69</v>
      </c>
      <c r="H275" s="26" t="n">
        <f aca="false">ROUND(MAX(0,D275-F275),2)</f>
        <v>188699.66</v>
      </c>
      <c r="I275" s="26" t="n">
        <f aca="false">ROUND(E275+I274,2)</f>
        <v>485465.96</v>
      </c>
    </row>
    <row r="276" customFormat="false" ht="15" hidden="false" customHeight="true" outlineLevel="0" collapsed="false">
      <c r="A276" s="19" t="n">
        <f aca="false">A275+1</f>
        <v>271</v>
      </c>
      <c r="B276" s="18" t="n">
        <f aca="false">EDATE(B275,1)</f>
        <v>54514</v>
      </c>
      <c r="C276" s="19" t="n">
        <f aca="false">ROUNDUP(A276/12,0)</f>
        <v>23</v>
      </c>
      <c r="D276" s="26" t="n">
        <f aca="false">H275</f>
        <v>188699.66</v>
      </c>
      <c r="E276" s="26" t="n">
        <f aca="false">IF(D276&lt;=0,0,ROUND(D276*Calculator!$B$7/12,2))</f>
        <v>1022.12</v>
      </c>
      <c r="F276" s="26" t="n">
        <f aca="false">IF(D276&lt;=0,0,ROUND(MIN(D276,Calculator!$H$6-E276),2))</f>
        <v>1632.57</v>
      </c>
      <c r="G276" s="26" t="n">
        <f aca="false">ROUND(E276+F276,2)</f>
        <v>2654.69</v>
      </c>
      <c r="H276" s="26" t="n">
        <f aca="false">ROUND(MAX(0,D276-F276),2)</f>
        <v>187067.09</v>
      </c>
      <c r="I276" s="26" t="n">
        <f aca="false">ROUND(E276+I275,2)</f>
        <v>486488.08</v>
      </c>
    </row>
    <row r="277" customFormat="false" ht="15" hidden="false" customHeight="true" outlineLevel="0" collapsed="false">
      <c r="A277" s="19" t="n">
        <f aca="false">A276+1</f>
        <v>272</v>
      </c>
      <c r="B277" s="18" t="n">
        <f aca="false">EDATE(B276,1)</f>
        <v>54544</v>
      </c>
      <c r="C277" s="19" t="n">
        <f aca="false">ROUNDUP(A277/12,0)</f>
        <v>23</v>
      </c>
      <c r="D277" s="26" t="n">
        <f aca="false">H276</f>
        <v>187067.09</v>
      </c>
      <c r="E277" s="26" t="n">
        <f aca="false">IF(D277&lt;=0,0,ROUND(D277*Calculator!$B$7/12,2))</f>
        <v>1013.28</v>
      </c>
      <c r="F277" s="26" t="n">
        <f aca="false">IF(D277&lt;=0,0,ROUND(MIN(D277,Calculator!$H$6-E277),2))</f>
        <v>1641.41</v>
      </c>
      <c r="G277" s="26" t="n">
        <f aca="false">ROUND(E277+F277,2)</f>
        <v>2654.69</v>
      </c>
      <c r="H277" s="26" t="n">
        <f aca="false">ROUND(MAX(0,D277-F277),2)</f>
        <v>185425.68</v>
      </c>
      <c r="I277" s="26" t="n">
        <f aca="false">ROUND(E277+I276,2)</f>
        <v>487501.36</v>
      </c>
    </row>
    <row r="278" customFormat="false" ht="15" hidden="false" customHeight="true" outlineLevel="0" collapsed="false">
      <c r="A278" s="19" t="n">
        <f aca="false">A277+1</f>
        <v>273</v>
      </c>
      <c r="B278" s="18" t="n">
        <f aca="false">EDATE(B277,1)</f>
        <v>54575</v>
      </c>
      <c r="C278" s="19" t="n">
        <f aca="false">ROUNDUP(A278/12,0)</f>
        <v>23</v>
      </c>
      <c r="D278" s="26" t="n">
        <f aca="false">H277</f>
        <v>185425.68</v>
      </c>
      <c r="E278" s="26" t="n">
        <f aca="false">IF(D278&lt;=0,0,ROUND(D278*Calculator!$B$7/12,2))</f>
        <v>1004.39</v>
      </c>
      <c r="F278" s="26" t="n">
        <f aca="false">IF(D278&lt;=0,0,ROUND(MIN(D278,Calculator!$H$6-E278),2))</f>
        <v>1650.3</v>
      </c>
      <c r="G278" s="26" t="n">
        <f aca="false">ROUND(E278+F278,2)</f>
        <v>2654.69</v>
      </c>
      <c r="H278" s="26" t="n">
        <f aca="false">ROUND(MAX(0,D278-F278),2)</f>
        <v>183775.38</v>
      </c>
      <c r="I278" s="26" t="n">
        <f aca="false">ROUND(E278+I277,2)</f>
        <v>488505.75</v>
      </c>
    </row>
    <row r="279" customFormat="false" ht="15" hidden="false" customHeight="true" outlineLevel="0" collapsed="false">
      <c r="A279" s="19" t="n">
        <f aca="false">A278+1</f>
        <v>274</v>
      </c>
      <c r="B279" s="18" t="n">
        <f aca="false">EDATE(B278,1)</f>
        <v>54605</v>
      </c>
      <c r="C279" s="19" t="n">
        <f aca="false">ROUNDUP(A279/12,0)</f>
        <v>23</v>
      </c>
      <c r="D279" s="26" t="n">
        <f aca="false">H278</f>
        <v>183775.38</v>
      </c>
      <c r="E279" s="26" t="n">
        <f aca="false">IF(D279&lt;=0,0,ROUND(D279*Calculator!$B$7/12,2))</f>
        <v>995.45</v>
      </c>
      <c r="F279" s="26" t="n">
        <f aca="false">IF(D279&lt;=0,0,ROUND(MIN(D279,Calculator!$H$6-E279),2))</f>
        <v>1659.24</v>
      </c>
      <c r="G279" s="26" t="n">
        <f aca="false">ROUND(E279+F279,2)</f>
        <v>2654.69</v>
      </c>
      <c r="H279" s="26" t="n">
        <f aca="false">ROUND(MAX(0,D279-F279),2)</f>
        <v>182116.14</v>
      </c>
      <c r="I279" s="26" t="n">
        <f aca="false">ROUND(E279+I278,2)</f>
        <v>489501.2</v>
      </c>
    </row>
    <row r="280" customFormat="false" ht="15" hidden="false" customHeight="true" outlineLevel="0" collapsed="false">
      <c r="A280" s="19" t="n">
        <f aca="false">A279+1</f>
        <v>275</v>
      </c>
      <c r="B280" s="18" t="n">
        <f aca="false">EDATE(B279,1)</f>
        <v>54636</v>
      </c>
      <c r="C280" s="19" t="n">
        <f aca="false">ROUNDUP(A280/12,0)</f>
        <v>23</v>
      </c>
      <c r="D280" s="26" t="n">
        <f aca="false">H279</f>
        <v>182116.14</v>
      </c>
      <c r="E280" s="26" t="n">
        <f aca="false">IF(D280&lt;=0,0,ROUND(D280*Calculator!$B$7/12,2))</f>
        <v>986.46</v>
      </c>
      <c r="F280" s="26" t="n">
        <f aca="false">IF(D280&lt;=0,0,ROUND(MIN(D280,Calculator!$H$6-E280),2))</f>
        <v>1668.23</v>
      </c>
      <c r="G280" s="26" t="n">
        <f aca="false">ROUND(E280+F280,2)</f>
        <v>2654.69</v>
      </c>
      <c r="H280" s="26" t="n">
        <f aca="false">ROUND(MAX(0,D280-F280),2)</f>
        <v>180447.91</v>
      </c>
      <c r="I280" s="26" t="n">
        <f aca="false">ROUND(E280+I279,2)</f>
        <v>490487.66</v>
      </c>
    </row>
    <row r="281" customFormat="false" ht="15" hidden="false" customHeight="true" outlineLevel="0" collapsed="false">
      <c r="A281" s="19" t="n">
        <f aca="false">A280+1</f>
        <v>276</v>
      </c>
      <c r="B281" s="18" t="n">
        <f aca="false">EDATE(B280,1)</f>
        <v>54667</v>
      </c>
      <c r="C281" s="19" t="n">
        <f aca="false">ROUNDUP(A281/12,0)</f>
        <v>23</v>
      </c>
      <c r="D281" s="26" t="n">
        <f aca="false">H280</f>
        <v>180447.91</v>
      </c>
      <c r="E281" s="26" t="n">
        <f aca="false">IF(D281&lt;=0,0,ROUND(D281*Calculator!$B$7/12,2))</f>
        <v>977.43</v>
      </c>
      <c r="F281" s="26" t="n">
        <f aca="false">IF(D281&lt;=0,0,ROUND(MIN(D281,Calculator!$H$6-E281),2))</f>
        <v>1677.26</v>
      </c>
      <c r="G281" s="26" t="n">
        <f aca="false">ROUND(E281+F281,2)</f>
        <v>2654.69</v>
      </c>
      <c r="H281" s="26" t="n">
        <f aca="false">ROUND(MAX(0,D281-F281),2)</f>
        <v>178770.65</v>
      </c>
      <c r="I281" s="26" t="n">
        <f aca="false">ROUND(E281+I280,2)</f>
        <v>491465.09</v>
      </c>
    </row>
    <row r="282" customFormat="false" ht="15" hidden="false" customHeight="true" outlineLevel="0" collapsed="false">
      <c r="A282" s="19" t="n">
        <f aca="false">A281+1</f>
        <v>277</v>
      </c>
      <c r="B282" s="18" t="n">
        <f aca="false">EDATE(B281,1)</f>
        <v>54697</v>
      </c>
      <c r="C282" s="19" t="n">
        <f aca="false">ROUNDUP(A282/12,0)</f>
        <v>24</v>
      </c>
      <c r="D282" s="26" t="n">
        <f aca="false">H281</f>
        <v>178770.65</v>
      </c>
      <c r="E282" s="26" t="n">
        <f aca="false">IF(D282&lt;=0,0,ROUND(D282*Calculator!$B$7/12,2))</f>
        <v>968.34</v>
      </c>
      <c r="F282" s="26" t="n">
        <f aca="false">IF(D282&lt;=0,0,ROUND(MIN(D282,Calculator!$H$6-E282),2))</f>
        <v>1686.35</v>
      </c>
      <c r="G282" s="26" t="n">
        <f aca="false">ROUND(E282+F282,2)</f>
        <v>2654.69</v>
      </c>
      <c r="H282" s="26" t="n">
        <f aca="false">ROUND(MAX(0,D282-F282),2)</f>
        <v>177084.3</v>
      </c>
      <c r="I282" s="26" t="n">
        <f aca="false">ROUND(E282+I281,2)</f>
        <v>492433.43</v>
      </c>
    </row>
    <row r="283" customFormat="false" ht="15" hidden="false" customHeight="true" outlineLevel="0" collapsed="false">
      <c r="A283" s="19" t="n">
        <f aca="false">A282+1</f>
        <v>278</v>
      </c>
      <c r="B283" s="18" t="n">
        <f aca="false">EDATE(B282,1)</f>
        <v>54728</v>
      </c>
      <c r="C283" s="19" t="n">
        <f aca="false">ROUNDUP(A283/12,0)</f>
        <v>24</v>
      </c>
      <c r="D283" s="26" t="n">
        <f aca="false">H282</f>
        <v>177084.3</v>
      </c>
      <c r="E283" s="26" t="n">
        <f aca="false">IF(D283&lt;=0,0,ROUND(D283*Calculator!$B$7/12,2))</f>
        <v>959.21</v>
      </c>
      <c r="F283" s="26" t="n">
        <f aca="false">IF(D283&lt;=0,0,ROUND(MIN(D283,Calculator!$H$6-E283),2))</f>
        <v>1695.48</v>
      </c>
      <c r="G283" s="26" t="n">
        <f aca="false">ROUND(E283+F283,2)</f>
        <v>2654.69</v>
      </c>
      <c r="H283" s="26" t="n">
        <f aca="false">ROUND(MAX(0,D283-F283),2)</f>
        <v>175388.82</v>
      </c>
      <c r="I283" s="26" t="n">
        <f aca="false">ROUND(E283+I282,2)</f>
        <v>493392.64</v>
      </c>
    </row>
    <row r="284" customFormat="false" ht="15" hidden="false" customHeight="true" outlineLevel="0" collapsed="false">
      <c r="A284" s="19" t="n">
        <f aca="false">A283+1</f>
        <v>279</v>
      </c>
      <c r="B284" s="18" t="n">
        <f aca="false">EDATE(B283,1)</f>
        <v>54758</v>
      </c>
      <c r="C284" s="19" t="n">
        <f aca="false">ROUNDUP(A284/12,0)</f>
        <v>24</v>
      </c>
      <c r="D284" s="26" t="n">
        <f aca="false">H283</f>
        <v>175388.82</v>
      </c>
      <c r="E284" s="26" t="n">
        <f aca="false">IF(D284&lt;=0,0,ROUND(D284*Calculator!$B$7/12,2))</f>
        <v>950.02</v>
      </c>
      <c r="F284" s="26" t="n">
        <f aca="false">IF(D284&lt;=0,0,ROUND(MIN(D284,Calculator!$H$6-E284),2))</f>
        <v>1704.67</v>
      </c>
      <c r="G284" s="26" t="n">
        <f aca="false">ROUND(E284+F284,2)</f>
        <v>2654.69</v>
      </c>
      <c r="H284" s="26" t="n">
        <f aca="false">ROUND(MAX(0,D284-F284),2)</f>
        <v>173684.15</v>
      </c>
      <c r="I284" s="26" t="n">
        <f aca="false">ROUND(E284+I283,2)</f>
        <v>494342.66</v>
      </c>
    </row>
    <row r="285" customFormat="false" ht="15" hidden="false" customHeight="true" outlineLevel="0" collapsed="false">
      <c r="A285" s="19" t="n">
        <f aca="false">A284+1</f>
        <v>280</v>
      </c>
      <c r="B285" s="18" t="n">
        <f aca="false">EDATE(B284,1)</f>
        <v>54789</v>
      </c>
      <c r="C285" s="19" t="n">
        <f aca="false">ROUNDUP(A285/12,0)</f>
        <v>24</v>
      </c>
      <c r="D285" s="26" t="n">
        <f aca="false">H284</f>
        <v>173684.15</v>
      </c>
      <c r="E285" s="26" t="n">
        <f aca="false">IF(D285&lt;=0,0,ROUND(D285*Calculator!$B$7/12,2))</f>
        <v>940.79</v>
      </c>
      <c r="F285" s="26" t="n">
        <f aca="false">IF(D285&lt;=0,0,ROUND(MIN(D285,Calculator!$H$6-E285),2))</f>
        <v>1713.9</v>
      </c>
      <c r="G285" s="26" t="n">
        <f aca="false">ROUND(E285+F285,2)</f>
        <v>2654.69</v>
      </c>
      <c r="H285" s="26" t="n">
        <f aca="false">ROUND(MAX(0,D285-F285),2)</f>
        <v>171970.25</v>
      </c>
      <c r="I285" s="26" t="n">
        <f aca="false">ROUND(E285+I284,2)</f>
        <v>495283.45</v>
      </c>
    </row>
    <row r="286" customFormat="false" ht="15" hidden="false" customHeight="true" outlineLevel="0" collapsed="false">
      <c r="A286" s="19" t="n">
        <f aca="false">A285+1</f>
        <v>281</v>
      </c>
      <c r="B286" s="18" t="n">
        <f aca="false">EDATE(B285,1)</f>
        <v>54820</v>
      </c>
      <c r="C286" s="19" t="n">
        <f aca="false">ROUNDUP(A286/12,0)</f>
        <v>24</v>
      </c>
      <c r="D286" s="26" t="n">
        <f aca="false">H285</f>
        <v>171970.25</v>
      </c>
      <c r="E286" s="26" t="n">
        <f aca="false">IF(D286&lt;=0,0,ROUND(D286*Calculator!$B$7/12,2))</f>
        <v>931.51</v>
      </c>
      <c r="F286" s="26" t="n">
        <f aca="false">IF(D286&lt;=0,0,ROUND(MIN(D286,Calculator!$H$6-E286),2))</f>
        <v>1723.18</v>
      </c>
      <c r="G286" s="26" t="n">
        <f aca="false">ROUND(E286+F286,2)</f>
        <v>2654.69</v>
      </c>
      <c r="H286" s="26" t="n">
        <f aca="false">ROUND(MAX(0,D286-F286),2)</f>
        <v>170247.07</v>
      </c>
      <c r="I286" s="26" t="n">
        <f aca="false">ROUND(E286+I285,2)</f>
        <v>496214.96</v>
      </c>
    </row>
    <row r="287" customFormat="false" ht="15" hidden="false" customHeight="true" outlineLevel="0" collapsed="false">
      <c r="A287" s="19" t="n">
        <f aca="false">A286+1</f>
        <v>282</v>
      </c>
      <c r="B287" s="18" t="n">
        <f aca="false">EDATE(B286,1)</f>
        <v>54848</v>
      </c>
      <c r="C287" s="19" t="n">
        <f aca="false">ROUNDUP(A287/12,0)</f>
        <v>24</v>
      </c>
      <c r="D287" s="26" t="n">
        <f aca="false">H286</f>
        <v>170247.07</v>
      </c>
      <c r="E287" s="26" t="n">
        <f aca="false">IF(D287&lt;=0,0,ROUND(D287*Calculator!$B$7/12,2))</f>
        <v>922.17</v>
      </c>
      <c r="F287" s="26" t="n">
        <f aca="false">IF(D287&lt;=0,0,ROUND(MIN(D287,Calculator!$H$6-E287),2))</f>
        <v>1732.52</v>
      </c>
      <c r="G287" s="26" t="n">
        <f aca="false">ROUND(E287+F287,2)</f>
        <v>2654.69</v>
      </c>
      <c r="H287" s="26" t="n">
        <f aca="false">ROUND(MAX(0,D287-F287),2)</f>
        <v>168514.55</v>
      </c>
      <c r="I287" s="26" t="n">
        <f aca="false">ROUND(E287+I286,2)</f>
        <v>497137.13</v>
      </c>
    </row>
    <row r="288" customFormat="false" ht="15" hidden="false" customHeight="true" outlineLevel="0" collapsed="false">
      <c r="A288" s="19" t="n">
        <f aca="false">A287+1</f>
        <v>283</v>
      </c>
      <c r="B288" s="18" t="n">
        <f aca="false">EDATE(B287,1)</f>
        <v>54879</v>
      </c>
      <c r="C288" s="19" t="n">
        <f aca="false">ROUNDUP(A288/12,0)</f>
        <v>24</v>
      </c>
      <c r="D288" s="26" t="n">
        <f aca="false">H287</f>
        <v>168514.55</v>
      </c>
      <c r="E288" s="26" t="n">
        <f aca="false">IF(D288&lt;=0,0,ROUND(D288*Calculator!$B$7/12,2))</f>
        <v>912.79</v>
      </c>
      <c r="F288" s="26" t="n">
        <f aca="false">IF(D288&lt;=0,0,ROUND(MIN(D288,Calculator!$H$6-E288),2))</f>
        <v>1741.9</v>
      </c>
      <c r="G288" s="26" t="n">
        <f aca="false">ROUND(E288+F288,2)</f>
        <v>2654.69</v>
      </c>
      <c r="H288" s="26" t="n">
        <f aca="false">ROUND(MAX(0,D288-F288),2)</f>
        <v>166772.65</v>
      </c>
      <c r="I288" s="26" t="n">
        <f aca="false">ROUND(E288+I287,2)</f>
        <v>498049.92</v>
      </c>
    </row>
    <row r="289" customFormat="false" ht="15" hidden="false" customHeight="true" outlineLevel="0" collapsed="false">
      <c r="A289" s="19" t="n">
        <f aca="false">A288+1</f>
        <v>284</v>
      </c>
      <c r="B289" s="18" t="n">
        <f aca="false">EDATE(B288,1)</f>
        <v>54909</v>
      </c>
      <c r="C289" s="19" t="n">
        <f aca="false">ROUNDUP(A289/12,0)</f>
        <v>24</v>
      </c>
      <c r="D289" s="26" t="n">
        <f aca="false">H288</f>
        <v>166772.65</v>
      </c>
      <c r="E289" s="26" t="n">
        <f aca="false">IF(D289&lt;=0,0,ROUND(D289*Calculator!$B$7/12,2))</f>
        <v>903.35</v>
      </c>
      <c r="F289" s="26" t="n">
        <f aca="false">IF(D289&lt;=0,0,ROUND(MIN(D289,Calculator!$H$6-E289),2))</f>
        <v>1751.34</v>
      </c>
      <c r="G289" s="26" t="n">
        <f aca="false">ROUND(E289+F289,2)</f>
        <v>2654.69</v>
      </c>
      <c r="H289" s="26" t="n">
        <f aca="false">ROUND(MAX(0,D289-F289),2)</f>
        <v>165021.31</v>
      </c>
      <c r="I289" s="26" t="n">
        <f aca="false">ROUND(E289+I288,2)</f>
        <v>498953.27</v>
      </c>
    </row>
    <row r="290" customFormat="false" ht="15" hidden="false" customHeight="true" outlineLevel="0" collapsed="false">
      <c r="A290" s="19" t="n">
        <f aca="false">A289+1</f>
        <v>285</v>
      </c>
      <c r="B290" s="18" t="n">
        <f aca="false">EDATE(B289,1)</f>
        <v>54940</v>
      </c>
      <c r="C290" s="19" t="n">
        <f aca="false">ROUNDUP(A290/12,0)</f>
        <v>24</v>
      </c>
      <c r="D290" s="26" t="n">
        <f aca="false">H289</f>
        <v>165021.31</v>
      </c>
      <c r="E290" s="26" t="n">
        <f aca="false">IF(D290&lt;=0,0,ROUND(D290*Calculator!$B$7/12,2))</f>
        <v>893.87</v>
      </c>
      <c r="F290" s="26" t="n">
        <f aca="false">IF(D290&lt;=0,0,ROUND(MIN(D290,Calculator!$H$6-E290),2))</f>
        <v>1760.82</v>
      </c>
      <c r="G290" s="26" t="n">
        <f aca="false">ROUND(E290+F290,2)</f>
        <v>2654.69</v>
      </c>
      <c r="H290" s="26" t="n">
        <f aca="false">ROUND(MAX(0,D290-F290),2)</f>
        <v>163260.49</v>
      </c>
      <c r="I290" s="26" t="n">
        <f aca="false">ROUND(E290+I289,2)</f>
        <v>499847.14</v>
      </c>
    </row>
    <row r="291" customFormat="false" ht="15" hidden="false" customHeight="true" outlineLevel="0" collapsed="false">
      <c r="A291" s="19" t="n">
        <f aca="false">A290+1</f>
        <v>286</v>
      </c>
      <c r="B291" s="18" t="n">
        <f aca="false">EDATE(B290,1)</f>
        <v>54970</v>
      </c>
      <c r="C291" s="19" t="n">
        <f aca="false">ROUNDUP(A291/12,0)</f>
        <v>24</v>
      </c>
      <c r="D291" s="26" t="n">
        <f aca="false">H290</f>
        <v>163260.49</v>
      </c>
      <c r="E291" s="26" t="n">
        <f aca="false">IF(D291&lt;=0,0,ROUND(D291*Calculator!$B$7/12,2))</f>
        <v>884.33</v>
      </c>
      <c r="F291" s="26" t="n">
        <f aca="false">IF(D291&lt;=0,0,ROUND(MIN(D291,Calculator!$H$6-E291),2))</f>
        <v>1770.36</v>
      </c>
      <c r="G291" s="26" t="n">
        <f aca="false">ROUND(E291+F291,2)</f>
        <v>2654.69</v>
      </c>
      <c r="H291" s="26" t="n">
        <f aca="false">ROUND(MAX(0,D291-F291),2)</f>
        <v>161490.13</v>
      </c>
      <c r="I291" s="26" t="n">
        <f aca="false">ROUND(E291+I290,2)</f>
        <v>500731.47</v>
      </c>
    </row>
    <row r="292" customFormat="false" ht="15" hidden="false" customHeight="true" outlineLevel="0" collapsed="false">
      <c r="A292" s="19" t="n">
        <f aca="false">A291+1</f>
        <v>287</v>
      </c>
      <c r="B292" s="18" t="n">
        <f aca="false">EDATE(B291,1)</f>
        <v>55001</v>
      </c>
      <c r="C292" s="19" t="n">
        <f aca="false">ROUNDUP(A292/12,0)</f>
        <v>24</v>
      </c>
      <c r="D292" s="26" t="n">
        <f aca="false">H291</f>
        <v>161490.13</v>
      </c>
      <c r="E292" s="26" t="n">
        <f aca="false">IF(D292&lt;=0,0,ROUND(D292*Calculator!$B$7/12,2))</f>
        <v>874.74</v>
      </c>
      <c r="F292" s="26" t="n">
        <f aca="false">IF(D292&lt;=0,0,ROUND(MIN(D292,Calculator!$H$6-E292),2))</f>
        <v>1779.95</v>
      </c>
      <c r="G292" s="26" t="n">
        <f aca="false">ROUND(E292+F292,2)</f>
        <v>2654.69</v>
      </c>
      <c r="H292" s="26" t="n">
        <f aca="false">ROUND(MAX(0,D292-F292),2)</f>
        <v>159710.18</v>
      </c>
      <c r="I292" s="26" t="n">
        <f aca="false">ROUND(E292+I291,2)</f>
        <v>501606.21</v>
      </c>
    </row>
    <row r="293" customFormat="false" ht="15" hidden="false" customHeight="true" outlineLevel="0" collapsed="false">
      <c r="A293" s="19" t="n">
        <f aca="false">A292+1</f>
        <v>288</v>
      </c>
      <c r="B293" s="18" t="n">
        <f aca="false">EDATE(B292,1)</f>
        <v>55032</v>
      </c>
      <c r="C293" s="19" t="n">
        <f aca="false">ROUNDUP(A293/12,0)</f>
        <v>24</v>
      </c>
      <c r="D293" s="26" t="n">
        <f aca="false">H292</f>
        <v>159710.18</v>
      </c>
      <c r="E293" s="26" t="n">
        <f aca="false">IF(D293&lt;=0,0,ROUND(D293*Calculator!$B$7/12,2))</f>
        <v>865.1</v>
      </c>
      <c r="F293" s="26" t="n">
        <f aca="false">IF(D293&lt;=0,0,ROUND(MIN(D293,Calculator!$H$6-E293),2))</f>
        <v>1789.59</v>
      </c>
      <c r="G293" s="26" t="n">
        <f aca="false">ROUND(E293+F293,2)</f>
        <v>2654.69</v>
      </c>
      <c r="H293" s="26" t="n">
        <f aca="false">ROUND(MAX(0,D293-F293),2)</f>
        <v>157920.59</v>
      </c>
      <c r="I293" s="26" t="n">
        <f aca="false">ROUND(E293+I292,2)</f>
        <v>502471.31</v>
      </c>
    </row>
    <row r="294" customFormat="false" ht="15" hidden="false" customHeight="true" outlineLevel="0" collapsed="false">
      <c r="A294" s="19" t="n">
        <f aca="false">A293+1</f>
        <v>289</v>
      </c>
      <c r="B294" s="18" t="n">
        <f aca="false">EDATE(B293,1)</f>
        <v>55062</v>
      </c>
      <c r="C294" s="19" t="n">
        <f aca="false">ROUNDUP(A294/12,0)</f>
        <v>25</v>
      </c>
      <c r="D294" s="26" t="n">
        <f aca="false">H293</f>
        <v>157920.59</v>
      </c>
      <c r="E294" s="26" t="n">
        <f aca="false">IF(D294&lt;=0,0,ROUND(D294*Calculator!$B$7/12,2))</f>
        <v>855.4</v>
      </c>
      <c r="F294" s="26" t="n">
        <f aca="false">IF(D294&lt;=0,0,ROUND(MIN(D294,Calculator!$H$6-E294),2))</f>
        <v>1799.29</v>
      </c>
      <c r="G294" s="26" t="n">
        <f aca="false">ROUND(E294+F294,2)</f>
        <v>2654.69</v>
      </c>
      <c r="H294" s="26" t="n">
        <f aca="false">ROUND(MAX(0,D294-F294),2)</f>
        <v>156121.3</v>
      </c>
      <c r="I294" s="26" t="n">
        <f aca="false">ROUND(E294+I293,2)</f>
        <v>503326.71</v>
      </c>
    </row>
    <row r="295" customFormat="false" ht="15" hidden="false" customHeight="true" outlineLevel="0" collapsed="false">
      <c r="A295" s="19" t="n">
        <f aca="false">A294+1</f>
        <v>290</v>
      </c>
      <c r="B295" s="18" t="n">
        <f aca="false">EDATE(B294,1)</f>
        <v>55093</v>
      </c>
      <c r="C295" s="19" t="n">
        <f aca="false">ROUNDUP(A295/12,0)</f>
        <v>25</v>
      </c>
      <c r="D295" s="26" t="n">
        <f aca="false">H294</f>
        <v>156121.3</v>
      </c>
      <c r="E295" s="26" t="n">
        <f aca="false">IF(D295&lt;=0,0,ROUND(D295*Calculator!$B$7/12,2))</f>
        <v>845.66</v>
      </c>
      <c r="F295" s="26" t="n">
        <f aca="false">IF(D295&lt;=0,0,ROUND(MIN(D295,Calculator!$H$6-E295),2))</f>
        <v>1809.03</v>
      </c>
      <c r="G295" s="26" t="n">
        <f aca="false">ROUND(E295+F295,2)</f>
        <v>2654.69</v>
      </c>
      <c r="H295" s="26" t="n">
        <f aca="false">ROUND(MAX(0,D295-F295),2)</f>
        <v>154312.27</v>
      </c>
      <c r="I295" s="26" t="n">
        <f aca="false">ROUND(E295+I294,2)</f>
        <v>504172.37</v>
      </c>
    </row>
    <row r="296" customFormat="false" ht="15" hidden="false" customHeight="true" outlineLevel="0" collapsed="false">
      <c r="A296" s="19" t="n">
        <f aca="false">A295+1</f>
        <v>291</v>
      </c>
      <c r="B296" s="18" t="n">
        <f aca="false">EDATE(B295,1)</f>
        <v>55123</v>
      </c>
      <c r="C296" s="19" t="n">
        <f aca="false">ROUNDUP(A296/12,0)</f>
        <v>25</v>
      </c>
      <c r="D296" s="26" t="n">
        <f aca="false">H295</f>
        <v>154312.27</v>
      </c>
      <c r="E296" s="26" t="n">
        <f aca="false">IF(D296&lt;=0,0,ROUND(D296*Calculator!$B$7/12,2))</f>
        <v>835.86</v>
      </c>
      <c r="F296" s="26" t="n">
        <f aca="false">IF(D296&lt;=0,0,ROUND(MIN(D296,Calculator!$H$6-E296),2))</f>
        <v>1818.83</v>
      </c>
      <c r="G296" s="26" t="n">
        <f aca="false">ROUND(E296+F296,2)</f>
        <v>2654.69</v>
      </c>
      <c r="H296" s="26" t="n">
        <f aca="false">ROUND(MAX(0,D296-F296),2)</f>
        <v>152493.44</v>
      </c>
      <c r="I296" s="26" t="n">
        <f aca="false">ROUND(E296+I295,2)</f>
        <v>505008.23</v>
      </c>
    </row>
    <row r="297" customFormat="false" ht="15" hidden="false" customHeight="true" outlineLevel="0" collapsed="false">
      <c r="A297" s="19" t="n">
        <f aca="false">A296+1</f>
        <v>292</v>
      </c>
      <c r="B297" s="18" t="n">
        <f aca="false">EDATE(B296,1)</f>
        <v>55154</v>
      </c>
      <c r="C297" s="19" t="n">
        <f aca="false">ROUNDUP(A297/12,0)</f>
        <v>25</v>
      </c>
      <c r="D297" s="26" t="n">
        <f aca="false">H296</f>
        <v>152493.44</v>
      </c>
      <c r="E297" s="26" t="n">
        <f aca="false">IF(D297&lt;=0,0,ROUND(D297*Calculator!$B$7/12,2))</f>
        <v>826.01</v>
      </c>
      <c r="F297" s="26" t="n">
        <f aca="false">IF(D297&lt;=0,0,ROUND(MIN(D297,Calculator!$H$6-E297),2))</f>
        <v>1828.68</v>
      </c>
      <c r="G297" s="26" t="n">
        <f aca="false">ROUND(E297+F297,2)</f>
        <v>2654.69</v>
      </c>
      <c r="H297" s="26" t="n">
        <f aca="false">ROUND(MAX(0,D297-F297),2)</f>
        <v>150664.76</v>
      </c>
      <c r="I297" s="26" t="n">
        <f aca="false">ROUND(E297+I296,2)</f>
        <v>505834.24</v>
      </c>
    </row>
    <row r="298" customFormat="false" ht="15" hidden="false" customHeight="true" outlineLevel="0" collapsed="false">
      <c r="A298" s="19" t="n">
        <f aca="false">A297+1</f>
        <v>293</v>
      </c>
      <c r="B298" s="18" t="n">
        <f aca="false">EDATE(B297,1)</f>
        <v>55185</v>
      </c>
      <c r="C298" s="19" t="n">
        <f aca="false">ROUNDUP(A298/12,0)</f>
        <v>25</v>
      </c>
      <c r="D298" s="26" t="n">
        <f aca="false">H297</f>
        <v>150664.76</v>
      </c>
      <c r="E298" s="26" t="n">
        <f aca="false">IF(D298&lt;=0,0,ROUND(D298*Calculator!$B$7/12,2))</f>
        <v>816.1</v>
      </c>
      <c r="F298" s="26" t="n">
        <f aca="false">IF(D298&lt;=0,0,ROUND(MIN(D298,Calculator!$H$6-E298),2))</f>
        <v>1838.59</v>
      </c>
      <c r="G298" s="26" t="n">
        <f aca="false">ROUND(E298+F298,2)</f>
        <v>2654.69</v>
      </c>
      <c r="H298" s="26" t="n">
        <f aca="false">ROUND(MAX(0,D298-F298),2)</f>
        <v>148826.17</v>
      </c>
      <c r="I298" s="26" t="n">
        <f aca="false">ROUND(E298+I297,2)</f>
        <v>506650.34</v>
      </c>
    </row>
    <row r="299" customFormat="false" ht="15" hidden="false" customHeight="true" outlineLevel="0" collapsed="false">
      <c r="A299" s="19" t="n">
        <f aca="false">A298+1</f>
        <v>294</v>
      </c>
      <c r="B299" s="18" t="n">
        <f aca="false">EDATE(B298,1)</f>
        <v>55213</v>
      </c>
      <c r="C299" s="19" t="n">
        <f aca="false">ROUNDUP(A299/12,0)</f>
        <v>25</v>
      </c>
      <c r="D299" s="26" t="n">
        <f aca="false">H298</f>
        <v>148826.17</v>
      </c>
      <c r="E299" s="26" t="n">
        <f aca="false">IF(D299&lt;=0,0,ROUND(D299*Calculator!$B$7/12,2))</f>
        <v>806.14</v>
      </c>
      <c r="F299" s="26" t="n">
        <f aca="false">IF(D299&lt;=0,0,ROUND(MIN(D299,Calculator!$H$6-E299),2))</f>
        <v>1848.55</v>
      </c>
      <c r="G299" s="26" t="n">
        <f aca="false">ROUND(E299+F299,2)</f>
        <v>2654.69</v>
      </c>
      <c r="H299" s="26" t="n">
        <f aca="false">ROUND(MAX(0,D299-F299),2)</f>
        <v>146977.62</v>
      </c>
      <c r="I299" s="26" t="n">
        <f aca="false">ROUND(E299+I298,2)</f>
        <v>507456.48</v>
      </c>
    </row>
    <row r="300" customFormat="false" ht="15" hidden="false" customHeight="true" outlineLevel="0" collapsed="false">
      <c r="A300" s="19" t="n">
        <f aca="false">A299+1</f>
        <v>295</v>
      </c>
      <c r="B300" s="18" t="n">
        <f aca="false">EDATE(B299,1)</f>
        <v>55244</v>
      </c>
      <c r="C300" s="19" t="n">
        <f aca="false">ROUNDUP(A300/12,0)</f>
        <v>25</v>
      </c>
      <c r="D300" s="26" t="n">
        <f aca="false">H299</f>
        <v>146977.62</v>
      </c>
      <c r="E300" s="26" t="n">
        <f aca="false">IF(D300&lt;=0,0,ROUND(D300*Calculator!$B$7/12,2))</f>
        <v>796.13</v>
      </c>
      <c r="F300" s="26" t="n">
        <f aca="false">IF(D300&lt;=0,0,ROUND(MIN(D300,Calculator!$H$6-E300),2))</f>
        <v>1858.56</v>
      </c>
      <c r="G300" s="26" t="n">
        <f aca="false">ROUND(E300+F300,2)</f>
        <v>2654.69</v>
      </c>
      <c r="H300" s="26" t="n">
        <f aca="false">ROUND(MAX(0,D300-F300),2)</f>
        <v>145119.06</v>
      </c>
      <c r="I300" s="26" t="n">
        <f aca="false">ROUND(E300+I299,2)</f>
        <v>508252.61</v>
      </c>
    </row>
    <row r="301" customFormat="false" ht="15" hidden="false" customHeight="true" outlineLevel="0" collapsed="false">
      <c r="A301" s="19" t="n">
        <f aca="false">A300+1</f>
        <v>296</v>
      </c>
      <c r="B301" s="18" t="n">
        <f aca="false">EDATE(B300,1)</f>
        <v>55274</v>
      </c>
      <c r="C301" s="19" t="n">
        <f aca="false">ROUNDUP(A301/12,0)</f>
        <v>25</v>
      </c>
      <c r="D301" s="26" t="n">
        <f aca="false">H300</f>
        <v>145119.06</v>
      </c>
      <c r="E301" s="26" t="n">
        <f aca="false">IF(D301&lt;=0,0,ROUND(D301*Calculator!$B$7/12,2))</f>
        <v>786.06</v>
      </c>
      <c r="F301" s="26" t="n">
        <f aca="false">IF(D301&lt;=0,0,ROUND(MIN(D301,Calculator!$H$6-E301),2))</f>
        <v>1868.63</v>
      </c>
      <c r="G301" s="26" t="n">
        <f aca="false">ROUND(E301+F301,2)</f>
        <v>2654.69</v>
      </c>
      <c r="H301" s="26" t="n">
        <f aca="false">ROUND(MAX(0,D301-F301),2)</f>
        <v>143250.43</v>
      </c>
      <c r="I301" s="26" t="n">
        <f aca="false">ROUND(E301+I300,2)</f>
        <v>509038.67</v>
      </c>
    </row>
    <row r="302" customFormat="false" ht="15" hidden="false" customHeight="true" outlineLevel="0" collapsed="false">
      <c r="A302" s="19" t="n">
        <f aca="false">A301+1</f>
        <v>297</v>
      </c>
      <c r="B302" s="18" t="n">
        <f aca="false">EDATE(B301,1)</f>
        <v>55305</v>
      </c>
      <c r="C302" s="19" t="n">
        <f aca="false">ROUNDUP(A302/12,0)</f>
        <v>25</v>
      </c>
      <c r="D302" s="26" t="n">
        <f aca="false">H301</f>
        <v>143250.43</v>
      </c>
      <c r="E302" s="26" t="n">
        <f aca="false">IF(D302&lt;=0,0,ROUND(D302*Calculator!$B$7/12,2))</f>
        <v>775.94</v>
      </c>
      <c r="F302" s="26" t="n">
        <f aca="false">IF(D302&lt;=0,0,ROUND(MIN(D302,Calculator!$H$6-E302),2))</f>
        <v>1878.75</v>
      </c>
      <c r="G302" s="26" t="n">
        <f aca="false">ROUND(E302+F302,2)</f>
        <v>2654.69</v>
      </c>
      <c r="H302" s="26" t="n">
        <f aca="false">ROUND(MAX(0,D302-F302),2)</f>
        <v>141371.68</v>
      </c>
      <c r="I302" s="26" t="n">
        <f aca="false">ROUND(E302+I301,2)</f>
        <v>509814.61</v>
      </c>
    </row>
    <row r="303" customFormat="false" ht="15" hidden="false" customHeight="true" outlineLevel="0" collapsed="false">
      <c r="A303" s="19" t="n">
        <f aca="false">A302+1</f>
        <v>298</v>
      </c>
      <c r="B303" s="18" t="n">
        <f aca="false">EDATE(B302,1)</f>
        <v>55335</v>
      </c>
      <c r="C303" s="19" t="n">
        <f aca="false">ROUNDUP(A303/12,0)</f>
        <v>25</v>
      </c>
      <c r="D303" s="26" t="n">
        <f aca="false">H302</f>
        <v>141371.68</v>
      </c>
      <c r="E303" s="26" t="n">
        <f aca="false">IF(D303&lt;=0,0,ROUND(D303*Calculator!$B$7/12,2))</f>
        <v>765.76</v>
      </c>
      <c r="F303" s="26" t="n">
        <f aca="false">IF(D303&lt;=0,0,ROUND(MIN(D303,Calculator!$H$6-E303),2))</f>
        <v>1888.93</v>
      </c>
      <c r="G303" s="26" t="n">
        <f aca="false">ROUND(E303+F303,2)</f>
        <v>2654.69</v>
      </c>
      <c r="H303" s="26" t="n">
        <f aca="false">ROUND(MAX(0,D303-F303),2)</f>
        <v>139482.75</v>
      </c>
      <c r="I303" s="26" t="n">
        <f aca="false">ROUND(E303+I302,2)</f>
        <v>510580.37</v>
      </c>
    </row>
    <row r="304" customFormat="false" ht="15" hidden="false" customHeight="true" outlineLevel="0" collapsed="false">
      <c r="A304" s="19" t="n">
        <f aca="false">A303+1</f>
        <v>299</v>
      </c>
      <c r="B304" s="18" t="n">
        <f aca="false">EDATE(B303,1)</f>
        <v>55366</v>
      </c>
      <c r="C304" s="19" t="n">
        <f aca="false">ROUNDUP(A304/12,0)</f>
        <v>25</v>
      </c>
      <c r="D304" s="26" t="n">
        <f aca="false">H303</f>
        <v>139482.75</v>
      </c>
      <c r="E304" s="26" t="n">
        <f aca="false">IF(D304&lt;=0,0,ROUND(D304*Calculator!$B$7/12,2))</f>
        <v>755.53</v>
      </c>
      <c r="F304" s="26" t="n">
        <f aca="false">IF(D304&lt;=0,0,ROUND(MIN(D304,Calculator!$H$6-E304),2))</f>
        <v>1899.16</v>
      </c>
      <c r="G304" s="26" t="n">
        <f aca="false">ROUND(E304+F304,2)</f>
        <v>2654.69</v>
      </c>
      <c r="H304" s="26" t="n">
        <f aca="false">ROUND(MAX(0,D304-F304),2)</f>
        <v>137583.59</v>
      </c>
      <c r="I304" s="26" t="n">
        <f aca="false">ROUND(E304+I303,2)</f>
        <v>511335.9</v>
      </c>
    </row>
    <row r="305" customFormat="false" ht="15" hidden="false" customHeight="true" outlineLevel="0" collapsed="false">
      <c r="A305" s="19" t="n">
        <f aca="false">A304+1</f>
        <v>300</v>
      </c>
      <c r="B305" s="18" t="n">
        <f aca="false">EDATE(B304,1)</f>
        <v>55397</v>
      </c>
      <c r="C305" s="19" t="n">
        <f aca="false">ROUNDUP(A305/12,0)</f>
        <v>25</v>
      </c>
      <c r="D305" s="26" t="n">
        <f aca="false">H304</f>
        <v>137583.59</v>
      </c>
      <c r="E305" s="26" t="n">
        <f aca="false">IF(D305&lt;=0,0,ROUND(D305*Calculator!$B$7/12,2))</f>
        <v>745.24</v>
      </c>
      <c r="F305" s="26" t="n">
        <f aca="false">IF(D305&lt;=0,0,ROUND(MIN(D305,Calculator!$H$6-E305),2))</f>
        <v>1909.45</v>
      </c>
      <c r="G305" s="26" t="n">
        <f aca="false">ROUND(E305+F305,2)</f>
        <v>2654.69</v>
      </c>
      <c r="H305" s="26" t="n">
        <f aca="false">ROUND(MAX(0,D305-F305),2)</f>
        <v>135674.14</v>
      </c>
      <c r="I305" s="26" t="n">
        <f aca="false">ROUND(E305+I304,2)</f>
        <v>512081.14</v>
      </c>
    </row>
    <row r="306" customFormat="false" ht="15" hidden="false" customHeight="true" outlineLevel="0" collapsed="false">
      <c r="A306" s="19" t="n">
        <f aca="false">A305+1</f>
        <v>301</v>
      </c>
      <c r="B306" s="18" t="n">
        <f aca="false">EDATE(B305,1)</f>
        <v>55427</v>
      </c>
      <c r="C306" s="19" t="n">
        <f aca="false">ROUNDUP(A306/12,0)</f>
        <v>26</v>
      </c>
      <c r="D306" s="26" t="n">
        <f aca="false">H305</f>
        <v>135674.14</v>
      </c>
      <c r="E306" s="26" t="n">
        <f aca="false">IF(D306&lt;=0,0,ROUND(D306*Calculator!$B$7/12,2))</f>
        <v>734.9</v>
      </c>
      <c r="F306" s="26" t="n">
        <f aca="false">IF(D306&lt;=0,0,ROUND(MIN(D306,Calculator!$H$6-E306),2))</f>
        <v>1919.79</v>
      </c>
      <c r="G306" s="26" t="n">
        <f aca="false">ROUND(E306+F306,2)</f>
        <v>2654.69</v>
      </c>
      <c r="H306" s="26" t="n">
        <f aca="false">ROUND(MAX(0,D306-F306),2)</f>
        <v>133754.35</v>
      </c>
      <c r="I306" s="26" t="n">
        <f aca="false">ROUND(E306+I305,2)</f>
        <v>512816.04</v>
      </c>
    </row>
    <row r="307" customFormat="false" ht="15" hidden="false" customHeight="true" outlineLevel="0" collapsed="false">
      <c r="A307" s="19" t="n">
        <f aca="false">A306+1</f>
        <v>302</v>
      </c>
      <c r="B307" s="18" t="n">
        <f aca="false">EDATE(B306,1)</f>
        <v>55458</v>
      </c>
      <c r="C307" s="19" t="n">
        <f aca="false">ROUNDUP(A307/12,0)</f>
        <v>26</v>
      </c>
      <c r="D307" s="26" t="n">
        <f aca="false">H306</f>
        <v>133754.35</v>
      </c>
      <c r="E307" s="26" t="n">
        <f aca="false">IF(D307&lt;=0,0,ROUND(D307*Calculator!$B$7/12,2))</f>
        <v>724.5</v>
      </c>
      <c r="F307" s="26" t="n">
        <f aca="false">IF(D307&lt;=0,0,ROUND(MIN(D307,Calculator!$H$6-E307),2))</f>
        <v>1930.19</v>
      </c>
      <c r="G307" s="26" t="n">
        <f aca="false">ROUND(E307+F307,2)</f>
        <v>2654.69</v>
      </c>
      <c r="H307" s="26" t="n">
        <f aca="false">ROUND(MAX(0,D307-F307),2)</f>
        <v>131824.16</v>
      </c>
      <c r="I307" s="26" t="n">
        <f aca="false">ROUND(E307+I306,2)</f>
        <v>513540.54</v>
      </c>
    </row>
    <row r="308" customFormat="false" ht="15" hidden="false" customHeight="true" outlineLevel="0" collapsed="false">
      <c r="A308" s="19" t="n">
        <f aca="false">A307+1</f>
        <v>303</v>
      </c>
      <c r="B308" s="18" t="n">
        <f aca="false">EDATE(B307,1)</f>
        <v>55488</v>
      </c>
      <c r="C308" s="19" t="n">
        <f aca="false">ROUNDUP(A308/12,0)</f>
        <v>26</v>
      </c>
      <c r="D308" s="26" t="n">
        <f aca="false">H307</f>
        <v>131824.16</v>
      </c>
      <c r="E308" s="26" t="n">
        <f aca="false">IF(D308&lt;=0,0,ROUND(D308*Calculator!$B$7/12,2))</f>
        <v>714.05</v>
      </c>
      <c r="F308" s="26" t="n">
        <f aca="false">IF(D308&lt;=0,0,ROUND(MIN(D308,Calculator!$H$6-E308),2))</f>
        <v>1940.64</v>
      </c>
      <c r="G308" s="26" t="n">
        <f aca="false">ROUND(E308+F308,2)</f>
        <v>2654.69</v>
      </c>
      <c r="H308" s="26" t="n">
        <f aca="false">ROUND(MAX(0,D308-F308),2)</f>
        <v>129883.52</v>
      </c>
      <c r="I308" s="26" t="n">
        <f aca="false">ROUND(E308+I307,2)</f>
        <v>514254.59</v>
      </c>
    </row>
    <row r="309" customFormat="false" ht="15" hidden="false" customHeight="true" outlineLevel="0" collapsed="false">
      <c r="A309" s="19" t="n">
        <f aca="false">A308+1</f>
        <v>304</v>
      </c>
      <c r="B309" s="18" t="n">
        <f aca="false">EDATE(B308,1)</f>
        <v>55519</v>
      </c>
      <c r="C309" s="19" t="n">
        <f aca="false">ROUNDUP(A309/12,0)</f>
        <v>26</v>
      </c>
      <c r="D309" s="26" t="n">
        <f aca="false">H308</f>
        <v>129883.52</v>
      </c>
      <c r="E309" s="26" t="n">
        <f aca="false">IF(D309&lt;=0,0,ROUND(D309*Calculator!$B$7/12,2))</f>
        <v>703.54</v>
      </c>
      <c r="F309" s="26" t="n">
        <f aca="false">IF(D309&lt;=0,0,ROUND(MIN(D309,Calculator!$H$6-E309),2))</f>
        <v>1951.15</v>
      </c>
      <c r="G309" s="26" t="n">
        <f aca="false">ROUND(E309+F309,2)</f>
        <v>2654.69</v>
      </c>
      <c r="H309" s="26" t="n">
        <f aca="false">ROUND(MAX(0,D309-F309),2)</f>
        <v>127932.37</v>
      </c>
      <c r="I309" s="26" t="n">
        <f aca="false">ROUND(E309+I308,2)</f>
        <v>514958.13</v>
      </c>
    </row>
    <row r="310" customFormat="false" ht="15" hidden="false" customHeight="true" outlineLevel="0" collapsed="false">
      <c r="A310" s="19" t="n">
        <f aca="false">A309+1</f>
        <v>305</v>
      </c>
      <c r="B310" s="18" t="n">
        <f aca="false">EDATE(B309,1)</f>
        <v>55550</v>
      </c>
      <c r="C310" s="19" t="n">
        <f aca="false">ROUNDUP(A310/12,0)</f>
        <v>26</v>
      </c>
      <c r="D310" s="26" t="n">
        <f aca="false">H309</f>
        <v>127932.37</v>
      </c>
      <c r="E310" s="26" t="n">
        <f aca="false">IF(D310&lt;=0,0,ROUND(D310*Calculator!$B$7/12,2))</f>
        <v>692.97</v>
      </c>
      <c r="F310" s="26" t="n">
        <f aca="false">IF(D310&lt;=0,0,ROUND(MIN(D310,Calculator!$H$6-E310),2))</f>
        <v>1961.72</v>
      </c>
      <c r="G310" s="26" t="n">
        <f aca="false">ROUND(E310+F310,2)</f>
        <v>2654.69</v>
      </c>
      <c r="H310" s="26" t="n">
        <f aca="false">ROUND(MAX(0,D310-F310),2)</f>
        <v>125970.65</v>
      </c>
      <c r="I310" s="26" t="n">
        <f aca="false">ROUND(E310+I309,2)</f>
        <v>515651.1</v>
      </c>
    </row>
    <row r="311" customFormat="false" ht="15" hidden="false" customHeight="true" outlineLevel="0" collapsed="false">
      <c r="A311" s="19" t="n">
        <f aca="false">A310+1</f>
        <v>306</v>
      </c>
      <c r="B311" s="18" t="n">
        <f aca="false">EDATE(B310,1)</f>
        <v>55579</v>
      </c>
      <c r="C311" s="19" t="n">
        <f aca="false">ROUNDUP(A311/12,0)</f>
        <v>26</v>
      </c>
      <c r="D311" s="26" t="n">
        <f aca="false">H310</f>
        <v>125970.65</v>
      </c>
      <c r="E311" s="26" t="n">
        <f aca="false">IF(D311&lt;=0,0,ROUND(D311*Calculator!$B$7/12,2))</f>
        <v>682.34</v>
      </c>
      <c r="F311" s="26" t="n">
        <f aca="false">IF(D311&lt;=0,0,ROUND(MIN(D311,Calculator!$H$6-E311),2))</f>
        <v>1972.35</v>
      </c>
      <c r="G311" s="26" t="n">
        <f aca="false">ROUND(E311+F311,2)</f>
        <v>2654.69</v>
      </c>
      <c r="H311" s="26" t="n">
        <f aca="false">ROUND(MAX(0,D311-F311),2)</f>
        <v>123998.3</v>
      </c>
      <c r="I311" s="26" t="n">
        <f aca="false">ROUND(E311+I310,2)</f>
        <v>516333.44</v>
      </c>
    </row>
    <row r="312" customFormat="false" ht="15" hidden="false" customHeight="true" outlineLevel="0" collapsed="false">
      <c r="A312" s="19" t="n">
        <f aca="false">A311+1</f>
        <v>307</v>
      </c>
      <c r="B312" s="18" t="n">
        <f aca="false">EDATE(B311,1)</f>
        <v>55610</v>
      </c>
      <c r="C312" s="19" t="n">
        <f aca="false">ROUNDUP(A312/12,0)</f>
        <v>26</v>
      </c>
      <c r="D312" s="26" t="n">
        <f aca="false">H311</f>
        <v>123998.3</v>
      </c>
      <c r="E312" s="26" t="n">
        <f aca="false">IF(D312&lt;=0,0,ROUND(D312*Calculator!$B$7/12,2))</f>
        <v>671.66</v>
      </c>
      <c r="F312" s="26" t="n">
        <f aca="false">IF(D312&lt;=0,0,ROUND(MIN(D312,Calculator!$H$6-E312),2))</f>
        <v>1983.03</v>
      </c>
      <c r="G312" s="26" t="n">
        <f aca="false">ROUND(E312+F312,2)</f>
        <v>2654.69</v>
      </c>
      <c r="H312" s="26" t="n">
        <f aca="false">ROUND(MAX(0,D312-F312),2)</f>
        <v>122015.27</v>
      </c>
      <c r="I312" s="26" t="n">
        <f aca="false">ROUND(E312+I311,2)</f>
        <v>517005.1</v>
      </c>
    </row>
    <row r="313" customFormat="false" ht="15" hidden="false" customHeight="true" outlineLevel="0" collapsed="false">
      <c r="A313" s="19" t="n">
        <f aca="false">A312+1</f>
        <v>308</v>
      </c>
      <c r="B313" s="18" t="n">
        <f aca="false">EDATE(B312,1)</f>
        <v>55640</v>
      </c>
      <c r="C313" s="19" t="n">
        <f aca="false">ROUNDUP(A313/12,0)</f>
        <v>26</v>
      </c>
      <c r="D313" s="26" t="n">
        <f aca="false">H312</f>
        <v>122015.27</v>
      </c>
      <c r="E313" s="26" t="n">
        <f aca="false">IF(D313&lt;=0,0,ROUND(D313*Calculator!$B$7/12,2))</f>
        <v>660.92</v>
      </c>
      <c r="F313" s="26" t="n">
        <f aca="false">IF(D313&lt;=0,0,ROUND(MIN(D313,Calculator!$H$6-E313),2))</f>
        <v>1993.77</v>
      </c>
      <c r="G313" s="26" t="n">
        <f aca="false">ROUND(E313+F313,2)</f>
        <v>2654.69</v>
      </c>
      <c r="H313" s="26" t="n">
        <f aca="false">ROUND(MAX(0,D313-F313),2)</f>
        <v>120021.5</v>
      </c>
      <c r="I313" s="26" t="n">
        <f aca="false">ROUND(E313+I312,2)</f>
        <v>517666.02</v>
      </c>
    </row>
    <row r="314" customFormat="false" ht="15" hidden="false" customHeight="true" outlineLevel="0" collapsed="false">
      <c r="A314" s="19" t="n">
        <f aca="false">A313+1</f>
        <v>309</v>
      </c>
      <c r="B314" s="18" t="n">
        <f aca="false">EDATE(B313,1)</f>
        <v>55671</v>
      </c>
      <c r="C314" s="19" t="n">
        <f aca="false">ROUNDUP(A314/12,0)</f>
        <v>26</v>
      </c>
      <c r="D314" s="26" t="n">
        <f aca="false">H313</f>
        <v>120021.5</v>
      </c>
      <c r="E314" s="26" t="n">
        <f aca="false">IF(D314&lt;=0,0,ROUND(D314*Calculator!$B$7/12,2))</f>
        <v>650.12</v>
      </c>
      <c r="F314" s="26" t="n">
        <f aca="false">IF(D314&lt;=0,0,ROUND(MIN(D314,Calculator!$H$6-E314),2))</f>
        <v>2004.57</v>
      </c>
      <c r="G314" s="26" t="n">
        <f aca="false">ROUND(E314+F314,2)</f>
        <v>2654.69</v>
      </c>
      <c r="H314" s="26" t="n">
        <f aca="false">ROUND(MAX(0,D314-F314),2)</f>
        <v>118016.93</v>
      </c>
      <c r="I314" s="26" t="n">
        <f aca="false">ROUND(E314+I313,2)</f>
        <v>518316.14</v>
      </c>
    </row>
    <row r="315" customFormat="false" ht="15" hidden="false" customHeight="true" outlineLevel="0" collapsed="false">
      <c r="A315" s="19" t="n">
        <f aca="false">A314+1</f>
        <v>310</v>
      </c>
      <c r="B315" s="18" t="n">
        <f aca="false">EDATE(B314,1)</f>
        <v>55701</v>
      </c>
      <c r="C315" s="19" t="n">
        <f aca="false">ROUNDUP(A315/12,0)</f>
        <v>26</v>
      </c>
      <c r="D315" s="26" t="n">
        <f aca="false">H314</f>
        <v>118016.93</v>
      </c>
      <c r="E315" s="26" t="n">
        <f aca="false">IF(D315&lt;=0,0,ROUND(D315*Calculator!$B$7/12,2))</f>
        <v>639.26</v>
      </c>
      <c r="F315" s="26" t="n">
        <f aca="false">IF(D315&lt;=0,0,ROUND(MIN(D315,Calculator!$H$6-E315),2))</f>
        <v>2015.43</v>
      </c>
      <c r="G315" s="26" t="n">
        <f aca="false">ROUND(E315+F315,2)</f>
        <v>2654.69</v>
      </c>
      <c r="H315" s="26" t="n">
        <f aca="false">ROUND(MAX(0,D315-F315),2)</f>
        <v>116001.5</v>
      </c>
      <c r="I315" s="26" t="n">
        <f aca="false">ROUND(E315+I314,2)</f>
        <v>518955.4</v>
      </c>
    </row>
    <row r="316" customFormat="false" ht="15" hidden="false" customHeight="true" outlineLevel="0" collapsed="false">
      <c r="A316" s="19" t="n">
        <f aca="false">A315+1</f>
        <v>311</v>
      </c>
      <c r="B316" s="18" t="n">
        <f aca="false">EDATE(B315,1)</f>
        <v>55732</v>
      </c>
      <c r="C316" s="19" t="n">
        <f aca="false">ROUNDUP(A316/12,0)</f>
        <v>26</v>
      </c>
      <c r="D316" s="26" t="n">
        <f aca="false">H315</f>
        <v>116001.5</v>
      </c>
      <c r="E316" s="26" t="n">
        <f aca="false">IF(D316&lt;=0,0,ROUND(D316*Calculator!$B$7/12,2))</f>
        <v>628.34</v>
      </c>
      <c r="F316" s="26" t="n">
        <f aca="false">IF(D316&lt;=0,0,ROUND(MIN(D316,Calculator!$H$6-E316),2))</f>
        <v>2026.35</v>
      </c>
      <c r="G316" s="26" t="n">
        <f aca="false">ROUND(E316+F316,2)</f>
        <v>2654.69</v>
      </c>
      <c r="H316" s="26" t="n">
        <f aca="false">ROUND(MAX(0,D316-F316),2)</f>
        <v>113975.15</v>
      </c>
      <c r="I316" s="26" t="n">
        <f aca="false">ROUND(E316+I315,2)</f>
        <v>519583.74</v>
      </c>
    </row>
    <row r="317" customFormat="false" ht="15" hidden="false" customHeight="true" outlineLevel="0" collapsed="false">
      <c r="A317" s="19" t="n">
        <f aca="false">A316+1</f>
        <v>312</v>
      </c>
      <c r="B317" s="18" t="n">
        <f aca="false">EDATE(B316,1)</f>
        <v>55763</v>
      </c>
      <c r="C317" s="19" t="n">
        <f aca="false">ROUNDUP(A317/12,0)</f>
        <v>26</v>
      </c>
      <c r="D317" s="26" t="n">
        <f aca="false">H316</f>
        <v>113975.15</v>
      </c>
      <c r="E317" s="26" t="n">
        <f aca="false">IF(D317&lt;=0,0,ROUND(D317*Calculator!$B$7/12,2))</f>
        <v>617.37</v>
      </c>
      <c r="F317" s="26" t="n">
        <f aca="false">IF(D317&lt;=0,0,ROUND(MIN(D317,Calculator!$H$6-E317),2))</f>
        <v>2037.32</v>
      </c>
      <c r="G317" s="26" t="n">
        <f aca="false">ROUND(E317+F317,2)</f>
        <v>2654.69</v>
      </c>
      <c r="H317" s="26" t="n">
        <f aca="false">ROUND(MAX(0,D317-F317),2)</f>
        <v>111937.83</v>
      </c>
      <c r="I317" s="26" t="n">
        <f aca="false">ROUND(E317+I316,2)</f>
        <v>520201.11</v>
      </c>
    </row>
    <row r="318" customFormat="false" ht="15" hidden="false" customHeight="true" outlineLevel="0" collapsed="false">
      <c r="A318" s="19" t="n">
        <f aca="false">A317+1</f>
        <v>313</v>
      </c>
      <c r="B318" s="18" t="n">
        <f aca="false">EDATE(B317,1)</f>
        <v>55793</v>
      </c>
      <c r="C318" s="19" t="n">
        <f aca="false">ROUNDUP(A318/12,0)</f>
        <v>27</v>
      </c>
      <c r="D318" s="26" t="n">
        <f aca="false">H317</f>
        <v>111937.83</v>
      </c>
      <c r="E318" s="26" t="n">
        <f aca="false">IF(D318&lt;=0,0,ROUND(D318*Calculator!$B$7/12,2))</f>
        <v>606.33</v>
      </c>
      <c r="F318" s="26" t="n">
        <f aca="false">IF(D318&lt;=0,0,ROUND(MIN(D318,Calculator!$H$6-E318),2))</f>
        <v>2048.36</v>
      </c>
      <c r="G318" s="26" t="n">
        <f aca="false">ROUND(E318+F318,2)</f>
        <v>2654.69</v>
      </c>
      <c r="H318" s="26" t="n">
        <f aca="false">ROUND(MAX(0,D318-F318),2)</f>
        <v>109889.47</v>
      </c>
      <c r="I318" s="26" t="n">
        <f aca="false">ROUND(E318+I317,2)</f>
        <v>520807.44</v>
      </c>
    </row>
    <row r="319" customFormat="false" ht="15" hidden="false" customHeight="true" outlineLevel="0" collapsed="false">
      <c r="A319" s="19" t="n">
        <f aca="false">A318+1</f>
        <v>314</v>
      </c>
      <c r="B319" s="18" t="n">
        <f aca="false">EDATE(B318,1)</f>
        <v>55824</v>
      </c>
      <c r="C319" s="19" t="n">
        <f aca="false">ROUNDUP(A319/12,0)</f>
        <v>27</v>
      </c>
      <c r="D319" s="26" t="n">
        <f aca="false">H318</f>
        <v>109889.47</v>
      </c>
      <c r="E319" s="26" t="n">
        <f aca="false">IF(D319&lt;=0,0,ROUND(D319*Calculator!$B$7/12,2))</f>
        <v>595.23</v>
      </c>
      <c r="F319" s="26" t="n">
        <f aca="false">IF(D319&lt;=0,0,ROUND(MIN(D319,Calculator!$H$6-E319),2))</f>
        <v>2059.46</v>
      </c>
      <c r="G319" s="26" t="n">
        <f aca="false">ROUND(E319+F319,2)</f>
        <v>2654.69</v>
      </c>
      <c r="H319" s="26" t="n">
        <f aca="false">ROUND(MAX(0,D319-F319),2)</f>
        <v>107830.01</v>
      </c>
      <c r="I319" s="26" t="n">
        <f aca="false">ROUND(E319+I318,2)</f>
        <v>521402.67</v>
      </c>
    </row>
    <row r="320" customFormat="false" ht="15" hidden="false" customHeight="true" outlineLevel="0" collapsed="false">
      <c r="A320" s="19" t="n">
        <f aca="false">A319+1</f>
        <v>315</v>
      </c>
      <c r="B320" s="18" t="n">
        <f aca="false">EDATE(B319,1)</f>
        <v>55854</v>
      </c>
      <c r="C320" s="19" t="n">
        <f aca="false">ROUNDUP(A320/12,0)</f>
        <v>27</v>
      </c>
      <c r="D320" s="26" t="n">
        <f aca="false">H319</f>
        <v>107830.01</v>
      </c>
      <c r="E320" s="26" t="n">
        <f aca="false">IF(D320&lt;=0,0,ROUND(D320*Calculator!$B$7/12,2))</f>
        <v>584.08</v>
      </c>
      <c r="F320" s="26" t="n">
        <f aca="false">IF(D320&lt;=0,0,ROUND(MIN(D320,Calculator!$H$6-E320),2))</f>
        <v>2070.61</v>
      </c>
      <c r="G320" s="26" t="n">
        <f aca="false">ROUND(E320+F320,2)</f>
        <v>2654.69</v>
      </c>
      <c r="H320" s="26" t="n">
        <f aca="false">ROUND(MAX(0,D320-F320),2)</f>
        <v>105759.4</v>
      </c>
      <c r="I320" s="26" t="n">
        <f aca="false">ROUND(E320+I319,2)</f>
        <v>521986.75</v>
      </c>
    </row>
    <row r="321" customFormat="false" ht="15" hidden="false" customHeight="true" outlineLevel="0" collapsed="false">
      <c r="A321" s="19" t="n">
        <f aca="false">A320+1</f>
        <v>316</v>
      </c>
      <c r="B321" s="18" t="n">
        <f aca="false">EDATE(B320,1)</f>
        <v>55885</v>
      </c>
      <c r="C321" s="19" t="n">
        <f aca="false">ROUNDUP(A321/12,0)</f>
        <v>27</v>
      </c>
      <c r="D321" s="26" t="n">
        <f aca="false">H320</f>
        <v>105759.4</v>
      </c>
      <c r="E321" s="26" t="n">
        <f aca="false">IF(D321&lt;=0,0,ROUND(D321*Calculator!$B$7/12,2))</f>
        <v>572.86</v>
      </c>
      <c r="F321" s="26" t="n">
        <f aca="false">IF(D321&lt;=0,0,ROUND(MIN(D321,Calculator!$H$6-E321),2))</f>
        <v>2081.83</v>
      </c>
      <c r="G321" s="26" t="n">
        <f aca="false">ROUND(E321+F321,2)</f>
        <v>2654.69</v>
      </c>
      <c r="H321" s="26" t="n">
        <f aca="false">ROUND(MAX(0,D321-F321),2)</f>
        <v>103677.57</v>
      </c>
      <c r="I321" s="26" t="n">
        <f aca="false">ROUND(E321+I320,2)</f>
        <v>522559.61</v>
      </c>
    </row>
    <row r="322" customFormat="false" ht="15" hidden="false" customHeight="true" outlineLevel="0" collapsed="false">
      <c r="A322" s="19" t="n">
        <f aca="false">A321+1</f>
        <v>317</v>
      </c>
      <c r="B322" s="18" t="n">
        <f aca="false">EDATE(B321,1)</f>
        <v>55916</v>
      </c>
      <c r="C322" s="19" t="n">
        <f aca="false">ROUNDUP(A322/12,0)</f>
        <v>27</v>
      </c>
      <c r="D322" s="26" t="n">
        <f aca="false">H321</f>
        <v>103677.57</v>
      </c>
      <c r="E322" s="26" t="n">
        <f aca="false">IF(D322&lt;=0,0,ROUND(D322*Calculator!$B$7/12,2))</f>
        <v>561.59</v>
      </c>
      <c r="F322" s="26" t="n">
        <f aca="false">IF(D322&lt;=0,0,ROUND(MIN(D322,Calculator!$H$6-E322),2))</f>
        <v>2093.1</v>
      </c>
      <c r="G322" s="26" t="n">
        <f aca="false">ROUND(E322+F322,2)</f>
        <v>2654.69</v>
      </c>
      <c r="H322" s="26" t="n">
        <f aca="false">ROUND(MAX(0,D322-F322),2)</f>
        <v>101584.47</v>
      </c>
      <c r="I322" s="26" t="n">
        <f aca="false">ROUND(E322+I321,2)</f>
        <v>523121.2</v>
      </c>
    </row>
    <row r="323" customFormat="false" ht="15" hidden="false" customHeight="true" outlineLevel="0" collapsed="false">
      <c r="A323" s="19" t="n">
        <f aca="false">A322+1</f>
        <v>318</v>
      </c>
      <c r="B323" s="18" t="n">
        <f aca="false">EDATE(B322,1)</f>
        <v>55944</v>
      </c>
      <c r="C323" s="19" t="n">
        <f aca="false">ROUNDUP(A323/12,0)</f>
        <v>27</v>
      </c>
      <c r="D323" s="26" t="n">
        <f aca="false">H322</f>
        <v>101584.47</v>
      </c>
      <c r="E323" s="26" t="n">
        <f aca="false">IF(D323&lt;=0,0,ROUND(D323*Calculator!$B$7/12,2))</f>
        <v>550.25</v>
      </c>
      <c r="F323" s="26" t="n">
        <f aca="false">IF(D323&lt;=0,0,ROUND(MIN(D323,Calculator!$H$6-E323),2))</f>
        <v>2104.44</v>
      </c>
      <c r="G323" s="26" t="n">
        <f aca="false">ROUND(E323+F323,2)</f>
        <v>2654.69</v>
      </c>
      <c r="H323" s="26" t="n">
        <f aca="false">ROUND(MAX(0,D323-F323),2)</f>
        <v>99480.03</v>
      </c>
      <c r="I323" s="26" t="n">
        <f aca="false">ROUND(E323+I322,2)</f>
        <v>523671.45</v>
      </c>
    </row>
    <row r="324" customFormat="false" ht="15" hidden="false" customHeight="true" outlineLevel="0" collapsed="false">
      <c r="A324" s="19" t="n">
        <f aca="false">A323+1</f>
        <v>319</v>
      </c>
      <c r="B324" s="18" t="n">
        <f aca="false">EDATE(B323,1)</f>
        <v>55975</v>
      </c>
      <c r="C324" s="19" t="n">
        <f aca="false">ROUNDUP(A324/12,0)</f>
        <v>27</v>
      </c>
      <c r="D324" s="26" t="n">
        <f aca="false">H323</f>
        <v>99480.03</v>
      </c>
      <c r="E324" s="26" t="n">
        <f aca="false">IF(D324&lt;=0,0,ROUND(D324*Calculator!$B$7/12,2))</f>
        <v>538.85</v>
      </c>
      <c r="F324" s="26" t="n">
        <f aca="false">IF(D324&lt;=0,0,ROUND(MIN(D324,Calculator!$H$6-E324),2))</f>
        <v>2115.84</v>
      </c>
      <c r="G324" s="26" t="n">
        <f aca="false">ROUND(E324+F324,2)</f>
        <v>2654.69</v>
      </c>
      <c r="H324" s="26" t="n">
        <f aca="false">ROUND(MAX(0,D324-F324),2)</f>
        <v>97364.19</v>
      </c>
      <c r="I324" s="26" t="n">
        <f aca="false">ROUND(E324+I323,2)</f>
        <v>524210.3</v>
      </c>
    </row>
    <row r="325" customFormat="false" ht="15" hidden="false" customHeight="true" outlineLevel="0" collapsed="false">
      <c r="A325" s="19" t="n">
        <f aca="false">A324+1</f>
        <v>320</v>
      </c>
      <c r="B325" s="18" t="n">
        <f aca="false">EDATE(B324,1)</f>
        <v>56005</v>
      </c>
      <c r="C325" s="19" t="n">
        <f aca="false">ROUNDUP(A325/12,0)</f>
        <v>27</v>
      </c>
      <c r="D325" s="26" t="n">
        <f aca="false">H324</f>
        <v>97364.19</v>
      </c>
      <c r="E325" s="26" t="n">
        <f aca="false">IF(D325&lt;=0,0,ROUND(D325*Calculator!$B$7/12,2))</f>
        <v>527.39</v>
      </c>
      <c r="F325" s="26" t="n">
        <f aca="false">IF(D325&lt;=0,0,ROUND(MIN(D325,Calculator!$H$6-E325),2))</f>
        <v>2127.3</v>
      </c>
      <c r="G325" s="26" t="n">
        <f aca="false">ROUND(E325+F325,2)</f>
        <v>2654.69</v>
      </c>
      <c r="H325" s="26" t="n">
        <f aca="false">ROUND(MAX(0,D325-F325),2)</f>
        <v>95236.89</v>
      </c>
      <c r="I325" s="26" t="n">
        <f aca="false">ROUND(E325+I324,2)</f>
        <v>524737.69</v>
      </c>
    </row>
    <row r="326" customFormat="false" ht="15" hidden="false" customHeight="true" outlineLevel="0" collapsed="false">
      <c r="A326" s="19" t="n">
        <f aca="false">A325+1</f>
        <v>321</v>
      </c>
      <c r="B326" s="18" t="n">
        <f aca="false">EDATE(B325,1)</f>
        <v>56036</v>
      </c>
      <c r="C326" s="19" t="n">
        <f aca="false">ROUNDUP(A326/12,0)</f>
        <v>27</v>
      </c>
      <c r="D326" s="26" t="n">
        <f aca="false">H325</f>
        <v>95236.89</v>
      </c>
      <c r="E326" s="26" t="n">
        <f aca="false">IF(D326&lt;=0,0,ROUND(D326*Calculator!$B$7/12,2))</f>
        <v>515.87</v>
      </c>
      <c r="F326" s="26" t="n">
        <f aca="false">IF(D326&lt;=0,0,ROUND(MIN(D326,Calculator!$H$6-E326),2))</f>
        <v>2138.82</v>
      </c>
      <c r="G326" s="26" t="n">
        <f aca="false">ROUND(E326+F326,2)</f>
        <v>2654.69</v>
      </c>
      <c r="H326" s="26" t="n">
        <f aca="false">ROUND(MAX(0,D326-F326),2)</f>
        <v>93098.07</v>
      </c>
      <c r="I326" s="26" t="n">
        <f aca="false">ROUND(E326+I325,2)</f>
        <v>525253.56</v>
      </c>
    </row>
    <row r="327" customFormat="false" ht="15" hidden="false" customHeight="true" outlineLevel="0" collapsed="false">
      <c r="A327" s="19" t="n">
        <f aca="false">A326+1</f>
        <v>322</v>
      </c>
      <c r="B327" s="18" t="n">
        <f aca="false">EDATE(B326,1)</f>
        <v>56066</v>
      </c>
      <c r="C327" s="19" t="n">
        <f aca="false">ROUNDUP(A327/12,0)</f>
        <v>27</v>
      </c>
      <c r="D327" s="26" t="n">
        <f aca="false">H326</f>
        <v>93098.07</v>
      </c>
      <c r="E327" s="26" t="n">
        <f aca="false">IF(D327&lt;=0,0,ROUND(D327*Calculator!$B$7/12,2))</f>
        <v>504.28</v>
      </c>
      <c r="F327" s="26" t="n">
        <f aca="false">IF(D327&lt;=0,0,ROUND(MIN(D327,Calculator!$H$6-E327),2))</f>
        <v>2150.41</v>
      </c>
      <c r="G327" s="26" t="n">
        <f aca="false">ROUND(E327+F327,2)</f>
        <v>2654.69</v>
      </c>
      <c r="H327" s="26" t="n">
        <f aca="false">ROUND(MAX(0,D327-F327),2)</f>
        <v>90947.66</v>
      </c>
      <c r="I327" s="26" t="n">
        <f aca="false">ROUND(E327+I326,2)</f>
        <v>525757.84</v>
      </c>
    </row>
    <row r="328" customFormat="false" ht="15" hidden="false" customHeight="true" outlineLevel="0" collapsed="false">
      <c r="A328" s="19" t="n">
        <f aca="false">A327+1</f>
        <v>323</v>
      </c>
      <c r="B328" s="18" t="n">
        <f aca="false">EDATE(B327,1)</f>
        <v>56097</v>
      </c>
      <c r="C328" s="19" t="n">
        <f aca="false">ROUNDUP(A328/12,0)</f>
        <v>27</v>
      </c>
      <c r="D328" s="26" t="n">
        <f aca="false">H327</f>
        <v>90947.66</v>
      </c>
      <c r="E328" s="26" t="n">
        <f aca="false">IF(D328&lt;=0,0,ROUND(D328*Calculator!$B$7/12,2))</f>
        <v>492.63</v>
      </c>
      <c r="F328" s="26" t="n">
        <f aca="false">IF(D328&lt;=0,0,ROUND(MIN(D328,Calculator!$H$6-E328),2))</f>
        <v>2162.06</v>
      </c>
      <c r="G328" s="26" t="n">
        <f aca="false">ROUND(E328+F328,2)</f>
        <v>2654.69</v>
      </c>
      <c r="H328" s="26" t="n">
        <f aca="false">ROUND(MAX(0,D328-F328),2)</f>
        <v>88785.6</v>
      </c>
      <c r="I328" s="26" t="n">
        <f aca="false">ROUND(E328+I327,2)</f>
        <v>526250.47</v>
      </c>
    </row>
    <row r="329" customFormat="false" ht="15" hidden="false" customHeight="true" outlineLevel="0" collapsed="false">
      <c r="A329" s="19" t="n">
        <f aca="false">A328+1</f>
        <v>324</v>
      </c>
      <c r="B329" s="18" t="n">
        <f aca="false">EDATE(B328,1)</f>
        <v>56128</v>
      </c>
      <c r="C329" s="19" t="n">
        <f aca="false">ROUNDUP(A329/12,0)</f>
        <v>27</v>
      </c>
      <c r="D329" s="26" t="n">
        <f aca="false">H328</f>
        <v>88785.6</v>
      </c>
      <c r="E329" s="26" t="n">
        <f aca="false">IF(D329&lt;=0,0,ROUND(D329*Calculator!$B$7/12,2))</f>
        <v>480.92</v>
      </c>
      <c r="F329" s="26" t="n">
        <f aca="false">IF(D329&lt;=0,0,ROUND(MIN(D329,Calculator!$H$6-E329),2))</f>
        <v>2173.77</v>
      </c>
      <c r="G329" s="26" t="n">
        <f aca="false">ROUND(E329+F329,2)</f>
        <v>2654.69</v>
      </c>
      <c r="H329" s="26" t="n">
        <f aca="false">ROUND(MAX(0,D329-F329),2)</f>
        <v>86611.83</v>
      </c>
      <c r="I329" s="26" t="n">
        <f aca="false">ROUND(E329+I328,2)</f>
        <v>526731.39</v>
      </c>
    </row>
    <row r="330" customFormat="false" ht="15" hidden="false" customHeight="true" outlineLevel="0" collapsed="false">
      <c r="A330" s="19" t="n">
        <f aca="false">A329+1</f>
        <v>325</v>
      </c>
      <c r="B330" s="18" t="n">
        <f aca="false">EDATE(B329,1)</f>
        <v>56158</v>
      </c>
      <c r="C330" s="19" t="n">
        <f aca="false">ROUNDUP(A330/12,0)</f>
        <v>28</v>
      </c>
      <c r="D330" s="26" t="n">
        <f aca="false">H329</f>
        <v>86611.83</v>
      </c>
      <c r="E330" s="26" t="n">
        <f aca="false">IF(D330&lt;=0,0,ROUND(D330*Calculator!$B$7/12,2))</f>
        <v>469.15</v>
      </c>
      <c r="F330" s="26" t="n">
        <f aca="false">IF(D330&lt;=0,0,ROUND(MIN(D330,Calculator!$H$6-E330),2))</f>
        <v>2185.54</v>
      </c>
      <c r="G330" s="26" t="n">
        <f aca="false">ROUND(E330+F330,2)</f>
        <v>2654.69</v>
      </c>
      <c r="H330" s="26" t="n">
        <f aca="false">ROUND(MAX(0,D330-F330),2)</f>
        <v>84426.29</v>
      </c>
      <c r="I330" s="26" t="n">
        <f aca="false">ROUND(E330+I329,2)</f>
        <v>527200.54</v>
      </c>
    </row>
    <row r="331" customFormat="false" ht="15" hidden="false" customHeight="true" outlineLevel="0" collapsed="false">
      <c r="A331" s="19" t="n">
        <f aca="false">A330+1</f>
        <v>326</v>
      </c>
      <c r="B331" s="18" t="n">
        <f aca="false">EDATE(B330,1)</f>
        <v>56189</v>
      </c>
      <c r="C331" s="19" t="n">
        <f aca="false">ROUNDUP(A331/12,0)</f>
        <v>28</v>
      </c>
      <c r="D331" s="26" t="n">
        <f aca="false">H330</f>
        <v>84426.29</v>
      </c>
      <c r="E331" s="26" t="n">
        <f aca="false">IF(D331&lt;=0,0,ROUND(D331*Calculator!$B$7/12,2))</f>
        <v>457.31</v>
      </c>
      <c r="F331" s="26" t="n">
        <f aca="false">IF(D331&lt;=0,0,ROUND(MIN(D331,Calculator!$H$6-E331),2))</f>
        <v>2197.38</v>
      </c>
      <c r="G331" s="26" t="n">
        <f aca="false">ROUND(E331+F331,2)</f>
        <v>2654.69</v>
      </c>
      <c r="H331" s="26" t="n">
        <f aca="false">ROUND(MAX(0,D331-F331),2)</f>
        <v>82228.91</v>
      </c>
      <c r="I331" s="26" t="n">
        <f aca="false">ROUND(E331+I330,2)</f>
        <v>527657.85</v>
      </c>
    </row>
    <row r="332" customFormat="false" ht="15" hidden="false" customHeight="true" outlineLevel="0" collapsed="false">
      <c r="A332" s="19" t="n">
        <f aca="false">A331+1</f>
        <v>327</v>
      </c>
      <c r="B332" s="18" t="n">
        <f aca="false">EDATE(B331,1)</f>
        <v>56219</v>
      </c>
      <c r="C332" s="19" t="n">
        <f aca="false">ROUNDUP(A332/12,0)</f>
        <v>28</v>
      </c>
      <c r="D332" s="26" t="n">
        <f aca="false">H331</f>
        <v>82228.91</v>
      </c>
      <c r="E332" s="26" t="n">
        <f aca="false">IF(D332&lt;=0,0,ROUND(D332*Calculator!$B$7/12,2))</f>
        <v>445.41</v>
      </c>
      <c r="F332" s="26" t="n">
        <f aca="false">IF(D332&lt;=0,0,ROUND(MIN(D332,Calculator!$H$6-E332),2))</f>
        <v>2209.28</v>
      </c>
      <c r="G332" s="26" t="n">
        <f aca="false">ROUND(E332+F332,2)</f>
        <v>2654.69</v>
      </c>
      <c r="H332" s="26" t="n">
        <f aca="false">ROUND(MAX(0,D332-F332),2)</f>
        <v>80019.63</v>
      </c>
      <c r="I332" s="26" t="n">
        <f aca="false">ROUND(E332+I331,2)</f>
        <v>528103.26</v>
      </c>
    </row>
    <row r="333" customFormat="false" ht="15" hidden="false" customHeight="true" outlineLevel="0" collapsed="false">
      <c r="A333" s="19" t="n">
        <f aca="false">A332+1</f>
        <v>328</v>
      </c>
      <c r="B333" s="18" t="n">
        <f aca="false">EDATE(B332,1)</f>
        <v>56250</v>
      </c>
      <c r="C333" s="19" t="n">
        <f aca="false">ROUNDUP(A333/12,0)</f>
        <v>28</v>
      </c>
      <c r="D333" s="26" t="n">
        <f aca="false">H332</f>
        <v>80019.63</v>
      </c>
      <c r="E333" s="26" t="n">
        <f aca="false">IF(D333&lt;=0,0,ROUND(D333*Calculator!$B$7/12,2))</f>
        <v>433.44</v>
      </c>
      <c r="F333" s="26" t="n">
        <f aca="false">IF(D333&lt;=0,0,ROUND(MIN(D333,Calculator!$H$6-E333),2))</f>
        <v>2221.25</v>
      </c>
      <c r="G333" s="26" t="n">
        <f aca="false">ROUND(E333+F333,2)</f>
        <v>2654.69</v>
      </c>
      <c r="H333" s="26" t="n">
        <f aca="false">ROUND(MAX(0,D333-F333),2)</f>
        <v>77798.38</v>
      </c>
      <c r="I333" s="26" t="n">
        <f aca="false">ROUND(E333+I332,2)</f>
        <v>528536.7</v>
      </c>
    </row>
    <row r="334" customFormat="false" ht="15" hidden="false" customHeight="true" outlineLevel="0" collapsed="false">
      <c r="A334" s="19" t="n">
        <f aca="false">A333+1</f>
        <v>329</v>
      </c>
      <c r="B334" s="18" t="n">
        <f aca="false">EDATE(B333,1)</f>
        <v>56281</v>
      </c>
      <c r="C334" s="19" t="n">
        <f aca="false">ROUNDUP(A334/12,0)</f>
        <v>28</v>
      </c>
      <c r="D334" s="26" t="n">
        <f aca="false">H333</f>
        <v>77798.38</v>
      </c>
      <c r="E334" s="26" t="n">
        <f aca="false">IF(D334&lt;=0,0,ROUND(D334*Calculator!$B$7/12,2))</f>
        <v>421.41</v>
      </c>
      <c r="F334" s="26" t="n">
        <f aca="false">IF(D334&lt;=0,0,ROUND(MIN(D334,Calculator!$H$6-E334),2))</f>
        <v>2233.28</v>
      </c>
      <c r="G334" s="26" t="n">
        <f aca="false">ROUND(E334+F334,2)</f>
        <v>2654.69</v>
      </c>
      <c r="H334" s="26" t="n">
        <f aca="false">ROUND(MAX(0,D334-F334),2)</f>
        <v>75565.1</v>
      </c>
      <c r="I334" s="26" t="n">
        <f aca="false">ROUND(E334+I333,2)</f>
        <v>528958.11</v>
      </c>
    </row>
    <row r="335" customFormat="false" ht="15" hidden="false" customHeight="true" outlineLevel="0" collapsed="false">
      <c r="A335" s="19" t="n">
        <f aca="false">A334+1</f>
        <v>330</v>
      </c>
      <c r="B335" s="18" t="n">
        <f aca="false">EDATE(B334,1)</f>
        <v>56309</v>
      </c>
      <c r="C335" s="19" t="n">
        <f aca="false">ROUNDUP(A335/12,0)</f>
        <v>28</v>
      </c>
      <c r="D335" s="26" t="n">
        <f aca="false">H334</f>
        <v>75565.1</v>
      </c>
      <c r="E335" s="26" t="n">
        <f aca="false">IF(D335&lt;=0,0,ROUND(D335*Calculator!$B$7/12,2))</f>
        <v>409.31</v>
      </c>
      <c r="F335" s="26" t="n">
        <f aca="false">IF(D335&lt;=0,0,ROUND(MIN(D335,Calculator!$H$6-E335),2))</f>
        <v>2245.38</v>
      </c>
      <c r="G335" s="26" t="n">
        <f aca="false">ROUND(E335+F335,2)</f>
        <v>2654.69</v>
      </c>
      <c r="H335" s="26" t="n">
        <f aca="false">ROUND(MAX(0,D335-F335),2)</f>
        <v>73319.72</v>
      </c>
      <c r="I335" s="26" t="n">
        <f aca="false">ROUND(E335+I334,2)</f>
        <v>529367.42</v>
      </c>
    </row>
    <row r="336" customFormat="false" ht="15" hidden="false" customHeight="true" outlineLevel="0" collapsed="false">
      <c r="A336" s="19" t="n">
        <f aca="false">A335+1</f>
        <v>331</v>
      </c>
      <c r="B336" s="18" t="n">
        <f aca="false">EDATE(B335,1)</f>
        <v>56340</v>
      </c>
      <c r="C336" s="19" t="n">
        <f aca="false">ROUNDUP(A336/12,0)</f>
        <v>28</v>
      </c>
      <c r="D336" s="26" t="n">
        <f aca="false">H335</f>
        <v>73319.72</v>
      </c>
      <c r="E336" s="26" t="n">
        <f aca="false">IF(D336&lt;=0,0,ROUND(D336*Calculator!$B$7/12,2))</f>
        <v>397.15</v>
      </c>
      <c r="F336" s="26" t="n">
        <f aca="false">IF(D336&lt;=0,0,ROUND(MIN(D336,Calculator!$H$6-E336),2))</f>
        <v>2257.54</v>
      </c>
      <c r="G336" s="26" t="n">
        <f aca="false">ROUND(E336+F336,2)</f>
        <v>2654.69</v>
      </c>
      <c r="H336" s="26" t="n">
        <f aca="false">ROUND(MAX(0,D336-F336),2)</f>
        <v>71062.18</v>
      </c>
      <c r="I336" s="26" t="n">
        <f aca="false">ROUND(E336+I335,2)</f>
        <v>529764.57</v>
      </c>
    </row>
    <row r="337" customFormat="false" ht="15" hidden="false" customHeight="true" outlineLevel="0" collapsed="false">
      <c r="A337" s="19" t="n">
        <f aca="false">A336+1</f>
        <v>332</v>
      </c>
      <c r="B337" s="18" t="n">
        <f aca="false">EDATE(B336,1)</f>
        <v>56370</v>
      </c>
      <c r="C337" s="19" t="n">
        <f aca="false">ROUNDUP(A337/12,0)</f>
        <v>28</v>
      </c>
      <c r="D337" s="26" t="n">
        <f aca="false">H336</f>
        <v>71062.18</v>
      </c>
      <c r="E337" s="26" t="n">
        <f aca="false">IF(D337&lt;=0,0,ROUND(D337*Calculator!$B$7/12,2))</f>
        <v>384.92</v>
      </c>
      <c r="F337" s="26" t="n">
        <f aca="false">IF(D337&lt;=0,0,ROUND(MIN(D337,Calculator!$H$6-E337),2))</f>
        <v>2269.77</v>
      </c>
      <c r="G337" s="26" t="n">
        <f aca="false">ROUND(E337+F337,2)</f>
        <v>2654.69</v>
      </c>
      <c r="H337" s="26" t="n">
        <f aca="false">ROUND(MAX(0,D337-F337),2)</f>
        <v>68792.41</v>
      </c>
      <c r="I337" s="26" t="n">
        <f aca="false">ROUND(E337+I336,2)</f>
        <v>530149.49</v>
      </c>
    </row>
    <row r="338" customFormat="false" ht="15" hidden="false" customHeight="true" outlineLevel="0" collapsed="false">
      <c r="A338" s="19" t="n">
        <f aca="false">A337+1</f>
        <v>333</v>
      </c>
      <c r="B338" s="18" t="n">
        <f aca="false">EDATE(B337,1)</f>
        <v>56401</v>
      </c>
      <c r="C338" s="19" t="n">
        <f aca="false">ROUNDUP(A338/12,0)</f>
        <v>28</v>
      </c>
      <c r="D338" s="26" t="n">
        <f aca="false">H337</f>
        <v>68792.41</v>
      </c>
      <c r="E338" s="26" t="n">
        <f aca="false">IF(D338&lt;=0,0,ROUND(D338*Calculator!$B$7/12,2))</f>
        <v>372.63</v>
      </c>
      <c r="F338" s="26" t="n">
        <f aca="false">IF(D338&lt;=0,0,ROUND(MIN(D338,Calculator!$H$6-E338),2))</f>
        <v>2282.06</v>
      </c>
      <c r="G338" s="26" t="n">
        <f aca="false">ROUND(E338+F338,2)</f>
        <v>2654.69</v>
      </c>
      <c r="H338" s="26" t="n">
        <f aca="false">ROUND(MAX(0,D338-F338),2)</f>
        <v>66510.35</v>
      </c>
      <c r="I338" s="26" t="n">
        <f aca="false">ROUND(E338+I337,2)</f>
        <v>530522.12</v>
      </c>
    </row>
    <row r="339" customFormat="false" ht="15" hidden="false" customHeight="true" outlineLevel="0" collapsed="false">
      <c r="A339" s="19" t="n">
        <f aca="false">A338+1</f>
        <v>334</v>
      </c>
      <c r="B339" s="18" t="n">
        <f aca="false">EDATE(B338,1)</f>
        <v>56431</v>
      </c>
      <c r="C339" s="19" t="n">
        <f aca="false">ROUNDUP(A339/12,0)</f>
        <v>28</v>
      </c>
      <c r="D339" s="26" t="n">
        <f aca="false">H338</f>
        <v>66510.35</v>
      </c>
      <c r="E339" s="26" t="n">
        <f aca="false">IF(D339&lt;=0,0,ROUND(D339*Calculator!$B$7/12,2))</f>
        <v>360.26</v>
      </c>
      <c r="F339" s="26" t="n">
        <f aca="false">IF(D339&lt;=0,0,ROUND(MIN(D339,Calculator!$H$6-E339),2))</f>
        <v>2294.43</v>
      </c>
      <c r="G339" s="26" t="n">
        <f aca="false">ROUND(E339+F339,2)</f>
        <v>2654.69</v>
      </c>
      <c r="H339" s="26" t="n">
        <f aca="false">ROUND(MAX(0,D339-F339),2)</f>
        <v>64215.92</v>
      </c>
      <c r="I339" s="26" t="n">
        <f aca="false">ROUND(E339+I338,2)</f>
        <v>530882.38</v>
      </c>
    </row>
    <row r="340" customFormat="false" ht="15" hidden="false" customHeight="true" outlineLevel="0" collapsed="false">
      <c r="A340" s="19" t="n">
        <f aca="false">A339+1</f>
        <v>335</v>
      </c>
      <c r="B340" s="18" t="n">
        <f aca="false">EDATE(B339,1)</f>
        <v>56462</v>
      </c>
      <c r="C340" s="19" t="n">
        <f aca="false">ROUNDUP(A340/12,0)</f>
        <v>28</v>
      </c>
      <c r="D340" s="26" t="n">
        <f aca="false">H339</f>
        <v>64215.92</v>
      </c>
      <c r="E340" s="26" t="n">
        <f aca="false">IF(D340&lt;=0,0,ROUND(D340*Calculator!$B$7/12,2))</f>
        <v>347.84</v>
      </c>
      <c r="F340" s="26" t="n">
        <f aca="false">IF(D340&lt;=0,0,ROUND(MIN(D340,Calculator!$H$6-E340),2))</f>
        <v>2306.85</v>
      </c>
      <c r="G340" s="26" t="n">
        <f aca="false">ROUND(E340+F340,2)</f>
        <v>2654.69</v>
      </c>
      <c r="H340" s="26" t="n">
        <f aca="false">ROUND(MAX(0,D340-F340),2)</f>
        <v>61909.07</v>
      </c>
      <c r="I340" s="26" t="n">
        <f aca="false">ROUND(E340+I339,2)</f>
        <v>531230.22</v>
      </c>
    </row>
    <row r="341" customFormat="false" ht="15" hidden="false" customHeight="true" outlineLevel="0" collapsed="false">
      <c r="A341" s="19" t="n">
        <f aca="false">A340+1</f>
        <v>336</v>
      </c>
      <c r="B341" s="18" t="n">
        <f aca="false">EDATE(B340,1)</f>
        <v>56493</v>
      </c>
      <c r="C341" s="19" t="n">
        <f aca="false">ROUNDUP(A341/12,0)</f>
        <v>28</v>
      </c>
      <c r="D341" s="26" t="n">
        <f aca="false">H340</f>
        <v>61909.07</v>
      </c>
      <c r="E341" s="26" t="n">
        <f aca="false">IF(D341&lt;=0,0,ROUND(D341*Calculator!$B$7/12,2))</f>
        <v>335.34</v>
      </c>
      <c r="F341" s="26" t="n">
        <f aca="false">IF(D341&lt;=0,0,ROUND(MIN(D341,Calculator!$H$6-E341),2))</f>
        <v>2319.35</v>
      </c>
      <c r="G341" s="26" t="n">
        <f aca="false">ROUND(E341+F341,2)</f>
        <v>2654.69</v>
      </c>
      <c r="H341" s="26" t="n">
        <f aca="false">ROUND(MAX(0,D341-F341),2)</f>
        <v>59589.72</v>
      </c>
      <c r="I341" s="26" t="n">
        <f aca="false">ROUND(E341+I340,2)</f>
        <v>531565.56</v>
      </c>
    </row>
    <row r="342" customFormat="false" ht="15" hidden="false" customHeight="true" outlineLevel="0" collapsed="false">
      <c r="A342" s="19" t="n">
        <f aca="false">A341+1</f>
        <v>337</v>
      </c>
      <c r="B342" s="18" t="n">
        <f aca="false">EDATE(B341,1)</f>
        <v>56523</v>
      </c>
      <c r="C342" s="19" t="n">
        <f aca="false">ROUNDUP(A342/12,0)</f>
        <v>29</v>
      </c>
      <c r="D342" s="26" t="n">
        <f aca="false">H341</f>
        <v>59589.72</v>
      </c>
      <c r="E342" s="26" t="n">
        <f aca="false">IF(D342&lt;=0,0,ROUND(D342*Calculator!$B$7/12,2))</f>
        <v>322.78</v>
      </c>
      <c r="F342" s="26" t="n">
        <f aca="false">IF(D342&lt;=0,0,ROUND(MIN(D342,Calculator!$H$6-E342),2))</f>
        <v>2331.91</v>
      </c>
      <c r="G342" s="26" t="n">
        <f aca="false">ROUND(E342+F342,2)</f>
        <v>2654.69</v>
      </c>
      <c r="H342" s="26" t="n">
        <f aca="false">ROUND(MAX(0,D342-F342),2)</f>
        <v>57257.81</v>
      </c>
      <c r="I342" s="26" t="n">
        <f aca="false">ROUND(E342+I341,2)</f>
        <v>531888.34</v>
      </c>
    </row>
    <row r="343" customFormat="false" ht="15" hidden="false" customHeight="true" outlineLevel="0" collapsed="false">
      <c r="A343" s="19" t="n">
        <f aca="false">A342+1</f>
        <v>338</v>
      </c>
      <c r="B343" s="18" t="n">
        <f aca="false">EDATE(B342,1)</f>
        <v>56554</v>
      </c>
      <c r="C343" s="19" t="n">
        <f aca="false">ROUNDUP(A343/12,0)</f>
        <v>29</v>
      </c>
      <c r="D343" s="26" t="n">
        <f aca="false">H342</f>
        <v>57257.81</v>
      </c>
      <c r="E343" s="26" t="n">
        <f aca="false">IF(D343&lt;=0,0,ROUND(D343*Calculator!$B$7/12,2))</f>
        <v>310.15</v>
      </c>
      <c r="F343" s="26" t="n">
        <f aca="false">IF(D343&lt;=0,0,ROUND(MIN(D343,Calculator!$H$6-E343),2))</f>
        <v>2344.54</v>
      </c>
      <c r="G343" s="26" t="n">
        <f aca="false">ROUND(E343+F343,2)</f>
        <v>2654.69</v>
      </c>
      <c r="H343" s="26" t="n">
        <f aca="false">ROUND(MAX(0,D343-F343),2)</f>
        <v>54913.27</v>
      </c>
      <c r="I343" s="26" t="n">
        <f aca="false">ROUND(E343+I342,2)</f>
        <v>532198.49</v>
      </c>
    </row>
    <row r="344" customFormat="false" ht="15" hidden="false" customHeight="true" outlineLevel="0" collapsed="false">
      <c r="A344" s="19" t="n">
        <f aca="false">A343+1</f>
        <v>339</v>
      </c>
      <c r="B344" s="18" t="n">
        <f aca="false">EDATE(B343,1)</f>
        <v>56584</v>
      </c>
      <c r="C344" s="19" t="n">
        <f aca="false">ROUNDUP(A344/12,0)</f>
        <v>29</v>
      </c>
      <c r="D344" s="26" t="n">
        <f aca="false">H343</f>
        <v>54913.27</v>
      </c>
      <c r="E344" s="26" t="n">
        <f aca="false">IF(D344&lt;=0,0,ROUND(D344*Calculator!$B$7/12,2))</f>
        <v>297.45</v>
      </c>
      <c r="F344" s="26" t="n">
        <f aca="false">IF(D344&lt;=0,0,ROUND(MIN(D344,Calculator!$H$6-E344),2))</f>
        <v>2357.24</v>
      </c>
      <c r="G344" s="26" t="n">
        <f aca="false">ROUND(E344+F344,2)</f>
        <v>2654.69</v>
      </c>
      <c r="H344" s="26" t="n">
        <f aca="false">ROUND(MAX(0,D344-F344),2)</f>
        <v>52556.03</v>
      </c>
      <c r="I344" s="26" t="n">
        <f aca="false">ROUND(E344+I343,2)</f>
        <v>532495.94</v>
      </c>
    </row>
    <row r="345" customFormat="false" ht="15" hidden="false" customHeight="true" outlineLevel="0" collapsed="false">
      <c r="A345" s="19" t="n">
        <f aca="false">A344+1</f>
        <v>340</v>
      </c>
      <c r="B345" s="18" t="n">
        <f aca="false">EDATE(B344,1)</f>
        <v>56615</v>
      </c>
      <c r="C345" s="19" t="n">
        <f aca="false">ROUNDUP(A345/12,0)</f>
        <v>29</v>
      </c>
      <c r="D345" s="26" t="n">
        <f aca="false">H344</f>
        <v>52556.03</v>
      </c>
      <c r="E345" s="26" t="n">
        <f aca="false">IF(D345&lt;=0,0,ROUND(D345*Calculator!$B$7/12,2))</f>
        <v>284.68</v>
      </c>
      <c r="F345" s="26" t="n">
        <f aca="false">IF(D345&lt;=0,0,ROUND(MIN(D345,Calculator!$H$6-E345),2))</f>
        <v>2370.01</v>
      </c>
      <c r="G345" s="26" t="n">
        <f aca="false">ROUND(E345+F345,2)</f>
        <v>2654.69</v>
      </c>
      <c r="H345" s="26" t="n">
        <f aca="false">ROUND(MAX(0,D345-F345),2)</f>
        <v>50186.02</v>
      </c>
      <c r="I345" s="26" t="n">
        <f aca="false">ROUND(E345+I344,2)</f>
        <v>532780.62</v>
      </c>
    </row>
    <row r="346" customFormat="false" ht="15" hidden="false" customHeight="true" outlineLevel="0" collapsed="false">
      <c r="A346" s="19" t="n">
        <f aca="false">A345+1</f>
        <v>341</v>
      </c>
      <c r="B346" s="18" t="n">
        <f aca="false">EDATE(B345,1)</f>
        <v>56646</v>
      </c>
      <c r="C346" s="19" t="n">
        <f aca="false">ROUNDUP(A346/12,0)</f>
        <v>29</v>
      </c>
      <c r="D346" s="26" t="n">
        <f aca="false">H345</f>
        <v>50186.02</v>
      </c>
      <c r="E346" s="26" t="n">
        <f aca="false">IF(D346&lt;=0,0,ROUND(D346*Calculator!$B$7/12,2))</f>
        <v>271.84</v>
      </c>
      <c r="F346" s="26" t="n">
        <f aca="false">IF(D346&lt;=0,0,ROUND(MIN(D346,Calculator!$H$6-E346),2))</f>
        <v>2382.85</v>
      </c>
      <c r="G346" s="26" t="n">
        <f aca="false">ROUND(E346+F346,2)</f>
        <v>2654.69</v>
      </c>
      <c r="H346" s="26" t="n">
        <f aca="false">ROUND(MAX(0,D346-F346),2)</f>
        <v>47803.17</v>
      </c>
      <c r="I346" s="26" t="n">
        <f aca="false">ROUND(E346+I345,2)</f>
        <v>533052.46</v>
      </c>
    </row>
    <row r="347" customFormat="false" ht="15" hidden="false" customHeight="true" outlineLevel="0" collapsed="false">
      <c r="A347" s="19" t="n">
        <f aca="false">A346+1</f>
        <v>342</v>
      </c>
      <c r="B347" s="18" t="n">
        <f aca="false">EDATE(B346,1)</f>
        <v>56674</v>
      </c>
      <c r="C347" s="19" t="n">
        <f aca="false">ROUNDUP(A347/12,0)</f>
        <v>29</v>
      </c>
      <c r="D347" s="26" t="n">
        <f aca="false">H346</f>
        <v>47803.17</v>
      </c>
      <c r="E347" s="26" t="n">
        <f aca="false">IF(D347&lt;=0,0,ROUND(D347*Calculator!$B$7/12,2))</f>
        <v>258.93</v>
      </c>
      <c r="F347" s="26" t="n">
        <f aca="false">IF(D347&lt;=0,0,ROUND(MIN(D347,Calculator!$H$6-E347),2))</f>
        <v>2395.76</v>
      </c>
      <c r="G347" s="26" t="n">
        <f aca="false">ROUND(E347+F347,2)</f>
        <v>2654.69</v>
      </c>
      <c r="H347" s="26" t="n">
        <f aca="false">ROUND(MAX(0,D347-F347),2)</f>
        <v>45407.41</v>
      </c>
      <c r="I347" s="26" t="n">
        <f aca="false">ROUND(E347+I346,2)</f>
        <v>533311.39</v>
      </c>
    </row>
    <row r="348" customFormat="false" ht="15" hidden="false" customHeight="true" outlineLevel="0" collapsed="false">
      <c r="A348" s="19" t="n">
        <f aca="false">A347+1</f>
        <v>343</v>
      </c>
      <c r="B348" s="18" t="n">
        <f aca="false">EDATE(B347,1)</f>
        <v>56705</v>
      </c>
      <c r="C348" s="19" t="n">
        <f aca="false">ROUNDUP(A348/12,0)</f>
        <v>29</v>
      </c>
      <c r="D348" s="26" t="n">
        <f aca="false">H347</f>
        <v>45407.41</v>
      </c>
      <c r="E348" s="26" t="n">
        <f aca="false">IF(D348&lt;=0,0,ROUND(D348*Calculator!$B$7/12,2))</f>
        <v>245.96</v>
      </c>
      <c r="F348" s="26" t="n">
        <f aca="false">IF(D348&lt;=0,0,ROUND(MIN(D348,Calculator!$H$6-E348),2))</f>
        <v>2408.73</v>
      </c>
      <c r="G348" s="26" t="n">
        <f aca="false">ROUND(E348+F348,2)</f>
        <v>2654.69</v>
      </c>
      <c r="H348" s="26" t="n">
        <f aca="false">ROUND(MAX(0,D348-F348),2)</f>
        <v>42998.68</v>
      </c>
      <c r="I348" s="26" t="n">
        <f aca="false">ROUND(E348+I347,2)</f>
        <v>533557.35</v>
      </c>
    </row>
    <row r="349" customFormat="false" ht="15" hidden="false" customHeight="true" outlineLevel="0" collapsed="false">
      <c r="A349" s="19" t="n">
        <f aca="false">A348+1</f>
        <v>344</v>
      </c>
      <c r="B349" s="18" t="n">
        <f aca="false">EDATE(B348,1)</f>
        <v>56735</v>
      </c>
      <c r="C349" s="19" t="n">
        <f aca="false">ROUNDUP(A349/12,0)</f>
        <v>29</v>
      </c>
      <c r="D349" s="26" t="n">
        <f aca="false">H348</f>
        <v>42998.68</v>
      </c>
      <c r="E349" s="26" t="n">
        <f aca="false">IF(D349&lt;=0,0,ROUND(D349*Calculator!$B$7/12,2))</f>
        <v>232.91</v>
      </c>
      <c r="F349" s="26" t="n">
        <f aca="false">IF(D349&lt;=0,0,ROUND(MIN(D349,Calculator!$H$6-E349),2))</f>
        <v>2421.78</v>
      </c>
      <c r="G349" s="26" t="n">
        <f aca="false">ROUND(E349+F349,2)</f>
        <v>2654.69</v>
      </c>
      <c r="H349" s="26" t="n">
        <f aca="false">ROUND(MAX(0,D349-F349),2)</f>
        <v>40576.9</v>
      </c>
      <c r="I349" s="26" t="n">
        <f aca="false">ROUND(E349+I348,2)</f>
        <v>533790.26</v>
      </c>
    </row>
    <row r="350" customFormat="false" ht="15" hidden="false" customHeight="true" outlineLevel="0" collapsed="false">
      <c r="A350" s="19" t="n">
        <f aca="false">A349+1</f>
        <v>345</v>
      </c>
      <c r="B350" s="18" t="n">
        <f aca="false">EDATE(B349,1)</f>
        <v>56766</v>
      </c>
      <c r="C350" s="19" t="n">
        <f aca="false">ROUNDUP(A350/12,0)</f>
        <v>29</v>
      </c>
      <c r="D350" s="26" t="n">
        <f aca="false">H349</f>
        <v>40576.9</v>
      </c>
      <c r="E350" s="26" t="n">
        <f aca="false">IF(D350&lt;=0,0,ROUND(D350*Calculator!$B$7/12,2))</f>
        <v>219.79</v>
      </c>
      <c r="F350" s="26" t="n">
        <f aca="false">IF(D350&lt;=0,0,ROUND(MIN(D350,Calculator!$H$6-E350),2))</f>
        <v>2434.9</v>
      </c>
      <c r="G350" s="26" t="n">
        <f aca="false">ROUND(E350+F350,2)</f>
        <v>2654.69</v>
      </c>
      <c r="H350" s="26" t="n">
        <f aca="false">ROUND(MAX(0,D350-F350),2)</f>
        <v>38142</v>
      </c>
      <c r="I350" s="26" t="n">
        <f aca="false">ROUND(E350+I349,2)</f>
        <v>534010.05</v>
      </c>
    </row>
    <row r="351" customFormat="false" ht="15" hidden="false" customHeight="true" outlineLevel="0" collapsed="false">
      <c r="A351" s="19" t="n">
        <f aca="false">A350+1</f>
        <v>346</v>
      </c>
      <c r="B351" s="18" t="n">
        <f aca="false">EDATE(B350,1)</f>
        <v>56796</v>
      </c>
      <c r="C351" s="19" t="n">
        <f aca="false">ROUNDUP(A351/12,0)</f>
        <v>29</v>
      </c>
      <c r="D351" s="26" t="n">
        <f aca="false">H350</f>
        <v>38142</v>
      </c>
      <c r="E351" s="26" t="n">
        <f aca="false">IF(D351&lt;=0,0,ROUND(D351*Calculator!$B$7/12,2))</f>
        <v>206.6</v>
      </c>
      <c r="F351" s="26" t="n">
        <f aca="false">IF(D351&lt;=0,0,ROUND(MIN(D351,Calculator!$H$6-E351),2))</f>
        <v>2448.09</v>
      </c>
      <c r="G351" s="26" t="n">
        <f aca="false">ROUND(E351+F351,2)</f>
        <v>2654.69</v>
      </c>
      <c r="H351" s="26" t="n">
        <f aca="false">ROUND(MAX(0,D351-F351),2)</f>
        <v>35693.91</v>
      </c>
      <c r="I351" s="26" t="n">
        <f aca="false">ROUND(E351+I350,2)</f>
        <v>534216.65</v>
      </c>
    </row>
    <row r="352" customFormat="false" ht="15" hidden="false" customHeight="true" outlineLevel="0" collapsed="false">
      <c r="A352" s="19" t="n">
        <f aca="false">A351+1</f>
        <v>347</v>
      </c>
      <c r="B352" s="18" t="n">
        <f aca="false">EDATE(B351,1)</f>
        <v>56827</v>
      </c>
      <c r="C352" s="19" t="n">
        <f aca="false">ROUNDUP(A352/12,0)</f>
        <v>29</v>
      </c>
      <c r="D352" s="26" t="n">
        <f aca="false">H351</f>
        <v>35693.91</v>
      </c>
      <c r="E352" s="26" t="n">
        <f aca="false">IF(D352&lt;=0,0,ROUND(D352*Calculator!$B$7/12,2))</f>
        <v>193.34</v>
      </c>
      <c r="F352" s="26" t="n">
        <f aca="false">IF(D352&lt;=0,0,ROUND(MIN(D352,Calculator!$H$6-E352),2))</f>
        <v>2461.35</v>
      </c>
      <c r="G352" s="26" t="n">
        <f aca="false">ROUND(E352+F352,2)</f>
        <v>2654.69</v>
      </c>
      <c r="H352" s="26" t="n">
        <f aca="false">ROUND(MAX(0,D352-F352),2)</f>
        <v>33232.56</v>
      </c>
      <c r="I352" s="26" t="n">
        <f aca="false">ROUND(E352+I351,2)</f>
        <v>534409.99</v>
      </c>
    </row>
    <row r="353" customFormat="false" ht="15" hidden="false" customHeight="true" outlineLevel="0" collapsed="false">
      <c r="A353" s="19" t="n">
        <f aca="false">A352+1</f>
        <v>348</v>
      </c>
      <c r="B353" s="18" t="n">
        <f aca="false">EDATE(B352,1)</f>
        <v>56858</v>
      </c>
      <c r="C353" s="19" t="n">
        <f aca="false">ROUNDUP(A353/12,0)</f>
        <v>29</v>
      </c>
      <c r="D353" s="26" t="n">
        <f aca="false">H352</f>
        <v>33232.56</v>
      </c>
      <c r="E353" s="26" t="n">
        <f aca="false">IF(D353&lt;=0,0,ROUND(D353*Calculator!$B$7/12,2))</f>
        <v>180.01</v>
      </c>
      <c r="F353" s="26" t="n">
        <f aca="false">IF(D353&lt;=0,0,ROUND(MIN(D353,Calculator!$H$6-E353),2))</f>
        <v>2474.68</v>
      </c>
      <c r="G353" s="26" t="n">
        <f aca="false">ROUND(E353+F353,2)</f>
        <v>2654.69</v>
      </c>
      <c r="H353" s="26" t="n">
        <f aca="false">ROUND(MAX(0,D353-F353),2)</f>
        <v>30757.88</v>
      </c>
      <c r="I353" s="26" t="n">
        <f aca="false">ROUND(E353+I352,2)</f>
        <v>534590</v>
      </c>
    </row>
    <row r="354" customFormat="false" ht="15" hidden="false" customHeight="true" outlineLevel="0" collapsed="false">
      <c r="A354" s="19" t="n">
        <f aca="false">A353+1</f>
        <v>349</v>
      </c>
      <c r="B354" s="18" t="n">
        <f aca="false">EDATE(B353,1)</f>
        <v>56888</v>
      </c>
      <c r="C354" s="19" t="n">
        <f aca="false">ROUNDUP(A354/12,0)</f>
        <v>30</v>
      </c>
      <c r="D354" s="26" t="n">
        <f aca="false">H353</f>
        <v>30757.88</v>
      </c>
      <c r="E354" s="26" t="n">
        <f aca="false">IF(D354&lt;=0,0,ROUND(D354*Calculator!$B$7/12,2))</f>
        <v>166.61</v>
      </c>
      <c r="F354" s="26" t="n">
        <f aca="false">IF(D354&lt;=0,0,ROUND(MIN(D354,Calculator!$H$6-E354),2))</f>
        <v>2488.08</v>
      </c>
      <c r="G354" s="26" t="n">
        <f aca="false">ROUND(E354+F354,2)</f>
        <v>2654.69</v>
      </c>
      <c r="H354" s="26" t="n">
        <f aca="false">ROUND(MAX(0,D354-F354),2)</f>
        <v>28269.8</v>
      </c>
      <c r="I354" s="26" t="n">
        <f aca="false">ROUND(E354+I353,2)</f>
        <v>534756.61</v>
      </c>
    </row>
    <row r="355" customFormat="false" ht="15" hidden="false" customHeight="true" outlineLevel="0" collapsed="false">
      <c r="A355" s="19" t="n">
        <f aca="false">A354+1</f>
        <v>350</v>
      </c>
      <c r="B355" s="18" t="n">
        <f aca="false">EDATE(B354,1)</f>
        <v>56919</v>
      </c>
      <c r="C355" s="19" t="n">
        <f aca="false">ROUNDUP(A355/12,0)</f>
        <v>30</v>
      </c>
      <c r="D355" s="26" t="n">
        <f aca="false">H354</f>
        <v>28269.8</v>
      </c>
      <c r="E355" s="26" t="n">
        <f aca="false">IF(D355&lt;=0,0,ROUND(D355*Calculator!$B$7/12,2))</f>
        <v>153.13</v>
      </c>
      <c r="F355" s="26" t="n">
        <f aca="false">IF(D355&lt;=0,0,ROUND(MIN(D355,Calculator!$H$6-E355),2))</f>
        <v>2501.56</v>
      </c>
      <c r="G355" s="26" t="n">
        <f aca="false">ROUND(E355+F355,2)</f>
        <v>2654.69</v>
      </c>
      <c r="H355" s="26" t="n">
        <f aca="false">ROUND(MAX(0,D355-F355),2)</f>
        <v>25768.24</v>
      </c>
      <c r="I355" s="26" t="n">
        <f aca="false">ROUND(E355+I354,2)</f>
        <v>534909.74</v>
      </c>
    </row>
    <row r="356" customFormat="false" ht="15" hidden="false" customHeight="true" outlineLevel="0" collapsed="false">
      <c r="A356" s="19" t="n">
        <f aca="false">A355+1</f>
        <v>351</v>
      </c>
      <c r="B356" s="18" t="n">
        <f aca="false">EDATE(B355,1)</f>
        <v>56949</v>
      </c>
      <c r="C356" s="19" t="n">
        <f aca="false">ROUNDUP(A356/12,0)</f>
        <v>30</v>
      </c>
      <c r="D356" s="26" t="n">
        <f aca="false">H355</f>
        <v>25768.24</v>
      </c>
      <c r="E356" s="26" t="n">
        <f aca="false">IF(D356&lt;=0,0,ROUND(D356*Calculator!$B$7/12,2))</f>
        <v>139.58</v>
      </c>
      <c r="F356" s="26" t="n">
        <f aca="false">IF(D356&lt;=0,0,ROUND(MIN(D356,Calculator!$H$6-E356),2))</f>
        <v>2515.11</v>
      </c>
      <c r="G356" s="26" t="n">
        <f aca="false">ROUND(E356+F356,2)</f>
        <v>2654.69</v>
      </c>
      <c r="H356" s="26" t="n">
        <f aca="false">ROUND(MAX(0,D356-F356),2)</f>
        <v>23253.13</v>
      </c>
      <c r="I356" s="26" t="n">
        <f aca="false">ROUND(E356+I355,2)</f>
        <v>535049.32</v>
      </c>
    </row>
    <row r="357" customFormat="false" ht="15" hidden="false" customHeight="true" outlineLevel="0" collapsed="false">
      <c r="A357" s="19" t="n">
        <f aca="false">A356+1</f>
        <v>352</v>
      </c>
      <c r="B357" s="18" t="n">
        <f aca="false">EDATE(B356,1)</f>
        <v>56980</v>
      </c>
      <c r="C357" s="19" t="n">
        <f aca="false">ROUNDUP(A357/12,0)</f>
        <v>30</v>
      </c>
      <c r="D357" s="26" t="n">
        <f aca="false">H356</f>
        <v>23253.13</v>
      </c>
      <c r="E357" s="26" t="n">
        <f aca="false">IF(D357&lt;=0,0,ROUND(D357*Calculator!$B$7/12,2))</f>
        <v>125.95</v>
      </c>
      <c r="F357" s="26" t="n">
        <f aca="false">IF(D357&lt;=0,0,ROUND(MIN(D357,Calculator!$H$6-E357),2))</f>
        <v>2528.74</v>
      </c>
      <c r="G357" s="26" t="n">
        <f aca="false">ROUND(E357+F357,2)</f>
        <v>2654.69</v>
      </c>
      <c r="H357" s="26" t="n">
        <f aca="false">ROUND(MAX(0,D357-F357),2)</f>
        <v>20724.39</v>
      </c>
      <c r="I357" s="26" t="n">
        <f aca="false">ROUND(E357+I356,2)</f>
        <v>535175.27</v>
      </c>
    </row>
    <row r="358" customFormat="false" ht="15" hidden="false" customHeight="true" outlineLevel="0" collapsed="false">
      <c r="A358" s="19" t="n">
        <f aca="false">A357+1</f>
        <v>353</v>
      </c>
      <c r="B358" s="18" t="n">
        <f aca="false">EDATE(B357,1)</f>
        <v>57011</v>
      </c>
      <c r="C358" s="19" t="n">
        <f aca="false">ROUNDUP(A358/12,0)</f>
        <v>30</v>
      </c>
      <c r="D358" s="26" t="n">
        <f aca="false">H357</f>
        <v>20724.39</v>
      </c>
      <c r="E358" s="26" t="n">
        <f aca="false">IF(D358&lt;=0,0,ROUND(D358*Calculator!$B$7/12,2))</f>
        <v>112.26</v>
      </c>
      <c r="F358" s="26" t="n">
        <f aca="false">IF(D358&lt;=0,0,ROUND(MIN(D358,Calculator!$H$6-E358),2))</f>
        <v>2542.43</v>
      </c>
      <c r="G358" s="26" t="n">
        <f aca="false">ROUND(E358+F358,2)</f>
        <v>2654.69</v>
      </c>
      <c r="H358" s="26" t="n">
        <f aca="false">ROUND(MAX(0,D358-F358),2)</f>
        <v>18181.96</v>
      </c>
      <c r="I358" s="26" t="n">
        <f aca="false">ROUND(E358+I357,2)</f>
        <v>535287.53</v>
      </c>
    </row>
    <row r="359" customFormat="false" ht="15" hidden="false" customHeight="true" outlineLevel="0" collapsed="false">
      <c r="A359" s="19" t="n">
        <f aca="false">A358+1</f>
        <v>354</v>
      </c>
      <c r="B359" s="18" t="n">
        <f aca="false">EDATE(B358,1)</f>
        <v>57040</v>
      </c>
      <c r="C359" s="19" t="n">
        <f aca="false">ROUNDUP(A359/12,0)</f>
        <v>30</v>
      </c>
      <c r="D359" s="26" t="n">
        <f aca="false">H358</f>
        <v>18181.96</v>
      </c>
      <c r="E359" s="26" t="n">
        <f aca="false">IF(D359&lt;=0,0,ROUND(D359*Calculator!$B$7/12,2))</f>
        <v>98.49</v>
      </c>
      <c r="F359" s="26" t="n">
        <f aca="false">IF(D359&lt;=0,0,ROUND(MIN(D359,Calculator!$H$6-E359),2))</f>
        <v>2556.2</v>
      </c>
      <c r="G359" s="26" t="n">
        <f aca="false">ROUND(E359+F359,2)</f>
        <v>2654.69</v>
      </c>
      <c r="H359" s="26" t="n">
        <f aca="false">ROUND(MAX(0,D359-F359),2)</f>
        <v>15625.76</v>
      </c>
      <c r="I359" s="26" t="n">
        <f aca="false">ROUND(E359+I358,2)</f>
        <v>535386.02</v>
      </c>
    </row>
    <row r="360" customFormat="false" ht="15" hidden="false" customHeight="true" outlineLevel="0" collapsed="false">
      <c r="A360" s="19" t="n">
        <f aca="false">A359+1</f>
        <v>355</v>
      </c>
      <c r="B360" s="18" t="n">
        <f aca="false">EDATE(B359,1)</f>
        <v>57071</v>
      </c>
      <c r="C360" s="19" t="n">
        <f aca="false">ROUNDUP(A360/12,0)</f>
        <v>30</v>
      </c>
      <c r="D360" s="26" t="n">
        <f aca="false">H359</f>
        <v>15625.76</v>
      </c>
      <c r="E360" s="26" t="n">
        <f aca="false">IF(D360&lt;=0,0,ROUND(D360*Calculator!$B$7/12,2))</f>
        <v>84.64</v>
      </c>
      <c r="F360" s="26" t="n">
        <f aca="false">IF(D360&lt;=0,0,ROUND(MIN(D360,Calculator!$H$6-E360),2))</f>
        <v>2570.05</v>
      </c>
      <c r="G360" s="26" t="n">
        <f aca="false">ROUND(E360+F360,2)</f>
        <v>2654.69</v>
      </c>
      <c r="H360" s="26" t="n">
        <f aca="false">ROUND(MAX(0,D360-F360),2)</f>
        <v>13055.71</v>
      </c>
      <c r="I360" s="26" t="n">
        <f aca="false">ROUND(E360+I359,2)</f>
        <v>535470.66</v>
      </c>
    </row>
    <row r="361" customFormat="false" ht="15" hidden="false" customHeight="true" outlineLevel="0" collapsed="false">
      <c r="A361" s="19" t="n">
        <f aca="false">A360+1</f>
        <v>356</v>
      </c>
      <c r="B361" s="18" t="n">
        <f aca="false">EDATE(B360,1)</f>
        <v>57101</v>
      </c>
      <c r="C361" s="19" t="n">
        <f aca="false">ROUNDUP(A361/12,0)</f>
        <v>30</v>
      </c>
      <c r="D361" s="26" t="n">
        <f aca="false">H360</f>
        <v>13055.71</v>
      </c>
      <c r="E361" s="26" t="n">
        <f aca="false">IF(D361&lt;=0,0,ROUND(D361*Calculator!$B$7/12,2))</f>
        <v>70.72</v>
      </c>
      <c r="F361" s="26" t="n">
        <f aca="false">IF(D361&lt;=0,0,ROUND(MIN(D361,Calculator!$H$6-E361),2))</f>
        <v>2583.97</v>
      </c>
      <c r="G361" s="26" t="n">
        <f aca="false">ROUND(E361+F361,2)</f>
        <v>2654.69</v>
      </c>
      <c r="H361" s="26" t="n">
        <f aca="false">ROUND(MAX(0,D361-F361),2)</f>
        <v>10471.74</v>
      </c>
      <c r="I361" s="26" t="n">
        <f aca="false">ROUND(E361+I360,2)</f>
        <v>535541.38</v>
      </c>
    </row>
    <row r="362" customFormat="false" ht="15" hidden="false" customHeight="true" outlineLevel="0" collapsed="false">
      <c r="A362" s="19" t="n">
        <f aca="false">A361+1</f>
        <v>357</v>
      </c>
      <c r="B362" s="18" t="n">
        <f aca="false">EDATE(B361,1)</f>
        <v>57132</v>
      </c>
      <c r="C362" s="19" t="n">
        <f aca="false">ROUNDUP(A362/12,0)</f>
        <v>30</v>
      </c>
      <c r="D362" s="26" t="n">
        <f aca="false">H361</f>
        <v>10471.74</v>
      </c>
      <c r="E362" s="26" t="n">
        <f aca="false">IF(D362&lt;=0,0,ROUND(D362*Calculator!$B$7/12,2))</f>
        <v>56.72</v>
      </c>
      <c r="F362" s="26" t="n">
        <f aca="false">IF(D362&lt;=0,0,ROUND(MIN(D362,Calculator!$H$6-E362),2))</f>
        <v>2597.97</v>
      </c>
      <c r="G362" s="26" t="n">
        <f aca="false">ROUND(E362+F362,2)</f>
        <v>2654.69</v>
      </c>
      <c r="H362" s="26" t="n">
        <f aca="false">ROUND(MAX(0,D362-F362),2)</f>
        <v>7873.77</v>
      </c>
      <c r="I362" s="26" t="n">
        <f aca="false">ROUND(E362+I361,2)</f>
        <v>535598.1</v>
      </c>
    </row>
    <row r="363" customFormat="false" ht="15" hidden="false" customHeight="true" outlineLevel="0" collapsed="false">
      <c r="A363" s="19" t="n">
        <f aca="false">A362+1</f>
        <v>358</v>
      </c>
      <c r="B363" s="18" t="n">
        <f aca="false">EDATE(B362,1)</f>
        <v>57162</v>
      </c>
      <c r="C363" s="19" t="n">
        <f aca="false">ROUNDUP(A363/12,0)</f>
        <v>30</v>
      </c>
      <c r="D363" s="26" t="n">
        <f aca="false">H362</f>
        <v>7873.77</v>
      </c>
      <c r="E363" s="26" t="n">
        <f aca="false">IF(D363&lt;=0,0,ROUND(D363*Calculator!$B$7/12,2))</f>
        <v>42.65</v>
      </c>
      <c r="F363" s="26" t="n">
        <f aca="false">IF(D363&lt;=0,0,ROUND(MIN(D363,Calculator!$H$6-E363),2))</f>
        <v>2612.04</v>
      </c>
      <c r="G363" s="26" t="n">
        <f aca="false">ROUND(E363+F363,2)</f>
        <v>2654.69</v>
      </c>
      <c r="H363" s="26" t="n">
        <f aca="false">ROUND(MAX(0,D363-F363),2)</f>
        <v>5261.73</v>
      </c>
      <c r="I363" s="26" t="n">
        <f aca="false">ROUND(E363+I362,2)</f>
        <v>535640.75</v>
      </c>
    </row>
    <row r="364" customFormat="false" ht="15" hidden="false" customHeight="true" outlineLevel="0" collapsed="false">
      <c r="A364" s="19" t="n">
        <f aca="false">A363+1</f>
        <v>359</v>
      </c>
      <c r="B364" s="18" t="n">
        <f aca="false">EDATE(B363,1)</f>
        <v>57193</v>
      </c>
      <c r="C364" s="19" t="n">
        <f aca="false">ROUNDUP(A364/12,0)</f>
        <v>30</v>
      </c>
      <c r="D364" s="26" t="n">
        <f aca="false">H363</f>
        <v>5261.73</v>
      </c>
      <c r="E364" s="26" t="n">
        <f aca="false">IF(D364&lt;=0,0,ROUND(D364*Calculator!$B$7/12,2))</f>
        <v>28.5</v>
      </c>
      <c r="F364" s="26" t="n">
        <f aca="false">IF(D364&lt;=0,0,ROUND(MIN(D364,Calculator!$H$6-E364),2))</f>
        <v>2626.19</v>
      </c>
      <c r="G364" s="26" t="n">
        <f aca="false">ROUND(E364+F364,2)</f>
        <v>2654.69</v>
      </c>
      <c r="H364" s="26" t="n">
        <f aca="false">ROUND(MAX(0,D364-F364),2)</f>
        <v>2635.54</v>
      </c>
      <c r="I364" s="26" t="n">
        <f aca="false">ROUND(E364+I363,2)</f>
        <v>535669.25</v>
      </c>
    </row>
    <row r="365" customFormat="false" ht="15" hidden="false" customHeight="true" outlineLevel="0" collapsed="false">
      <c r="A365" s="19" t="n">
        <f aca="false">A364+1</f>
        <v>360</v>
      </c>
      <c r="B365" s="18" t="n">
        <f aca="false">EDATE(B364,1)</f>
        <v>57224</v>
      </c>
      <c r="C365" s="19" t="n">
        <f aca="false">ROUNDUP(A365/12,0)</f>
        <v>30</v>
      </c>
      <c r="D365" s="26" t="n">
        <f aca="false">H364</f>
        <v>2635.54</v>
      </c>
      <c r="E365" s="26" t="n">
        <f aca="false">IF(D365&lt;=0,0,ROUND(D365*Calculator!$B$7/12,2))</f>
        <v>14.28</v>
      </c>
      <c r="F365" s="26" t="n">
        <f aca="false">IF(D365&lt;=0,0,ROUND(MIN(D365,Calculator!$H$6-E365),2))</f>
        <v>2635.54</v>
      </c>
      <c r="G365" s="26" t="n">
        <f aca="false">ROUND(E365+F365,2)</f>
        <v>2649.82</v>
      </c>
      <c r="H365" s="26" t="n">
        <f aca="false">ROUND(MAX(0,D365-F365),2)</f>
        <v>0</v>
      </c>
      <c r="I365" s="26" t="n">
        <f aca="false">ROUND(E365+I364,2)</f>
        <v>535683.53</v>
      </c>
    </row>
    <row r="366" customFormat="false" ht="15" hidden="false" customHeight="true" outlineLevel="0" collapsed="false">
      <c r="A366" s="19" t="n">
        <f aca="false">A365+1</f>
        <v>361</v>
      </c>
      <c r="B366" s="18" t="n">
        <f aca="false">EDATE(B365,1)</f>
        <v>57254</v>
      </c>
      <c r="C366" s="19" t="n">
        <f aca="false">ROUNDUP(A366/12,0)</f>
        <v>31</v>
      </c>
      <c r="D366" s="26" t="n">
        <f aca="false">H365</f>
        <v>0</v>
      </c>
      <c r="E366" s="26" t="n">
        <f aca="false">IF(D366&lt;=0,0,ROUND(D366*Calculator!$B$7/12,2))</f>
        <v>0</v>
      </c>
      <c r="F366" s="26" t="n">
        <f aca="false">IF(D366&lt;=0,0,ROUND(MIN(D366,Calculator!$H$6-E366),2))</f>
        <v>0</v>
      </c>
      <c r="G366" s="26" t="n">
        <f aca="false">ROUND(E366+F366,2)</f>
        <v>0</v>
      </c>
      <c r="H366" s="26" t="n">
        <f aca="false">ROUND(MAX(0,D366-F366),2)</f>
        <v>0</v>
      </c>
      <c r="I366" s="26" t="n">
        <f aca="false">ROUND(E366+I365,2)</f>
        <v>535683.53</v>
      </c>
    </row>
    <row r="367" customFormat="false" ht="15" hidden="false" customHeight="true" outlineLevel="0" collapsed="false">
      <c r="A367" s="19" t="n">
        <f aca="false">A366+1</f>
        <v>362</v>
      </c>
      <c r="B367" s="18" t="n">
        <f aca="false">EDATE(B366,1)</f>
        <v>57285</v>
      </c>
      <c r="C367" s="19" t="n">
        <f aca="false">ROUNDUP(A367/12,0)</f>
        <v>31</v>
      </c>
      <c r="D367" s="26" t="n">
        <f aca="false">H366</f>
        <v>0</v>
      </c>
      <c r="E367" s="26" t="n">
        <f aca="false">IF(D367&lt;=0,0,ROUND(D367*Calculator!$B$7/12,2))</f>
        <v>0</v>
      </c>
      <c r="F367" s="26" t="n">
        <f aca="false">IF(D367&lt;=0,0,ROUND(MIN(D367,Calculator!$H$6-E367),2))</f>
        <v>0</v>
      </c>
      <c r="G367" s="26" t="n">
        <f aca="false">ROUND(E367+F367,2)</f>
        <v>0</v>
      </c>
      <c r="H367" s="26" t="n">
        <f aca="false">ROUND(MAX(0,D367-F367),2)</f>
        <v>0</v>
      </c>
      <c r="I367" s="26" t="n">
        <f aca="false">ROUND(E367+I366,2)</f>
        <v>535683.53</v>
      </c>
    </row>
    <row r="368" customFormat="false" ht="15" hidden="false" customHeight="true" outlineLevel="0" collapsed="false">
      <c r="A368" s="19" t="n">
        <f aca="false">A367+1</f>
        <v>363</v>
      </c>
      <c r="B368" s="18" t="n">
        <f aca="false">EDATE(B367,1)</f>
        <v>57315</v>
      </c>
      <c r="C368" s="19" t="n">
        <f aca="false">ROUNDUP(A368/12,0)</f>
        <v>31</v>
      </c>
      <c r="D368" s="26" t="n">
        <f aca="false">H367</f>
        <v>0</v>
      </c>
      <c r="E368" s="26" t="n">
        <f aca="false">IF(D368&lt;=0,0,ROUND(D368*Calculator!$B$7/12,2))</f>
        <v>0</v>
      </c>
      <c r="F368" s="26" t="n">
        <f aca="false">IF(D368&lt;=0,0,ROUND(MIN(D368,Calculator!$H$6-E368),2))</f>
        <v>0</v>
      </c>
      <c r="G368" s="26" t="n">
        <f aca="false">ROUND(E368+F368,2)</f>
        <v>0</v>
      </c>
      <c r="H368" s="26" t="n">
        <f aca="false">ROUND(MAX(0,D368-F368),2)</f>
        <v>0</v>
      </c>
      <c r="I368" s="26" t="n">
        <f aca="false">ROUND(E368+I367,2)</f>
        <v>535683.53</v>
      </c>
    </row>
    <row r="369" customFormat="false" ht="15" hidden="false" customHeight="true" outlineLevel="0" collapsed="false">
      <c r="A369" s="19" t="n">
        <f aca="false">A368+1</f>
        <v>364</v>
      </c>
      <c r="B369" s="18" t="n">
        <f aca="false">EDATE(B368,1)</f>
        <v>57346</v>
      </c>
      <c r="C369" s="19" t="n">
        <f aca="false">ROUNDUP(A369/12,0)</f>
        <v>31</v>
      </c>
      <c r="D369" s="26" t="n">
        <f aca="false">H368</f>
        <v>0</v>
      </c>
      <c r="E369" s="26" t="n">
        <f aca="false">IF(D369&lt;=0,0,ROUND(D369*Calculator!$B$7/12,2))</f>
        <v>0</v>
      </c>
      <c r="F369" s="26" t="n">
        <f aca="false">IF(D369&lt;=0,0,ROUND(MIN(D369,Calculator!$H$6-E369),2))</f>
        <v>0</v>
      </c>
      <c r="G369" s="26" t="n">
        <f aca="false">ROUND(E369+F369,2)</f>
        <v>0</v>
      </c>
      <c r="H369" s="26" t="n">
        <f aca="false">ROUND(MAX(0,D369-F369),2)</f>
        <v>0</v>
      </c>
      <c r="I369" s="26" t="n">
        <f aca="false">ROUND(E369+I368,2)</f>
        <v>535683.53</v>
      </c>
    </row>
    <row r="370" customFormat="false" ht="15" hidden="false" customHeight="true" outlineLevel="0" collapsed="false">
      <c r="A370" s="19" t="n">
        <f aca="false">A369+1</f>
        <v>365</v>
      </c>
      <c r="B370" s="18" t="n">
        <f aca="false">EDATE(B369,1)</f>
        <v>57377</v>
      </c>
      <c r="C370" s="19" t="n">
        <f aca="false">ROUNDUP(A370/12,0)</f>
        <v>31</v>
      </c>
      <c r="D370" s="26" t="n">
        <f aca="false">H369</f>
        <v>0</v>
      </c>
      <c r="E370" s="26" t="n">
        <f aca="false">IF(D370&lt;=0,0,ROUND(D370*Calculator!$B$7/12,2))</f>
        <v>0</v>
      </c>
      <c r="F370" s="26" t="n">
        <f aca="false">IF(D370&lt;=0,0,ROUND(MIN(D370,Calculator!$H$6-E370),2))</f>
        <v>0</v>
      </c>
      <c r="G370" s="26" t="n">
        <f aca="false">ROUND(E370+F370,2)</f>
        <v>0</v>
      </c>
      <c r="H370" s="26" t="n">
        <f aca="false">ROUND(MAX(0,D370-F370),2)</f>
        <v>0</v>
      </c>
      <c r="I370" s="26" t="n">
        <f aca="false">ROUND(E370+I369,2)</f>
        <v>535683.53</v>
      </c>
    </row>
    <row r="371" customFormat="false" ht="15" hidden="false" customHeight="true" outlineLevel="0" collapsed="false">
      <c r="A371" s="19" t="n">
        <f aca="false">A370+1</f>
        <v>366</v>
      </c>
      <c r="B371" s="18" t="n">
        <f aca="false">EDATE(B370,1)</f>
        <v>57405</v>
      </c>
      <c r="C371" s="19" t="n">
        <f aca="false">ROUNDUP(A371/12,0)</f>
        <v>31</v>
      </c>
      <c r="D371" s="26" t="n">
        <f aca="false">H370</f>
        <v>0</v>
      </c>
      <c r="E371" s="26" t="n">
        <f aca="false">IF(D371&lt;=0,0,ROUND(D371*Calculator!$B$7/12,2))</f>
        <v>0</v>
      </c>
      <c r="F371" s="26" t="n">
        <f aca="false">IF(D371&lt;=0,0,ROUND(MIN(D371,Calculator!$H$6-E371),2))</f>
        <v>0</v>
      </c>
      <c r="G371" s="26" t="n">
        <f aca="false">ROUND(E371+F371,2)</f>
        <v>0</v>
      </c>
      <c r="H371" s="26" t="n">
        <f aca="false">ROUND(MAX(0,D371-F371),2)</f>
        <v>0</v>
      </c>
      <c r="I371" s="26" t="n">
        <f aca="false">ROUND(E371+I370,2)</f>
        <v>535683.53</v>
      </c>
    </row>
    <row r="372" customFormat="false" ht="15" hidden="false" customHeight="true" outlineLevel="0" collapsed="false">
      <c r="A372" s="19" t="n">
        <f aca="false">A371+1</f>
        <v>367</v>
      </c>
      <c r="B372" s="18" t="n">
        <f aca="false">EDATE(B371,1)</f>
        <v>57436</v>
      </c>
      <c r="C372" s="19" t="n">
        <f aca="false">ROUNDUP(A372/12,0)</f>
        <v>31</v>
      </c>
      <c r="D372" s="26" t="n">
        <f aca="false">H371</f>
        <v>0</v>
      </c>
      <c r="E372" s="26" t="n">
        <f aca="false">IF(D372&lt;=0,0,ROUND(D372*Calculator!$B$7/12,2))</f>
        <v>0</v>
      </c>
      <c r="F372" s="26" t="n">
        <f aca="false">IF(D372&lt;=0,0,ROUND(MIN(D372,Calculator!$H$6-E372),2))</f>
        <v>0</v>
      </c>
      <c r="G372" s="26" t="n">
        <f aca="false">ROUND(E372+F372,2)</f>
        <v>0</v>
      </c>
      <c r="H372" s="26" t="n">
        <f aca="false">ROUND(MAX(0,D372-F372),2)</f>
        <v>0</v>
      </c>
      <c r="I372" s="26" t="n">
        <f aca="false">ROUND(E372+I371,2)</f>
        <v>535683.53</v>
      </c>
    </row>
    <row r="373" customFormat="false" ht="15" hidden="false" customHeight="true" outlineLevel="0" collapsed="false">
      <c r="A373" s="19" t="n">
        <f aca="false">A372+1</f>
        <v>368</v>
      </c>
      <c r="B373" s="18" t="n">
        <f aca="false">EDATE(B372,1)</f>
        <v>57466</v>
      </c>
      <c r="C373" s="19" t="n">
        <f aca="false">ROUNDUP(A373/12,0)</f>
        <v>31</v>
      </c>
      <c r="D373" s="26" t="n">
        <f aca="false">H372</f>
        <v>0</v>
      </c>
      <c r="E373" s="26" t="n">
        <f aca="false">IF(D373&lt;=0,0,ROUND(D373*Calculator!$B$7/12,2))</f>
        <v>0</v>
      </c>
      <c r="F373" s="26" t="n">
        <f aca="false">IF(D373&lt;=0,0,ROUND(MIN(D373,Calculator!$H$6-E373),2))</f>
        <v>0</v>
      </c>
      <c r="G373" s="26" t="n">
        <f aca="false">ROUND(E373+F373,2)</f>
        <v>0</v>
      </c>
      <c r="H373" s="26" t="n">
        <f aca="false">ROUND(MAX(0,D373-F373),2)</f>
        <v>0</v>
      </c>
      <c r="I373" s="26" t="n">
        <f aca="false">ROUND(E373+I372,2)</f>
        <v>535683.53</v>
      </c>
    </row>
    <row r="374" customFormat="false" ht="15" hidden="false" customHeight="true" outlineLevel="0" collapsed="false">
      <c r="A374" s="19" t="n">
        <f aca="false">A373+1</f>
        <v>369</v>
      </c>
      <c r="B374" s="18" t="n">
        <f aca="false">EDATE(B373,1)</f>
        <v>57497</v>
      </c>
      <c r="C374" s="19" t="n">
        <f aca="false">ROUNDUP(A374/12,0)</f>
        <v>31</v>
      </c>
      <c r="D374" s="26" t="n">
        <f aca="false">H373</f>
        <v>0</v>
      </c>
      <c r="E374" s="26" t="n">
        <f aca="false">IF(D374&lt;=0,0,ROUND(D374*Calculator!$B$7/12,2))</f>
        <v>0</v>
      </c>
      <c r="F374" s="26" t="n">
        <f aca="false">IF(D374&lt;=0,0,ROUND(MIN(D374,Calculator!$H$6-E374),2))</f>
        <v>0</v>
      </c>
      <c r="G374" s="26" t="n">
        <f aca="false">ROUND(E374+F374,2)</f>
        <v>0</v>
      </c>
      <c r="H374" s="26" t="n">
        <f aca="false">ROUND(MAX(0,D374-F374),2)</f>
        <v>0</v>
      </c>
      <c r="I374" s="26" t="n">
        <f aca="false">ROUND(E374+I373,2)</f>
        <v>535683.53</v>
      </c>
    </row>
    <row r="375" customFormat="false" ht="15" hidden="false" customHeight="true" outlineLevel="0" collapsed="false">
      <c r="A375" s="19" t="n">
        <f aca="false">A374+1</f>
        <v>370</v>
      </c>
      <c r="B375" s="18" t="n">
        <f aca="false">EDATE(B374,1)</f>
        <v>57527</v>
      </c>
      <c r="C375" s="19" t="n">
        <f aca="false">ROUNDUP(A375/12,0)</f>
        <v>31</v>
      </c>
      <c r="D375" s="26" t="n">
        <f aca="false">H374</f>
        <v>0</v>
      </c>
      <c r="E375" s="26" t="n">
        <f aca="false">IF(D375&lt;=0,0,ROUND(D375*Calculator!$B$7/12,2))</f>
        <v>0</v>
      </c>
      <c r="F375" s="26" t="n">
        <f aca="false">IF(D375&lt;=0,0,ROUND(MIN(D375,Calculator!$H$6-E375),2))</f>
        <v>0</v>
      </c>
      <c r="G375" s="26" t="n">
        <f aca="false">ROUND(E375+F375,2)</f>
        <v>0</v>
      </c>
      <c r="H375" s="26" t="n">
        <f aca="false">ROUND(MAX(0,D375-F375),2)</f>
        <v>0</v>
      </c>
      <c r="I375" s="26" t="n">
        <f aca="false">ROUND(E375+I374,2)</f>
        <v>535683.53</v>
      </c>
    </row>
    <row r="376" customFormat="false" ht="15" hidden="false" customHeight="true" outlineLevel="0" collapsed="false">
      <c r="A376" s="19" t="n">
        <f aca="false">A375+1</f>
        <v>371</v>
      </c>
      <c r="B376" s="18" t="n">
        <f aca="false">EDATE(B375,1)</f>
        <v>57558</v>
      </c>
      <c r="C376" s="19" t="n">
        <f aca="false">ROUNDUP(A376/12,0)</f>
        <v>31</v>
      </c>
      <c r="D376" s="26" t="n">
        <f aca="false">H375</f>
        <v>0</v>
      </c>
      <c r="E376" s="26" t="n">
        <f aca="false">IF(D376&lt;=0,0,ROUND(D376*Calculator!$B$7/12,2))</f>
        <v>0</v>
      </c>
      <c r="F376" s="26" t="n">
        <f aca="false">IF(D376&lt;=0,0,ROUND(MIN(D376,Calculator!$H$6-E376),2))</f>
        <v>0</v>
      </c>
      <c r="G376" s="26" t="n">
        <f aca="false">ROUND(E376+F376,2)</f>
        <v>0</v>
      </c>
      <c r="H376" s="26" t="n">
        <f aca="false">ROUND(MAX(0,D376-F376),2)</f>
        <v>0</v>
      </c>
      <c r="I376" s="26" t="n">
        <f aca="false">ROUND(E376+I375,2)</f>
        <v>535683.53</v>
      </c>
    </row>
    <row r="377" customFormat="false" ht="15" hidden="false" customHeight="true" outlineLevel="0" collapsed="false">
      <c r="A377" s="19" t="n">
        <f aca="false">A376+1</f>
        <v>372</v>
      </c>
      <c r="B377" s="18" t="n">
        <f aca="false">EDATE(B376,1)</f>
        <v>57589</v>
      </c>
      <c r="C377" s="19" t="n">
        <f aca="false">ROUNDUP(A377/12,0)</f>
        <v>31</v>
      </c>
      <c r="D377" s="26" t="n">
        <f aca="false">H376</f>
        <v>0</v>
      </c>
      <c r="E377" s="26" t="n">
        <f aca="false">IF(D377&lt;=0,0,ROUND(D377*Calculator!$B$7/12,2))</f>
        <v>0</v>
      </c>
      <c r="F377" s="26" t="n">
        <f aca="false">IF(D377&lt;=0,0,ROUND(MIN(D377,Calculator!$H$6-E377),2))</f>
        <v>0</v>
      </c>
      <c r="G377" s="26" t="n">
        <f aca="false">ROUND(E377+F377,2)</f>
        <v>0</v>
      </c>
      <c r="H377" s="26" t="n">
        <f aca="false">ROUND(MAX(0,D377-F377),2)</f>
        <v>0</v>
      </c>
      <c r="I377" s="26" t="n">
        <f aca="false">ROUND(E377+I376,2)</f>
        <v>535683.53</v>
      </c>
    </row>
    <row r="378" customFormat="false" ht="15" hidden="false" customHeight="true" outlineLevel="0" collapsed="false">
      <c r="A378" s="19" t="n">
        <f aca="false">A377+1</f>
        <v>373</v>
      </c>
      <c r="B378" s="18" t="n">
        <f aca="false">EDATE(B377,1)</f>
        <v>57619</v>
      </c>
      <c r="C378" s="19" t="n">
        <f aca="false">ROUNDUP(A378/12,0)</f>
        <v>32</v>
      </c>
      <c r="D378" s="26" t="n">
        <f aca="false">H377</f>
        <v>0</v>
      </c>
      <c r="E378" s="26" t="n">
        <f aca="false">IF(D378&lt;=0,0,ROUND(D378*Calculator!$B$7/12,2))</f>
        <v>0</v>
      </c>
      <c r="F378" s="26" t="n">
        <f aca="false">IF(D378&lt;=0,0,ROUND(MIN(D378,Calculator!$H$6-E378),2))</f>
        <v>0</v>
      </c>
      <c r="G378" s="26" t="n">
        <f aca="false">ROUND(E378+F378,2)</f>
        <v>0</v>
      </c>
      <c r="H378" s="26" t="n">
        <f aca="false">ROUND(MAX(0,D378-F378),2)</f>
        <v>0</v>
      </c>
      <c r="I378" s="26" t="n">
        <f aca="false">ROUND(E378+I377,2)</f>
        <v>535683.53</v>
      </c>
    </row>
    <row r="379" customFormat="false" ht="15" hidden="false" customHeight="true" outlineLevel="0" collapsed="false">
      <c r="A379" s="19" t="n">
        <f aca="false">A378+1</f>
        <v>374</v>
      </c>
      <c r="B379" s="18" t="n">
        <f aca="false">EDATE(B378,1)</f>
        <v>57650</v>
      </c>
      <c r="C379" s="19" t="n">
        <f aca="false">ROUNDUP(A379/12,0)</f>
        <v>32</v>
      </c>
      <c r="D379" s="26" t="n">
        <f aca="false">H378</f>
        <v>0</v>
      </c>
      <c r="E379" s="26" t="n">
        <f aca="false">IF(D379&lt;=0,0,ROUND(D379*Calculator!$B$7/12,2))</f>
        <v>0</v>
      </c>
      <c r="F379" s="26" t="n">
        <f aca="false">IF(D379&lt;=0,0,ROUND(MIN(D379,Calculator!$H$6-E379),2))</f>
        <v>0</v>
      </c>
      <c r="G379" s="26" t="n">
        <f aca="false">ROUND(E379+F379,2)</f>
        <v>0</v>
      </c>
      <c r="H379" s="26" t="n">
        <f aca="false">ROUND(MAX(0,D379-F379),2)</f>
        <v>0</v>
      </c>
      <c r="I379" s="26" t="n">
        <f aca="false">ROUND(E379+I378,2)</f>
        <v>535683.53</v>
      </c>
    </row>
    <row r="380" customFormat="false" ht="15" hidden="false" customHeight="true" outlineLevel="0" collapsed="false">
      <c r="A380" s="19" t="n">
        <f aca="false">A379+1</f>
        <v>375</v>
      </c>
      <c r="B380" s="18" t="n">
        <f aca="false">EDATE(B379,1)</f>
        <v>57680</v>
      </c>
      <c r="C380" s="19" t="n">
        <f aca="false">ROUNDUP(A380/12,0)</f>
        <v>32</v>
      </c>
      <c r="D380" s="26" t="n">
        <f aca="false">H379</f>
        <v>0</v>
      </c>
      <c r="E380" s="26" t="n">
        <f aca="false">IF(D380&lt;=0,0,ROUND(D380*Calculator!$B$7/12,2))</f>
        <v>0</v>
      </c>
      <c r="F380" s="26" t="n">
        <f aca="false">IF(D380&lt;=0,0,ROUND(MIN(D380,Calculator!$H$6-E380),2))</f>
        <v>0</v>
      </c>
      <c r="G380" s="26" t="n">
        <f aca="false">ROUND(E380+F380,2)</f>
        <v>0</v>
      </c>
      <c r="H380" s="26" t="n">
        <f aca="false">ROUND(MAX(0,D380-F380),2)</f>
        <v>0</v>
      </c>
      <c r="I380" s="26" t="n">
        <f aca="false">ROUND(E380+I379,2)</f>
        <v>535683.53</v>
      </c>
    </row>
    <row r="381" customFormat="false" ht="15" hidden="false" customHeight="true" outlineLevel="0" collapsed="false">
      <c r="A381" s="19" t="n">
        <f aca="false">A380+1</f>
        <v>376</v>
      </c>
      <c r="B381" s="18" t="n">
        <f aca="false">EDATE(B380,1)</f>
        <v>57711</v>
      </c>
      <c r="C381" s="19" t="n">
        <f aca="false">ROUNDUP(A381/12,0)</f>
        <v>32</v>
      </c>
      <c r="D381" s="26" t="n">
        <f aca="false">H380</f>
        <v>0</v>
      </c>
      <c r="E381" s="26" t="n">
        <f aca="false">IF(D381&lt;=0,0,ROUND(D381*Calculator!$B$7/12,2))</f>
        <v>0</v>
      </c>
      <c r="F381" s="26" t="n">
        <f aca="false">IF(D381&lt;=0,0,ROUND(MIN(D381,Calculator!$H$6-E381),2))</f>
        <v>0</v>
      </c>
      <c r="G381" s="26" t="n">
        <f aca="false">ROUND(E381+F381,2)</f>
        <v>0</v>
      </c>
      <c r="H381" s="26" t="n">
        <f aca="false">ROUND(MAX(0,D381-F381),2)</f>
        <v>0</v>
      </c>
      <c r="I381" s="26" t="n">
        <f aca="false">ROUND(E381+I380,2)</f>
        <v>535683.53</v>
      </c>
    </row>
    <row r="382" customFormat="false" ht="15" hidden="false" customHeight="true" outlineLevel="0" collapsed="false">
      <c r="A382" s="19" t="n">
        <f aca="false">A381+1</f>
        <v>377</v>
      </c>
      <c r="B382" s="18" t="n">
        <f aca="false">EDATE(B381,1)</f>
        <v>57742</v>
      </c>
      <c r="C382" s="19" t="n">
        <f aca="false">ROUNDUP(A382/12,0)</f>
        <v>32</v>
      </c>
      <c r="D382" s="26" t="n">
        <f aca="false">H381</f>
        <v>0</v>
      </c>
      <c r="E382" s="26" t="n">
        <f aca="false">IF(D382&lt;=0,0,ROUND(D382*Calculator!$B$7/12,2))</f>
        <v>0</v>
      </c>
      <c r="F382" s="26" t="n">
        <f aca="false">IF(D382&lt;=0,0,ROUND(MIN(D382,Calculator!$H$6-E382),2))</f>
        <v>0</v>
      </c>
      <c r="G382" s="26" t="n">
        <f aca="false">ROUND(E382+F382,2)</f>
        <v>0</v>
      </c>
      <c r="H382" s="26" t="n">
        <f aca="false">ROUND(MAX(0,D382-F382),2)</f>
        <v>0</v>
      </c>
      <c r="I382" s="26" t="n">
        <f aca="false">ROUND(E382+I381,2)</f>
        <v>535683.53</v>
      </c>
    </row>
    <row r="383" customFormat="false" ht="15" hidden="false" customHeight="true" outlineLevel="0" collapsed="false">
      <c r="A383" s="19" t="n">
        <f aca="false">A382+1</f>
        <v>378</v>
      </c>
      <c r="B383" s="18" t="n">
        <f aca="false">EDATE(B382,1)</f>
        <v>57770</v>
      </c>
      <c r="C383" s="19" t="n">
        <f aca="false">ROUNDUP(A383/12,0)</f>
        <v>32</v>
      </c>
      <c r="D383" s="26" t="n">
        <f aca="false">H382</f>
        <v>0</v>
      </c>
      <c r="E383" s="26" t="n">
        <f aca="false">IF(D383&lt;=0,0,ROUND(D383*Calculator!$B$7/12,2))</f>
        <v>0</v>
      </c>
      <c r="F383" s="26" t="n">
        <f aca="false">IF(D383&lt;=0,0,ROUND(MIN(D383,Calculator!$H$6-E383),2))</f>
        <v>0</v>
      </c>
      <c r="G383" s="26" t="n">
        <f aca="false">ROUND(E383+F383,2)</f>
        <v>0</v>
      </c>
      <c r="H383" s="26" t="n">
        <f aca="false">ROUND(MAX(0,D383-F383),2)</f>
        <v>0</v>
      </c>
      <c r="I383" s="26" t="n">
        <f aca="false">ROUND(E383+I382,2)</f>
        <v>535683.53</v>
      </c>
    </row>
    <row r="384" customFormat="false" ht="15" hidden="false" customHeight="true" outlineLevel="0" collapsed="false">
      <c r="A384" s="19" t="n">
        <f aca="false">A383+1</f>
        <v>379</v>
      </c>
      <c r="B384" s="18" t="n">
        <f aca="false">EDATE(B383,1)</f>
        <v>57801</v>
      </c>
      <c r="C384" s="19" t="n">
        <f aca="false">ROUNDUP(A384/12,0)</f>
        <v>32</v>
      </c>
      <c r="D384" s="26" t="n">
        <f aca="false">H383</f>
        <v>0</v>
      </c>
      <c r="E384" s="26" t="n">
        <f aca="false">IF(D384&lt;=0,0,ROUND(D384*Calculator!$B$7/12,2))</f>
        <v>0</v>
      </c>
      <c r="F384" s="26" t="n">
        <f aca="false">IF(D384&lt;=0,0,ROUND(MIN(D384,Calculator!$H$6-E384),2))</f>
        <v>0</v>
      </c>
      <c r="G384" s="26" t="n">
        <f aca="false">ROUND(E384+F384,2)</f>
        <v>0</v>
      </c>
      <c r="H384" s="26" t="n">
        <f aca="false">ROUND(MAX(0,D384-F384),2)</f>
        <v>0</v>
      </c>
      <c r="I384" s="26" t="n">
        <f aca="false">ROUND(E384+I383,2)</f>
        <v>535683.53</v>
      </c>
    </row>
    <row r="385" customFormat="false" ht="15" hidden="false" customHeight="true" outlineLevel="0" collapsed="false">
      <c r="A385" s="19" t="n">
        <f aca="false">A384+1</f>
        <v>380</v>
      </c>
      <c r="B385" s="18" t="n">
        <f aca="false">EDATE(B384,1)</f>
        <v>57831</v>
      </c>
      <c r="C385" s="19" t="n">
        <f aca="false">ROUNDUP(A385/12,0)</f>
        <v>32</v>
      </c>
      <c r="D385" s="26" t="n">
        <f aca="false">H384</f>
        <v>0</v>
      </c>
      <c r="E385" s="26" t="n">
        <f aca="false">IF(D385&lt;=0,0,ROUND(D385*Calculator!$B$7/12,2))</f>
        <v>0</v>
      </c>
      <c r="F385" s="26" t="n">
        <f aca="false">IF(D385&lt;=0,0,ROUND(MIN(D385,Calculator!$H$6-E385),2))</f>
        <v>0</v>
      </c>
      <c r="G385" s="26" t="n">
        <f aca="false">ROUND(E385+F385,2)</f>
        <v>0</v>
      </c>
      <c r="H385" s="26" t="n">
        <f aca="false">ROUND(MAX(0,D385-F385),2)</f>
        <v>0</v>
      </c>
      <c r="I385" s="26" t="n">
        <f aca="false">ROUND(E385+I384,2)</f>
        <v>535683.53</v>
      </c>
    </row>
    <row r="386" customFormat="false" ht="15" hidden="false" customHeight="true" outlineLevel="0" collapsed="false">
      <c r="A386" s="19" t="n">
        <f aca="false">A385+1</f>
        <v>381</v>
      </c>
      <c r="B386" s="18" t="n">
        <f aca="false">EDATE(B385,1)</f>
        <v>57862</v>
      </c>
      <c r="C386" s="19" t="n">
        <f aca="false">ROUNDUP(A386/12,0)</f>
        <v>32</v>
      </c>
      <c r="D386" s="26" t="n">
        <f aca="false">H385</f>
        <v>0</v>
      </c>
      <c r="E386" s="26" t="n">
        <f aca="false">IF(D386&lt;=0,0,ROUND(D386*Calculator!$B$7/12,2))</f>
        <v>0</v>
      </c>
      <c r="F386" s="26" t="n">
        <f aca="false">IF(D386&lt;=0,0,ROUND(MIN(D386,Calculator!$H$6-E386),2))</f>
        <v>0</v>
      </c>
      <c r="G386" s="26" t="n">
        <f aca="false">ROUND(E386+F386,2)</f>
        <v>0</v>
      </c>
      <c r="H386" s="26" t="n">
        <f aca="false">ROUND(MAX(0,D386-F386),2)</f>
        <v>0</v>
      </c>
      <c r="I386" s="26" t="n">
        <f aca="false">ROUND(E386+I385,2)</f>
        <v>535683.53</v>
      </c>
    </row>
    <row r="387" customFormat="false" ht="15" hidden="false" customHeight="true" outlineLevel="0" collapsed="false">
      <c r="A387" s="19" t="n">
        <f aca="false">A386+1</f>
        <v>382</v>
      </c>
      <c r="B387" s="18" t="n">
        <f aca="false">EDATE(B386,1)</f>
        <v>57892</v>
      </c>
      <c r="C387" s="19" t="n">
        <f aca="false">ROUNDUP(A387/12,0)</f>
        <v>32</v>
      </c>
      <c r="D387" s="26" t="n">
        <f aca="false">H386</f>
        <v>0</v>
      </c>
      <c r="E387" s="26" t="n">
        <f aca="false">IF(D387&lt;=0,0,ROUND(D387*Calculator!$B$7/12,2))</f>
        <v>0</v>
      </c>
      <c r="F387" s="26" t="n">
        <f aca="false">IF(D387&lt;=0,0,ROUND(MIN(D387,Calculator!$H$6-E387),2))</f>
        <v>0</v>
      </c>
      <c r="G387" s="26" t="n">
        <f aca="false">ROUND(E387+F387,2)</f>
        <v>0</v>
      </c>
      <c r="H387" s="26" t="n">
        <f aca="false">ROUND(MAX(0,D387-F387),2)</f>
        <v>0</v>
      </c>
      <c r="I387" s="26" t="n">
        <f aca="false">ROUND(E387+I386,2)</f>
        <v>535683.53</v>
      </c>
    </row>
    <row r="388" customFormat="false" ht="15" hidden="false" customHeight="true" outlineLevel="0" collapsed="false">
      <c r="A388" s="19" t="n">
        <f aca="false">A387+1</f>
        <v>383</v>
      </c>
      <c r="B388" s="18" t="n">
        <f aca="false">EDATE(B387,1)</f>
        <v>57923</v>
      </c>
      <c r="C388" s="19" t="n">
        <f aca="false">ROUNDUP(A388/12,0)</f>
        <v>32</v>
      </c>
      <c r="D388" s="26" t="n">
        <f aca="false">H387</f>
        <v>0</v>
      </c>
      <c r="E388" s="26" t="n">
        <f aca="false">IF(D388&lt;=0,0,ROUND(D388*Calculator!$B$7/12,2))</f>
        <v>0</v>
      </c>
      <c r="F388" s="26" t="n">
        <f aca="false">IF(D388&lt;=0,0,ROUND(MIN(D388,Calculator!$H$6-E388),2))</f>
        <v>0</v>
      </c>
      <c r="G388" s="26" t="n">
        <f aca="false">ROUND(E388+F388,2)</f>
        <v>0</v>
      </c>
      <c r="H388" s="26" t="n">
        <f aca="false">ROUND(MAX(0,D388-F388),2)</f>
        <v>0</v>
      </c>
      <c r="I388" s="26" t="n">
        <f aca="false">ROUND(E388+I387,2)</f>
        <v>535683.53</v>
      </c>
    </row>
    <row r="389" customFormat="false" ht="15" hidden="false" customHeight="true" outlineLevel="0" collapsed="false">
      <c r="A389" s="19" t="n">
        <f aca="false">A388+1</f>
        <v>384</v>
      </c>
      <c r="B389" s="18" t="n">
        <f aca="false">EDATE(B388,1)</f>
        <v>57954</v>
      </c>
      <c r="C389" s="19" t="n">
        <f aca="false">ROUNDUP(A389/12,0)</f>
        <v>32</v>
      </c>
      <c r="D389" s="26" t="n">
        <f aca="false">H388</f>
        <v>0</v>
      </c>
      <c r="E389" s="26" t="n">
        <f aca="false">IF(D389&lt;=0,0,ROUND(D389*Calculator!$B$7/12,2))</f>
        <v>0</v>
      </c>
      <c r="F389" s="26" t="n">
        <f aca="false">IF(D389&lt;=0,0,ROUND(MIN(D389,Calculator!$H$6-E389),2))</f>
        <v>0</v>
      </c>
      <c r="G389" s="26" t="n">
        <f aca="false">ROUND(E389+F389,2)</f>
        <v>0</v>
      </c>
      <c r="H389" s="26" t="n">
        <f aca="false">ROUND(MAX(0,D389-F389),2)</f>
        <v>0</v>
      </c>
      <c r="I389" s="26" t="n">
        <f aca="false">ROUND(E389+I388,2)</f>
        <v>535683.53</v>
      </c>
    </row>
    <row r="390" customFormat="false" ht="15" hidden="false" customHeight="true" outlineLevel="0" collapsed="false">
      <c r="A390" s="19" t="n">
        <f aca="false">A389+1</f>
        <v>385</v>
      </c>
      <c r="B390" s="18" t="n">
        <f aca="false">EDATE(B389,1)</f>
        <v>57984</v>
      </c>
      <c r="C390" s="19" t="n">
        <f aca="false">ROUNDUP(A390/12,0)</f>
        <v>33</v>
      </c>
      <c r="D390" s="26" t="n">
        <f aca="false">H389</f>
        <v>0</v>
      </c>
      <c r="E390" s="26" t="n">
        <f aca="false">IF(D390&lt;=0,0,ROUND(D390*Calculator!$B$7/12,2))</f>
        <v>0</v>
      </c>
      <c r="F390" s="26" t="n">
        <f aca="false">IF(D390&lt;=0,0,ROUND(MIN(D390,Calculator!$H$6-E390),2))</f>
        <v>0</v>
      </c>
      <c r="G390" s="26" t="n">
        <f aca="false">ROUND(E390+F390,2)</f>
        <v>0</v>
      </c>
      <c r="H390" s="26" t="n">
        <f aca="false">ROUND(MAX(0,D390-F390),2)</f>
        <v>0</v>
      </c>
      <c r="I390" s="26" t="n">
        <f aca="false">ROUND(E390+I389,2)</f>
        <v>535683.53</v>
      </c>
    </row>
    <row r="391" customFormat="false" ht="15" hidden="false" customHeight="true" outlineLevel="0" collapsed="false">
      <c r="A391" s="19" t="n">
        <f aca="false">A390+1</f>
        <v>386</v>
      </c>
      <c r="B391" s="18" t="n">
        <f aca="false">EDATE(B390,1)</f>
        <v>58015</v>
      </c>
      <c r="C391" s="19" t="n">
        <f aca="false">ROUNDUP(A391/12,0)</f>
        <v>33</v>
      </c>
      <c r="D391" s="26" t="n">
        <f aca="false">H390</f>
        <v>0</v>
      </c>
      <c r="E391" s="26" t="n">
        <f aca="false">IF(D391&lt;=0,0,ROUND(D391*Calculator!$B$7/12,2))</f>
        <v>0</v>
      </c>
      <c r="F391" s="26" t="n">
        <f aca="false">IF(D391&lt;=0,0,ROUND(MIN(D391,Calculator!$H$6-E391),2))</f>
        <v>0</v>
      </c>
      <c r="G391" s="26" t="n">
        <f aca="false">ROUND(E391+F391,2)</f>
        <v>0</v>
      </c>
      <c r="H391" s="26" t="n">
        <f aca="false">ROUND(MAX(0,D391-F391),2)</f>
        <v>0</v>
      </c>
      <c r="I391" s="26" t="n">
        <f aca="false">ROUND(E391+I390,2)</f>
        <v>535683.53</v>
      </c>
    </row>
    <row r="392" customFormat="false" ht="15" hidden="false" customHeight="true" outlineLevel="0" collapsed="false">
      <c r="A392" s="19" t="n">
        <f aca="false">A391+1</f>
        <v>387</v>
      </c>
      <c r="B392" s="18" t="n">
        <f aca="false">EDATE(B391,1)</f>
        <v>58045</v>
      </c>
      <c r="C392" s="19" t="n">
        <f aca="false">ROUNDUP(A392/12,0)</f>
        <v>33</v>
      </c>
      <c r="D392" s="26" t="n">
        <f aca="false">H391</f>
        <v>0</v>
      </c>
      <c r="E392" s="26" t="n">
        <f aca="false">IF(D392&lt;=0,0,ROUND(D392*Calculator!$B$7/12,2))</f>
        <v>0</v>
      </c>
      <c r="F392" s="26" t="n">
        <f aca="false">IF(D392&lt;=0,0,ROUND(MIN(D392,Calculator!$H$6-E392),2))</f>
        <v>0</v>
      </c>
      <c r="G392" s="26" t="n">
        <f aca="false">ROUND(E392+F392,2)</f>
        <v>0</v>
      </c>
      <c r="H392" s="26" t="n">
        <f aca="false">ROUND(MAX(0,D392-F392),2)</f>
        <v>0</v>
      </c>
      <c r="I392" s="26" t="n">
        <f aca="false">ROUND(E392+I391,2)</f>
        <v>535683.53</v>
      </c>
    </row>
    <row r="393" customFormat="false" ht="15" hidden="false" customHeight="true" outlineLevel="0" collapsed="false">
      <c r="A393" s="19" t="n">
        <f aca="false">A392+1</f>
        <v>388</v>
      </c>
      <c r="B393" s="18" t="n">
        <f aca="false">EDATE(B392,1)</f>
        <v>58076</v>
      </c>
      <c r="C393" s="19" t="n">
        <f aca="false">ROUNDUP(A393/12,0)</f>
        <v>33</v>
      </c>
      <c r="D393" s="26" t="n">
        <f aca="false">H392</f>
        <v>0</v>
      </c>
      <c r="E393" s="26" t="n">
        <f aca="false">IF(D393&lt;=0,0,ROUND(D393*Calculator!$B$7/12,2))</f>
        <v>0</v>
      </c>
      <c r="F393" s="26" t="n">
        <f aca="false">IF(D393&lt;=0,0,ROUND(MIN(D393,Calculator!$H$6-E393),2))</f>
        <v>0</v>
      </c>
      <c r="G393" s="26" t="n">
        <f aca="false">ROUND(E393+F393,2)</f>
        <v>0</v>
      </c>
      <c r="H393" s="26" t="n">
        <f aca="false">ROUND(MAX(0,D393-F393),2)</f>
        <v>0</v>
      </c>
      <c r="I393" s="26" t="n">
        <f aca="false">ROUND(E393+I392,2)</f>
        <v>535683.53</v>
      </c>
    </row>
    <row r="394" customFormat="false" ht="15" hidden="false" customHeight="true" outlineLevel="0" collapsed="false">
      <c r="A394" s="19" t="n">
        <f aca="false">A393+1</f>
        <v>389</v>
      </c>
      <c r="B394" s="18" t="n">
        <f aca="false">EDATE(B393,1)</f>
        <v>58107</v>
      </c>
      <c r="C394" s="19" t="n">
        <f aca="false">ROUNDUP(A394/12,0)</f>
        <v>33</v>
      </c>
      <c r="D394" s="26" t="n">
        <f aca="false">H393</f>
        <v>0</v>
      </c>
      <c r="E394" s="26" t="n">
        <f aca="false">IF(D394&lt;=0,0,ROUND(D394*Calculator!$B$7/12,2))</f>
        <v>0</v>
      </c>
      <c r="F394" s="26" t="n">
        <f aca="false">IF(D394&lt;=0,0,ROUND(MIN(D394,Calculator!$H$6-E394),2))</f>
        <v>0</v>
      </c>
      <c r="G394" s="26" t="n">
        <f aca="false">ROUND(E394+F394,2)</f>
        <v>0</v>
      </c>
      <c r="H394" s="26" t="n">
        <f aca="false">ROUND(MAX(0,D394-F394),2)</f>
        <v>0</v>
      </c>
      <c r="I394" s="26" t="n">
        <f aca="false">ROUND(E394+I393,2)</f>
        <v>535683.53</v>
      </c>
    </row>
    <row r="395" customFormat="false" ht="15" hidden="false" customHeight="true" outlineLevel="0" collapsed="false">
      <c r="A395" s="19" t="n">
        <f aca="false">A394+1</f>
        <v>390</v>
      </c>
      <c r="B395" s="18" t="n">
        <f aca="false">EDATE(B394,1)</f>
        <v>58135</v>
      </c>
      <c r="C395" s="19" t="n">
        <f aca="false">ROUNDUP(A395/12,0)</f>
        <v>33</v>
      </c>
      <c r="D395" s="26" t="n">
        <f aca="false">H394</f>
        <v>0</v>
      </c>
      <c r="E395" s="26" t="n">
        <f aca="false">IF(D395&lt;=0,0,ROUND(D395*Calculator!$B$7/12,2))</f>
        <v>0</v>
      </c>
      <c r="F395" s="26" t="n">
        <f aca="false">IF(D395&lt;=0,0,ROUND(MIN(D395,Calculator!$H$6-E395),2))</f>
        <v>0</v>
      </c>
      <c r="G395" s="26" t="n">
        <f aca="false">ROUND(E395+F395,2)</f>
        <v>0</v>
      </c>
      <c r="H395" s="26" t="n">
        <f aca="false">ROUND(MAX(0,D395-F395),2)</f>
        <v>0</v>
      </c>
      <c r="I395" s="26" t="n">
        <f aca="false">ROUND(E395+I394,2)</f>
        <v>535683.53</v>
      </c>
    </row>
    <row r="396" customFormat="false" ht="15" hidden="false" customHeight="true" outlineLevel="0" collapsed="false">
      <c r="A396" s="19" t="n">
        <f aca="false">A395+1</f>
        <v>391</v>
      </c>
      <c r="B396" s="18" t="n">
        <f aca="false">EDATE(B395,1)</f>
        <v>58166</v>
      </c>
      <c r="C396" s="19" t="n">
        <f aca="false">ROUNDUP(A396/12,0)</f>
        <v>33</v>
      </c>
      <c r="D396" s="26" t="n">
        <f aca="false">H395</f>
        <v>0</v>
      </c>
      <c r="E396" s="26" t="n">
        <f aca="false">IF(D396&lt;=0,0,ROUND(D396*Calculator!$B$7/12,2))</f>
        <v>0</v>
      </c>
      <c r="F396" s="26" t="n">
        <f aca="false">IF(D396&lt;=0,0,ROUND(MIN(D396,Calculator!$H$6-E396),2))</f>
        <v>0</v>
      </c>
      <c r="G396" s="26" t="n">
        <f aca="false">ROUND(E396+F396,2)</f>
        <v>0</v>
      </c>
      <c r="H396" s="26" t="n">
        <f aca="false">ROUND(MAX(0,D396-F396),2)</f>
        <v>0</v>
      </c>
      <c r="I396" s="26" t="n">
        <f aca="false">ROUND(E396+I395,2)</f>
        <v>535683.53</v>
      </c>
    </row>
    <row r="397" customFormat="false" ht="15" hidden="false" customHeight="true" outlineLevel="0" collapsed="false">
      <c r="A397" s="19" t="n">
        <f aca="false">A396+1</f>
        <v>392</v>
      </c>
      <c r="B397" s="18" t="n">
        <f aca="false">EDATE(B396,1)</f>
        <v>58196</v>
      </c>
      <c r="C397" s="19" t="n">
        <f aca="false">ROUNDUP(A397/12,0)</f>
        <v>33</v>
      </c>
      <c r="D397" s="26" t="n">
        <f aca="false">H396</f>
        <v>0</v>
      </c>
      <c r="E397" s="26" t="n">
        <f aca="false">IF(D397&lt;=0,0,ROUND(D397*Calculator!$B$7/12,2))</f>
        <v>0</v>
      </c>
      <c r="F397" s="26" t="n">
        <f aca="false">IF(D397&lt;=0,0,ROUND(MIN(D397,Calculator!$H$6-E397),2))</f>
        <v>0</v>
      </c>
      <c r="G397" s="26" t="n">
        <f aca="false">ROUND(E397+F397,2)</f>
        <v>0</v>
      </c>
      <c r="H397" s="26" t="n">
        <f aca="false">ROUND(MAX(0,D397-F397),2)</f>
        <v>0</v>
      </c>
      <c r="I397" s="26" t="n">
        <f aca="false">ROUND(E397+I396,2)</f>
        <v>535683.53</v>
      </c>
    </row>
    <row r="398" customFormat="false" ht="15" hidden="false" customHeight="true" outlineLevel="0" collapsed="false">
      <c r="A398" s="19" t="n">
        <f aca="false">A397+1</f>
        <v>393</v>
      </c>
      <c r="B398" s="18" t="n">
        <f aca="false">EDATE(B397,1)</f>
        <v>58227</v>
      </c>
      <c r="C398" s="19" t="n">
        <f aca="false">ROUNDUP(A398/12,0)</f>
        <v>33</v>
      </c>
      <c r="D398" s="26" t="n">
        <f aca="false">H397</f>
        <v>0</v>
      </c>
      <c r="E398" s="26" t="n">
        <f aca="false">IF(D398&lt;=0,0,ROUND(D398*Calculator!$B$7/12,2))</f>
        <v>0</v>
      </c>
      <c r="F398" s="26" t="n">
        <f aca="false">IF(D398&lt;=0,0,ROUND(MIN(D398,Calculator!$H$6-E398),2))</f>
        <v>0</v>
      </c>
      <c r="G398" s="26" t="n">
        <f aca="false">ROUND(E398+F398,2)</f>
        <v>0</v>
      </c>
      <c r="H398" s="26" t="n">
        <f aca="false">ROUND(MAX(0,D398-F398),2)</f>
        <v>0</v>
      </c>
      <c r="I398" s="26" t="n">
        <f aca="false">ROUND(E398+I397,2)</f>
        <v>535683.53</v>
      </c>
    </row>
    <row r="399" customFormat="false" ht="15" hidden="false" customHeight="true" outlineLevel="0" collapsed="false">
      <c r="A399" s="19" t="n">
        <f aca="false">A398+1</f>
        <v>394</v>
      </c>
      <c r="B399" s="18" t="n">
        <f aca="false">EDATE(B398,1)</f>
        <v>58257</v>
      </c>
      <c r="C399" s="19" t="n">
        <f aca="false">ROUNDUP(A399/12,0)</f>
        <v>33</v>
      </c>
      <c r="D399" s="26" t="n">
        <f aca="false">H398</f>
        <v>0</v>
      </c>
      <c r="E399" s="26" t="n">
        <f aca="false">IF(D399&lt;=0,0,ROUND(D399*Calculator!$B$7/12,2))</f>
        <v>0</v>
      </c>
      <c r="F399" s="26" t="n">
        <f aca="false">IF(D399&lt;=0,0,ROUND(MIN(D399,Calculator!$H$6-E399),2))</f>
        <v>0</v>
      </c>
      <c r="G399" s="26" t="n">
        <f aca="false">ROUND(E399+F399,2)</f>
        <v>0</v>
      </c>
      <c r="H399" s="26" t="n">
        <f aca="false">ROUND(MAX(0,D399-F399),2)</f>
        <v>0</v>
      </c>
      <c r="I399" s="26" t="n">
        <f aca="false">ROUND(E399+I398,2)</f>
        <v>535683.53</v>
      </c>
    </row>
    <row r="400" customFormat="false" ht="15" hidden="false" customHeight="true" outlineLevel="0" collapsed="false">
      <c r="A400" s="19" t="n">
        <f aca="false">A399+1</f>
        <v>395</v>
      </c>
      <c r="B400" s="18" t="n">
        <f aca="false">EDATE(B399,1)</f>
        <v>58288</v>
      </c>
      <c r="C400" s="19" t="n">
        <f aca="false">ROUNDUP(A400/12,0)</f>
        <v>33</v>
      </c>
      <c r="D400" s="26" t="n">
        <f aca="false">H399</f>
        <v>0</v>
      </c>
      <c r="E400" s="26" t="n">
        <f aca="false">IF(D400&lt;=0,0,ROUND(D400*Calculator!$B$7/12,2))</f>
        <v>0</v>
      </c>
      <c r="F400" s="26" t="n">
        <f aca="false">IF(D400&lt;=0,0,ROUND(MIN(D400,Calculator!$H$6-E400),2))</f>
        <v>0</v>
      </c>
      <c r="G400" s="26" t="n">
        <f aca="false">ROUND(E400+F400,2)</f>
        <v>0</v>
      </c>
      <c r="H400" s="26" t="n">
        <f aca="false">ROUND(MAX(0,D400-F400),2)</f>
        <v>0</v>
      </c>
      <c r="I400" s="26" t="n">
        <f aca="false">ROUND(E400+I399,2)</f>
        <v>535683.53</v>
      </c>
    </row>
    <row r="401" customFormat="false" ht="15" hidden="false" customHeight="true" outlineLevel="0" collapsed="false">
      <c r="A401" s="19" t="n">
        <f aca="false">A400+1</f>
        <v>396</v>
      </c>
      <c r="B401" s="18" t="n">
        <f aca="false">EDATE(B400,1)</f>
        <v>58319</v>
      </c>
      <c r="C401" s="19" t="n">
        <f aca="false">ROUNDUP(A401/12,0)</f>
        <v>33</v>
      </c>
      <c r="D401" s="26" t="n">
        <f aca="false">H400</f>
        <v>0</v>
      </c>
      <c r="E401" s="26" t="n">
        <f aca="false">IF(D401&lt;=0,0,ROUND(D401*Calculator!$B$7/12,2))</f>
        <v>0</v>
      </c>
      <c r="F401" s="26" t="n">
        <f aca="false">IF(D401&lt;=0,0,ROUND(MIN(D401,Calculator!$H$6-E401),2))</f>
        <v>0</v>
      </c>
      <c r="G401" s="26" t="n">
        <f aca="false">ROUND(E401+F401,2)</f>
        <v>0</v>
      </c>
      <c r="H401" s="26" t="n">
        <f aca="false">ROUND(MAX(0,D401-F401),2)</f>
        <v>0</v>
      </c>
      <c r="I401" s="26" t="n">
        <f aca="false">ROUND(E401+I400,2)</f>
        <v>535683.53</v>
      </c>
    </row>
    <row r="402" customFormat="false" ht="15" hidden="false" customHeight="true" outlineLevel="0" collapsed="false">
      <c r="A402" s="19" t="n">
        <f aca="false">A401+1</f>
        <v>397</v>
      </c>
      <c r="B402" s="18" t="n">
        <f aca="false">EDATE(B401,1)</f>
        <v>58349</v>
      </c>
      <c r="C402" s="19" t="n">
        <f aca="false">ROUNDUP(A402/12,0)</f>
        <v>34</v>
      </c>
      <c r="D402" s="26" t="n">
        <f aca="false">H401</f>
        <v>0</v>
      </c>
      <c r="E402" s="26" t="n">
        <f aca="false">IF(D402&lt;=0,0,ROUND(D402*Calculator!$B$7/12,2))</f>
        <v>0</v>
      </c>
      <c r="F402" s="26" t="n">
        <f aca="false">IF(D402&lt;=0,0,ROUND(MIN(D402,Calculator!$H$6-E402),2))</f>
        <v>0</v>
      </c>
      <c r="G402" s="26" t="n">
        <f aca="false">ROUND(E402+F402,2)</f>
        <v>0</v>
      </c>
      <c r="H402" s="26" t="n">
        <f aca="false">ROUND(MAX(0,D402-F402),2)</f>
        <v>0</v>
      </c>
      <c r="I402" s="26" t="n">
        <f aca="false">ROUND(E402+I401,2)</f>
        <v>535683.53</v>
      </c>
    </row>
    <row r="403" customFormat="false" ht="15" hidden="false" customHeight="true" outlineLevel="0" collapsed="false">
      <c r="A403" s="19" t="n">
        <f aca="false">A402+1</f>
        <v>398</v>
      </c>
      <c r="B403" s="18" t="n">
        <f aca="false">EDATE(B402,1)</f>
        <v>58380</v>
      </c>
      <c r="C403" s="19" t="n">
        <f aca="false">ROUNDUP(A403/12,0)</f>
        <v>34</v>
      </c>
      <c r="D403" s="26" t="n">
        <f aca="false">H402</f>
        <v>0</v>
      </c>
      <c r="E403" s="26" t="n">
        <f aca="false">IF(D403&lt;=0,0,ROUND(D403*Calculator!$B$7/12,2))</f>
        <v>0</v>
      </c>
      <c r="F403" s="26" t="n">
        <f aca="false">IF(D403&lt;=0,0,ROUND(MIN(D403,Calculator!$H$6-E403),2))</f>
        <v>0</v>
      </c>
      <c r="G403" s="26" t="n">
        <f aca="false">ROUND(E403+F403,2)</f>
        <v>0</v>
      </c>
      <c r="H403" s="26" t="n">
        <f aca="false">ROUND(MAX(0,D403-F403),2)</f>
        <v>0</v>
      </c>
      <c r="I403" s="26" t="n">
        <f aca="false">ROUND(E403+I402,2)</f>
        <v>535683.53</v>
      </c>
    </row>
    <row r="404" customFormat="false" ht="15" hidden="false" customHeight="true" outlineLevel="0" collapsed="false">
      <c r="A404" s="19" t="n">
        <f aca="false">A403+1</f>
        <v>399</v>
      </c>
      <c r="B404" s="18" t="n">
        <f aca="false">EDATE(B403,1)</f>
        <v>58410</v>
      </c>
      <c r="C404" s="19" t="n">
        <f aca="false">ROUNDUP(A404/12,0)</f>
        <v>34</v>
      </c>
      <c r="D404" s="26" t="n">
        <f aca="false">H403</f>
        <v>0</v>
      </c>
      <c r="E404" s="26" t="n">
        <f aca="false">IF(D404&lt;=0,0,ROUND(D404*Calculator!$B$7/12,2))</f>
        <v>0</v>
      </c>
      <c r="F404" s="26" t="n">
        <f aca="false">IF(D404&lt;=0,0,ROUND(MIN(D404,Calculator!$H$6-E404),2))</f>
        <v>0</v>
      </c>
      <c r="G404" s="26" t="n">
        <f aca="false">ROUND(E404+F404,2)</f>
        <v>0</v>
      </c>
      <c r="H404" s="26" t="n">
        <f aca="false">ROUND(MAX(0,D404-F404),2)</f>
        <v>0</v>
      </c>
      <c r="I404" s="26" t="n">
        <f aca="false">ROUND(E404+I403,2)</f>
        <v>535683.53</v>
      </c>
    </row>
    <row r="405" customFormat="false" ht="15" hidden="false" customHeight="true" outlineLevel="0" collapsed="false">
      <c r="A405" s="19" t="n">
        <f aca="false">A404+1</f>
        <v>400</v>
      </c>
      <c r="B405" s="18" t="n">
        <f aca="false">EDATE(B404,1)</f>
        <v>58441</v>
      </c>
      <c r="C405" s="19" t="n">
        <f aca="false">ROUNDUP(A405/12,0)</f>
        <v>34</v>
      </c>
      <c r="D405" s="26" t="n">
        <f aca="false">H404</f>
        <v>0</v>
      </c>
      <c r="E405" s="26" t="n">
        <f aca="false">IF(D405&lt;=0,0,ROUND(D405*Calculator!$B$7/12,2))</f>
        <v>0</v>
      </c>
      <c r="F405" s="26" t="n">
        <f aca="false">IF(D405&lt;=0,0,ROUND(MIN(D405,Calculator!$H$6-E405),2))</f>
        <v>0</v>
      </c>
      <c r="G405" s="26" t="n">
        <f aca="false">ROUND(E405+F405,2)</f>
        <v>0</v>
      </c>
      <c r="H405" s="26" t="n">
        <f aca="false">ROUND(MAX(0,D405-F405),2)</f>
        <v>0</v>
      </c>
      <c r="I405" s="26" t="n">
        <f aca="false">ROUND(E405+I404,2)</f>
        <v>535683.53</v>
      </c>
    </row>
    <row r="406" customFormat="false" ht="15" hidden="false" customHeight="true" outlineLevel="0" collapsed="false">
      <c r="A406" s="19" t="n">
        <f aca="false">A405+1</f>
        <v>401</v>
      </c>
      <c r="B406" s="18" t="n">
        <f aca="false">EDATE(B405,1)</f>
        <v>58472</v>
      </c>
      <c r="C406" s="19" t="n">
        <f aca="false">ROUNDUP(A406/12,0)</f>
        <v>34</v>
      </c>
      <c r="D406" s="26" t="n">
        <f aca="false">H405</f>
        <v>0</v>
      </c>
      <c r="E406" s="26" t="n">
        <f aca="false">IF(D406&lt;=0,0,ROUND(D406*Calculator!$B$7/12,2))</f>
        <v>0</v>
      </c>
      <c r="F406" s="26" t="n">
        <f aca="false">IF(D406&lt;=0,0,ROUND(MIN(D406,Calculator!$H$6-E406),2))</f>
        <v>0</v>
      </c>
      <c r="G406" s="26" t="n">
        <f aca="false">ROUND(E406+F406,2)</f>
        <v>0</v>
      </c>
      <c r="H406" s="26" t="n">
        <f aca="false">ROUND(MAX(0,D406-F406),2)</f>
        <v>0</v>
      </c>
      <c r="I406" s="26" t="n">
        <f aca="false">ROUND(E406+I405,2)</f>
        <v>535683.53</v>
      </c>
    </row>
    <row r="407" customFormat="false" ht="15" hidden="false" customHeight="true" outlineLevel="0" collapsed="false">
      <c r="A407" s="19" t="n">
        <f aca="false">A406+1</f>
        <v>402</v>
      </c>
      <c r="B407" s="18" t="n">
        <f aca="false">EDATE(B406,1)</f>
        <v>58501</v>
      </c>
      <c r="C407" s="19" t="n">
        <f aca="false">ROUNDUP(A407/12,0)</f>
        <v>34</v>
      </c>
      <c r="D407" s="26" t="n">
        <f aca="false">H406</f>
        <v>0</v>
      </c>
      <c r="E407" s="26" t="n">
        <f aca="false">IF(D407&lt;=0,0,ROUND(D407*Calculator!$B$7/12,2))</f>
        <v>0</v>
      </c>
      <c r="F407" s="26" t="n">
        <f aca="false">IF(D407&lt;=0,0,ROUND(MIN(D407,Calculator!$H$6-E407),2))</f>
        <v>0</v>
      </c>
      <c r="G407" s="26" t="n">
        <f aca="false">ROUND(E407+F407,2)</f>
        <v>0</v>
      </c>
      <c r="H407" s="26" t="n">
        <f aca="false">ROUND(MAX(0,D407-F407),2)</f>
        <v>0</v>
      </c>
      <c r="I407" s="26" t="n">
        <f aca="false">ROUND(E407+I406,2)</f>
        <v>535683.53</v>
      </c>
    </row>
    <row r="408" customFormat="false" ht="15" hidden="false" customHeight="true" outlineLevel="0" collapsed="false">
      <c r="A408" s="19" t="n">
        <f aca="false">A407+1</f>
        <v>403</v>
      </c>
      <c r="B408" s="18" t="n">
        <f aca="false">EDATE(B407,1)</f>
        <v>58532</v>
      </c>
      <c r="C408" s="19" t="n">
        <f aca="false">ROUNDUP(A408/12,0)</f>
        <v>34</v>
      </c>
      <c r="D408" s="26" t="n">
        <f aca="false">H407</f>
        <v>0</v>
      </c>
      <c r="E408" s="26" t="n">
        <f aca="false">IF(D408&lt;=0,0,ROUND(D408*Calculator!$B$7/12,2))</f>
        <v>0</v>
      </c>
      <c r="F408" s="26" t="n">
        <f aca="false">IF(D408&lt;=0,0,ROUND(MIN(D408,Calculator!$H$6-E408),2))</f>
        <v>0</v>
      </c>
      <c r="G408" s="26" t="n">
        <f aca="false">ROUND(E408+F408,2)</f>
        <v>0</v>
      </c>
      <c r="H408" s="26" t="n">
        <f aca="false">ROUND(MAX(0,D408-F408),2)</f>
        <v>0</v>
      </c>
      <c r="I408" s="26" t="n">
        <f aca="false">ROUND(E408+I407,2)</f>
        <v>535683.53</v>
      </c>
    </row>
    <row r="409" customFormat="false" ht="15" hidden="false" customHeight="true" outlineLevel="0" collapsed="false">
      <c r="A409" s="19" t="n">
        <f aca="false">A408+1</f>
        <v>404</v>
      </c>
      <c r="B409" s="18" t="n">
        <f aca="false">EDATE(B408,1)</f>
        <v>58562</v>
      </c>
      <c r="C409" s="19" t="n">
        <f aca="false">ROUNDUP(A409/12,0)</f>
        <v>34</v>
      </c>
      <c r="D409" s="26" t="n">
        <f aca="false">H408</f>
        <v>0</v>
      </c>
      <c r="E409" s="26" t="n">
        <f aca="false">IF(D409&lt;=0,0,ROUND(D409*Calculator!$B$7/12,2))</f>
        <v>0</v>
      </c>
      <c r="F409" s="26" t="n">
        <f aca="false">IF(D409&lt;=0,0,ROUND(MIN(D409,Calculator!$H$6-E409),2))</f>
        <v>0</v>
      </c>
      <c r="G409" s="26" t="n">
        <f aca="false">ROUND(E409+F409,2)</f>
        <v>0</v>
      </c>
      <c r="H409" s="26" t="n">
        <f aca="false">ROUND(MAX(0,D409-F409),2)</f>
        <v>0</v>
      </c>
      <c r="I409" s="26" t="n">
        <f aca="false">ROUND(E409+I408,2)</f>
        <v>535683.53</v>
      </c>
    </row>
    <row r="410" customFormat="false" ht="15" hidden="false" customHeight="true" outlineLevel="0" collapsed="false">
      <c r="A410" s="19" t="n">
        <f aca="false">A409+1</f>
        <v>405</v>
      </c>
      <c r="B410" s="18" t="n">
        <f aca="false">EDATE(B409,1)</f>
        <v>58593</v>
      </c>
      <c r="C410" s="19" t="n">
        <f aca="false">ROUNDUP(A410/12,0)</f>
        <v>34</v>
      </c>
      <c r="D410" s="26" t="n">
        <f aca="false">H409</f>
        <v>0</v>
      </c>
      <c r="E410" s="26" t="n">
        <f aca="false">IF(D410&lt;=0,0,ROUND(D410*Calculator!$B$7/12,2))</f>
        <v>0</v>
      </c>
      <c r="F410" s="26" t="n">
        <f aca="false">IF(D410&lt;=0,0,ROUND(MIN(D410,Calculator!$H$6-E410),2))</f>
        <v>0</v>
      </c>
      <c r="G410" s="26" t="n">
        <f aca="false">ROUND(E410+F410,2)</f>
        <v>0</v>
      </c>
      <c r="H410" s="26" t="n">
        <f aca="false">ROUND(MAX(0,D410-F410),2)</f>
        <v>0</v>
      </c>
      <c r="I410" s="26" t="n">
        <f aca="false">ROUND(E410+I409,2)</f>
        <v>535683.53</v>
      </c>
    </row>
    <row r="411" customFormat="false" ht="15" hidden="false" customHeight="true" outlineLevel="0" collapsed="false">
      <c r="A411" s="19" t="n">
        <f aca="false">A410+1</f>
        <v>406</v>
      </c>
      <c r="B411" s="18" t="n">
        <f aca="false">EDATE(B410,1)</f>
        <v>58623</v>
      </c>
      <c r="C411" s="19" t="n">
        <f aca="false">ROUNDUP(A411/12,0)</f>
        <v>34</v>
      </c>
      <c r="D411" s="26" t="n">
        <f aca="false">H410</f>
        <v>0</v>
      </c>
      <c r="E411" s="26" t="n">
        <f aca="false">IF(D411&lt;=0,0,ROUND(D411*Calculator!$B$7/12,2))</f>
        <v>0</v>
      </c>
      <c r="F411" s="26" t="n">
        <f aca="false">IF(D411&lt;=0,0,ROUND(MIN(D411,Calculator!$H$6-E411),2))</f>
        <v>0</v>
      </c>
      <c r="G411" s="26" t="n">
        <f aca="false">ROUND(E411+F411,2)</f>
        <v>0</v>
      </c>
      <c r="H411" s="26" t="n">
        <f aca="false">ROUND(MAX(0,D411-F411),2)</f>
        <v>0</v>
      </c>
      <c r="I411" s="26" t="n">
        <f aca="false">ROUND(E411+I410,2)</f>
        <v>535683.53</v>
      </c>
    </row>
    <row r="412" customFormat="false" ht="15" hidden="false" customHeight="true" outlineLevel="0" collapsed="false">
      <c r="A412" s="19" t="n">
        <f aca="false">A411+1</f>
        <v>407</v>
      </c>
      <c r="B412" s="18" t="n">
        <f aca="false">EDATE(B411,1)</f>
        <v>58654</v>
      </c>
      <c r="C412" s="19" t="n">
        <f aca="false">ROUNDUP(A412/12,0)</f>
        <v>34</v>
      </c>
      <c r="D412" s="26" t="n">
        <f aca="false">H411</f>
        <v>0</v>
      </c>
      <c r="E412" s="26" t="n">
        <f aca="false">IF(D412&lt;=0,0,ROUND(D412*Calculator!$B$7/12,2))</f>
        <v>0</v>
      </c>
      <c r="F412" s="26" t="n">
        <f aca="false">IF(D412&lt;=0,0,ROUND(MIN(D412,Calculator!$H$6-E412),2))</f>
        <v>0</v>
      </c>
      <c r="G412" s="26" t="n">
        <f aca="false">ROUND(E412+F412,2)</f>
        <v>0</v>
      </c>
      <c r="H412" s="26" t="n">
        <f aca="false">ROUND(MAX(0,D412-F412),2)</f>
        <v>0</v>
      </c>
      <c r="I412" s="26" t="n">
        <f aca="false">ROUND(E412+I411,2)</f>
        <v>535683.53</v>
      </c>
    </row>
    <row r="413" customFormat="false" ht="15" hidden="false" customHeight="true" outlineLevel="0" collapsed="false">
      <c r="A413" s="19" t="n">
        <f aca="false">A412+1</f>
        <v>408</v>
      </c>
      <c r="B413" s="18" t="n">
        <f aca="false">EDATE(B412,1)</f>
        <v>58685</v>
      </c>
      <c r="C413" s="19" t="n">
        <f aca="false">ROUNDUP(A413/12,0)</f>
        <v>34</v>
      </c>
      <c r="D413" s="26" t="n">
        <f aca="false">H412</f>
        <v>0</v>
      </c>
      <c r="E413" s="26" t="n">
        <f aca="false">IF(D413&lt;=0,0,ROUND(D413*Calculator!$B$7/12,2))</f>
        <v>0</v>
      </c>
      <c r="F413" s="26" t="n">
        <f aca="false">IF(D413&lt;=0,0,ROUND(MIN(D413,Calculator!$H$6-E413),2))</f>
        <v>0</v>
      </c>
      <c r="G413" s="26" t="n">
        <f aca="false">ROUND(E413+F413,2)</f>
        <v>0</v>
      </c>
      <c r="H413" s="26" t="n">
        <f aca="false">ROUND(MAX(0,D413-F413),2)</f>
        <v>0</v>
      </c>
      <c r="I413" s="26" t="n">
        <f aca="false">ROUND(E413+I412,2)</f>
        <v>535683.53</v>
      </c>
    </row>
    <row r="414" customFormat="false" ht="15" hidden="false" customHeight="true" outlineLevel="0" collapsed="false">
      <c r="A414" s="19" t="n">
        <f aca="false">A413+1</f>
        <v>409</v>
      </c>
      <c r="B414" s="18" t="n">
        <f aca="false">EDATE(B413,1)</f>
        <v>58715</v>
      </c>
      <c r="C414" s="19" t="n">
        <f aca="false">ROUNDUP(A414/12,0)</f>
        <v>35</v>
      </c>
      <c r="D414" s="26" t="n">
        <f aca="false">H413</f>
        <v>0</v>
      </c>
      <c r="E414" s="26" t="n">
        <f aca="false">IF(D414&lt;=0,0,ROUND(D414*Calculator!$B$7/12,2))</f>
        <v>0</v>
      </c>
      <c r="F414" s="26" t="n">
        <f aca="false">IF(D414&lt;=0,0,ROUND(MIN(D414,Calculator!$H$6-E414),2))</f>
        <v>0</v>
      </c>
      <c r="G414" s="26" t="n">
        <f aca="false">ROUND(E414+F414,2)</f>
        <v>0</v>
      </c>
      <c r="H414" s="26" t="n">
        <f aca="false">ROUND(MAX(0,D414-F414),2)</f>
        <v>0</v>
      </c>
      <c r="I414" s="26" t="n">
        <f aca="false">ROUND(E414+I413,2)</f>
        <v>535683.53</v>
      </c>
    </row>
    <row r="415" customFormat="false" ht="15" hidden="false" customHeight="true" outlineLevel="0" collapsed="false">
      <c r="A415" s="19" t="n">
        <f aca="false">A414+1</f>
        <v>410</v>
      </c>
      <c r="B415" s="18" t="n">
        <f aca="false">EDATE(B414,1)</f>
        <v>58746</v>
      </c>
      <c r="C415" s="19" t="n">
        <f aca="false">ROUNDUP(A415/12,0)</f>
        <v>35</v>
      </c>
      <c r="D415" s="26" t="n">
        <f aca="false">H414</f>
        <v>0</v>
      </c>
      <c r="E415" s="26" t="n">
        <f aca="false">IF(D415&lt;=0,0,ROUND(D415*Calculator!$B$7/12,2))</f>
        <v>0</v>
      </c>
      <c r="F415" s="26" t="n">
        <f aca="false">IF(D415&lt;=0,0,ROUND(MIN(D415,Calculator!$H$6-E415),2))</f>
        <v>0</v>
      </c>
      <c r="G415" s="26" t="n">
        <f aca="false">ROUND(E415+F415,2)</f>
        <v>0</v>
      </c>
      <c r="H415" s="26" t="n">
        <f aca="false">ROUND(MAX(0,D415-F415),2)</f>
        <v>0</v>
      </c>
      <c r="I415" s="26" t="n">
        <f aca="false">ROUND(E415+I414,2)</f>
        <v>535683.53</v>
      </c>
    </row>
    <row r="416" customFormat="false" ht="15" hidden="false" customHeight="true" outlineLevel="0" collapsed="false">
      <c r="A416" s="19" t="n">
        <f aca="false">A415+1</f>
        <v>411</v>
      </c>
      <c r="B416" s="18" t="n">
        <f aca="false">EDATE(B415,1)</f>
        <v>58776</v>
      </c>
      <c r="C416" s="19" t="n">
        <f aca="false">ROUNDUP(A416/12,0)</f>
        <v>35</v>
      </c>
      <c r="D416" s="26" t="n">
        <f aca="false">H415</f>
        <v>0</v>
      </c>
      <c r="E416" s="26" t="n">
        <f aca="false">IF(D416&lt;=0,0,ROUND(D416*Calculator!$B$7/12,2))</f>
        <v>0</v>
      </c>
      <c r="F416" s="26" t="n">
        <f aca="false">IF(D416&lt;=0,0,ROUND(MIN(D416,Calculator!$H$6-E416),2))</f>
        <v>0</v>
      </c>
      <c r="G416" s="26" t="n">
        <f aca="false">ROUND(E416+F416,2)</f>
        <v>0</v>
      </c>
      <c r="H416" s="26" t="n">
        <f aca="false">ROUND(MAX(0,D416-F416),2)</f>
        <v>0</v>
      </c>
      <c r="I416" s="26" t="n">
        <f aca="false">ROUND(E416+I415,2)</f>
        <v>535683.53</v>
      </c>
    </row>
    <row r="417" customFormat="false" ht="15" hidden="false" customHeight="true" outlineLevel="0" collapsed="false">
      <c r="A417" s="19" t="n">
        <f aca="false">A416+1</f>
        <v>412</v>
      </c>
      <c r="B417" s="18" t="n">
        <f aca="false">EDATE(B416,1)</f>
        <v>58807</v>
      </c>
      <c r="C417" s="19" t="n">
        <f aca="false">ROUNDUP(A417/12,0)</f>
        <v>35</v>
      </c>
      <c r="D417" s="26" t="n">
        <f aca="false">H416</f>
        <v>0</v>
      </c>
      <c r="E417" s="26" t="n">
        <f aca="false">IF(D417&lt;=0,0,ROUND(D417*Calculator!$B$7/12,2))</f>
        <v>0</v>
      </c>
      <c r="F417" s="26" t="n">
        <f aca="false">IF(D417&lt;=0,0,ROUND(MIN(D417,Calculator!$H$6-E417),2))</f>
        <v>0</v>
      </c>
      <c r="G417" s="26" t="n">
        <f aca="false">ROUND(E417+F417,2)</f>
        <v>0</v>
      </c>
      <c r="H417" s="26" t="n">
        <f aca="false">ROUND(MAX(0,D417-F417),2)</f>
        <v>0</v>
      </c>
      <c r="I417" s="26" t="n">
        <f aca="false">ROUND(E417+I416,2)</f>
        <v>535683.53</v>
      </c>
    </row>
    <row r="418" customFormat="false" ht="15" hidden="false" customHeight="true" outlineLevel="0" collapsed="false">
      <c r="A418" s="19" t="n">
        <f aca="false">A417+1</f>
        <v>413</v>
      </c>
      <c r="B418" s="18" t="n">
        <f aca="false">EDATE(B417,1)</f>
        <v>58838</v>
      </c>
      <c r="C418" s="19" t="n">
        <f aca="false">ROUNDUP(A418/12,0)</f>
        <v>35</v>
      </c>
      <c r="D418" s="26" t="n">
        <f aca="false">H417</f>
        <v>0</v>
      </c>
      <c r="E418" s="26" t="n">
        <f aca="false">IF(D418&lt;=0,0,ROUND(D418*Calculator!$B$7/12,2))</f>
        <v>0</v>
      </c>
      <c r="F418" s="26" t="n">
        <f aca="false">IF(D418&lt;=0,0,ROUND(MIN(D418,Calculator!$H$6-E418),2))</f>
        <v>0</v>
      </c>
      <c r="G418" s="26" t="n">
        <f aca="false">ROUND(E418+F418,2)</f>
        <v>0</v>
      </c>
      <c r="H418" s="26" t="n">
        <f aca="false">ROUND(MAX(0,D418-F418),2)</f>
        <v>0</v>
      </c>
      <c r="I418" s="26" t="n">
        <f aca="false">ROUND(E418+I417,2)</f>
        <v>535683.53</v>
      </c>
    </row>
    <row r="419" customFormat="false" ht="15" hidden="false" customHeight="true" outlineLevel="0" collapsed="false">
      <c r="A419" s="19" t="n">
        <f aca="false">A418+1</f>
        <v>414</v>
      </c>
      <c r="B419" s="18" t="n">
        <f aca="false">EDATE(B418,1)</f>
        <v>58866</v>
      </c>
      <c r="C419" s="19" t="n">
        <f aca="false">ROUNDUP(A419/12,0)</f>
        <v>35</v>
      </c>
      <c r="D419" s="26" t="n">
        <f aca="false">H418</f>
        <v>0</v>
      </c>
      <c r="E419" s="26" t="n">
        <f aca="false">IF(D419&lt;=0,0,ROUND(D419*Calculator!$B$7/12,2))</f>
        <v>0</v>
      </c>
      <c r="F419" s="26" t="n">
        <f aca="false">IF(D419&lt;=0,0,ROUND(MIN(D419,Calculator!$H$6-E419),2))</f>
        <v>0</v>
      </c>
      <c r="G419" s="26" t="n">
        <f aca="false">ROUND(E419+F419,2)</f>
        <v>0</v>
      </c>
      <c r="H419" s="26" t="n">
        <f aca="false">ROUND(MAX(0,D419-F419),2)</f>
        <v>0</v>
      </c>
      <c r="I419" s="26" t="n">
        <f aca="false">ROUND(E419+I418,2)</f>
        <v>535683.53</v>
      </c>
    </row>
    <row r="420" customFormat="false" ht="15" hidden="false" customHeight="true" outlineLevel="0" collapsed="false">
      <c r="A420" s="19" t="n">
        <f aca="false">A419+1</f>
        <v>415</v>
      </c>
      <c r="B420" s="18" t="n">
        <f aca="false">EDATE(B419,1)</f>
        <v>58897</v>
      </c>
      <c r="C420" s="19" t="n">
        <f aca="false">ROUNDUP(A420/12,0)</f>
        <v>35</v>
      </c>
      <c r="D420" s="26" t="n">
        <f aca="false">H419</f>
        <v>0</v>
      </c>
      <c r="E420" s="26" t="n">
        <f aca="false">IF(D420&lt;=0,0,ROUND(D420*Calculator!$B$7/12,2))</f>
        <v>0</v>
      </c>
      <c r="F420" s="26" t="n">
        <f aca="false">IF(D420&lt;=0,0,ROUND(MIN(D420,Calculator!$H$6-E420),2))</f>
        <v>0</v>
      </c>
      <c r="G420" s="26" t="n">
        <f aca="false">ROUND(E420+F420,2)</f>
        <v>0</v>
      </c>
      <c r="H420" s="26" t="n">
        <f aca="false">ROUND(MAX(0,D420-F420),2)</f>
        <v>0</v>
      </c>
      <c r="I420" s="26" t="n">
        <f aca="false">ROUND(E420+I419,2)</f>
        <v>535683.53</v>
      </c>
    </row>
    <row r="421" customFormat="false" ht="15" hidden="false" customHeight="true" outlineLevel="0" collapsed="false">
      <c r="A421" s="19" t="n">
        <f aca="false">A420+1</f>
        <v>416</v>
      </c>
      <c r="B421" s="18" t="n">
        <f aca="false">EDATE(B420,1)</f>
        <v>58927</v>
      </c>
      <c r="C421" s="19" t="n">
        <f aca="false">ROUNDUP(A421/12,0)</f>
        <v>35</v>
      </c>
      <c r="D421" s="26" t="n">
        <f aca="false">H420</f>
        <v>0</v>
      </c>
      <c r="E421" s="26" t="n">
        <f aca="false">IF(D421&lt;=0,0,ROUND(D421*Calculator!$B$7/12,2))</f>
        <v>0</v>
      </c>
      <c r="F421" s="26" t="n">
        <f aca="false">IF(D421&lt;=0,0,ROUND(MIN(D421,Calculator!$H$6-E421),2))</f>
        <v>0</v>
      </c>
      <c r="G421" s="26" t="n">
        <f aca="false">ROUND(E421+F421,2)</f>
        <v>0</v>
      </c>
      <c r="H421" s="26" t="n">
        <f aca="false">ROUND(MAX(0,D421-F421),2)</f>
        <v>0</v>
      </c>
      <c r="I421" s="26" t="n">
        <f aca="false">ROUND(E421+I420,2)</f>
        <v>535683.53</v>
      </c>
    </row>
    <row r="422" customFormat="false" ht="15" hidden="false" customHeight="true" outlineLevel="0" collapsed="false">
      <c r="A422" s="19" t="n">
        <f aca="false">A421+1</f>
        <v>417</v>
      </c>
      <c r="B422" s="18" t="n">
        <f aca="false">EDATE(B421,1)</f>
        <v>58958</v>
      </c>
      <c r="C422" s="19" t="n">
        <f aca="false">ROUNDUP(A422/12,0)</f>
        <v>35</v>
      </c>
      <c r="D422" s="26" t="n">
        <f aca="false">H421</f>
        <v>0</v>
      </c>
      <c r="E422" s="26" t="n">
        <f aca="false">IF(D422&lt;=0,0,ROUND(D422*Calculator!$B$7/12,2))</f>
        <v>0</v>
      </c>
      <c r="F422" s="26" t="n">
        <f aca="false">IF(D422&lt;=0,0,ROUND(MIN(D422,Calculator!$H$6-E422),2))</f>
        <v>0</v>
      </c>
      <c r="G422" s="26" t="n">
        <f aca="false">ROUND(E422+F422,2)</f>
        <v>0</v>
      </c>
      <c r="H422" s="26" t="n">
        <f aca="false">ROUND(MAX(0,D422-F422),2)</f>
        <v>0</v>
      </c>
      <c r="I422" s="26" t="n">
        <f aca="false">ROUND(E422+I421,2)</f>
        <v>535683.53</v>
      </c>
    </row>
    <row r="423" customFormat="false" ht="15" hidden="false" customHeight="true" outlineLevel="0" collapsed="false">
      <c r="A423" s="19" t="n">
        <f aca="false">A422+1</f>
        <v>418</v>
      </c>
      <c r="B423" s="18" t="n">
        <f aca="false">EDATE(B422,1)</f>
        <v>58988</v>
      </c>
      <c r="C423" s="19" t="n">
        <f aca="false">ROUNDUP(A423/12,0)</f>
        <v>35</v>
      </c>
      <c r="D423" s="26" t="n">
        <f aca="false">H422</f>
        <v>0</v>
      </c>
      <c r="E423" s="26" t="n">
        <f aca="false">IF(D423&lt;=0,0,ROUND(D423*Calculator!$B$7/12,2))</f>
        <v>0</v>
      </c>
      <c r="F423" s="26" t="n">
        <f aca="false">IF(D423&lt;=0,0,ROUND(MIN(D423,Calculator!$H$6-E423),2))</f>
        <v>0</v>
      </c>
      <c r="G423" s="26" t="n">
        <f aca="false">ROUND(E423+F423,2)</f>
        <v>0</v>
      </c>
      <c r="H423" s="26" t="n">
        <f aca="false">ROUND(MAX(0,D423-F423),2)</f>
        <v>0</v>
      </c>
      <c r="I423" s="26" t="n">
        <f aca="false">ROUND(E423+I422,2)</f>
        <v>535683.53</v>
      </c>
    </row>
    <row r="424" customFormat="false" ht="15" hidden="false" customHeight="true" outlineLevel="0" collapsed="false">
      <c r="A424" s="19" t="n">
        <f aca="false">A423+1</f>
        <v>419</v>
      </c>
      <c r="B424" s="18" t="n">
        <f aca="false">EDATE(B423,1)</f>
        <v>59019</v>
      </c>
      <c r="C424" s="19" t="n">
        <f aca="false">ROUNDUP(A424/12,0)</f>
        <v>35</v>
      </c>
      <c r="D424" s="26" t="n">
        <f aca="false">H423</f>
        <v>0</v>
      </c>
      <c r="E424" s="26" t="n">
        <f aca="false">IF(D424&lt;=0,0,ROUND(D424*Calculator!$B$7/12,2))</f>
        <v>0</v>
      </c>
      <c r="F424" s="26" t="n">
        <f aca="false">IF(D424&lt;=0,0,ROUND(MIN(D424,Calculator!$H$6-E424),2))</f>
        <v>0</v>
      </c>
      <c r="G424" s="26" t="n">
        <f aca="false">ROUND(E424+F424,2)</f>
        <v>0</v>
      </c>
      <c r="H424" s="26" t="n">
        <f aca="false">ROUND(MAX(0,D424-F424),2)</f>
        <v>0</v>
      </c>
      <c r="I424" s="26" t="n">
        <f aca="false">ROUND(E424+I423,2)</f>
        <v>535683.53</v>
      </c>
    </row>
    <row r="425" customFormat="false" ht="15" hidden="false" customHeight="true" outlineLevel="0" collapsed="false">
      <c r="A425" s="19" t="n">
        <f aca="false">A424+1</f>
        <v>420</v>
      </c>
      <c r="B425" s="18" t="n">
        <f aca="false">EDATE(B424,1)</f>
        <v>59050</v>
      </c>
      <c r="C425" s="19" t="n">
        <f aca="false">ROUNDUP(A425/12,0)</f>
        <v>35</v>
      </c>
      <c r="D425" s="26" t="n">
        <f aca="false">H424</f>
        <v>0</v>
      </c>
      <c r="E425" s="26" t="n">
        <f aca="false">IF(D425&lt;=0,0,ROUND(D425*Calculator!$B$7/12,2))</f>
        <v>0</v>
      </c>
      <c r="F425" s="26" t="n">
        <f aca="false">IF(D425&lt;=0,0,ROUND(MIN(D425,Calculator!$H$6-E425),2))</f>
        <v>0</v>
      </c>
      <c r="G425" s="26" t="n">
        <f aca="false">ROUND(E425+F425,2)</f>
        <v>0</v>
      </c>
      <c r="H425" s="26" t="n">
        <f aca="false">ROUND(MAX(0,D425-F425),2)</f>
        <v>0</v>
      </c>
      <c r="I425" s="26" t="n">
        <f aca="false">ROUND(E425+I424,2)</f>
        <v>535683.53</v>
      </c>
    </row>
    <row r="426" customFormat="false" ht="15" hidden="false" customHeight="true" outlineLevel="0" collapsed="false">
      <c r="A426" s="19" t="n">
        <f aca="false">A425+1</f>
        <v>421</v>
      </c>
      <c r="B426" s="18" t="n">
        <f aca="false">EDATE(B425,1)</f>
        <v>59080</v>
      </c>
      <c r="C426" s="19" t="n">
        <f aca="false">ROUNDUP(A426/12,0)</f>
        <v>36</v>
      </c>
      <c r="D426" s="26" t="n">
        <f aca="false">H425</f>
        <v>0</v>
      </c>
      <c r="E426" s="26" t="n">
        <f aca="false">IF(D426&lt;=0,0,ROUND(D426*Calculator!$B$7/12,2))</f>
        <v>0</v>
      </c>
      <c r="F426" s="26" t="n">
        <f aca="false">IF(D426&lt;=0,0,ROUND(MIN(D426,Calculator!$H$6-E426),2))</f>
        <v>0</v>
      </c>
      <c r="G426" s="26" t="n">
        <f aca="false">ROUND(E426+F426,2)</f>
        <v>0</v>
      </c>
      <c r="H426" s="26" t="n">
        <f aca="false">ROUND(MAX(0,D426-F426),2)</f>
        <v>0</v>
      </c>
      <c r="I426" s="26" t="n">
        <f aca="false">ROUND(E426+I425,2)</f>
        <v>535683.53</v>
      </c>
    </row>
    <row r="427" customFormat="false" ht="15" hidden="false" customHeight="true" outlineLevel="0" collapsed="false">
      <c r="A427" s="19" t="n">
        <f aca="false">A426+1</f>
        <v>422</v>
      </c>
      <c r="B427" s="18" t="n">
        <f aca="false">EDATE(B426,1)</f>
        <v>59111</v>
      </c>
      <c r="C427" s="19" t="n">
        <f aca="false">ROUNDUP(A427/12,0)</f>
        <v>36</v>
      </c>
      <c r="D427" s="26" t="n">
        <f aca="false">H426</f>
        <v>0</v>
      </c>
      <c r="E427" s="26" t="n">
        <f aca="false">IF(D427&lt;=0,0,ROUND(D427*Calculator!$B$7/12,2))</f>
        <v>0</v>
      </c>
      <c r="F427" s="26" t="n">
        <f aca="false">IF(D427&lt;=0,0,ROUND(MIN(D427,Calculator!$H$6-E427),2))</f>
        <v>0</v>
      </c>
      <c r="G427" s="26" t="n">
        <f aca="false">ROUND(E427+F427,2)</f>
        <v>0</v>
      </c>
      <c r="H427" s="26" t="n">
        <f aca="false">ROUND(MAX(0,D427-F427),2)</f>
        <v>0</v>
      </c>
      <c r="I427" s="26" t="n">
        <f aca="false">ROUND(E427+I426,2)</f>
        <v>535683.53</v>
      </c>
    </row>
    <row r="428" customFormat="false" ht="15" hidden="false" customHeight="true" outlineLevel="0" collapsed="false">
      <c r="A428" s="19" t="n">
        <f aca="false">A427+1</f>
        <v>423</v>
      </c>
      <c r="B428" s="18" t="n">
        <f aca="false">EDATE(B427,1)</f>
        <v>59141</v>
      </c>
      <c r="C428" s="19" t="n">
        <f aca="false">ROUNDUP(A428/12,0)</f>
        <v>36</v>
      </c>
      <c r="D428" s="26" t="n">
        <f aca="false">H427</f>
        <v>0</v>
      </c>
      <c r="E428" s="26" t="n">
        <f aca="false">IF(D428&lt;=0,0,ROUND(D428*Calculator!$B$7/12,2))</f>
        <v>0</v>
      </c>
      <c r="F428" s="26" t="n">
        <f aca="false">IF(D428&lt;=0,0,ROUND(MIN(D428,Calculator!$H$6-E428),2))</f>
        <v>0</v>
      </c>
      <c r="G428" s="26" t="n">
        <f aca="false">ROUND(E428+F428,2)</f>
        <v>0</v>
      </c>
      <c r="H428" s="26" t="n">
        <f aca="false">ROUND(MAX(0,D428-F428),2)</f>
        <v>0</v>
      </c>
      <c r="I428" s="26" t="n">
        <f aca="false">ROUND(E428+I427,2)</f>
        <v>535683.53</v>
      </c>
    </row>
    <row r="429" customFormat="false" ht="15" hidden="false" customHeight="true" outlineLevel="0" collapsed="false">
      <c r="A429" s="19" t="n">
        <f aca="false">A428+1</f>
        <v>424</v>
      </c>
      <c r="B429" s="18" t="n">
        <f aca="false">EDATE(B428,1)</f>
        <v>59172</v>
      </c>
      <c r="C429" s="19" t="n">
        <f aca="false">ROUNDUP(A429/12,0)</f>
        <v>36</v>
      </c>
      <c r="D429" s="26" t="n">
        <f aca="false">H428</f>
        <v>0</v>
      </c>
      <c r="E429" s="26" t="n">
        <f aca="false">IF(D429&lt;=0,0,ROUND(D429*Calculator!$B$7/12,2))</f>
        <v>0</v>
      </c>
      <c r="F429" s="26" t="n">
        <f aca="false">IF(D429&lt;=0,0,ROUND(MIN(D429,Calculator!$H$6-E429),2))</f>
        <v>0</v>
      </c>
      <c r="G429" s="26" t="n">
        <f aca="false">ROUND(E429+F429,2)</f>
        <v>0</v>
      </c>
      <c r="H429" s="26" t="n">
        <f aca="false">ROUND(MAX(0,D429-F429),2)</f>
        <v>0</v>
      </c>
      <c r="I429" s="26" t="n">
        <f aca="false">ROUND(E429+I428,2)</f>
        <v>535683.53</v>
      </c>
    </row>
    <row r="430" customFormat="false" ht="15" hidden="false" customHeight="true" outlineLevel="0" collapsed="false">
      <c r="A430" s="19" t="n">
        <f aca="false">A429+1</f>
        <v>425</v>
      </c>
      <c r="B430" s="18" t="n">
        <f aca="false">EDATE(B429,1)</f>
        <v>59203</v>
      </c>
      <c r="C430" s="19" t="n">
        <f aca="false">ROUNDUP(A430/12,0)</f>
        <v>36</v>
      </c>
      <c r="D430" s="26" t="n">
        <f aca="false">H429</f>
        <v>0</v>
      </c>
      <c r="E430" s="26" t="n">
        <f aca="false">IF(D430&lt;=0,0,ROUND(D430*Calculator!$B$7/12,2))</f>
        <v>0</v>
      </c>
      <c r="F430" s="26" t="n">
        <f aca="false">IF(D430&lt;=0,0,ROUND(MIN(D430,Calculator!$H$6-E430),2))</f>
        <v>0</v>
      </c>
      <c r="G430" s="26" t="n">
        <f aca="false">ROUND(E430+F430,2)</f>
        <v>0</v>
      </c>
      <c r="H430" s="26" t="n">
        <f aca="false">ROUND(MAX(0,D430-F430),2)</f>
        <v>0</v>
      </c>
      <c r="I430" s="26" t="n">
        <f aca="false">ROUND(E430+I429,2)</f>
        <v>535683.53</v>
      </c>
    </row>
    <row r="431" customFormat="false" ht="15" hidden="false" customHeight="true" outlineLevel="0" collapsed="false">
      <c r="A431" s="19" t="n">
        <f aca="false">A430+1</f>
        <v>426</v>
      </c>
      <c r="B431" s="18" t="n">
        <f aca="false">EDATE(B430,1)</f>
        <v>59231</v>
      </c>
      <c r="C431" s="19" t="n">
        <f aca="false">ROUNDUP(A431/12,0)</f>
        <v>36</v>
      </c>
      <c r="D431" s="26" t="n">
        <f aca="false">H430</f>
        <v>0</v>
      </c>
      <c r="E431" s="26" t="n">
        <f aca="false">IF(D431&lt;=0,0,ROUND(D431*Calculator!$B$7/12,2))</f>
        <v>0</v>
      </c>
      <c r="F431" s="26" t="n">
        <f aca="false">IF(D431&lt;=0,0,ROUND(MIN(D431,Calculator!$H$6-E431),2))</f>
        <v>0</v>
      </c>
      <c r="G431" s="26" t="n">
        <f aca="false">ROUND(E431+F431,2)</f>
        <v>0</v>
      </c>
      <c r="H431" s="26" t="n">
        <f aca="false">ROUND(MAX(0,D431-F431),2)</f>
        <v>0</v>
      </c>
      <c r="I431" s="26" t="n">
        <f aca="false">ROUND(E431+I430,2)</f>
        <v>535683.53</v>
      </c>
    </row>
    <row r="432" customFormat="false" ht="15" hidden="false" customHeight="true" outlineLevel="0" collapsed="false">
      <c r="A432" s="19" t="n">
        <f aca="false">A431+1</f>
        <v>427</v>
      </c>
      <c r="B432" s="18" t="n">
        <f aca="false">EDATE(B431,1)</f>
        <v>59262</v>
      </c>
      <c r="C432" s="19" t="n">
        <f aca="false">ROUNDUP(A432/12,0)</f>
        <v>36</v>
      </c>
      <c r="D432" s="26" t="n">
        <f aca="false">H431</f>
        <v>0</v>
      </c>
      <c r="E432" s="26" t="n">
        <f aca="false">IF(D432&lt;=0,0,ROUND(D432*Calculator!$B$7/12,2))</f>
        <v>0</v>
      </c>
      <c r="F432" s="26" t="n">
        <f aca="false">IF(D432&lt;=0,0,ROUND(MIN(D432,Calculator!$H$6-E432),2))</f>
        <v>0</v>
      </c>
      <c r="G432" s="26" t="n">
        <f aca="false">ROUND(E432+F432,2)</f>
        <v>0</v>
      </c>
      <c r="H432" s="26" t="n">
        <f aca="false">ROUND(MAX(0,D432-F432),2)</f>
        <v>0</v>
      </c>
      <c r="I432" s="26" t="n">
        <f aca="false">ROUND(E432+I431,2)</f>
        <v>535683.53</v>
      </c>
    </row>
    <row r="433" customFormat="false" ht="15" hidden="false" customHeight="true" outlineLevel="0" collapsed="false">
      <c r="A433" s="19" t="n">
        <f aca="false">A432+1</f>
        <v>428</v>
      </c>
      <c r="B433" s="18" t="n">
        <f aca="false">EDATE(B432,1)</f>
        <v>59292</v>
      </c>
      <c r="C433" s="19" t="n">
        <f aca="false">ROUNDUP(A433/12,0)</f>
        <v>36</v>
      </c>
      <c r="D433" s="26" t="n">
        <f aca="false">H432</f>
        <v>0</v>
      </c>
      <c r="E433" s="26" t="n">
        <f aca="false">IF(D433&lt;=0,0,ROUND(D433*Calculator!$B$7/12,2))</f>
        <v>0</v>
      </c>
      <c r="F433" s="26" t="n">
        <f aca="false">IF(D433&lt;=0,0,ROUND(MIN(D433,Calculator!$H$6-E433),2))</f>
        <v>0</v>
      </c>
      <c r="G433" s="26" t="n">
        <f aca="false">ROUND(E433+F433,2)</f>
        <v>0</v>
      </c>
      <c r="H433" s="26" t="n">
        <f aca="false">ROUND(MAX(0,D433-F433),2)</f>
        <v>0</v>
      </c>
      <c r="I433" s="26" t="n">
        <f aca="false">ROUND(E433+I432,2)</f>
        <v>535683.53</v>
      </c>
    </row>
    <row r="434" customFormat="false" ht="15" hidden="false" customHeight="true" outlineLevel="0" collapsed="false">
      <c r="A434" s="19" t="n">
        <f aca="false">A433+1</f>
        <v>429</v>
      </c>
      <c r="B434" s="18" t="n">
        <f aca="false">EDATE(B433,1)</f>
        <v>59323</v>
      </c>
      <c r="C434" s="19" t="n">
        <f aca="false">ROUNDUP(A434/12,0)</f>
        <v>36</v>
      </c>
      <c r="D434" s="26" t="n">
        <f aca="false">H433</f>
        <v>0</v>
      </c>
      <c r="E434" s="26" t="n">
        <f aca="false">IF(D434&lt;=0,0,ROUND(D434*Calculator!$B$7/12,2))</f>
        <v>0</v>
      </c>
      <c r="F434" s="26" t="n">
        <f aca="false">IF(D434&lt;=0,0,ROUND(MIN(D434,Calculator!$H$6-E434),2))</f>
        <v>0</v>
      </c>
      <c r="G434" s="26" t="n">
        <f aca="false">ROUND(E434+F434,2)</f>
        <v>0</v>
      </c>
      <c r="H434" s="26" t="n">
        <f aca="false">ROUND(MAX(0,D434-F434),2)</f>
        <v>0</v>
      </c>
      <c r="I434" s="26" t="n">
        <f aca="false">ROUND(E434+I433,2)</f>
        <v>535683.53</v>
      </c>
    </row>
    <row r="435" customFormat="false" ht="15" hidden="false" customHeight="true" outlineLevel="0" collapsed="false">
      <c r="A435" s="19" t="n">
        <f aca="false">A434+1</f>
        <v>430</v>
      </c>
      <c r="B435" s="18" t="n">
        <f aca="false">EDATE(B434,1)</f>
        <v>59353</v>
      </c>
      <c r="C435" s="19" t="n">
        <f aca="false">ROUNDUP(A435/12,0)</f>
        <v>36</v>
      </c>
      <c r="D435" s="26" t="n">
        <f aca="false">H434</f>
        <v>0</v>
      </c>
      <c r="E435" s="26" t="n">
        <f aca="false">IF(D435&lt;=0,0,ROUND(D435*Calculator!$B$7/12,2))</f>
        <v>0</v>
      </c>
      <c r="F435" s="26" t="n">
        <f aca="false">IF(D435&lt;=0,0,ROUND(MIN(D435,Calculator!$H$6-E435),2))</f>
        <v>0</v>
      </c>
      <c r="G435" s="26" t="n">
        <f aca="false">ROUND(E435+F435,2)</f>
        <v>0</v>
      </c>
      <c r="H435" s="26" t="n">
        <f aca="false">ROUND(MAX(0,D435-F435),2)</f>
        <v>0</v>
      </c>
      <c r="I435" s="26" t="n">
        <f aca="false">ROUND(E435+I434,2)</f>
        <v>535683.53</v>
      </c>
    </row>
    <row r="436" customFormat="false" ht="15" hidden="false" customHeight="true" outlineLevel="0" collapsed="false">
      <c r="A436" s="19" t="n">
        <f aca="false">A435+1</f>
        <v>431</v>
      </c>
      <c r="B436" s="18" t="n">
        <f aca="false">EDATE(B435,1)</f>
        <v>59384</v>
      </c>
      <c r="C436" s="19" t="n">
        <f aca="false">ROUNDUP(A436/12,0)</f>
        <v>36</v>
      </c>
      <c r="D436" s="26" t="n">
        <f aca="false">H435</f>
        <v>0</v>
      </c>
      <c r="E436" s="26" t="n">
        <f aca="false">IF(D436&lt;=0,0,ROUND(D436*Calculator!$B$7/12,2))</f>
        <v>0</v>
      </c>
      <c r="F436" s="26" t="n">
        <f aca="false">IF(D436&lt;=0,0,ROUND(MIN(D436,Calculator!$H$6-E436),2))</f>
        <v>0</v>
      </c>
      <c r="G436" s="26" t="n">
        <f aca="false">ROUND(E436+F436,2)</f>
        <v>0</v>
      </c>
      <c r="H436" s="26" t="n">
        <f aca="false">ROUND(MAX(0,D436-F436),2)</f>
        <v>0</v>
      </c>
      <c r="I436" s="26" t="n">
        <f aca="false">ROUND(E436+I435,2)</f>
        <v>535683.53</v>
      </c>
    </row>
    <row r="437" customFormat="false" ht="15" hidden="false" customHeight="true" outlineLevel="0" collapsed="false">
      <c r="A437" s="19" t="n">
        <f aca="false">A436+1</f>
        <v>432</v>
      </c>
      <c r="B437" s="18" t="n">
        <f aca="false">EDATE(B436,1)</f>
        <v>59415</v>
      </c>
      <c r="C437" s="19" t="n">
        <f aca="false">ROUNDUP(A437/12,0)</f>
        <v>36</v>
      </c>
      <c r="D437" s="26" t="n">
        <f aca="false">H436</f>
        <v>0</v>
      </c>
      <c r="E437" s="26" t="n">
        <f aca="false">IF(D437&lt;=0,0,ROUND(D437*Calculator!$B$7/12,2))</f>
        <v>0</v>
      </c>
      <c r="F437" s="26" t="n">
        <f aca="false">IF(D437&lt;=0,0,ROUND(MIN(D437,Calculator!$H$6-E437),2))</f>
        <v>0</v>
      </c>
      <c r="G437" s="26" t="n">
        <f aca="false">ROUND(E437+F437,2)</f>
        <v>0</v>
      </c>
      <c r="H437" s="26" t="n">
        <f aca="false">ROUND(MAX(0,D437-F437),2)</f>
        <v>0</v>
      </c>
      <c r="I437" s="26" t="n">
        <f aca="false">ROUND(E437+I436,2)</f>
        <v>535683.53</v>
      </c>
    </row>
    <row r="438" customFormat="false" ht="15" hidden="false" customHeight="true" outlineLevel="0" collapsed="false">
      <c r="A438" s="19" t="n">
        <f aca="false">A437+1</f>
        <v>433</v>
      </c>
      <c r="B438" s="18" t="n">
        <f aca="false">EDATE(B437,1)</f>
        <v>59445</v>
      </c>
      <c r="C438" s="19" t="n">
        <f aca="false">ROUNDUP(A438/12,0)</f>
        <v>37</v>
      </c>
      <c r="D438" s="26" t="n">
        <f aca="false">H437</f>
        <v>0</v>
      </c>
      <c r="E438" s="26" t="n">
        <f aca="false">IF(D438&lt;=0,0,ROUND(D438*Calculator!$B$7/12,2))</f>
        <v>0</v>
      </c>
      <c r="F438" s="26" t="n">
        <f aca="false">IF(D438&lt;=0,0,ROUND(MIN(D438,Calculator!$H$6-E438),2))</f>
        <v>0</v>
      </c>
      <c r="G438" s="26" t="n">
        <f aca="false">ROUND(E438+F438,2)</f>
        <v>0</v>
      </c>
      <c r="H438" s="26" t="n">
        <f aca="false">ROUND(MAX(0,D438-F438),2)</f>
        <v>0</v>
      </c>
      <c r="I438" s="26" t="n">
        <f aca="false">ROUND(E438+I437,2)</f>
        <v>535683.53</v>
      </c>
    </row>
    <row r="439" customFormat="false" ht="15" hidden="false" customHeight="true" outlineLevel="0" collapsed="false">
      <c r="A439" s="19" t="n">
        <f aca="false">A438+1</f>
        <v>434</v>
      </c>
      <c r="B439" s="18" t="n">
        <f aca="false">EDATE(B438,1)</f>
        <v>59476</v>
      </c>
      <c r="C439" s="19" t="n">
        <f aca="false">ROUNDUP(A439/12,0)</f>
        <v>37</v>
      </c>
      <c r="D439" s="26" t="n">
        <f aca="false">H438</f>
        <v>0</v>
      </c>
      <c r="E439" s="26" t="n">
        <f aca="false">IF(D439&lt;=0,0,ROUND(D439*Calculator!$B$7/12,2))</f>
        <v>0</v>
      </c>
      <c r="F439" s="26" t="n">
        <f aca="false">IF(D439&lt;=0,0,ROUND(MIN(D439,Calculator!$H$6-E439),2))</f>
        <v>0</v>
      </c>
      <c r="G439" s="26" t="n">
        <f aca="false">ROUND(E439+F439,2)</f>
        <v>0</v>
      </c>
      <c r="H439" s="26" t="n">
        <f aca="false">ROUND(MAX(0,D439-F439),2)</f>
        <v>0</v>
      </c>
      <c r="I439" s="26" t="n">
        <f aca="false">ROUND(E439+I438,2)</f>
        <v>535683.53</v>
      </c>
    </row>
    <row r="440" customFormat="false" ht="15" hidden="false" customHeight="true" outlineLevel="0" collapsed="false">
      <c r="A440" s="19" t="n">
        <f aca="false">A439+1</f>
        <v>435</v>
      </c>
      <c r="B440" s="18" t="n">
        <f aca="false">EDATE(B439,1)</f>
        <v>59506</v>
      </c>
      <c r="C440" s="19" t="n">
        <f aca="false">ROUNDUP(A440/12,0)</f>
        <v>37</v>
      </c>
      <c r="D440" s="26" t="n">
        <f aca="false">H439</f>
        <v>0</v>
      </c>
      <c r="E440" s="26" t="n">
        <f aca="false">IF(D440&lt;=0,0,ROUND(D440*Calculator!$B$7/12,2))</f>
        <v>0</v>
      </c>
      <c r="F440" s="26" t="n">
        <f aca="false">IF(D440&lt;=0,0,ROUND(MIN(D440,Calculator!$H$6-E440),2))</f>
        <v>0</v>
      </c>
      <c r="G440" s="26" t="n">
        <f aca="false">ROUND(E440+F440,2)</f>
        <v>0</v>
      </c>
      <c r="H440" s="26" t="n">
        <f aca="false">ROUND(MAX(0,D440-F440),2)</f>
        <v>0</v>
      </c>
      <c r="I440" s="26" t="n">
        <f aca="false">ROUND(E440+I439,2)</f>
        <v>535683.53</v>
      </c>
    </row>
    <row r="441" customFormat="false" ht="15" hidden="false" customHeight="true" outlineLevel="0" collapsed="false">
      <c r="A441" s="19" t="n">
        <f aca="false">A440+1</f>
        <v>436</v>
      </c>
      <c r="B441" s="18" t="n">
        <f aca="false">EDATE(B440,1)</f>
        <v>59537</v>
      </c>
      <c r="C441" s="19" t="n">
        <f aca="false">ROUNDUP(A441/12,0)</f>
        <v>37</v>
      </c>
      <c r="D441" s="26" t="n">
        <f aca="false">H440</f>
        <v>0</v>
      </c>
      <c r="E441" s="26" t="n">
        <f aca="false">IF(D441&lt;=0,0,ROUND(D441*Calculator!$B$7/12,2))</f>
        <v>0</v>
      </c>
      <c r="F441" s="26" t="n">
        <f aca="false">IF(D441&lt;=0,0,ROUND(MIN(D441,Calculator!$H$6-E441),2))</f>
        <v>0</v>
      </c>
      <c r="G441" s="26" t="n">
        <f aca="false">ROUND(E441+F441,2)</f>
        <v>0</v>
      </c>
      <c r="H441" s="26" t="n">
        <f aca="false">ROUND(MAX(0,D441-F441),2)</f>
        <v>0</v>
      </c>
      <c r="I441" s="26" t="n">
        <f aca="false">ROUND(E441+I440,2)</f>
        <v>535683.53</v>
      </c>
    </row>
    <row r="442" customFormat="false" ht="15" hidden="false" customHeight="true" outlineLevel="0" collapsed="false">
      <c r="A442" s="19" t="n">
        <f aca="false">A441+1</f>
        <v>437</v>
      </c>
      <c r="B442" s="18" t="n">
        <f aca="false">EDATE(B441,1)</f>
        <v>59568</v>
      </c>
      <c r="C442" s="19" t="n">
        <f aca="false">ROUNDUP(A442/12,0)</f>
        <v>37</v>
      </c>
      <c r="D442" s="26" t="n">
        <f aca="false">H441</f>
        <v>0</v>
      </c>
      <c r="E442" s="26" t="n">
        <f aca="false">IF(D442&lt;=0,0,ROUND(D442*Calculator!$B$7/12,2))</f>
        <v>0</v>
      </c>
      <c r="F442" s="26" t="n">
        <f aca="false">IF(D442&lt;=0,0,ROUND(MIN(D442,Calculator!$H$6-E442),2))</f>
        <v>0</v>
      </c>
      <c r="G442" s="26" t="n">
        <f aca="false">ROUND(E442+F442,2)</f>
        <v>0</v>
      </c>
      <c r="H442" s="26" t="n">
        <f aca="false">ROUND(MAX(0,D442-F442),2)</f>
        <v>0</v>
      </c>
      <c r="I442" s="26" t="n">
        <f aca="false">ROUND(E442+I441,2)</f>
        <v>535683.53</v>
      </c>
    </row>
    <row r="443" customFormat="false" ht="15" hidden="false" customHeight="true" outlineLevel="0" collapsed="false">
      <c r="A443" s="19" t="n">
        <f aca="false">A442+1</f>
        <v>438</v>
      </c>
      <c r="B443" s="18" t="n">
        <f aca="false">EDATE(B442,1)</f>
        <v>59596</v>
      </c>
      <c r="C443" s="19" t="n">
        <f aca="false">ROUNDUP(A443/12,0)</f>
        <v>37</v>
      </c>
      <c r="D443" s="26" t="n">
        <f aca="false">H442</f>
        <v>0</v>
      </c>
      <c r="E443" s="26" t="n">
        <f aca="false">IF(D443&lt;=0,0,ROUND(D443*Calculator!$B$7/12,2))</f>
        <v>0</v>
      </c>
      <c r="F443" s="26" t="n">
        <f aca="false">IF(D443&lt;=0,0,ROUND(MIN(D443,Calculator!$H$6-E443),2))</f>
        <v>0</v>
      </c>
      <c r="G443" s="26" t="n">
        <f aca="false">ROUND(E443+F443,2)</f>
        <v>0</v>
      </c>
      <c r="H443" s="26" t="n">
        <f aca="false">ROUND(MAX(0,D443-F443),2)</f>
        <v>0</v>
      </c>
      <c r="I443" s="26" t="n">
        <f aca="false">ROUND(E443+I442,2)</f>
        <v>535683.53</v>
      </c>
    </row>
    <row r="444" customFormat="false" ht="15" hidden="false" customHeight="true" outlineLevel="0" collapsed="false">
      <c r="A444" s="19" t="n">
        <f aca="false">A443+1</f>
        <v>439</v>
      </c>
      <c r="B444" s="18" t="n">
        <f aca="false">EDATE(B443,1)</f>
        <v>59627</v>
      </c>
      <c r="C444" s="19" t="n">
        <f aca="false">ROUNDUP(A444/12,0)</f>
        <v>37</v>
      </c>
      <c r="D444" s="26" t="n">
        <f aca="false">H443</f>
        <v>0</v>
      </c>
      <c r="E444" s="26" t="n">
        <f aca="false">IF(D444&lt;=0,0,ROUND(D444*Calculator!$B$7/12,2))</f>
        <v>0</v>
      </c>
      <c r="F444" s="26" t="n">
        <f aca="false">IF(D444&lt;=0,0,ROUND(MIN(D444,Calculator!$H$6-E444),2))</f>
        <v>0</v>
      </c>
      <c r="G444" s="26" t="n">
        <f aca="false">ROUND(E444+F444,2)</f>
        <v>0</v>
      </c>
      <c r="H444" s="26" t="n">
        <f aca="false">ROUND(MAX(0,D444-F444),2)</f>
        <v>0</v>
      </c>
      <c r="I444" s="26" t="n">
        <f aca="false">ROUND(E444+I443,2)</f>
        <v>535683.53</v>
      </c>
    </row>
    <row r="445" customFormat="false" ht="15" hidden="false" customHeight="true" outlineLevel="0" collapsed="false">
      <c r="A445" s="19" t="n">
        <f aca="false">A444+1</f>
        <v>440</v>
      </c>
      <c r="B445" s="18" t="n">
        <f aca="false">EDATE(B444,1)</f>
        <v>59657</v>
      </c>
      <c r="C445" s="19" t="n">
        <f aca="false">ROUNDUP(A445/12,0)</f>
        <v>37</v>
      </c>
      <c r="D445" s="26" t="n">
        <f aca="false">H444</f>
        <v>0</v>
      </c>
      <c r="E445" s="26" t="n">
        <f aca="false">IF(D445&lt;=0,0,ROUND(D445*Calculator!$B$7/12,2))</f>
        <v>0</v>
      </c>
      <c r="F445" s="26" t="n">
        <f aca="false">IF(D445&lt;=0,0,ROUND(MIN(D445,Calculator!$H$6-E445),2))</f>
        <v>0</v>
      </c>
      <c r="G445" s="26" t="n">
        <f aca="false">ROUND(E445+F445,2)</f>
        <v>0</v>
      </c>
      <c r="H445" s="26" t="n">
        <f aca="false">ROUND(MAX(0,D445-F445),2)</f>
        <v>0</v>
      </c>
      <c r="I445" s="26" t="n">
        <f aca="false">ROUND(E445+I444,2)</f>
        <v>535683.53</v>
      </c>
    </row>
    <row r="446" customFormat="false" ht="15" hidden="false" customHeight="true" outlineLevel="0" collapsed="false">
      <c r="A446" s="19" t="n">
        <f aca="false">A445+1</f>
        <v>441</v>
      </c>
      <c r="B446" s="18" t="n">
        <f aca="false">EDATE(B445,1)</f>
        <v>59688</v>
      </c>
      <c r="C446" s="19" t="n">
        <f aca="false">ROUNDUP(A446/12,0)</f>
        <v>37</v>
      </c>
      <c r="D446" s="26" t="n">
        <f aca="false">H445</f>
        <v>0</v>
      </c>
      <c r="E446" s="26" t="n">
        <f aca="false">IF(D446&lt;=0,0,ROUND(D446*Calculator!$B$7/12,2))</f>
        <v>0</v>
      </c>
      <c r="F446" s="26" t="n">
        <f aca="false">IF(D446&lt;=0,0,ROUND(MIN(D446,Calculator!$H$6-E446),2))</f>
        <v>0</v>
      </c>
      <c r="G446" s="26" t="n">
        <f aca="false">ROUND(E446+F446,2)</f>
        <v>0</v>
      </c>
      <c r="H446" s="26" t="n">
        <f aca="false">ROUND(MAX(0,D446-F446),2)</f>
        <v>0</v>
      </c>
      <c r="I446" s="26" t="n">
        <f aca="false">ROUND(E446+I445,2)</f>
        <v>535683.53</v>
      </c>
    </row>
    <row r="447" customFormat="false" ht="15" hidden="false" customHeight="true" outlineLevel="0" collapsed="false">
      <c r="A447" s="19" t="n">
        <f aca="false">A446+1</f>
        <v>442</v>
      </c>
      <c r="B447" s="18" t="n">
        <f aca="false">EDATE(B446,1)</f>
        <v>59718</v>
      </c>
      <c r="C447" s="19" t="n">
        <f aca="false">ROUNDUP(A447/12,0)</f>
        <v>37</v>
      </c>
      <c r="D447" s="26" t="n">
        <f aca="false">H446</f>
        <v>0</v>
      </c>
      <c r="E447" s="26" t="n">
        <f aca="false">IF(D447&lt;=0,0,ROUND(D447*Calculator!$B$7/12,2))</f>
        <v>0</v>
      </c>
      <c r="F447" s="26" t="n">
        <f aca="false">IF(D447&lt;=0,0,ROUND(MIN(D447,Calculator!$H$6-E447),2))</f>
        <v>0</v>
      </c>
      <c r="G447" s="26" t="n">
        <f aca="false">ROUND(E447+F447,2)</f>
        <v>0</v>
      </c>
      <c r="H447" s="26" t="n">
        <f aca="false">ROUND(MAX(0,D447-F447),2)</f>
        <v>0</v>
      </c>
      <c r="I447" s="26" t="n">
        <f aca="false">ROUND(E447+I446,2)</f>
        <v>535683.53</v>
      </c>
    </row>
    <row r="448" customFormat="false" ht="15" hidden="false" customHeight="true" outlineLevel="0" collapsed="false">
      <c r="A448" s="19" t="n">
        <f aca="false">A447+1</f>
        <v>443</v>
      </c>
      <c r="B448" s="18" t="n">
        <f aca="false">EDATE(B447,1)</f>
        <v>59749</v>
      </c>
      <c r="C448" s="19" t="n">
        <f aca="false">ROUNDUP(A448/12,0)</f>
        <v>37</v>
      </c>
      <c r="D448" s="26" t="n">
        <f aca="false">H447</f>
        <v>0</v>
      </c>
      <c r="E448" s="26" t="n">
        <f aca="false">IF(D448&lt;=0,0,ROUND(D448*Calculator!$B$7/12,2))</f>
        <v>0</v>
      </c>
      <c r="F448" s="26" t="n">
        <f aca="false">IF(D448&lt;=0,0,ROUND(MIN(D448,Calculator!$H$6-E448),2))</f>
        <v>0</v>
      </c>
      <c r="G448" s="26" t="n">
        <f aca="false">ROUND(E448+F448,2)</f>
        <v>0</v>
      </c>
      <c r="H448" s="26" t="n">
        <f aca="false">ROUND(MAX(0,D448-F448),2)</f>
        <v>0</v>
      </c>
      <c r="I448" s="26" t="n">
        <f aca="false">ROUND(E448+I447,2)</f>
        <v>535683.53</v>
      </c>
    </row>
    <row r="449" customFormat="false" ht="15" hidden="false" customHeight="true" outlineLevel="0" collapsed="false">
      <c r="A449" s="19" t="n">
        <f aca="false">A448+1</f>
        <v>444</v>
      </c>
      <c r="B449" s="18" t="n">
        <f aca="false">EDATE(B448,1)</f>
        <v>59780</v>
      </c>
      <c r="C449" s="19" t="n">
        <f aca="false">ROUNDUP(A449/12,0)</f>
        <v>37</v>
      </c>
      <c r="D449" s="26" t="n">
        <f aca="false">H448</f>
        <v>0</v>
      </c>
      <c r="E449" s="26" t="n">
        <f aca="false">IF(D449&lt;=0,0,ROUND(D449*Calculator!$B$7/12,2))</f>
        <v>0</v>
      </c>
      <c r="F449" s="26" t="n">
        <f aca="false">IF(D449&lt;=0,0,ROUND(MIN(D449,Calculator!$H$6-E449),2))</f>
        <v>0</v>
      </c>
      <c r="G449" s="26" t="n">
        <f aca="false">ROUND(E449+F449,2)</f>
        <v>0</v>
      </c>
      <c r="H449" s="26" t="n">
        <f aca="false">ROUND(MAX(0,D449-F449),2)</f>
        <v>0</v>
      </c>
      <c r="I449" s="26" t="n">
        <f aca="false">ROUND(E449+I448,2)</f>
        <v>535683.53</v>
      </c>
    </row>
    <row r="450" customFormat="false" ht="15" hidden="false" customHeight="true" outlineLevel="0" collapsed="false">
      <c r="A450" s="19" t="n">
        <f aca="false">A449+1</f>
        <v>445</v>
      </c>
      <c r="B450" s="18" t="n">
        <f aca="false">EDATE(B449,1)</f>
        <v>59810</v>
      </c>
      <c r="C450" s="19" t="n">
        <f aca="false">ROUNDUP(A450/12,0)</f>
        <v>38</v>
      </c>
      <c r="D450" s="26" t="n">
        <f aca="false">H449</f>
        <v>0</v>
      </c>
      <c r="E450" s="26" t="n">
        <f aca="false">IF(D450&lt;=0,0,ROUND(D450*Calculator!$B$7/12,2))</f>
        <v>0</v>
      </c>
      <c r="F450" s="26" t="n">
        <f aca="false">IF(D450&lt;=0,0,ROUND(MIN(D450,Calculator!$H$6-E450),2))</f>
        <v>0</v>
      </c>
      <c r="G450" s="26" t="n">
        <f aca="false">ROUND(E450+F450,2)</f>
        <v>0</v>
      </c>
      <c r="H450" s="26" t="n">
        <f aca="false">ROUND(MAX(0,D450-F450),2)</f>
        <v>0</v>
      </c>
      <c r="I450" s="26" t="n">
        <f aca="false">ROUND(E450+I449,2)</f>
        <v>535683.53</v>
      </c>
    </row>
    <row r="451" customFormat="false" ht="15" hidden="false" customHeight="true" outlineLevel="0" collapsed="false">
      <c r="A451" s="19" t="n">
        <f aca="false">A450+1</f>
        <v>446</v>
      </c>
      <c r="B451" s="18" t="n">
        <f aca="false">EDATE(B450,1)</f>
        <v>59841</v>
      </c>
      <c r="C451" s="19" t="n">
        <f aca="false">ROUNDUP(A451/12,0)</f>
        <v>38</v>
      </c>
      <c r="D451" s="26" t="n">
        <f aca="false">H450</f>
        <v>0</v>
      </c>
      <c r="E451" s="26" t="n">
        <f aca="false">IF(D451&lt;=0,0,ROUND(D451*Calculator!$B$7/12,2))</f>
        <v>0</v>
      </c>
      <c r="F451" s="26" t="n">
        <f aca="false">IF(D451&lt;=0,0,ROUND(MIN(D451,Calculator!$H$6-E451),2))</f>
        <v>0</v>
      </c>
      <c r="G451" s="26" t="n">
        <f aca="false">ROUND(E451+F451,2)</f>
        <v>0</v>
      </c>
      <c r="H451" s="26" t="n">
        <f aca="false">ROUND(MAX(0,D451-F451),2)</f>
        <v>0</v>
      </c>
      <c r="I451" s="26" t="n">
        <f aca="false">ROUND(E451+I450,2)</f>
        <v>535683.53</v>
      </c>
    </row>
    <row r="452" customFormat="false" ht="15" hidden="false" customHeight="true" outlineLevel="0" collapsed="false">
      <c r="A452" s="19" t="n">
        <f aca="false">A451+1</f>
        <v>447</v>
      </c>
      <c r="B452" s="18" t="n">
        <f aca="false">EDATE(B451,1)</f>
        <v>59871</v>
      </c>
      <c r="C452" s="19" t="n">
        <f aca="false">ROUNDUP(A452/12,0)</f>
        <v>38</v>
      </c>
      <c r="D452" s="26" t="n">
        <f aca="false">H451</f>
        <v>0</v>
      </c>
      <c r="E452" s="26" t="n">
        <f aca="false">IF(D452&lt;=0,0,ROUND(D452*Calculator!$B$7/12,2))</f>
        <v>0</v>
      </c>
      <c r="F452" s="26" t="n">
        <f aca="false">IF(D452&lt;=0,0,ROUND(MIN(D452,Calculator!$H$6-E452),2))</f>
        <v>0</v>
      </c>
      <c r="G452" s="26" t="n">
        <f aca="false">ROUND(E452+F452,2)</f>
        <v>0</v>
      </c>
      <c r="H452" s="26" t="n">
        <f aca="false">ROUND(MAX(0,D452-F452),2)</f>
        <v>0</v>
      </c>
      <c r="I452" s="26" t="n">
        <f aca="false">ROUND(E452+I451,2)</f>
        <v>535683.53</v>
      </c>
    </row>
    <row r="453" customFormat="false" ht="15" hidden="false" customHeight="true" outlineLevel="0" collapsed="false">
      <c r="A453" s="19" t="n">
        <f aca="false">A452+1</f>
        <v>448</v>
      </c>
      <c r="B453" s="18" t="n">
        <f aca="false">EDATE(B452,1)</f>
        <v>59902</v>
      </c>
      <c r="C453" s="19" t="n">
        <f aca="false">ROUNDUP(A453/12,0)</f>
        <v>38</v>
      </c>
      <c r="D453" s="26" t="n">
        <f aca="false">H452</f>
        <v>0</v>
      </c>
      <c r="E453" s="26" t="n">
        <f aca="false">IF(D453&lt;=0,0,ROUND(D453*Calculator!$B$7/12,2))</f>
        <v>0</v>
      </c>
      <c r="F453" s="26" t="n">
        <f aca="false">IF(D453&lt;=0,0,ROUND(MIN(D453,Calculator!$H$6-E453),2))</f>
        <v>0</v>
      </c>
      <c r="G453" s="26" t="n">
        <f aca="false">ROUND(E453+F453,2)</f>
        <v>0</v>
      </c>
      <c r="H453" s="26" t="n">
        <f aca="false">ROUND(MAX(0,D453-F453),2)</f>
        <v>0</v>
      </c>
      <c r="I453" s="26" t="n">
        <f aca="false">ROUND(E453+I452,2)</f>
        <v>535683.53</v>
      </c>
    </row>
    <row r="454" customFormat="false" ht="15" hidden="false" customHeight="true" outlineLevel="0" collapsed="false">
      <c r="A454" s="19" t="n">
        <f aca="false">A453+1</f>
        <v>449</v>
      </c>
      <c r="B454" s="18" t="n">
        <f aca="false">EDATE(B453,1)</f>
        <v>59933</v>
      </c>
      <c r="C454" s="19" t="n">
        <f aca="false">ROUNDUP(A454/12,0)</f>
        <v>38</v>
      </c>
      <c r="D454" s="26" t="n">
        <f aca="false">H453</f>
        <v>0</v>
      </c>
      <c r="E454" s="26" t="n">
        <f aca="false">IF(D454&lt;=0,0,ROUND(D454*Calculator!$B$7/12,2))</f>
        <v>0</v>
      </c>
      <c r="F454" s="26" t="n">
        <f aca="false">IF(D454&lt;=0,0,ROUND(MIN(D454,Calculator!$H$6-E454),2))</f>
        <v>0</v>
      </c>
      <c r="G454" s="26" t="n">
        <f aca="false">ROUND(E454+F454,2)</f>
        <v>0</v>
      </c>
      <c r="H454" s="26" t="n">
        <f aca="false">ROUND(MAX(0,D454-F454),2)</f>
        <v>0</v>
      </c>
      <c r="I454" s="26" t="n">
        <f aca="false">ROUND(E454+I453,2)</f>
        <v>535683.53</v>
      </c>
    </row>
    <row r="455" customFormat="false" ht="15" hidden="false" customHeight="true" outlineLevel="0" collapsed="false">
      <c r="A455" s="19" t="n">
        <f aca="false">A454+1</f>
        <v>450</v>
      </c>
      <c r="B455" s="18" t="n">
        <f aca="false">EDATE(B454,1)</f>
        <v>59962</v>
      </c>
      <c r="C455" s="19" t="n">
        <f aca="false">ROUNDUP(A455/12,0)</f>
        <v>38</v>
      </c>
      <c r="D455" s="26" t="n">
        <f aca="false">H454</f>
        <v>0</v>
      </c>
      <c r="E455" s="26" t="n">
        <f aca="false">IF(D455&lt;=0,0,ROUND(D455*Calculator!$B$7/12,2))</f>
        <v>0</v>
      </c>
      <c r="F455" s="26" t="n">
        <f aca="false">IF(D455&lt;=0,0,ROUND(MIN(D455,Calculator!$H$6-E455),2))</f>
        <v>0</v>
      </c>
      <c r="G455" s="26" t="n">
        <f aca="false">ROUND(E455+F455,2)</f>
        <v>0</v>
      </c>
      <c r="H455" s="26" t="n">
        <f aca="false">ROUND(MAX(0,D455-F455),2)</f>
        <v>0</v>
      </c>
      <c r="I455" s="26" t="n">
        <f aca="false">ROUND(E455+I454,2)</f>
        <v>535683.53</v>
      </c>
    </row>
    <row r="456" customFormat="false" ht="15" hidden="false" customHeight="true" outlineLevel="0" collapsed="false">
      <c r="A456" s="19" t="n">
        <f aca="false">A455+1</f>
        <v>451</v>
      </c>
      <c r="B456" s="18" t="n">
        <f aca="false">EDATE(B455,1)</f>
        <v>59993</v>
      </c>
      <c r="C456" s="19" t="n">
        <f aca="false">ROUNDUP(A456/12,0)</f>
        <v>38</v>
      </c>
      <c r="D456" s="26" t="n">
        <f aca="false">H455</f>
        <v>0</v>
      </c>
      <c r="E456" s="26" t="n">
        <f aca="false">IF(D456&lt;=0,0,ROUND(D456*Calculator!$B$7/12,2))</f>
        <v>0</v>
      </c>
      <c r="F456" s="26" t="n">
        <f aca="false">IF(D456&lt;=0,0,ROUND(MIN(D456,Calculator!$H$6-E456),2))</f>
        <v>0</v>
      </c>
      <c r="G456" s="26" t="n">
        <f aca="false">ROUND(E456+F456,2)</f>
        <v>0</v>
      </c>
      <c r="H456" s="26" t="n">
        <f aca="false">ROUND(MAX(0,D456-F456),2)</f>
        <v>0</v>
      </c>
      <c r="I456" s="26" t="n">
        <f aca="false">ROUND(E456+I455,2)</f>
        <v>535683.53</v>
      </c>
    </row>
    <row r="457" customFormat="false" ht="15" hidden="false" customHeight="true" outlineLevel="0" collapsed="false">
      <c r="A457" s="19" t="n">
        <f aca="false">A456+1</f>
        <v>452</v>
      </c>
      <c r="B457" s="18" t="n">
        <f aca="false">EDATE(B456,1)</f>
        <v>60023</v>
      </c>
      <c r="C457" s="19" t="n">
        <f aca="false">ROUNDUP(A457/12,0)</f>
        <v>38</v>
      </c>
      <c r="D457" s="26" t="n">
        <f aca="false">H456</f>
        <v>0</v>
      </c>
      <c r="E457" s="26" t="n">
        <f aca="false">IF(D457&lt;=0,0,ROUND(D457*Calculator!$B$7/12,2))</f>
        <v>0</v>
      </c>
      <c r="F457" s="26" t="n">
        <f aca="false">IF(D457&lt;=0,0,ROUND(MIN(D457,Calculator!$H$6-E457),2))</f>
        <v>0</v>
      </c>
      <c r="G457" s="26" t="n">
        <f aca="false">ROUND(E457+F457,2)</f>
        <v>0</v>
      </c>
      <c r="H457" s="26" t="n">
        <f aca="false">ROUND(MAX(0,D457-F457),2)</f>
        <v>0</v>
      </c>
      <c r="I457" s="26" t="n">
        <f aca="false">ROUND(E457+I456,2)</f>
        <v>535683.53</v>
      </c>
    </row>
    <row r="458" customFormat="false" ht="15" hidden="false" customHeight="true" outlineLevel="0" collapsed="false">
      <c r="A458" s="19" t="n">
        <f aca="false">A457+1</f>
        <v>453</v>
      </c>
      <c r="B458" s="18" t="n">
        <f aca="false">EDATE(B457,1)</f>
        <v>60054</v>
      </c>
      <c r="C458" s="19" t="n">
        <f aca="false">ROUNDUP(A458/12,0)</f>
        <v>38</v>
      </c>
      <c r="D458" s="26" t="n">
        <f aca="false">H457</f>
        <v>0</v>
      </c>
      <c r="E458" s="26" t="n">
        <f aca="false">IF(D458&lt;=0,0,ROUND(D458*Calculator!$B$7/12,2))</f>
        <v>0</v>
      </c>
      <c r="F458" s="26" t="n">
        <f aca="false">IF(D458&lt;=0,0,ROUND(MIN(D458,Calculator!$H$6-E458),2))</f>
        <v>0</v>
      </c>
      <c r="G458" s="26" t="n">
        <f aca="false">ROUND(E458+F458,2)</f>
        <v>0</v>
      </c>
      <c r="H458" s="26" t="n">
        <f aca="false">ROUND(MAX(0,D458-F458),2)</f>
        <v>0</v>
      </c>
      <c r="I458" s="26" t="n">
        <f aca="false">ROUND(E458+I457,2)</f>
        <v>535683.53</v>
      </c>
    </row>
    <row r="459" customFormat="false" ht="15" hidden="false" customHeight="true" outlineLevel="0" collapsed="false">
      <c r="A459" s="19" t="n">
        <f aca="false">A458+1</f>
        <v>454</v>
      </c>
      <c r="B459" s="18" t="n">
        <f aca="false">EDATE(B458,1)</f>
        <v>60084</v>
      </c>
      <c r="C459" s="19" t="n">
        <f aca="false">ROUNDUP(A459/12,0)</f>
        <v>38</v>
      </c>
      <c r="D459" s="26" t="n">
        <f aca="false">H458</f>
        <v>0</v>
      </c>
      <c r="E459" s="26" t="n">
        <f aca="false">IF(D459&lt;=0,0,ROUND(D459*Calculator!$B$7/12,2))</f>
        <v>0</v>
      </c>
      <c r="F459" s="26" t="n">
        <f aca="false">IF(D459&lt;=0,0,ROUND(MIN(D459,Calculator!$H$6-E459),2))</f>
        <v>0</v>
      </c>
      <c r="G459" s="26" t="n">
        <f aca="false">ROUND(E459+F459,2)</f>
        <v>0</v>
      </c>
      <c r="H459" s="26" t="n">
        <f aca="false">ROUND(MAX(0,D459-F459),2)</f>
        <v>0</v>
      </c>
      <c r="I459" s="26" t="n">
        <f aca="false">ROUND(E459+I458,2)</f>
        <v>535683.53</v>
      </c>
    </row>
    <row r="460" customFormat="false" ht="15" hidden="false" customHeight="true" outlineLevel="0" collapsed="false">
      <c r="A460" s="19" t="n">
        <f aca="false">A459+1</f>
        <v>455</v>
      </c>
      <c r="B460" s="18" t="n">
        <f aca="false">EDATE(B459,1)</f>
        <v>60115</v>
      </c>
      <c r="C460" s="19" t="n">
        <f aca="false">ROUNDUP(A460/12,0)</f>
        <v>38</v>
      </c>
      <c r="D460" s="26" t="n">
        <f aca="false">H459</f>
        <v>0</v>
      </c>
      <c r="E460" s="26" t="n">
        <f aca="false">IF(D460&lt;=0,0,ROUND(D460*Calculator!$B$7/12,2))</f>
        <v>0</v>
      </c>
      <c r="F460" s="26" t="n">
        <f aca="false">IF(D460&lt;=0,0,ROUND(MIN(D460,Calculator!$H$6-E460),2))</f>
        <v>0</v>
      </c>
      <c r="G460" s="26" t="n">
        <f aca="false">ROUND(E460+F460,2)</f>
        <v>0</v>
      </c>
      <c r="H460" s="26" t="n">
        <f aca="false">ROUND(MAX(0,D460-F460),2)</f>
        <v>0</v>
      </c>
      <c r="I460" s="26" t="n">
        <f aca="false">ROUND(E460+I459,2)</f>
        <v>535683.53</v>
      </c>
    </row>
    <row r="461" customFormat="false" ht="15" hidden="false" customHeight="true" outlineLevel="0" collapsed="false">
      <c r="A461" s="19" t="n">
        <f aca="false">A460+1</f>
        <v>456</v>
      </c>
      <c r="B461" s="18" t="n">
        <f aca="false">EDATE(B460,1)</f>
        <v>60146</v>
      </c>
      <c r="C461" s="19" t="n">
        <f aca="false">ROUNDUP(A461/12,0)</f>
        <v>38</v>
      </c>
      <c r="D461" s="26" t="n">
        <f aca="false">H460</f>
        <v>0</v>
      </c>
      <c r="E461" s="26" t="n">
        <f aca="false">IF(D461&lt;=0,0,ROUND(D461*Calculator!$B$7/12,2))</f>
        <v>0</v>
      </c>
      <c r="F461" s="26" t="n">
        <f aca="false">IF(D461&lt;=0,0,ROUND(MIN(D461,Calculator!$H$6-E461),2))</f>
        <v>0</v>
      </c>
      <c r="G461" s="26" t="n">
        <f aca="false">ROUND(E461+F461,2)</f>
        <v>0</v>
      </c>
      <c r="H461" s="26" t="n">
        <f aca="false">ROUND(MAX(0,D461-F461),2)</f>
        <v>0</v>
      </c>
      <c r="I461" s="26" t="n">
        <f aca="false">ROUND(E461+I460,2)</f>
        <v>535683.53</v>
      </c>
    </row>
    <row r="462" customFormat="false" ht="15" hidden="false" customHeight="true" outlineLevel="0" collapsed="false">
      <c r="A462" s="19" t="n">
        <f aca="false">A461+1</f>
        <v>457</v>
      </c>
      <c r="B462" s="18" t="n">
        <f aca="false">EDATE(B461,1)</f>
        <v>60176</v>
      </c>
      <c r="C462" s="19" t="n">
        <f aca="false">ROUNDUP(A462/12,0)</f>
        <v>39</v>
      </c>
      <c r="D462" s="26" t="n">
        <f aca="false">H461</f>
        <v>0</v>
      </c>
      <c r="E462" s="26" t="n">
        <f aca="false">IF(D462&lt;=0,0,ROUND(D462*Calculator!$B$7/12,2))</f>
        <v>0</v>
      </c>
      <c r="F462" s="26" t="n">
        <f aca="false">IF(D462&lt;=0,0,ROUND(MIN(D462,Calculator!$H$6-E462),2))</f>
        <v>0</v>
      </c>
      <c r="G462" s="26" t="n">
        <f aca="false">ROUND(E462+F462,2)</f>
        <v>0</v>
      </c>
      <c r="H462" s="26" t="n">
        <f aca="false">ROUND(MAX(0,D462-F462),2)</f>
        <v>0</v>
      </c>
      <c r="I462" s="26" t="n">
        <f aca="false">ROUND(E462+I461,2)</f>
        <v>535683.53</v>
      </c>
    </row>
    <row r="463" customFormat="false" ht="15" hidden="false" customHeight="true" outlineLevel="0" collapsed="false">
      <c r="A463" s="19" t="n">
        <f aca="false">A462+1</f>
        <v>458</v>
      </c>
      <c r="B463" s="18" t="n">
        <f aca="false">EDATE(B462,1)</f>
        <v>60207</v>
      </c>
      <c r="C463" s="19" t="n">
        <f aca="false">ROUNDUP(A463/12,0)</f>
        <v>39</v>
      </c>
      <c r="D463" s="26" t="n">
        <f aca="false">H462</f>
        <v>0</v>
      </c>
      <c r="E463" s="26" t="n">
        <f aca="false">IF(D463&lt;=0,0,ROUND(D463*Calculator!$B$7/12,2))</f>
        <v>0</v>
      </c>
      <c r="F463" s="26" t="n">
        <f aca="false">IF(D463&lt;=0,0,ROUND(MIN(D463,Calculator!$H$6-E463),2))</f>
        <v>0</v>
      </c>
      <c r="G463" s="26" t="n">
        <f aca="false">ROUND(E463+F463,2)</f>
        <v>0</v>
      </c>
      <c r="H463" s="26" t="n">
        <f aca="false">ROUND(MAX(0,D463-F463),2)</f>
        <v>0</v>
      </c>
      <c r="I463" s="26" t="n">
        <f aca="false">ROUND(E463+I462,2)</f>
        <v>535683.53</v>
      </c>
    </row>
    <row r="464" customFormat="false" ht="15" hidden="false" customHeight="true" outlineLevel="0" collapsed="false">
      <c r="A464" s="19" t="n">
        <f aca="false">A463+1</f>
        <v>459</v>
      </c>
      <c r="B464" s="18" t="n">
        <f aca="false">EDATE(B463,1)</f>
        <v>60237</v>
      </c>
      <c r="C464" s="19" t="n">
        <f aca="false">ROUNDUP(A464/12,0)</f>
        <v>39</v>
      </c>
      <c r="D464" s="26" t="n">
        <f aca="false">H463</f>
        <v>0</v>
      </c>
      <c r="E464" s="26" t="n">
        <f aca="false">IF(D464&lt;=0,0,ROUND(D464*Calculator!$B$7/12,2))</f>
        <v>0</v>
      </c>
      <c r="F464" s="26" t="n">
        <f aca="false">IF(D464&lt;=0,0,ROUND(MIN(D464,Calculator!$H$6-E464),2))</f>
        <v>0</v>
      </c>
      <c r="G464" s="26" t="n">
        <f aca="false">ROUND(E464+F464,2)</f>
        <v>0</v>
      </c>
      <c r="H464" s="26" t="n">
        <f aca="false">ROUND(MAX(0,D464-F464),2)</f>
        <v>0</v>
      </c>
      <c r="I464" s="26" t="n">
        <f aca="false">ROUND(E464+I463,2)</f>
        <v>535683.53</v>
      </c>
    </row>
    <row r="465" customFormat="false" ht="15" hidden="false" customHeight="true" outlineLevel="0" collapsed="false">
      <c r="A465" s="19" t="n">
        <f aca="false">A464+1</f>
        <v>460</v>
      </c>
      <c r="B465" s="18" t="n">
        <f aca="false">EDATE(B464,1)</f>
        <v>60268</v>
      </c>
      <c r="C465" s="19" t="n">
        <f aca="false">ROUNDUP(A465/12,0)</f>
        <v>39</v>
      </c>
      <c r="D465" s="26" t="n">
        <f aca="false">H464</f>
        <v>0</v>
      </c>
      <c r="E465" s="26" t="n">
        <f aca="false">IF(D465&lt;=0,0,ROUND(D465*Calculator!$B$7/12,2))</f>
        <v>0</v>
      </c>
      <c r="F465" s="26" t="n">
        <f aca="false">IF(D465&lt;=0,0,ROUND(MIN(D465,Calculator!$H$6-E465),2))</f>
        <v>0</v>
      </c>
      <c r="G465" s="26" t="n">
        <f aca="false">ROUND(E465+F465,2)</f>
        <v>0</v>
      </c>
      <c r="H465" s="26" t="n">
        <f aca="false">ROUND(MAX(0,D465-F465),2)</f>
        <v>0</v>
      </c>
      <c r="I465" s="26" t="n">
        <f aca="false">ROUND(E465+I464,2)</f>
        <v>535683.53</v>
      </c>
    </row>
    <row r="466" customFormat="false" ht="15" hidden="false" customHeight="true" outlineLevel="0" collapsed="false">
      <c r="A466" s="19" t="n">
        <f aca="false">A465+1</f>
        <v>461</v>
      </c>
      <c r="B466" s="18" t="n">
        <f aca="false">EDATE(B465,1)</f>
        <v>60299</v>
      </c>
      <c r="C466" s="19" t="n">
        <f aca="false">ROUNDUP(A466/12,0)</f>
        <v>39</v>
      </c>
      <c r="D466" s="26" t="n">
        <f aca="false">H465</f>
        <v>0</v>
      </c>
      <c r="E466" s="26" t="n">
        <f aca="false">IF(D466&lt;=0,0,ROUND(D466*Calculator!$B$7/12,2))</f>
        <v>0</v>
      </c>
      <c r="F466" s="26" t="n">
        <f aca="false">IF(D466&lt;=0,0,ROUND(MIN(D466,Calculator!$H$6-E466),2))</f>
        <v>0</v>
      </c>
      <c r="G466" s="26" t="n">
        <f aca="false">ROUND(E466+F466,2)</f>
        <v>0</v>
      </c>
      <c r="H466" s="26" t="n">
        <f aca="false">ROUND(MAX(0,D466-F466),2)</f>
        <v>0</v>
      </c>
      <c r="I466" s="26" t="n">
        <f aca="false">ROUND(E466+I465,2)</f>
        <v>535683.53</v>
      </c>
    </row>
    <row r="467" customFormat="false" ht="15" hidden="false" customHeight="true" outlineLevel="0" collapsed="false">
      <c r="A467" s="19" t="n">
        <f aca="false">A466+1</f>
        <v>462</v>
      </c>
      <c r="B467" s="18" t="n">
        <f aca="false">EDATE(B466,1)</f>
        <v>60327</v>
      </c>
      <c r="C467" s="19" t="n">
        <f aca="false">ROUNDUP(A467/12,0)</f>
        <v>39</v>
      </c>
      <c r="D467" s="26" t="n">
        <f aca="false">H466</f>
        <v>0</v>
      </c>
      <c r="E467" s="26" t="n">
        <f aca="false">IF(D467&lt;=0,0,ROUND(D467*Calculator!$B$7/12,2))</f>
        <v>0</v>
      </c>
      <c r="F467" s="26" t="n">
        <f aca="false">IF(D467&lt;=0,0,ROUND(MIN(D467,Calculator!$H$6-E467),2))</f>
        <v>0</v>
      </c>
      <c r="G467" s="26" t="n">
        <f aca="false">ROUND(E467+F467,2)</f>
        <v>0</v>
      </c>
      <c r="H467" s="26" t="n">
        <f aca="false">ROUND(MAX(0,D467-F467),2)</f>
        <v>0</v>
      </c>
      <c r="I467" s="26" t="n">
        <f aca="false">ROUND(E467+I466,2)</f>
        <v>535683.53</v>
      </c>
    </row>
    <row r="468" customFormat="false" ht="15" hidden="false" customHeight="true" outlineLevel="0" collapsed="false">
      <c r="A468" s="19" t="n">
        <f aca="false">A467+1</f>
        <v>463</v>
      </c>
      <c r="B468" s="18" t="n">
        <f aca="false">EDATE(B467,1)</f>
        <v>60358</v>
      </c>
      <c r="C468" s="19" t="n">
        <f aca="false">ROUNDUP(A468/12,0)</f>
        <v>39</v>
      </c>
      <c r="D468" s="26" t="n">
        <f aca="false">H467</f>
        <v>0</v>
      </c>
      <c r="E468" s="26" t="n">
        <f aca="false">IF(D468&lt;=0,0,ROUND(D468*Calculator!$B$7/12,2))</f>
        <v>0</v>
      </c>
      <c r="F468" s="26" t="n">
        <f aca="false">IF(D468&lt;=0,0,ROUND(MIN(D468,Calculator!$H$6-E468),2))</f>
        <v>0</v>
      </c>
      <c r="G468" s="26" t="n">
        <f aca="false">ROUND(E468+F468,2)</f>
        <v>0</v>
      </c>
      <c r="H468" s="26" t="n">
        <f aca="false">ROUND(MAX(0,D468-F468),2)</f>
        <v>0</v>
      </c>
      <c r="I468" s="26" t="n">
        <f aca="false">ROUND(E468+I467,2)</f>
        <v>535683.53</v>
      </c>
    </row>
    <row r="469" customFormat="false" ht="15" hidden="false" customHeight="true" outlineLevel="0" collapsed="false">
      <c r="A469" s="19" t="n">
        <f aca="false">A468+1</f>
        <v>464</v>
      </c>
      <c r="B469" s="18" t="n">
        <f aca="false">EDATE(B468,1)</f>
        <v>60388</v>
      </c>
      <c r="C469" s="19" t="n">
        <f aca="false">ROUNDUP(A469/12,0)</f>
        <v>39</v>
      </c>
      <c r="D469" s="26" t="n">
        <f aca="false">H468</f>
        <v>0</v>
      </c>
      <c r="E469" s="26" t="n">
        <f aca="false">IF(D469&lt;=0,0,ROUND(D469*Calculator!$B$7/12,2))</f>
        <v>0</v>
      </c>
      <c r="F469" s="26" t="n">
        <f aca="false">IF(D469&lt;=0,0,ROUND(MIN(D469,Calculator!$H$6-E469),2))</f>
        <v>0</v>
      </c>
      <c r="G469" s="26" t="n">
        <f aca="false">ROUND(E469+F469,2)</f>
        <v>0</v>
      </c>
      <c r="H469" s="26" t="n">
        <f aca="false">ROUND(MAX(0,D469-F469),2)</f>
        <v>0</v>
      </c>
      <c r="I469" s="26" t="n">
        <f aca="false">ROUND(E469+I468,2)</f>
        <v>535683.53</v>
      </c>
    </row>
    <row r="470" customFormat="false" ht="15" hidden="false" customHeight="true" outlineLevel="0" collapsed="false">
      <c r="A470" s="19" t="n">
        <f aca="false">A469+1</f>
        <v>465</v>
      </c>
      <c r="B470" s="18" t="n">
        <f aca="false">EDATE(B469,1)</f>
        <v>60419</v>
      </c>
      <c r="C470" s="19" t="n">
        <f aca="false">ROUNDUP(A470/12,0)</f>
        <v>39</v>
      </c>
      <c r="D470" s="26" t="n">
        <f aca="false">H469</f>
        <v>0</v>
      </c>
      <c r="E470" s="26" t="n">
        <f aca="false">IF(D470&lt;=0,0,ROUND(D470*Calculator!$B$7/12,2))</f>
        <v>0</v>
      </c>
      <c r="F470" s="26" t="n">
        <f aca="false">IF(D470&lt;=0,0,ROUND(MIN(D470,Calculator!$H$6-E470),2))</f>
        <v>0</v>
      </c>
      <c r="G470" s="26" t="n">
        <f aca="false">ROUND(E470+F470,2)</f>
        <v>0</v>
      </c>
      <c r="H470" s="26" t="n">
        <f aca="false">ROUND(MAX(0,D470-F470),2)</f>
        <v>0</v>
      </c>
      <c r="I470" s="26" t="n">
        <f aca="false">ROUND(E470+I469,2)</f>
        <v>535683.53</v>
      </c>
    </row>
    <row r="471" customFormat="false" ht="15" hidden="false" customHeight="true" outlineLevel="0" collapsed="false">
      <c r="A471" s="19" t="n">
        <f aca="false">A470+1</f>
        <v>466</v>
      </c>
      <c r="B471" s="18" t="n">
        <f aca="false">EDATE(B470,1)</f>
        <v>60449</v>
      </c>
      <c r="C471" s="19" t="n">
        <f aca="false">ROUNDUP(A471/12,0)</f>
        <v>39</v>
      </c>
      <c r="D471" s="26" t="n">
        <f aca="false">H470</f>
        <v>0</v>
      </c>
      <c r="E471" s="26" t="n">
        <f aca="false">IF(D471&lt;=0,0,ROUND(D471*Calculator!$B$7/12,2))</f>
        <v>0</v>
      </c>
      <c r="F471" s="26" t="n">
        <f aca="false">IF(D471&lt;=0,0,ROUND(MIN(D471,Calculator!$H$6-E471),2))</f>
        <v>0</v>
      </c>
      <c r="G471" s="26" t="n">
        <f aca="false">ROUND(E471+F471,2)</f>
        <v>0</v>
      </c>
      <c r="H471" s="26" t="n">
        <f aca="false">ROUND(MAX(0,D471-F471),2)</f>
        <v>0</v>
      </c>
      <c r="I471" s="26" t="n">
        <f aca="false">ROUND(E471+I470,2)</f>
        <v>535683.53</v>
      </c>
    </row>
    <row r="472" customFormat="false" ht="15" hidden="false" customHeight="true" outlineLevel="0" collapsed="false">
      <c r="A472" s="19" t="n">
        <f aca="false">A471+1</f>
        <v>467</v>
      </c>
      <c r="B472" s="18" t="n">
        <f aca="false">EDATE(B471,1)</f>
        <v>60480</v>
      </c>
      <c r="C472" s="19" t="n">
        <f aca="false">ROUNDUP(A472/12,0)</f>
        <v>39</v>
      </c>
      <c r="D472" s="26" t="n">
        <f aca="false">H471</f>
        <v>0</v>
      </c>
      <c r="E472" s="26" t="n">
        <f aca="false">IF(D472&lt;=0,0,ROUND(D472*Calculator!$B$7/12,2))</f>
        <v>0</v>
      </c>
      <c r="F472" s="26" t="n">
        <f aca="false">IF(D472&lt;=0,0,ROUND(MIN(D472,Calculator!$H$6-E472),2))</f>
        <v>0</v>
      </c>
      <c r="G472" s="26" t="n">
        <f aca="false">ROUND(E472+F472,2)</f>
        <v>0</v>
      </c>
      <c r="H472" s="26" t="n">
        <f aca="false">ROUND(MAX(0,D472-F472),2)</f>
        <v>0</v>
      </c>
      <c r="I472" s="26" t="n">
        <f aca="false">ROUND(E472+I471,2)</f>
        <v>535683.53</v>
      </c>
    </row>
    <row r="473" customFormat="false" ht="15" hidden="false" customHeight="true" outlineLevel="0" collapsed="false">
      <c r="A473" s="19" t="n">
        <f aca="false">A472+1</f>
        <v>468</v>
      </c>
      <c r="B473" s="18" t="n">
        <f aca="false">EDATE(B472,1)</f>
        <v>60511</v>
      </c>
      <c r="C473" s="19" t="n">
        <f aca="false">ROUNDUP(A473/12,0)</f>
        <v>39</v>
      </c>
      <c r="D473" s="26" t="n">
        <f aca="false">H472</f>
        <v>0</v>
      </c>
      <c r="E473" s="26" t="n">
        <f aca="false">IF(D473&lt;=0,0,ROUND(D473*Calculator!$B$7/12,2))</f>
        <v>0</v>
      </c>
      <c r="F473" s="26" t="n">
        <f aca="false">IF(D473&lt;=0,0,ROUND(MIN(D473,Calculator!$H$6-E473),2))</f>
        <v>0</v>
      </c>
      <c r="G473" s="26" t="n">
        <f aca="false">ROUND(E473+F473,2)</f>
        <v>0</v>
      </c>
      <c r="H473" s="26" t="n">
        <f aca="false">ROUND(MAX(0,D473-F473),2)</f>
        <v>0</v>
      </c>
      <c r="I473" s="26" t="n">
        <f aca="false">ROUND(E473+I472,2)</f>
        <v>535683.53</v>
      </c>
    </row>
    <row r="474" customFormat="false" ht="15" hidden="false" customHeight="true" outlineLevel="0" collapsed="false">
      <c r="A474" s="19" t="n">
        <f aca="false">A473+1</f>
        <v>469</v>
      </c>
      <c r="B474" s="18" t="n">
        <f aca="false">EDATE(B473,1)</f>
        <v>60541</v>
      </c>
      <c r="C474" s="19" t="n">
        <f aca="false">ROUNDUP(A474/12,0)</f>
        <v>40</v>
      </c>
      <c r="D474" s="26" t="n">
        <f aca="false">H473</f>
        <v>0</v>
      </c>
      <c r="E474" s="26" t="n">
        <f aca="false">IF(D474&lt;=0,0,ROUND(D474*Calculator!$B$7/12,2))</f>
        <v>0</v>
      </c>
      <c r="F474" s="26" t="n">
        <f aca="false">IF(D474&lt;=0,0,ROUND(MIN(D474,Calculator!$H$6-E474),2))</f>
        <v>0</v>
      </c>
      <c r="G474" s="26" t="n">
        <f aca="false">ROUND(E474+F474,2)</f>
        <v>0</v>
      </c>
      <c r="H474" s="26" t="n">
        <f aca="false">ROUND(MAX(0,D474-F474),2)</f>
        <v>0</v>
      </c>
      <c r="I474" s="26" t="n">
        <f aca="false">ROUND(E474+I473,2)</f>
        <v>535683.53</v>
      </c>
    </row>
    <row r="475" customFormat="false" ht="15" hidden="false" customHeight="true" outlineLevel="0" collapsed="false">
      <c r="A475" s="19" t="n">
        <f aca="false">A474+1</f>
        <v>470</v>
      </c>
      <c r="B475" s="18" t="n">
        <f aca="false">EDATE(B474,1)</f>
        <v>60572</v>
      </c>
      <c r="C475" s="19" t="n">
        <f aca="false">ROUNDUP(A475/12,0)</f>
        <v>40</v>
      </c>
      <c r="D475" s="26" t="n">
        <f aca="false">H474</f>
        <v>0</v>
      </c>
      <c r="E475" s="26" t="n">
        <f aca="false">IF(D475&lt;=0,0,ROUND(D475*Calculator!$B$7/12,2))</f>
        <v>0</v>
      </c>
      <c r="F475" s="26" t="n">
        <f aca="false">IF(D475&lt;=0,0,ROUND(MIN(D475,Calculator!$H$6-E475),2))</f>
        <v>0</v>
      </c>
      <c r="G475" s="26" t="n">
        <f aca="false">ROUND(E475+F475,2)</f>
        <v>0</v>
      </c>
      <c r="H475" s="26" t="n">
        <f aca="false">ROUND(MAX(0,D475-F475),2)</f>
        <v>0</v>
      </c>
      <c r="I475" s="26" t="n">
        <f aca="false">ROUND(E475+I474,2)</f>
        <v>535683.53</v>
      </c>
    </row>
    <row r="476" customFormat="false" ht="15" hidden="false" customHeight="true" outlineLevel="0" collapsed="false">
      <c r="A476" s="19" t="n">
        <f aca="false">A475+1</f>
        <v>471</v>
      </c>
      <c r="B476" s="18" t="n">
        <f aca="false">EDATE(B475,1)</f>
        <v>60602</v>
      </c>
      <c r="C476" s="19" t="n">
        <f aca="false">ROUNDUP(A476/12,0)</f>
        <v>40</v>
      </c>
      <c r="D476" s="26" t="n">
        <f aca="false">H475</f>
        <v>0</v>
      </c>
      <c r="E476" s="26" t="n">
        <f aca="false">IF(D476&lt;=0,0,ROUND(D476*Calculator!$B$7/12,2))</f>
        <v>0</v>
      </c>
      <c r="F476" s="26" t="n">
        <f aca="false">IF(D476&lt;=0,0,ROUND(MIN(D476,Calculator!$H$6-E476),2))</f>
        <v>0</v>
      </c>
      <c r="G476" s="26" t="n">
        <f aca="false">ROUND(E476+F476,2)</f>
        <v>0</v>
      </c>
      <c r="H476" s="26" t="n">
        <f aca="false">ROUND(MAX(0,D476-F476),2)</f>
        <v>0</v>
      </c>
      <c r="I476" s="26" t="n">
        <f aca="false">ROUND(E476+I475,2)</f>
        <v>535683.53</v>
      </c>
    </row>
    <row r="477" customFormat="false" ht="15" hidden="false" customHeight="true" outlineLevel="0" collapsed="false">
      <c r="A477" s="19" t="n">
        <f aca="false">A476+1</f>
        <v>472</v>
      </c>
      <c r="B477" s="18" t="n">
        <f aca="false">EDATE(B476,1)</f>
        <v>60633</v>
      </c>
      <c r="C477" s="19" t="n">
        <f aca="false">ROUNDUP(A477/12,0)</f>
        <v>40</v>
      </c>
      <c r="D477" s="26" t="n">
        <f aca="false">H476</f>
        <v>0</v>
      </c>
      <c r="E477" s="26" t="n">
        <f aca="false">IF(D477&lt;=0,0,ROUND(D477*Calculator!$B$7/12,2))</f>
        <v>0</v>
      </c>
      <c r="F477" s="26" t="n">
        <f aca="false">IF(D477&lt;=0,0,ROUND(MIN(D477,Calculator!$H$6-E477),2))</f>
        <v>0</v>
      </c>
      <c r="G477" s="26" t="n">
        <f aca="false">ROUND(E477+F477,2)</f>
        <v>0</v>
      </c>
      <c r="H477" s="26" t="n">
        <f aca="false">ROUND(MAX(0,D477-F477),2)</f>
        <v>0</v>
      </c>
      <c r="I477" s="26" t="n">
        <f aca="false">ROUND(E477+I476,2)</f>
        <v>535683.53</v>
      </c>
    </row>
    <row r="478" customFormat="false" ht="15" hidden="false" customHeight="true" outlineLevel="0" collapsed="false">
      <c r="A478" s="19" t="n">
        <f aca="false">A477+1</f>
        <v>473</v>
      </c>
      <c r="B478" s="18" t="n">
        <f aca="false">EDATE(B477,1)</f>
        <v>60664</v>
      </c>
      <c r="C478" s="19" t="n">
        <f aca="false">ROUNDUP(A478/12,0)</f>
        <v>40</v>
      </c>
      <c r="D478" s="26" t="n">
        <f aca="false">H477</f>
        <v>0</v>
      </c>
      <c r="E478" s="26" t="n">
        <f aca="false">IF(D478&lt;=0,0,ROUND(D478*Calculator!$B$7/12,2))</f>
        <v>0</v>
      </c>
      <c r="F478" s="26" t="n">
        <f aca="false">IF(D478&lt;=0,0,ROUND(MIN(D478,Calculator!$H$6-E478),2))</f>
        <v>0</v>
      </c>
      <c r="G478" s="26" t="n">
        <f aca="false">ROUND(E478+F478,2)</f>
        <v>0</v>
      </c>
      <c r="H478" s="26" t="n">
        <f aca="false">ROUND(MAX(0,D478-F478),2)</f>
        <v>0</v>
      </c>
      <c r="I478" s="26" t="n">
        <f aca="false">ROUND(E478+I477,2)</f>
        <v>535683.53</v>
      </c>
    </row>
    <row r="479" customFormat="false" ht="15" hidden="false" customHeight="true" outlineLevel="0" collapsed="false">
      <c r="A479" s="19" t="n">
        <f aca="false">A478+1</f>
        <v>474</v>
      </c>
      <c r="B479" s="18" t="n">
        <f aca="false">EDATE(B478,1)</f>
        <v>60692</v>
      </c>
      <c r="C479" s="19" t="n">
        <f aca="false">ROUNDUP(A479/12,0)</f>
        <v>40</v>
      </c>
      <c r="D479" s="26" t="n">
        <f aca="false">H478</f>
        <v>0</v>
      </c>
      <c r="E479" s="26" t="n">
        <f aca="false">IF(D479&lt;=0,0,ROUND(D479*Calculator!$B$7/12,2))</f>
        <v>0</v>
      </c>
      <c r="F479" s="26" t="n">
        <f aca="false">IF(D479&lt;=0,0,ROUND(MIN(D479,Calculator!$H$6-E479),2))</f>
        <v>0</v>
      </c>
      <c r="G479" s="26" t="n">
        <f aca="false">ROUND(E479+F479,2)</f>
        <v>0</v>
      </c>
      <c r="H479" s="26" t="n">
        <f aca="false">ROUND(MAX(0,D479-F479),2)</f>
        <v>0</v>
      </c>
      <c r="I479" s="26" t="n">
        <f aca="false">ROUND(E479+I478,2)</f>
        <v>535683.53</v>
      </c>
    </row>
    <row r="480" customFormat="false" ht="15" hidden="false" customHeight="true" outlineLevel="0" collapsed="false">
      <c r="A480" s="19" t="n">
        <f aca="false">A479+1</f>
        <v>475</v>
      </c>
      <c r="B480" s="18" t="n">
        <f aca="false">EDATE(B479,1)</f>
        <v>60723</v>
      </c>
      <c r="C480" s="19" t="n">
        <f aca="false">ROUNDUP(A480/12,0)</f>
        <v>40</v>
      </c>
      <c r="D480" s="26" t="n">
        <f aca="false">H479</f>
        <v>0</v>
      </c>
      <c r="E480" s="26" t="n">
        <f aca="false">IF(D480&lt;=0,0,ROUND(D480*Calculator!$B$7/12,2))</f>
        <v>0</v>
      </c>
      <c r="F480" s="26" t="n">
        <f aca="false">IF(D480&lt;=0,0,ROUND(MIN(D480,Calculator!$H$6-E480),2))</f>
        <v>0</v>
      </c>
      <c r="G480" s="26" t="n">
        <f aca="false">ROUND(E480+F480,2)</f>
        <v>0</v>
      </c>
      <c r="H480" s="26" t="n">
        <f aca="false">ROUND(MAX(0,D480-F480),2)</f>
        <v>0</v>
      </c>
      <c r="I480" s="26" t="n">
        <f aca="false">ROUND(E480+I479,2)</f>
        <v>535683.53</v>
      </c>
    </row>
    <row r="481" customFormat="false" ht="15" hidden="false" customHeight="true" outlineLevel="0" collapsed="false">
      <c r="A481" s="19" t="n">
        <f aca="false">A480+1</f>
        <v>476</v>
      </c>
      <c r="B481" s="18" t="n">
        <f aca="false">EDATE(B480,1)</f>
        <v>60753</v>
      </c>
      <c r="C481" s="19" t="n">
        <f aca="false">ROUNDUP(A481/12,0)</f>
        <v>40</v>
      </c>
      <c r="D481" s="26" t="n">
        <f aca="false">H480</f>
        <v>0</v>
      </c>
      <c r="E481" s="26" t="n">
        <f aca="false">IF(D481&lt;=0,0,ROUND(D481*Calculator!$B$7/12,2))</f>
        <v>0</v>
      </c>
      <c r="F481" s="26" t="n">
        <f aca="false">IF(D481&lt;=0,0,ROUND(MIN(D481,Calculator!$H$6-E481),2))</f>
        <v>0</v>
      </c>
      <c r="G481" s="26" t="n">
        <f aca="false">ROUND(E481+F481,2)</f>
        <v>0</v>
      </c>
      <c r="H481" s="26" t="n">
        <f aca="false">ROUND(MAX(0,D481-F481),2)</f>
        <v>0</v>
      </c>
      <c r="I481" s="26" t="n">
        <f aca="false">ROUND(E481+I480,2)</f>
        <v>535683.53</v>
      </c>
    </row>
    <row r="482" customFormat="false" ht="15" hidden="false" customHeight="true" outlineLevel="0" collapsed="false">
      <c r="A482" s="19" t="n">
        <f aca="false">A481+1</f>
        <v>477</v>
      </c>
      <c r="B482" s="18" t="n">
        <f aca="false">EDATE(B481,1)</f>
        <v>60784</v>
      </c>
      <c r="C482" s="19" t="n">
        <f aca="false">ROUNDUP(A482/12,0)</f>
        <v>40</v>
      </c>
      <c r="D482" s="26" t="n">
        <f aca="false">H481</f>
        <v>0</v>
      </c>
      <c r="E482" s="26" t="n">
        <f aca="false">IF(D482&lt;=0,0,ROUND(D482*Calculator!$B$7/12,2))</f>
        <v>0</v>
      </c>
      <c r="F482" s="26" t="n">
        <f aca="false">IF(D482&lt;=0,0,ROUND(MIN(D482,Calculator!$H$6-E482),2))</f>
        <v>0</v>
      </c>
      <c r="G482" s="26" t="n">
        <f aca="false">ROUND(E482+F482,2)</f>
        <v>0</v>
      </c>
      <c r="H482" s="26" t="n">
        <f aca="false">ROUND(MAX(0,D482-F482),2)</f>
        <v>0</v>
      </c>
      <c r="I482" s="26" t="n">
        <f aca="false">ROUND(E482+I481,2)</f>
        <v>535683.53</v>
      </c>
    </row>
    <row r="483" customFormat="false" ht="15" hidden="false" customHeight="true" outlineLevel="0" collapsed="false">
      <c r="A483" s="19" t="n">
        <f aca="false">A482+1</f>
        <v>478</v>
      </c>
      <c r="B483" s="18" t="n">
        <f aca="false">EDATE(B482,1)</f>
        <v>60814</v>
      </c>
      <c r="C483" s="19" t="n">
        <f aca="false">ROUNDUP(A483/12,0)</f>
        <v>40</v>
      </c>
      <c r="D483" s="26" t="n">
        <f aca="false">H482</f>
        <v>0</v>
      </c>
      <c r="E483" s="26" t="n">
        <f aca="false">IF(D483&lt;=0,0,ROUND(D483*Calculator!$B$7/12,2))</f>
        <v>0</v>
      </c>
      <c r="F483" s="26" t="n">
        <f aca="false">IF(D483&lt;=0,0,ROUND(MIN(D483,Calculator!$H$6-E483),2))</f>
        <v>0</v>
      </c>
      <c r="G483" s="26" t="n">
        <f aca="false">ROUND(E483+F483,2)</f>
        <v>0</v>
      </c>
      <c r="H483" s="26" t="n">
        <f aca="false">ROUND(MAX(0,D483-F483),2)</f>
        <v>0</v>
      </c>
      <c r="I483" s="26" t="n">
        <f aca="false">ROUND(E483+I482,2)</f>
        <v>535683.53</v>
      </c>
    </row>
    <row r="484" customFormat="false" ht="15" hidden="false" customHeight="true" outlineLevel="0" collapsed="false">
      <c r="A484" s="19" t="n">
        <f aca="false">A483+1</f>
        <v>479</v>
      </c>
      <c r="B484" s="18" t="n">
        <f aca="false">EDATE(B483,1)</f>
        <v>60845</v>
      </c>
      <c r="C484" s="19" t="n">
        <f aca="false">ROUNDUP(A484/12,0)</f>
        <v>40</v>
      </c>
      <c r="D484" s="26" t="n">
        <f aca="false">H483</f>
        <v>0</v>
      </c>
      <c r="E484" s="26" t="n">
        <f aca="false">IF(D484&lt;=0,0,ROUND(D484*Calculator!$B$7/12,2))</f>
        <v>0</v>
      </c>
      <c r="F484" s="26" t="n">
        <f aca="false">IF(D484&lt;=0,0,ROUND(MIN(D484,Calculator!$H$6-E484),2))</f>
        <v>0</v>
      </c>
      <c r="G484" s="26" t="n">
        <f aca="false">ROUND(E484+F484,2)</f>
        <v>0</v>
      </c>
      <c r="H484" s="26" t="n">
        <f aca="false">ROUND(MAX(0,D484-F484),2)</f>
        <v>0</v>
      </c>
      <c r="I484" s="26" t="n">
        <f aca="false">ROUND(E484+I483,2)</f>
        <v>535683.53</v>
      </c>
    </row>
    <row r="485" customFormat="false" ht="15" hidden="false" customHeight="true" outlineLevel="0" collapsed="false">
      <c r="A485" s="19" t="n">
        <f aca="false">A484+1</f>
        <v>480</v>
      </c>
      <c r="B485" s="18" t="n">
        <f aca="false">EDATE(B484,1)</f>
        <v>60876</v>
      </c>
      <c r="C485" s="19" t="n">
        <f aca="false">ROUNDUP(A485/12,0)</f>
        <v>40</v>
      </c>
      <c r="D485" s="26" t="n">
        <f aca="false">H484</f>
        <v>0</v>
      </c>
      <c r="E485" s="26" t="n">
        <f aca="false">IF(D485&lt;=0,0,ROUND(D485*Calculator!$B$7/12,2))</f>
        <v>0</v>
      </c>
      <c r="F485" s="26" t="n">
        <f aca="false">IF(D485&lt;=0,0,ROUND(MIN(D485,Calculator!$H$6-E485),2))</f>
        <v>0</v>
      </c>
      <c r="G485" s="26" t="n">
        <f aca="false">ROUND(E485+F485,2)</f>
        <v>0</v>
      </c>
      <c r="H485" s="26" t="n">
        <f aca="false">ROUND(MAX(0,D485-F485),2)</f>
        <v>0</v>
      </c>
      <c r="I485" s="26" t="n">
        <f aca="false">ROUND(E485+I484,2)</f>
        <v>535683.53</v>
      </c>
    </row>
  </sheetData>
  <mergeCells count="3">
    <mergeCell ref="A1:I1"/>
    <mergeCell ref="A2:I2"/>
    <mergeCell ref="A3:I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3"/>
    <col collapsed="false" customWidth="true" hidden="false" outlineLevel="0" max="4" min="4" style="1" width="46"/>
    <col collapsed="false" customWidth="true" hidden="false" outlineLevel="0" max="5" min="5" style="1" width="18"/>
  </cols>
  <sheetData>
    <row r="1" customFormat="false" ht="25.5" hidden="false" customHeight="true" outlineLevel="0" collapsed="false">
      <c r="A1" s="2" t="s">
        <v>52</v>
      </c>
      <c r="B1" s="2"/>
      <c r="C1" s="2"/>
      <c r="D1" s="2"/>
      <c r="E1" s="2"/>
    </row>
    <row r="2" customFormat="false" ht="15" hidden="false" customHeight="true" outlineLevel="0" collapsed="false">
      <c r="A2" s="3" t="s">
        <v>53</v>
      </c>
      <c r="B2" s="3"/>
      <c r="C2" s="3"/>
      <c r="D2" s="3"/>
      <c r="E2" s="3"/>
    </row>
    <row r="5" customFormat="false" ht="15" hidden="false" customHeight="true" outlineLevel="0" collapsed="false">
      <c r="A5" s="5" t="s">
        <v>54</v>
      </c>
      <c r="B5" s="5"/>
      <c r="D5" s="5" t="s">
        <v>55</v>
      </c>
      <c r="E5" s="5"/>
    </row>
    <row r="6" customFormat="false" ht="15" hidden="false" customHeight="true" outlineLevel="0" collapsed="false">
      <c r="A6" s="6" t="s">
        <v>56</v>
      </c>
      <c r="B6" s="11" t="n">
        <f aca="false">Calculator!$B$6</f>
        <v>420000</v>
      </c>
      <c r="D6" s="6" t="s">
        <v>57</v>
      </c>
      <c r="E6" s="12" t="n">
        <v>24</v>
      </c>
    </row>
    <row r="7" customFormat="false" ht="15" hidden="false" customHeight="true" outlineLevel="0" collapsed="false">
      <c r="A7" s="6" t="s">
        <v>58</v>
      </c>
      <c r="B7" s="27" t="n">
        <f aca="false">Calculator!$B$7</f>
        <v>0.065</v>
      </c>
      <c r="D7" s="6" t="s">
        <v>59</v>
      </c>
      <c r="E7" s="10" t="n">
        <v>0.0575</v>
      </c>
    </row>
    <row r="8" customFormat="false" ht="15" hidden="false" customHeight="true" outlineLevel="0" collapsed="false">
      <c r="A8" s="6" t="s">
        <v>60</v>
      </c>
      <c r="B8" s="19" t="n">
        <f aca="false">Calculator!$B$8</f>
        <v>30</v>
      </c>
      <c r="D8" s="6" t="s">
        <v>61</v>
      </c>
      <c r="E8" s="12" t="n">
        <v>30</v>
      </c>
    </row>
    <row r="9" customFormat="false" ht="15" hidden="false" customHeight="true" outlineLevel="0" collapsed="false">
      <c r="A9" s="6" t="s">
        <v>62</v>
      </c>
      <c r="B9" s="26" t="n">
        <f aca="false">Calculator!$H$6</f>
        <v>2654.69</v>
      </c>
      <c r="D9" s="6" t="s">
        <v>63</v>
      </c>
      <c r="E9" s="7" t="n">
        <v>4000</v>
      </c>
    </row>
    <row r="11" customFormat="false" ht="15" hidden="false" customHeight="true" outlineLevel="0" collapsed="false">
      <c r="A11" s="5" t="s">
        <v>64</v>
      </c>
      <c r="B11" s="5"/>
      <c r="C11" s="5"/>
      <c r="D11" s="5"/>
      <c r="E11" s="5"/>
    </row>
    <row r="12" customFormat="false" ht="15" hidden="false" customHeight="true" outlineLevel="0" collapsed="false">
      <c r="A12" s="6" t="s">
        <v>65</v>
      </c>
      <c r="B12" s="26" t="n">
        <f aca="false">INDEX(Baseline!H6:H485,E6)</f>
        <v>410296.59</v>
      </c>
    </row>
    <row r="13" customFormat="false" ht="15" hidden="false" customHeight="true" outlineLevel="0" collapsed="false">
      <c r="A13" s="6" t="s">
        <v>66</v>
      </c>
      <c r="B13" s="11" t="n">
        <f aca="false">Baseline!I485-INDEX(Baseline!I6:I485,E6)</f>
        <v>481674.38</v>
      </c>
    </row>
    <row r="14" customFormat="false" ht="15" hidden="false" customHeight="true" outlineLevel="0" collapsed="false">
      <c r="A14" s="6" t="s">
        <v>67</v>
      </c>
      <c r="B14" s="26" t="n">
        <f aca="false">ROUND(PMT(E7/12,E8*12,-B12),2)</f>
        <v>2394.38</v>
      </c>
    </row>
    <row r="15" customFormat="false" ht="15" hidden="false" customHeight="true" outlineLevel="0" collapsed="false">
      <c r="A15" s="6" t="s">
        <v>68</v>
      </c>
      <c r="B15" s="26" t="n">
        <f aca="false">B14-B9</f>
        <v>-260.31</v>
      </c>
    </row>
    <row r="16" customFormat="false" ht="15" hidden="false" customHeight="true" outlineLevel="0" collapsed="false">
      <c r="A16" s="6" t="s">
        <v>69</v>
      </c>
      <c r="B16" s="11" t="n">
        <f aca="false">ROUND(B14*E8*12-B12,2)</f>
        <v>451680.21</v>
      </c>
    </row>
    <row r="17" customFormat="false" ht="15" hidden="false" customHeight="true" outlineLevel="0" collapsed="false">
      <c r="A17" s="8" t="s">
        <v>70</v>
      </c>
      <c r="B17" s="14" t="n">
        <f aca="false">B16+E9</f>
        <v>455680.21</v>
      </c>
    </row>
    <row r="18" customFormat="false" ht="15" hidden="false" customHeight="true" outlineLevel="0" collapsed="false">
      <c r="A18" s="6" t="s">
        <v>71</v>
      </c>
      <c r="B18" s="26" t="n">
        <f aca="false">B9-B14</f>
        <v>260.31</v>
      </c>
    </row>
    <row r="19" customFormat="false" ht="15" hidden="false" customHeight="true" outlineLevel="0" collapsed="false">
      <c r="A19" s="6" t="s">
        <v>72</v>
      </c>
      <c r="B19" s="6" t="n">
        <f aca="false">IF(B18&lt;=0,"No payment savings",ROUNDUP(E9/B18,0))</f>
        <v>16</v>
      </c>
    </row>
    <row r="20" customFormat="false" ht="15" hidden="false" customHeight="true" outlineLevel="0" collapsed="false">
      <c r="A20" s="8" t="s">
        <v>73</v>
      </c>
      <c r="B20" s="8" t="str">
        <f aca="false">IF(B17&lt;B13,"Refinancing costs less than staying on the current loan.","Keeping the current loan costs less than refinancing.")</f>
        <v>Refinancing costs less than staying on the current loan.</v>
      </c>
    </row>
    <row r="22" customFormat="false" ht="30" hidden="false" customHeight="true" outlineLevel="0" collapsed="false">
      <c r="A22" s="28" t="s">
        <v>74</v>
      </c>
      <c r="B22" s="28"/>
      <c r="C22" s="28"/>
      <c r="D22" s="28"/>
      <c r="E22" s="28"/>
    </row>
  </sheetData>
  <mergeCells count="6">
    <mergeCell ref="A1:E1"/>
    <mergeCell ref="A2:E2"/>
    <mergeCell ref="A5:B5"/>
    <mergeCell ref="D5:E5"/>
    <mergeCell ref="A11:E11"/>
    <mergeCell ref="A22:E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8"/>
    <col collapsed="false" customWidth="true" hidden="false" outlineLevel="0" max="3" min="3" style="1" width="3"/>
    <col collapsed="false" customWidth="true" hidden="false" outlineLevel="0" max="4" min="4" style="1" width="40"/>
    <col collapsed="false" customWidth="true" hidden="false" outlineLevel="0" max="5" min="5" style="1" width="18"/>
  </cols>
  <sheetData>
    <row r="1" customFormat="false" ht="25.5" hidden="false" customHeight="true" outlineLevel="0" collapsed="false">
      <c r="A1" s="2" t="s">
        <v>75</v>
      </c>
      <c r="B1" s="2"/>
      <c r="C1" s="2"/>
      <c r="D1" s="2"/>
      <c r="E1" s="2"/>
    </row>
    <row r="2" customFormat="false" ht="15" hidden="false" customHeight="true" outlineLevel="0" collapsed="false">
      <c r="A2" s="3" t="s">
        <v>76</v>
      </c>
      <c r="B2" s="3"/>
      <c r="C2" s="3"/>
      <c r="D2" s="3"/>
      <c r="E2" s="3"/>
    </row>
    <row r="5" customFormat="false" ht="15" hidden="false" customHeight="true" outlineLevel="0" collapsed="false">
      <c r="A5" s="5" t="s">
        <v>77</v>
      </c>
      <c r="B5" s="5"/>
    </row>
    <row r="6" customFormat="false" ht="15" hidden="false" customHeight="true" outlineLevel="0" collapsed="false">
      <c r="A6" s="6" t="s">
        <v>6</v>
      </c>
      <c r="B6" s="11" t="n">
        <f aca="false">Calculator!$B$6</f>
        <v>420000</v>
      </c>
    </row>
    <row r="7" customFormat="false" ht="15" hidden="false" customHeight="true" outlineLevel="0" collapsed="false">
      <c r="A7" s="6" t="s">
        <v>9</v>
      </c>
      <c r="B7" s="27" t="n">
        <f aca="false">Calculator!$B$7</f>
        <v>0.065</v>
      </c>
    </row>
    <row r="8" customFormat="false" ht="15" hidden="false" customHeight="true" outlineLevel="0" collapsed="false">
      <c r="A8" s="6" t="s">
        <v>12</v>
      </c>
      <c r="B8" s="19" t="n">
        <f aca="false">Calculator!$B$8</f>
        <v>30</v>
      </c>
    </row>
    <row r="9" customFormat="false" ht="15" hidden="false" customHeight="true" outlineLevel="0" collapsed="false">
      <c r="A9" s="6" t="s">
        <v>78</v>
      </c>
      <c r="B9" s="26" t="n">
        <f aca="false">Calculator!$H$6</f>
        <v>2654.69</v>
      </c>
    </row>
    <row r="11" customFormat="false" ht="15" hidden="false" customHeight="true" outlineLevel="0" collapsed="false">
      <c r="A11" s="5" t="s">
        <v>79</v>
      </c>
      <c r="B11" s="5"/>
    </row>
    <row r="12" customFormat="false" ht="15" hidden="false" customHeight="true" outlineLevel="0" collapsed="false">
      <c r="A12" s="6" t="s">
        <v>80</v>
      </c>
      <c r="B12" s="26" t="n">
        <f aca="false">ROUND(B9*13/12,2)</f>
        <v>2875.91</v>
      </c>
    </row>
    <row r="13" customFormat="false" ht="15" hidden="false" customHeight="true" outlineLevel="0" collapsed="false">
      <c r="A13" s="6" t="s">
        <v>81</v>
      </c>
      <c r="B13" s="29" t="n">
        <f aca="false">NPER(B7/12,-B12,B6)</f>
        <v>289.830612092393</v>
      </c>
    </row>
    <row r="14" customFormat="false" ht="15" hidden="false" customHeight="true" outlineLevel="0" collapsed="false">
      <c r="A14" s="6" t="s">
        <v>82</v>
      </c>
      <c r="B14" s="30" t="n">
        <f aca="false">B13/12</f>
        <v>24.1525510076994</v>
      </c>
    </row>
    <row r="15" customFormat="false" ht="15" hidden="false" customHeight="true" outlineLevel="0" collapsed="false">
      <c r="A15" s="6" t="s">
        <v>83</v>
      </c>
      <c r="B15" s="19" t="n">
        <f aca="false">B8*12</f>
        <v>360</v>
      </c>
    </row>
    <row r="16" customFormat="false" ht="15" hidden="false" customHeight="true" outlineLevel="0" collapsed="false">
      <c r="A16" s="8" t="s">
        <v>19</v>
      </c>
      <c r="B16" s="31" t="n">
        <f aca="false">B15-B13</f>
        <v>70.1693879076072</v>
      </c>
    </row>
    <row r="17" customFormat="false" ht="15" hidden="false" customHeight="true" outlineLevel="0" collapsed="false">
      <c r="A17" s="6" t="s">
        <v>84</v>
      </c>
      <c r="B17" s="11" t="n">
        <f aca="false">B12*B13-B6</f>
        <v>413526.755622633</v>
      </c>
    </row>
    <row r="18" customFormat="false" ht="15" hidden="false" customHeight="true" outlineLevel="0" collapsed="false">
      <c r="A18" s="6" t="s">
        <v>85</v>
      </c>
      <c r="B18" s="11" t="n">
        <f aca="false">Baseline!I485</f>
        <v>535683.53</v>
      </c>
    </row>
    <row r="19" customFormat="false" ht="15" hidden="false" customHeight="true" outlineLevel="0" collapsed="false">
      <c r="A19" s="8" t="s">
        <v>17</v>
      </c>
      <c r="B19" s="14" t="n">
        <f aca="false">B18-B17</f>
        <v>122156.774377367</v>
      </c>
    </row>
    <row r="21" customFormat="false" ht="15" hidden="false" customHeight="true" outlineLevel="0" collapsed="false">
      <c r="A21" s="32" t="s">
        <v>86</v>
      </c>
      <c r="B21" s="32"/>
    </row>
    <row r="22" customFormat="false" ht="60" hidden="false" customHeight="true" outlineLevel="0" collapsed="false">
      <c r="A22" s="28" t="s">
        <v>87</v>
      </c>
      <c r="B22" s="28"/>
    </row>
    <row r="23" customFormat="false" ht="15" hidden="false" customHeight="true" outlineLevel="0" collapsed="false">
      <c r="A23" s="28"/>
      <c r="B23" s="28"/>
    </row>
    <row r="24" customFormat="false" ht="15" hidden="false" customHeight="true" outlineLevel="0" collapsed="false">
      <c r="A24" s="28"/>
      <c r="B24" s="28"/>
    </row>
    <row r="25" customFormat="false" ht="15" hidden="false" customHeight="true" outlineLevel="0" collapsed="false">
      <c r="A25" s="28"/>
      <c r="B25" s="28"/>
    </row>
  </sheetData>
  <mergeCells count="6">
    <mergeCell ref="A1:E1"/>
    <mergeCell ref="A2:E2"/>
    <mergeCell ref="A5:B5"/>
    <mergeCell ref="A11:B11"/>
    <mergeCell ref="A21:B21"/>
    <mergeCell ref="A22:B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4" min="1" style="1" width="12"/>
  </cols>
  <sheetData>
    <row r="1" customFormat="false" ht="25.5" hidden="false" customHeight="true" outlineLevel="0" collapsed="false">
      <c r="A1" s="2" t="s">
        <v>88</v>
      </c>
      <c r="B1" s="2"/>
      <c r="C1" s="2"/>
      <c r="D1" s="2"/>
      <c r="E1" s="2"/>
      <c r="F1" s="2"/>
      <c r="G1" s="2"/>
      <c r="H1" s="2"/>
      <c r="I1" s="2"/>
      <c r="J1" s="2"/>
      <c r="K1" s="2"/>
      <c r="L1" s="2"/>
      <c r="M1" s="2"/>
      <c r="N1" s="2"/>
    </row>
    <row r="2" customFormat="false" ht="15" hidden="false" customHeight="true" outlineLevel="0" collapsed="false">
      <c r="A2" s="3" t="s">
        <v>89</v>
      </c>
      <c r="B2" s="3"/>
      <c r="C2" s="3"/>
      <c r="D2" s="3"/>
      <c r="E2" s="3"/>
      <c r="F2" s="3"/>
      <c r="G2" s="3"/>
      <c r="H2" s="3"/>
      <c r="I2" s="3"/>
      <c r="J2" s="3"/>
      <c r="K2" s="3"/>
      <c r="L2" s="3"/>
      <c r="M2" s="3"/>
      <c r="N2" s="3"/>
    </row>
    <row r="5" customFormat="false" ht="15" hidden="false" customHeight="true" outlineLevel="0" collapsed="false">
      <c r="A5" s="33" t="s">
        <v>90</v>
      </c>
    </row>
    <row r="28" customFormat="false" ht="15" hidden="false" customHeight="true" outlineLevel="0" collapsed="false">
      <c r="A28" s="33" t="s">
        <v>91</v>
      </c>
    </row>
    <row r="30" customFormat="false" ht="15" hidden="false" customHeight="true" outlineLevel="0" collapsed="false">
      <c r="A30" s="24" t="s">
        <v>39</v>
      </c>
      <c r="B30" s="25" t="s">
        <v>41</v>
      </c>
      <c r="C30" s="25" t="s">
        <v>51</v>
      </c>
    </row>
    <row r="31" customFormat="false" ht="15" hidden="false" customHeight="true" outlineLevel="0" collapsed="false">
      <c r="A31" s="19" t="s">
        <v>48</v>
      </c>
      <c r="B31" s="11" t="n">
        <f aca="false">SUMIFS(Schedule!$E$6:$E$485,Schedule!$C$6:$C$485,A31)</f>
        <v>27039.13</v>
      </c>
      <c r="C31" s="11" t="n">
        <f aca="false">SUMIFS(Schedule!$F$6:$F$485,Schedule!$C$6:$C$485,A31)+SUMIFS(Schedule!$H$6:$H$485,Schedule!$C$6:$C$485,A31)</f>
        <v>11217.15</v>
      </c>
    </row>
    <row r="32" customFormat="false" ht="15" hidden="false" customHeight="true" outlineLevel="0" collapsed="false">
      <c r="A32" s="19" t="n">
        <f aca="false">A31+1</f>
        <v>2</v>
      </c>
      <c r="B32" s="11" t="n">
        <f aca="false">SUMIFS(Schedule!$E$6:$E$485,Schedule!$C$6:$C$485,A32)</f>
        <v>26287.91</v>
      </c>
      <c r="C32" s="11" t="n">
        <f aca="false">SUMIFS(Schedule!$F$6:$F$485,Schedule!$C$6:$C$485,A32)+SUMIFS(Schedule!$H$6:$H$485,Schedule!$C$6:$C$485,A32)</f>
        <v>8968.37</v>
      </c>
    </row>
    <row r="33" customFormat="false" ht="15" hidden="false" customHeight="true" outlineLevel="0" collapsed="false">
      <c r="A33" s="19" t="n">
        <f aca="false">A32+1</f>
        <v>3</v>
      </c>
      <c r="B33" s="11" t="n">
        <f aca="false">SUMIFS(Schedule!$E$6:$E$485,Schedule!$C$6:$C$485,A33)</f>
        <v>25687.3</v>
      </c>
      <c r="C33" s="11" t="n">
        <f aca="false">SUMIFS(Schedule!$F$6:$F$485,Schedule!$C$6:$C$485,A33)+SUMIFS(Schedule!$H$6:$H$485,Schedule!$C$6:$C$485,A33)</f>
        <v>9568.98</v>
      </c>
    </row>
    <row r="34" customFormat="false" ht="15" hidden="false" customHeight="true" outlineLevel="0" collapsed="false">
      <c r="A34" s="19" t="n">
        <f aca="false">A33+1</f>
        <v>4</v>
      </c>
      <c r="B34" s="11" t="n">
        <f aca="false">SUMIFS(Schedule!$E$6:$E$485,Schedule!$C$6:$C$485,A34)</f>
        <v>25046.45</v>
      </c>
      <c r="C34" s="11" t="n">
        <f aca="false">SUMIFS(Schedule!$F$6:$F$485,Schedule!$C$6:$C$485,A34)+SUMIFS(Schedule!$H$6:$H$485,Schedule!$C$6:$C$485,A34)</f>
        <v>10209.83</v>
      </c>
    </row>
    <row r="35" customFormat="false" ht="15" hidden="false" customHeight="true" outlineLevel="0" collapsed="false">
      <c r="A35" s="19" t="n">
        <f aca="false">A34+1</f>
        <v>5</v>
      </c>
      <c r="B35" s="11" t="n">
        <f aca="false">SUMIFS(Schedule!$E$6:$E$485,Schedule!$C$6:$C$485,A35)</f>
        <v>24362.67</v>
      </c>
      <c r="C35" s="11" t="n">
        <f aca="false">SUMIFS(Schedule!$F$6:$F$485,Schedule!$C$6:$C$485,A35)+SUMIFS(Schedule!$H$6:$H$485,Schedule!$C$6:$C$485,A35)</f>
        <v>10893.61</v>
      </c>
    </row>
    <row r="36" customFormat="false" ht="15" hidden="false" customHeight="true" outlineLevel="0" collapsed="false">
      <c r="A36" s="19" t="n">
        <f aca="false">A35+1</f>
        <v>6</v>
      </c>
      <c r="B36" s="11" t="n">
        <f aca="false">SUMIFS(Schedule!$E$6:$E$485,Schedule!$C$6:$C$485,A36)</f>
        <v>23633.11</v>
      </c>
      <c r="C36" s="11" t="n">
        <f aca="false">SUMIFS(Schedule!$F$6:$F$485,Schedule!$C$6:$C$485,A36)+SUMIFS(Schedule!$H$6:$H$485,Schedule!$C$6:$C$485,A36)</f>
        <v>11623.17</v>
      </c>
    </row>
    <row r="37" customFormat="false" ht="15" hidden="false" customHeight="true" outlineLevel="0" collapsed="false">
      <c r="A37" s="19" t="n">
        <f aca="false">A36+1</f>
        <v>7</v>
      </c>
      <c r="B37" s="11" t="n">
        <f aca="false">SUMIFS(Schedule!$E$6:$E$485,Schedule!$C$6:$C$485,A37)</f>
        <v>22854.67</v>
      </c>
      <c r="C37" s="11" t="n">
        <f aca="false">SUMIFS(Schedule!$F$6:$F$485,Schedule!$C$6:$C$485,A37)+SUMIFS(Schedule!$H$6:$H$485,Schedule!$C$6:$C$485,A37)</f>
        <v>12401.61</v>
      </c>
    </row>
    <row r="38" customFormat="false" ht="15" hidden="false" customHeight="true" outlineLevel="0" collapsed="false">
      <c r="A38" s="19" t="n">
        <f aca="false">A37+1</f>
        <v>8</v>
      </c>
      <c r="B38" s="11" t="n">
        <f aca="false">SUMIFS(Schedule!$E$6:$E$485,Schedule!$C$6:$C$485,A38)</f>
        <v>22024.13</v>
      </c>
      <c r="C38" s="11" t="n">
        <f aca="false">SUMIFS(Schedule!$F$6:$F$485,Schedule!$C$6:$C$485,A38)+SUMIFS(Schedule!$H$6:$H$485,Schedule!$C$6:$C$485,A38)</f>
        <v>13232.15</v>
      </c>
    </row>
    <row r="39" customFormat="false" ht="15" hidden="false" customHeight="true" outlineLevel="0" collapsed="false">
      <c r="A39" s="19" t="n">
        <f aca="false">A38+1</f>
        <v>9</v>
      </c>
      <c r="B39" s="11" t="n">
        <f aca="false">SUMIFS(Schedule!$E$6:$E$485,Schedule!$C$6:$C$485,A39)</f>
        <v>21137.96</v>
      </c>
      <c r="C39" s="11" t="n">
        <f aca="false">SUMIFS(Schedule!$F$6:$F$485,Schedule!$C$6:$C$485,A39)+SUMIFS(Schedule!$H$6:$H$485,Schedule!$C$6:$C$485,A39)</f>
        <v>14118.32</v>
      </c>
    </row>
    <row r="40" customFormat="false" ht="15" hidden="false" customHeight="true" outlineLevel="0" collapsed="false">
      <c r="A40" s="19" t="n">
        <f aca="false">A39+1</f>
        <v>10</v>
      </c>
      <c r="B40" s="11" t="n">
        <f aca="false">SUMIFS(Schedule!$E$6:$E$485,Schedule!$C$6:$C$485,A40)</f>
        <v>20192.4</v>
      </c>
      <c r="C40" s="11" t="n">
        <f aca="false">SUMIFS(Schedule!$F$6:$F$485,Schedule!$C$6:$C$485,A40)+SUMIFS(Schedule!$H$6:$H$485,Schedule!$C$6:$C$485,A40)</f>
        <v>15063.88</v>
      </c>
    </row>
    <row r="41" customFormat="false" ht="15" hidden="false" customHeight="true" outlineLevel="0" collapsed="false">
      <c r="A41" s="19" t="n">
        <f aca="false">A40+1</f>
        <v>11</v>
      </c>
      <c r="B41" s="11" t="n">
        <f aca="false">SUMIFS(Schedule!$E$6:$E$485,Schedule!$C$6:$C$485,A41)</f>
        <v>19183.54</v>
      </c>
      <c r="C41" s="11" t="n">
        <f aca="false">SUMIFS(Schedule!$F$6:$F$485,Schedule!$C$6:$C$485,A41)+SUMIFS(Schedule!$H$6:$H$485,Schedule!$C$6:$C$485,A41)</f>
        <v>16072.74</v>
      </c>
    </row>
    <row r="42" customFormat="false" ht="15" hidden="false" customHeight="true" outlineLevel="0" collapsed="false">
      <c r="A42" s="19" t="n">
        <f aca="false">A41+1</f>
        <v>12</v>
      </c>
      <c r="B42" s="11" t="n">
        <f aca="false">SUMIFS(Schedule!$E$6:$E$485,Schedule!$C$6:$C$485,A42)</f>
        <v>18107.13</v>
      </c>
      <c r="C42" s="11" t="n">
        <f aca="false">SUMIFS(Schedule!$F$6:$F$485,Schedule!$C$6:$C$485,A42)+SUMIFS(Schedule!$H$6:$H$485,Schedule!$C$6:$C$485,A42)</f>
        <v>17149.15</v>
      </c>
    </row>
    <row r="43" customFormat="false" ht="15" hidden="false" customHeight="true" outlineLevel="0" collapsed="false">
      <c r="A43" s="19" t="n">
        <f aca="false">A42+1</f>
        <v>13</v>
      </c>
      <c r="B43" s="11" t="n">
        <f aca="false">SUMIFS(Schedule!$E$6:$E$485,Schedule!$C$6:$C$485,A43)</f>
        <v>16958.63</v>
      </c>
      <c r="C43" s="11" t="n">
        <f aca="false">SUMIFS(Schedule!$F$6:$F$485,Schedule!$C$6:$C$485,A43)+SUMIFS(Schedule!$H$6:$H$485,Schedule!$C$6:$C$485,A43)</f>
        <v>18297.65</v>
      </c>
    </row>
    <row r="44" customFormat="false" ht="15" hidden="false" customHeight="true" outlineLevel="0" collapsed="false">
      <c r="A44" s="19" t="n">
        <f aca="false">A43+1</f>
        <v>14</v>
      </c>
      <c r="B44" s="11" t="n">
        <f aca="false">SUMIFS(Schedule!$E$6:$E$485,Schedule!$C$6:$C$485,A44)</f>
        <v>15733.2</v>
      </c>
      <c r="C44" s="11" t="n">
        <f aca="false">SUMIFS(Schedule!$F$6:$F$485,Schedule!$C$6:$C$485,A44)+SUMIFS(Schedule!$H$6:$H$485,Schedule!$C$6:$C$485,A44)</f>
        <v>19523.08</v>
      </c>
    </row>
    <row r="45" customFormat="false" ht="15" hidden="false" customHeight="true" outlineLevel="0" collapsed="false">
      <c r="A45" s="19" t="n">
        <f aca="false">A44+1</f>
        <v>15</v>
      </c>
      <c r="B45" s="11" t="n">
        <f aca="false">SUMIFS(Schedule!$E$6:$E$485,Schedule!$C$6:$C$485,A45)</f>
        <v>14425.71</v>
      </c>
      <c r="C45" s="11" t="n">
        <f aca="false">SUMIFS(Schedule!$F$6:$F$485,Schedule!$C$6:$C$485,A45)+SUMIFS(Schedule!$H$6:$H$485,Schedule!$C$6:$C$485,A45)</f>
        <v>20830.57</v>
      </c>
    </row>
    <row r="46" customFormat="false" ht="15" hidden="false" customHeight="true" outlineLevel="0" collapsed="false">
      <c r="A46" s="19" t="n">
        <f aca="false">A45+1</f>
        <v>16</v>
      </c>
      <c r="B46" s="11" t="n">
        <f aca="false">SUMIFS(Schedule!$E$6:$E$485,Schedule!$C$6:$C$485,A46)</f>
        <v>13030.63</v>
      </c>
      <c r="C46" s="11" t="n">
        <f aca="false">SUMIFS(Schedule!$F$6:$F$485,Schedule!$C$6:$C$485,A46)+SUMIFS(Schedule!$H$6:$H$485,Schedule!$C$6:$C$485,A46)</f>
        <v>22225.65</v>
      </c>
    </row>
    <row r="47" customFormat="false" ht="15" hidden="false" customHeight="true" outlineLevel="0" collapsed="false">
      <c r="A47" s="19" t="n">
        <f aca="false">A46+1</f>
        <v>17</v>
      </c>
      <c r="B47" s="11" t="n">
        <f aca="false">SUMIFS(Schedule!$E$6:$E$485,Schedule!$C$6:$C$485,A47)</f>
        <v>11542.14</v>
      </c>
      <c r="C47" s="11" t="n">
        <f aca="false">SUMIFS(Schedule!$F$6:$F$485,Schedule!$C$6:$C$485,A47)+SUMIFS(Schedule!$H$6:$H$485,Schedule!$C$6:$C$485,A47)</f>
        <v>23714.14</v>
      </c>
    </row>
    <row r="48" customFormat="false" ht="15" hidden="false" customHeight="true" outlineLevel="0" collapsed="false">
      <c r="A48" s="19" t="n">
        <f aca="false">A47+1</f>
        <v>18</v>
      </c>
      <c r="B48" s="11" t="n">
        <f aca="false">SUMIFS(Schedule!$E$6:$E$485,Schedule!$C$6:$C$485,A48)</f>
        <v>9953.96</v>
      </c>
      <c r="C48" s="11" t="n">
        <f aca="false">SUMIFS(Schedule!$F$6:$F$485,Schedule!$C$6:$C$485,A48)+SUMIFS(Schedule!$H$6:$H$485,Schedule!$C$6:$C$485,A48)</f>
        <v>25302.32</v>
      </c>
    </row>
    <row r="49" customFormat="false" ht="15" hidden="false" customHeight="true" outlineLevel="0" collapsed="false">
      <c r="A49" s="19" t="n">
        <f aca="false">A48+1</f>
        <v>19</v>
      </c>
      <c r="B49" s="11" t="n">
        <f aca="false">SUMIFS(Schedule!$E$6:$E$485,Schedule!$C$6:$C$485,A49)</f>
        <v>8259.41</v>
      </c>
      <c r="C49" s="11" t="n">
        <f aca="false">SUMIFS(Schedule!$F$6:$F$485,Schedule!$C$6:$C$485,A49)+SUMIFS(Schedule!$H$6:$H$485,Schedule!$C$6:$C$485,A49)</f>
        <v>26996.87</v>
      </c>
    </row>
    <row r="50" customFormat="false" ht="15" hidden="false" customHeight="true" outlineLevel="0" collapsed="false">
      <c r="A50" s="19" t="n">
        <f aca="false">A49+1</f>
        <v>20</v>
      </c>
      <c r="B50" s="11" t="n">
        <f aca="false">SUMIFS(Schedule!$E$6:$E$485,Schedule!$C$6:$C$485,A50)</f>
        <v>6451.39</v>
      </c>
      <c r="C50" s="11" t="n">
        <f aca="false">SUMIFS(Schedule!$F$6:$F$485,Schedule!$C$6:$C$485,A50)+SUMIFS(Schedule!$H$6:$H$485,Schedule!$C$6:$C$485,A50)</f>
        <v>28804.89</v>
      </c>
    </row>
    <row r="51" customFormat="false" ht="15" hidden="false" customHeight="true" outlineLevel="0" collapsed="false">
      <c r="A51" s="19" t="n">
        <f aca="false">A50+1</f>
        <v>21</v>
      </c>
      <c r="B51" s="11" t="n">
        <f aca="false">SUMIFS(Schedule!$E$6:$E$485,Schedule!$C$6:$C$485,A51)</f>
        <v>4522.27</v>
      </c>
      <c r="C51" s="11" t="n">
        <f aca="false">SUMIFS(Schedule!$F$6:$F$485,Schedule!$C$6:$C$485,A51)+SUMIFS(Schedule!$H$6:$H$485,Schedule!$C$6:$C$485,A51)</f>
        <v>30734.01</v>
      </c>
    </row>
    <row r="52" customFormat="false" ht="15" hidden="false" customHeight="true" outlineLevel="0" collapsed="false">
      <c r="A52" s="19" t="n">
        <f aca="false">A51+1</f>
        <v>22</v>
      </c>
      <c r="B52" s="11" t="n">
        <f aca="false">SUMIFS(Schedule!$E$6:$E$485,Schedule!$C$6:$C$485,A52)</f>
        <v>2463.97</v>
      </c>
      <c r="C52" s="11" t="n">
        <f aca="false">SUMIFS(Schedule!$F$6:$F$485,Schedule!$C$6:$C$485,A52)+SUMIFS(Schedule!$H$6:$H$485,Schedule!$C$6:$C$485,A52)</f>
        <v>32792.31</v>
      </c>
    </row>
    <row r="53" customFormat="false" ht="15" hidden="false" customHeight="true" outlineLevel="0" collapsed="false">
      <c r="A53" s="19" t="n">
        <f aca="false">A52+1</f>
        <v>23</v>
      </c>
      <c r="B53" s="11" t="n">
        <f aca="false">SUMIFS(Schedule!$E$6:$E$485,Schedule!$C$6:$C$485,A53)</f>
        <v>431.26</v>
      </c>
      <c r="C53" s="11" t="n">
        <f aca="false">SUMIFS(Schedule!$F$6:$F$485,Schedule!$C$6:$C$485,A53)+SUMIFS(Schedule!$H$6:$H$485,Schedule!$C$6:$C$485,A53)</f>
        <v>20259.55</v>
      </c>
    </row>
    <row r="54" customFormat="false" ht="15" hidden="false" customHeight="true" outlineLevel="0" collapsed="false">
      <c r="A54" s="19" t="n">
        <f aca="false">A53+1</f>
        <v>24</v>
      </c>
      <c r="B54" s="11" t="n">
        <f aca="false">SUMIFS(Schedule!$E$6:$E$485,Schedule!$C$6:$C$485,A54)</f>
        <v>0</v>
      </c>
      <c r="C54" s="11" t="n">
        <f aca="false">SUMIFS(Schedule!$F$6:$F$485,Schedule!$C$6:$C$485,A54)+SUMIFS(Schedule!$H$6:$H$485,Schedule!$C$6:$C$485,A54)</f>
        <v>0</v>
      </c>
    </row>
    <row r="55" customFormat="false" ht="15" hidden="false" customHeight="true" outlineLevel="0" collapsed="false">
      <c r="A55" s="19" t="n">
        <f aca="false">A54+1</f>
        <v>25</v>
      </c>
      <c r="B55" s="11" t="n">
        <f aca="false">SUMIFS(Schedule!$E$6:$E$485,Schedule!$C$6:$C$485,A55)</f>
        <v>0</v>
      </c>
      <c r="C55" s="11" t="n">
        <f aca="false">SUMIFS(Schedule!$F$6:$F$485,Schedule!$C$6:$C$485,A55)+SUMIFS(Schedule!$H$6:$H$485,Schedule!$C$6:$C$485,A55)</f>
        <v>0</v>
      </c>
    </row>
    <row r="56" customFormat="false" ht="15" hidden="false" customHeight="true" outlineLevel="0" collapsed="false">
      <c r="A56" s="19" t="n">
        <f aca="false">A55+1</f>
        <v>26</v>
      </c>
      <c r="B56" s="11" t="n">
        <f aca="false">SUMIFS(Schedule!$E$6:$E$485,Schedule!$C$6:$C$485,A56)</f>
        <v>0</v>
      </c>
      <c r="C56" s="11" t="n">
        <f aca="false">SUMIFS(Schedule!$F$6:$F$485,Schedule!$C$6:$C$485,A56)+SUMIFS(Schedule!$H$6:$H$485,Schedule!$C$6:$C$485,A56)</f>
        <v>0</v>
      </c>
    </row>
    <row r="57" customFormat="false" ht="15" hidden="false" customHeight="true" outlineLevel="0" collapsed="false">
      <c r="A57" s="19" t="n">
        <f aca="false">A56+1</f>
        <v>27</v>
      </c>
      <c r="B57" s="11" t="n">
        <f aca="false">SUMIFS(Schedule!$E$6:$E$485,Schedule!$C$6:$C$485,A57)</f>
        <v>0</v>
      </c>
      <c r="C57" s="11" t="n">
        <f aca="false">SUMIFS(Schedule!$F$6:$F$485,Schedule!$C$6:$C$485,A57)+SUMIFS(Schedule!$H$6:$H$485,Schedule!$C$6:$C$485,A57)</f>
        <v>0</v>
      </c>
    </row>
    <row r="58" customFormat="false" ht="15" hidden="false" customHeight="true" outlineLevel="0" collapsed="false">
      <c r="A58" s="19" t="n">
        <f aca="false">A57+1</f>
        <v>28</v>
      </c>
      <c r="B58" s="11" t="n">
        <f aca="false">SUMIFS(Schedule!$E$6:$E$485,Schedule!$C$6:$C$485,A58)</f>
        <v>0</v>
      </c>
      <c r="C58" s="11" t="n">
        <f aca="false">SUMIFS(Schedule!$F$6:$F$485,Schedule!$C$6:$C$485,A58)+SUMIFS(Schedule!$H$6:$H$485,Schedule!$C$6:$C$485,A58)</f>
        <v>0</v>
      </c>
    </row>
    <row r="59" customFormat="false" ht="15" hidden="false" customHeight="true" outlineLevel="0" collapsed="false">
      <c r="A59" s="19" t="n">
        <f aca="false">A58+1</f>
        <v>29</v>
      </c>
      <c r="B59" s="11" t="n">
        <f aca="false">SUMIFS(Schedule!$E$6:$E$485,Schedule!$C$6:$C$485,A59)</f>
        <v>0</v>
      </c>
      <c r="C59" s="11" t="n">
        <f aca="false">SUMIFS(Schedule!$F$6:$F$485,Schedule!$C$6:$C$485,A59)+SUMIFS(Schedule!$H$6:$H$485,Schedule!$C$6:$C$485,A59)</f>
        <v>0</v>
      </c>
    </row>
    <row r="60" customFormat="false" ht="15" hidden="false" customHeight="true" outlineLevel="0" collapsed="false">
      <c r="A60" s="19" t="n">
        <f aca="false">A59+1</f>
        <v>30</v>
      </c>
      <c r="B60" s="11" t="n">
        <f aca="false">SUMIFS(Schedule!$E$6:$E$485,Schedule!$C$6:$C$485,A60)</f>
        <v>0</v>
      </c>
      <c r="C60" s="11" t="n">
        <f aca="false">SUMIFS(Schedule!$F$6:$F$485,Schedule!$C$6:$C$485,A60)+SUMIFS(Schedule!$H$6:$H$485,Schedule!$C$6:$C$485,A60)</f>
        <v>0</v>
      </c>
    </row>
    <row r="61" customFormat="false" ht="15" hidden="false" customHeight="true" outlineLevel="0" collapsed="false">
      <c r="A61" s="19" t="n">
        <f aca="false">A60+1</f>
        <v>31</v>
      </c>
      <c r="B61" s="11" t="n">
        <f aca="false">SUMIFS(Schedule!$E$6:$E$485,Schedule!$C$6:$C$485,A61)</f>
        <v>0</v>
      </c>
      <c r="C61" s="11" t="n">
        <f aca="false">SUMIFS(Schedule!$F$6:$F$485,Schedule!$C$6:$C$485,A61)+SUMIFS(Schedule!$H$6:$H$485,Schedule!$C$6:$C$485,A61)</f>
        <v>0</v>
      </c>
    </row>
    <row r="62" customFormat="false" ht="15" hidden="false" customHeight="true" outlineLevel="0" collapsed="false">
      <c r="A62" s="19" t="n">
        <f aca="false">A61+1</f>
        <v>32</v>
      </c>
      <c r="B62" s="11" t="n">
        <f aca="false">SUMIFS(Schedule!$E$6:$E$485,Schedule!$C$6:$C$485,A62)</f>
        <v>0</v>
      </c>
      <c r="C62" s="11" t="n">
        <f aca="false">SUMIFS(Schedule!$F$6:$F$485,Schedule!$C$6:$C$485,A62)+SUMIFS(Schedule!$H$6:$H$485,Schedule!$C$6:$C$485,A62)</f>
        <v>0</v>
      </c>
    </row>
    <row r="63" customFormat="false" ht="15" hidden="false" customHeight="true" outlineLevel="0" collapsed="false">
      <c r="A63" s="19" t="n">
        <f aca="false">A62+1</f>
        <v>33</v>
      </c>
      <c r="B63" s="11" t="n">
        <f aca="false">SUMIFS(Schedule!$E$6:$E$485,Schedule!$C$6:$C$485,A63)</f>
        <v>0</v>
      </c>
      <c r="C63" s="11" t="n">
        <f aca="false">SUMIFS(Schedule!$F$6:$F$485,Schedule!$C$6:$C$485,A63)+SUMIFS(Schedule!$H$6:$H$485,Schedule!$C$6:$C$485,A63)</f>
        <v>0</v>
      </c>
    </row>
    <row r="64" customFormat="false" ht="15" hidden="false" customHeight="true" outlineLevel="0" collapsed="false">
      <c r="A64" s="19" t="n">
        <f aca="false">A63+1</f>
        <v>34</v>
      </c>
      <c r="B64" s="11" t="n">
        <f aca="false">SUMIFS(Schedule!$E$6:$E$485,Schedule!$C$6:$C$485,A64)</f>
        <v>0</v>
      </c>
      <c r="C64" s="11" t="n">
        <f aca="false">SUMIFS(Schedule!$F$6:$F$485,Schedule!$C$6:$C$485,A64)+SUMIFS(Schedule!$H$6:$H$485,Schedule!$C$6:$C$485,A64)</f>
        <v>0</v>
      </c>
    </row>
    <row r="65" customFormat="false" ht="15" hidden="false" customHeight="true" outlineLevel="0" collapsed="false">
      <c r="A65" s="19" t="n">
        <f aca="false">A64+1</f>
        <v>35</v>
      </c>
      <c r="B65" s="11" t="n">
        <f aca="false">SUMIFS(Schedule!$E$6:$E$485,Schedule!$C$6:$C$485,A65)</f>
        <v>0</v>
      </c>
      <c r="C65" s="11" t="n">
        <f aca="false">SUMIFS(Schedule!$F$6:$F$485,Schedule!$C$6:$C$485,A65)+SUMIFS(Schedule!$H$6:$H$485,Schedule!$C$6:$C$485,A65)</f>
        <v>0</v>
      </c>
    </row>
    <row r="66" customFormat="false" ht="15" hidden="false" customHeight="true" outlineLevel="0" collapsed="false">
      <c r="A66" s="19" t="n">
        <f aca="false">A65+1</f>
        <v>36</v>
      </c>
      <c r="B66" s="11" t="n">
        <f aca="false">SUMIFS(Schedule!$E$6:$E$485,Schedule!$C$6:$C$485,A66)</f>
        <v>0</v>
      </c>
      <c r="C66" s="11" t="n">
        <f aca="false">SUMIFS(Schedule!$F$6:$F$485,Schedule!$C$6:$C$485,A66)+SUMIFS(Schedule!$H$6:$H$485,Schedule!$C$6:$C$485,A66)</f>
        <v>0</v>
      </c>
    </row>
    <row r="67" customFormat="false" ht="15" hidden="false" customHeight="true" outlineLevel="0" collapsed="false">
      <c r="A67" s="19" t="n">
        <f aca="false">A66+1</f>
        <v>37</v>
      </c>
      <c r="B67" s="11" t="n">
        <f aca="false">SUMIFS(Schedule!$E$6:$E$485,Schedule!$C$6:$C$485,A67)</f>
        <v>0</v>
      </c>
      <c r="C67" s="11" t="n">
        <f aca="false">SUMIFS(Schedule!$F$6:$F$485,Schedule!$C$6:$C$485,A67)+SUMIFS(Schedule!$H$6:$H$485,Schedule!$C$6:$C$485,A67)</f>
        <v>0</v>
      </c>
    </row>
    <row r="68" customFormat="false" ht="15" hidden="false" customHeight="true" outlineLevel="0" collapsed="false">
      <c r="A68" s="19" t="n">
        <f aca="false">A67+1</f>
        <v>38</v>
      </c>
      <c r="B68" s="11" t="n">
        <f aca="false">SUMIFS(Schedule!$E$6:$E$485,Schedule!$C$6:$C$485,A68)</f>
        <v>0</v>
      </c>
      <c r="C68" s="11" t="n">
        <f aca="false">SUMIFS(Schedule!$F$6:$F$485,Schedule!$C$6:$C$485,A68)+SUMIFS(Schedule!$H$6:$H$485,Schedule!$C$6:$C$485,A68)</f>
        <v>0</v>
      </c>
    </row>
    <row r="69" customFormat="false" ht="15" hidden="false" customHeight="true" outlineLevel="0" collapsed="false">
      <c r="A69" s="19" t="n">
        <f aca="false">A68+1</f>
        <v>39</v>
      </c>
      <c r="B69" s="11" t="n">
        <f aca="false">SUMIFS(Schedule!$E$6:$E$485,Schedule!$C$6:$C$485,A69)</f>
        <v>0</v>
      </c>
      <c r="C69" s="11" t="n">
        <f aca="false">SUMIFS(Schedule!$F$6:$F$485,Schedule!$C$6:$C$485,A69)+SUMIFS(Schedule!$H$6:$H$485,Schedule!$C$6:$C$485,A69)</f>
        <v>0</v>
      </c>
    </row>
    <row r="70" customFormat="false" ht="15" hidden="false" customHeight="true" outlineLevel="0" collapsed="false">
      <c r="A70" s="19" t="n">
        <f aca="false">A69+1</f>
        <v>40</v>
      </c>
      <c r="B70" s="11" t="n">
        <f aca="false">SUMIFS(Schedule!$E$6:$E$485,Schedule!$C$6:$C$485,A70)</f>
        <v>0</v>
      </c>
      <c r="C70" s="11" t="n">
        <f aca="false">SUMIFS(Schedule!$F$6:$F$485,Schedule!$C$6:$C$485,A70)+SUMIFS(Schedule!$H$6:$H$485,Schedule!$C$6:$C$485,A70)</f>
        <v>0</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2026-09-17T09:03:52Z</dcterms:created>
  <dc:creator>openpyxl</dc:creator>
  <dc:description/>
  <dc:language>en-US</dc:language>
  <cp:lastModifiedBy/>
  <dcterms:modified xsi:type="dcterms:W3CDTF">2026-09-19T13:02:55Z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