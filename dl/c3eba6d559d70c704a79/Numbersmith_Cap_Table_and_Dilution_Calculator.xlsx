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urrent Cap Table" sheetId="2" state="visible" r:id="rId4"/>
    <sheet name="SAFEs and Notes" sheetId="3" state="visible" r:id="rId5"/>
    <sheet name="Priced Round" sheetId="4" state="visible" r:id="rId6"/>
    <sheet name="Dilution Scenarios" sheetId="5" state="visible" r:id="rId7"/>
    <sheet name="Exit Waterfal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<sst xmlns="http://schemas.openxmlformats.org/spreadsheetml/2006/main" count="259" uniqueCount="210">
  <si>
    <t xml:space="preserve">Numbersmith  |  Cap Table and Dilution Calculator</t>
  </si>
  <si>
    <t xml:space="preserve">Model SAFEs, a priced round, option pool top-up, dilution scenarios, and an exit waterfall, all with open Excel formulas.</t>
  </si>
  <si>
    <t xml:space="preserve">Purpose</t>
  </si>
  <si>
    <t xml:space="preserve">This workbook helps a founder plan a priced fundraising round: how outstanding SAFEs and convertible notes convert, how the option pool gets topped up, what price per share the round sets, how much every holder ends up owning, and what everyone would walk away with at an exit. It ships pre-filled with a realistic two-founder seed round so you can see it work before you replace the numbers with your own.</t>
  </si>
  <si>
    <t xml:space="preserve">How to use this workbook (6 steps)</t>
  </si>
  <si>
    <t xml:space="preserve">1. Current Cap Table tab: list your existing holders (founders, employees, advisors, option pool) with share counts and vesting notes.</t>
  </si>
  <si>
    <t xml:space="preserve">2. SAFEs and Notes tab: list any outstanding SAFEs or convertible notes with amount, type, cap, discount, and (for notes) interest and term.</t>
  </si>
  <si>
    <t xml:space="preserve">3. Priced Round tab: enter the pre-money valuation, up to three new investors, and the target post-money option pool percent.</t>
  </si>
  <si>
    <t xml:space="preserve">4. Priced Round tab: review the computed price per share, SAFE and note conversion, and the full post-round cap table by holder and by class.</t>
  </si>
  <si>
    <t xml:space="preserve">5. Dilution Scenarios tab: compare three raise scenarios side by side and see founder ownership after a hypothetical Series A.</t>
  </si>
  <si>
    <t xml:space="preserve">6. Exit Waterfall tab: enter an exit value and liquidation preference terms to see the payout by holder and per share.</t>
  </si>
  <si>
    <t xml:space="preserve">Color legend</t>
  </si>
  <si>
    <t xml:space="preserve">Blue text on light yellow fill</t>
  </si>
  <si>
    <t xml:space="preserve">An input cell. Type your own numbers here.</t>
  </si>
  <si>
    <t xml:space="preserve">Black text, no fill</t>
  </si>
  <si>
    <t xml:space="preserve">A formula. It recalculates automatically; do not overwrite it.</t>
  </si>
  <si>
    <t xml:space="preserve">Green text, no fill</t>
  </si>
  <si>
    <t xml:space="preserve">A link that pulls a value from another tab.</t>
  </si>
  <si>
    <t xml:space="preserve">Glossary</t>
  </si>
  <si>
    <t xml:space="preserve">Pre-money valuation</t>
  </si>
  <si>
    <t xml:space="preserve">What the company is agreed to be worth immediately before the new round's cash comes in.</t>
  </si>
  <si>
    <t xml:space="preserve">Post-money valuation</t>
  </si>
  <si>
    <t xml:space="preserve">Pre-money valuation plus the new money raised; what the company is worth right after the round closes.</t>
  </si>
  <si>
    <t xml:space="preserve">Option pool shuffle</t>
  </si>
  <si>
    <t xml:space="preserve">The common practice of increasing the option pool before a priced round so the new pool dilutes existing shareholders rather than the new investor, effectively lowering the price new investors pay.</t>
  </si>
  <si>
    <t xml:space="preserve">SAFE</t>
  </si>
  <si>
    <t xml:space="preserve">A Simple Agreement for Future Equity. Not a loan or equity today; it converts into shares in a later priced round, usually based on a valuation cap and/or a discount.</t>
  </si>
  <si>
    <t xml:space="preserve">Valuation cap</t>
  </si>
  <si>
    <t xml:space="preserve">The maximum company valuation used to price a SAFE's or note's conversion, protecting early money from paying a later, higher round price.</t>
  </si>
  <si>
    <t xml:space="preserve">Discount</t>
  </si>
  <si>
    <t xml:space="preserve">A percent reduction applied to the priced round's per-share price, giving SAFE or note holders a cheaper conversion price than new investors pay.</t>
  </si>
  <si>
    <t xml:space="preserve">Pro rata</t>
  </si>
  <si>
    <t xml:space="preserve">An investor's right (or a holder's share) calculated in proportion to their existing ownership percent.</t>
  </si>
  <si>
    <t xml:space="preserve">Liquidation preference</t>
  </si>
  <si>
    <t xml:space="preserve">A right that lets preferred investors get paid before common holders at an exit, usually a multiple of what they invested (1x is typical).</t>
  </si>
  <si>
    <t xml:space="preserve">Fully diluted</t>
  </si>
  <si>
    <t xml:space="preserve">The total share count if every option, warrant, SAFE, and note were exercised or converted into common stock.</t>
  </si>
  <si>
    <t xml:space="preserve">Price per share</t>
  </si>
  <si>
    <t xml:space="preserve">The dollar value assigned to one share in a round, used to convert an investment amount into a share count.</t>
  </si>
  <si>
    <t xml:space="preserve">Tabs in this workbook</t>
  </si>
  <si>
    <t xml:space="preserve">Current Cap Table</t>
  </si>
  <si>
    <t xml:space="preserve">Up to 12 existing holders and the fully diluted share count before this round.</t>
  </si>
  <si>
    <t xml:space="preserve">SAFEs and Notes</t>
  </si>
  <si>
    <t xml:space="preserve">Up to 6 SAFEs or convertible notes and their conversion terms.</t>
  </si>
  <si>
    <t xml:space="preserve">Priced Round</t>
  </si>
  <si>
    <t xml:space="preserve">Inputs for the new round; computes price per share, conversions, and the full post-round cap table.</t>
  </si>
  <si>
    <t xml:space="preserve">Dilution Scenarios</t>
  </si>
  <si>
    <t xml:space="preserve">Three raise scenarios compared side by side, plus a hypothetical Series A and a chart.</t>
  </si>
  <si>
    <t xml:space="preserve">Exit Waterfall</t>
  </si>
  <si>
    <t xml:space="preserve">Models an exit and shows payout by holder, with a chart across three exit values.</t>
  </si>
  <si>
    <t xml:space="preserve">This is a planning tool for founders, not legal, tax, or investment advice. Real SAFE and note conversion terms, option pool mechanics, and liquidation waterfalls vary by the actual documents signed; always have counsel review your term sheet and cap table before you close a round.</t>
  </si>
  <si>
    <t xml:space="preserve">Built by Numbersmith with AI assistance. Formulas are open; nothing is hidden or locked.</t>
  </si>
  <si>
    <t xml:space="preserve">For education and planning only, not financial advice.</t>
  </si>
  <si>
    <t xml:space="preserve">Every existing holder, fully diluted, before this round. Enter shares for up to 12 holders below.</t>
  </si>
  <si>
    <t xml:space="preserve">#</t>
  </si>
  <si>
    <t xml:space="preserve">Holder</t>
  </si>
  <si>
    <t xml:space="preserve">Class</t>
  </si>
  <si>
    <t xml:space="preserve">Shares</t>
  </si>
  <si>
    <t xml:space="preserve">Vesting / Notes</t>
  </si>
  <si>
    <t xml:space="preserve">% Fully Diluted</t>
  </si>
  <si>
    <t xml:space="preserve">Founder A</t>
  </si>
  <si>
    <t xml:space="preserve">Founder</t>
  </si>
  <si>
    <t xml:space="preserve">4-yr vest, 1-yr cliff; fully vested</t>
  </si>
  <si>
    <t xml:space="preserve">Founder B</t>
  </si>
  <si>
    <t xml:space="preserve">Option Pool (Unallocated)</t>
  </si>
  <si>
    <t xml:space="preserve">Option Pool</t>
  </si>
  <si>
    <t xml:space="preserve">Reserved for future employee and advisor grants</t>
  </si>
  <si>
    <t xml:space="preserve">Total</t>
  </si>
  <si>
    <t xml:space="preserve">Existing Option Pool (shares)</t>
  </si>
  <si>
    <t xml:space="preserve">Founders + Employees + Advisors (non-pool shares)</t>
  </si>
  <si>
    <t xml:space="preserve">Founders Only (shares)</t>
  </si>
  <si>
    <t xml:space="preserve">These four reference rows feed every other tab in this workbook. Keep the Class column limited to Founder, Employee, Advisor, or Option Pool so the totals above stay accurate.</t>
  </si>
  <si>
    <t xml:space="preserve">Up to 6 outstanding SAFEs or convertible notes. Conversion into shares is computed on the Priced Round tab.</t>
  </si>
  <si>
    <t xml:space="preserve">Holder / Label</t>
  </si>
  <si>
    <t xml:space="preserve">Instrument Type</t>
  </si>
  <si>
    <t xml:space="preserve">Amount Invested</t>
  </si>
  <si>
    <t xml:space="preserve">Valuation Cap
(0 = uncapped)</t>
  </si>
  <si>
    <t xml:space="preserve">Discount %</t>
  </si>
  <si>
    <t xml:space="preserve">Interest %/yr
(notes only)</t>
  </si>
  <si>
    <t xml:space="preserve">Term (months)
(notes only)</t>
  </si>
  <si>
    <t xml:space="preserve">Accrued Amount
at Conversion</t>
  </si>
  <si>
    <t xml:space="preserve">SAFE Investor 1</t>
  </si>
  <si>
    <t xml:space="preserve">Post-money SAFE</t>
  </si>
  <si>
    <t xml:space="preserve">SAFE Investor 2</t>
  </si>
  <si>
    <t xml:space="preserve">Pre-money SAFE</t>
  </si>
  <si>
    <t xml:space="preserve">Accrued Amount adds simple interest for convertible notes only (Amount x (1 + rate x months / 12)); SAFEs never accrue interest. On the Priced Round tab, each instrument converts at the better (lower) of its cap price and its discount price, except a post-money SAFE, whose ownership percent is Amount / Cap by definition and is solved directly for a share count.</t>
  </si>
  <si>
    <t xml:space="preserve">New round terms, SAFE and note conversion, the option pool top-up, price per share, and the full post-round cap table.</t>
  </si>
  <si>
    <t xml:space="preserve">Inputs</t>
  </si>
  <si>
    <t xml:space="preserve">Pre-Money Valuation</t>
  </si>
  <si>
    <t xml:space="preserve">Target Post-Money Option Pool %</t>
  </si>
  <si>
    <t xml:space="preserve">Option Pool Topped Up Pre-Money?</t>
  </si>
  <si>
    <t xml:space="preserve">Yes</t>
  </si>
  <si>
    <t xml:space="preserve">New Investors (up to 3)</t>
  </si>
  <si>
    <t xml:space="preserve">Name</t>
  </si>
  <si>
    <t xml:space="preserve">Investor 1</t>
  </si>
  <si>
    <t xml:space="preserve">Seed Lead</t>
  </si>
  <si>
    <t xml:space="preserve">Investor 2</t>
  </si>
  <si>
    <t xml:space="preserve">Investor 3</t>
  </si>
  <si>
    <t xml:space="preserve">Total New Money Raised</t>
  </si>
  <si>
    <t xml:space="preserve">Baseline (from Current Cap Table)</t>
  </si>
  <si>
    <t xml:space="preserve">Pre-Round Fully Diluted Shares (Founders + Pool)</t>
  </si>
  <si>
    <t xml:space="preserve">   of which: Existing Option Pool (shares)</t>
  </si>
  <si>
    <t xml:space="preserve">   of which: Founders + Employees + Advisors (shares)</t>
  </si>
  <si>
    <t xml:space="preserve">SAFE and Note Conversion</t>
  </si>
  <si>
    <t xml:space="preserve">Cap price = Valuation Cap / Pre-Round Fully Diluted Shares above. Discount price approximates the round price as Pre-Money Valuation / Pre-Round Fully Diluted Shares, then applies the discount; each instrument converts at whichever price is lower. A post-money SAFE instead converts at Amount / Cap of ownership, solved directly for a share count.</t>
  </si>
  <si>
    <t xml:space="preserve">Type</t>
  </si>
  <si>
    <t xml:space="preserve">Accrued Amount</t>
  </si>
  <si>
    <t xml:space="preserve">Cap</t>
  </si>
  <si>
    <t xml:space="preserve">Cap Price /Sh</t>
  </si>
  <si>
    <t xml:space="preserve">Discount Price /Sh</t>
  </si>
  <si>
    <t xml:space="preserve">Conversion Price /Sh</t>
  </si>
  <si>
    <t xml:space="preserve">Conversion Shares</t>
  </si>
  <si>
    <t xml:space="preserve">Total SAFE / Note Conversion Shares</t>
  </si>
  <si>
    <t xml:space="preserve">Option Pool Shuffle and Price Per Share</t>
  </si>
  <si>
    <t xml:space="preserve">The option pool top-up is created pre-money when the toggle above is Yes, so it dilutes founders, the existing pool, and converting SAFEs and notes, the same way new investor cash does not. If the toggle is No, the top-up is instead sized so the pool reaches its target percent of the fully diluted post-money total without changing the price new investors pay.</t>
  </si>
  <si>
    <t xml:space="preserve">Post-Money Valuation</t>
  </si>
  <si>
    <t xml:space="preserve">Pool Sizing Factor (K)</t>
  </si>
  <si>
    <t xml:space="preserve">Pre-Pool Fully Diluted Shares (Founders + Pool + Converted SAFEs)</t>
  </si>
  <si>
    <t xml:space="preserve">New Option Pool Shares (Top-Up)</t>
  </si>
  <si>
    <t xml:space="preserve">Price Per Share (this round)</t>
  </si>
  <si>
    <t xml:space="preserve">New Investor Shares (total)</t>
  </si>
  <si>
    <t xml:space="preserve">Post-Money Fully Diluted Shares (Total)</t>
  </si>
  <si>
    <t xml:space="preserve">Check: Price Per Share x Post-Money Shares = Post-Money Valuation</t>
  </si>
  <si>
    <t xml:space="preserve">Check OK?</t>
  </si>
  <si>
    <t xml:space="preserve">Post-Round Capitalization Table</t>
  </si>
  <si>
    <t xml:space="preserve">% of Post-Money Fully Diluted</t>
  </si>
  <si>
    <t xml:space="preserve">Option Pool Top-Up (New)</t>
  </si>
  <si>
    <t xml:space="preserve">Post-Round Ownership by Class</t>
  </si>
  <si>
    <t xml:space="preserve">% of Total</t>
  </si>
  <si>
    <t xml:space="preserve">Employee</t>
  </si>
  <si>
    <t xml:space="preserve">Advisor</t>
  </si>
  <si>
    <t xml:space="preserve">Converted SAFE/Note</t>
  </si>
  <si>
    <t xml:space="preserve">New Investor</t>
  </si>
  <si>
    <t xml:space="preserve">Compare three raise scenarios side by side, then see founders' combined ownership after a hypothetical Series A.</t>
  </si>
  <si>
    <t xml:space="preserve">Scenario Inputs</t>
  </si>
  <si>
    <t xml:space="preserve">Scenario A</t>
  </si>
  <si>
    <t xml:space="preserve">Scenario B</t>
  </si>
  <si>
    <t xml:space="preserve">Scenario C</t>
  </si>
  <si>
    <t xml:space="preserve">Scenario Name</t>
  </si>
  <si>
    <t xml:space="preserve">Conservative</t>
  </si>
  <si>
    <t xml:space="preserve">Base Case</t>
  </si>
  <si>
    <t xml:space="preserve">Aggressive</t>
  </si>
  <si>
    <t xml:space="preserve">New Money Raised</t>
  </si>
  <si>
    <t xml:space="preserve">Pool Topped Up Pre-Money?</t>
  </si>
  <si>
    <t xml:space="preserve">Reference Prices by Scenario</t>
  </si>
  <si>
    <t xml:space="preserve">Baseline Fully Diluted Shares (existing)</t>
  </si>
  <si>
    <t xml:space="preserve">Reference Price per Share (Pre-Money / Baseline)</t>
  </si>
  <si>
    <t xml:space="preserve">SAFE and Note Conversion Shares by Scenario</t>
  </si>
  <si>
    <t xml:space="preserve">Accrued Amt</t>
  </si>
  <si>
    <t xml:space="preserve">Cap Price/Sh</t>
  </si>
  <si>
    <t xml:space="preserve">Scenario A Shares</t>
  </si>
  <si>
    <t xml:space="preserve">Scenario B Shares</t>
  </si>
  <si>
    <t xml:space="preserve">Scenario C Shares</t>
  </si>
  <si>
    <t xml:space="preserve">Scenario Results</t>
  </si>
  <si>
    <t xml:space="preserve">Pre-Pool Fully Diluted Shares (Founders+Pool+SAFEs)</t>
  </si>
  <si>
    <t xml:space="preserve">New Option Pool Shares</t>
  </si>
  <si>
    <t xml:space="preserve">Price Per Share</t>
  </si>
  <si>
    <t xml:space="preserve">Founders Combined Shares (constant)</t>
  </si>
  <si>
    <t xml:space="preserve">Founders Combined % After This Round</t>
  </si>
  <si>
    <t xml:space="preserve">Hypothetical Next Round (Series A)</t>
  </si>
  <si>
    <t xml:space="preserve">Series A is modeled as simple pro-rata dilution applied uniformly on top of each scenario's post-seed cap table (one shared Series A assumption for all three columns, no additional option pool top-up), for a quick side-by-side look. For a precise build, copy each scenario's terms onto the Priced Round tab.</t>
  </si>
  <si>
    <t xml:space="preserve">Series A Pre-Money Valuation</t>
  </si>
  <si>
    <t xml:space="preserve">Series A Amount Raised</t>
  </si>
  <si>
    <t xml:space="preserve">Series A New-Investor % (simple pro-rata)</t>
  </si>
  <si>
    <t xml:space="preserve">Founders Combined % After Series A</t>
  </si>
  <si>
    <t xml:space="preserve">Founder Ownership Chart Data</t>
  </si>
  <si>
    <t xml:space="preserve">Scenario</t>
  </si>
  <si>
    <t xml:space="preserve">Founders % After Seed</t>
  </si>
  <si>
    <t xml:space="preserve">Founders % After Series A</t>
  </si>
  <si>
    <t xml:space="preserve">Model an exit and see the payout by holder class, with a 1x non-participating liquidation preference by default for the priced-round investors.</t>
  </si>
  <si>
    <t xml:space="preserve">Exit Inputs</t>
  </si>
  <si>
    <t xml:space="preserve">Exit Value (Main Scenario)</t>
  </si>
  <si>
    <t xml:space="preserve">Liquidation Preference Multiple (priced-round investors)</t>
  </si>
  <si>
    <t xml:space="preserve">Preferred Participating? (double-dip)</t>
  </si>
  <si>
    <t xml:space="preserve">No</t>
  </si>
  <si>
    <t xml:space="preserve">Reference (from Priced Round and Current Cap Table)</t>
  </si>
  <si>
    <t xml:space="preserve">Total New Money Raised (priced-round investors)</t>
  </si>
  <si>
    <t xml:space="preserve">Priced-Round Investor Shares (total)</t>
  </si>
  <si>
    <t xml:space="preserve">Founders Combined Shares</t>
  </si>
  <si>
    <t xml:space="preserve">Employees + Advisors Combined Shares</t>
  </si>
  <si>
    <t xml:space="preserve">Option Pool Combined Shares (existing + top-up)</t>
  </si>
  <si>
    <t xml:space="preserve">Converted SAFE / Note Shares (combined)</t>
  </si>
  <si>
    <t xml:space="preserve">Waterfall -- Main Exit Scenario</t>
  </si>
  <si>
    <t xml:space="preserve">Liquidation Preference Amount</t>
  </si>
  <si>
    <t xml:space="preserve">Preferred As-Converted Value (if converted to common)</t>
  </si>
  <si>
    <t xml:space="preserve">Preferred Takes Preference or Converts?</t>
  </si>
  <si>
    <t xml:space="preserve">Preferred Payout (priced-round investors)</t>
  </si>
  <si>
    <t xml:space="preserve">Value Available to Common-Class Holders</t>
  </si>
  <si>
    <t xml:space="preserve">Per-Share Value, Common-Class Holders</t>
  </si>
  <si>
    <t xml:space="preserve">Per-Share Value, Preferred (Priced-Round) Investors</t>
  </si>
  <si>
    <t xml:space="preserve">Payout by Holder -- Main Exit Scenario</t>
  </si>
  <si>
    <t xml:space="preserve">Holder Class</t>
  </si>
  <si>
    <t xml:space="preserve">Payout ($)</t>
  </si>
  <si>
    <t xml:space="preserve">Payout per Share ($)</t>
  </si>
  <si>
    <t xml:space="preserve">Founders (combined)</t>
  </si>
  <si>
    <t xml:space="preserve">Employees + Advisors (combined)</t>
  </si>
  <si>
    <t xml:space="preserve">Option Pool (combined)</t>
  </si>
  <si>
    <t xml:space="preserve">Converted SAFEs/Notes (combined)</t>
  </si>
  <si>
    <t xml:space="preserve">Priced-Round Investors (combined, preferred)</t>
  </si>
  <si>
    <t xml:space="preserve">Check: Total Payout = Exit Value?</t>
  </si>
  <si>
    <t xml:space="preserve">Exit Value Sensitivity (for chart)</t>
  </si>
  <si>
    <t xml:space="preserve">Exit Value Scenario 1 (down)</t>
  </si>
  <si>
    <t xml:space="preserve">Exit Value Scenario 2 (moderate)</t>
  </si>
  <si>
    <t xml:space="preserve">Exit Value Scenario 3 (strong)</t>
  </si>
  <si>
    <t xml:space="preserve">Payout by Class at Each Exit Value</t>
  </si>
  <si>
    <t xml:space="preserve">@ Scenario 1</t>
  </si>
  <si>
    <t xml:space="preserve">@ Scenario 2</t>
  </si>
  <si>
    <t xml:space="preserve">@ Scenario 3</t>
  </si>
  <si>
    <t xml:space="preserve">Priced-Round Investors (combined)</t>
  </si>
  <si>
    <t xml:space="preserve">Only priced-round investors carry a liquidation preference here; converted SAFEs, notes, the option pool, and founders are treated as common stock. A non-participating preferred converts to common whenever its as-converted value beats its preference; a participating preferred always takes its preference first and then shares the remainder pro rata.</t>
  </si>
</sst>
</file>

<file path=xl/styles.xml><?xml version="1.0" encoding="utf-8"?>
<styleSheet xmlns="http://schemas.openxmlformats.org/spreadsheetml/2006/main">
  <numFmts count="11">
    <numFmt numFmtId="164" formatCode="General"/>
    <numFmt numFmtId="165" formatCode="#,##0;\(#,##0\);\-"/>
    <numFmt numFmtId="166" formatCode="0.00%;\(0.00%\);\-"/>
    <numFmt numFmtId="167" formatCode="\$#,##0;&quot;($&quot;#,##0\);\-"/>
    <numFmt numFmtId="168" formatCode="0"/>
    <numFmt numFmtId="169" formatCode="\$#,##0.0000;&quot;($&quot;#,##0.0000\);\-"/>
    <numFmt numFmtId="170" formatCode="#,##0.00;\(#,##0.00\);\-"/>
    <numFmt numFmtId="171" formatCode="0.0000"/>
    <numFmt numFmtId="172" formatCode="0%"/>
    <numFmt numFmtId="173" formatCode="0.0\x"/>
    <numFmt numFmtId="174" formatCode="\$#,##0,,\M"/>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i val="true"/>
      <sz val="9"/>
      <color rgb="FF595959"/>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i val="true"/>
      <sz val="10"/>
      <color rgb="FF1F4E5F"/>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4E5F"/>
        <bgColor rgb="FF333333"/>
      </patternFill>
    </fill>
    <fill>
      <patternFill patternType="solid">
        <fgColor rgb="FFFFF2CC"/>
        <bgColor rgb="FFF9F9F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4E5F"/>
      </top>
      <bottom style="double">
        <color rgb="FF1F4E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left"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5" fontId="11" fillId="0" borderId="2" xfId="0" applyFont="true" applyBorder="true" applyAlignment="tru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11" fillId="0" borderId="2" xfId="0" applyFont="true" applyBorder="tru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0" fontId="11" fillId="0" borderId="2" xfId="0" applyFont="true" applyBorder="tru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73" fontId="9" fillId="3" borderId="1" xfId="0" applyFont="true" applyBorder="tru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59595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Founder Ownership Across Scenarios</a:t>
            </a:r>
          </a:p>
        </c:rich>
      </c:tx>
      <c:overlay val="0"/>
      <c:spPr>
        <a:noFill/>
        <a:ln w="0">
          <a:noFill/>
        </a:ln>
      </c:spPr>
    </c:title>
    <c:autoTitleDeleted val="0"/>
    <c:plotArea>
      <c:barChart>
        <c:barDir val="col"/>
        <c:grouping val="clustered"/>
        <c:varyColors val="0"/>
        <c:ser>
          <c:idx val="0"/>
          <c:order val="0"/>
          <c:tx>
            <c:strRef>
              <c:f>'Dilution Scenarios'!B45</c:f>
              <c:strCache>
                <c:ptCount val="1"/>
                <c:pt idx="0">
                  <c:v>Founders % After Seed</c:v>
                </c:pt>
              </c:strCache>
            </c:strRef>
          </c:tx>
          <c:spPr>
            <a:solidFill>
              <a:srgbClr val="4F81BD"/>
            </a:solidFill>
            <a:ln w="12600">
              <a:solidFill>
                <a:srgbClr val="F9F9F9"/>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'Dilution Scenarios'!$A$46:$A$48</c:f>
              <c:strCache>
                <c:ptCount val="3"/>
                <c:pt idx="0">
                  <c:v>Conservative</c:v>
                </c:pt>
                <c:pt idx="1">
                  <c:v>Base Case</c:v>
                </c:pt>
                <c:pt idx="2">
                  <c:v>Aggressive</c:v>
                </c:pt>
              </c:strCache>
            </c:strRef>
          </c:cat>
          <c:val>
            <c:numRef>
              <c:f>'Dilution Scenarios'!$B$46:$B$48</c:f>
              <c:numCache>
                <c:formatCode>0.00%;\(0.00%\);\-</c:formatCode>
                <c:ptCount val="3"/>
                <c:pt idx="0">
                  <c:v>0.623955431754875</c:v>
                </c:pt>
                <c:pt idx="1">
                  <c:v>0.623955431754875</c:v>
                </c:pt>
                <c:pt idx="2">
                  <c:v>0.614572643307433</c:v>
                </c:pt>
              </c:numCache>
            </c:numRef>
          </c:val>
        </c:ser>
        <c:ser>
          <c:idx val="1"/>
          <c:order val="1"/>
          <c:tx>
            <c:strRef>
              <c:f>'Dilution Scenarios'!C45</c:f>
              <c:strCache>
                <c:ptCount val="1"/>
                <c:pt idx="0">
                  <c:v>Founders % After Series A</c:v>
                </c:pt>
              </c:strCache>
            </c:strRef>
          </c:tx>
          <c:spPr>
            <a:solidFill>
              <a:srgbClr val="C0504D"/>
            </a:solidFill>
            <a:ln w="12600">
              <a:solidFill>
                <a:srgbClr val="F9F9F9"/>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'Dilution Scenarios'!$A$46:$A$48</c:f>
              <c:strCache>
                <c:ptCount val="3"/>
                <c:pt idx="0">
                  <c:v>Conservative</c:v>
                </c:pt>
                <c:pt idx="1">
                  <c:v>Base Case</c:v>
                </c:pt>
                <c:pt idx="2">
                  <c:v>Aggressive</c:v>
                </c:pt>
              </c:strCache>
            </c:strRef>
          </c:cat>
          <c:val>
            <c:numRef>
              <c:f>'Dilution Scenarios'!$C$46:$C$48</c:f>
              <c:numCache>
                <c:formatCode>0.00%;\(0.00%\);\-</c:formatCode>
                <c:ptCount val="3"/>
                <c:pt idx="0">
                  <c:v>0.519962859795729</c:v>
                </c:pt>
                <c:pt idx="1">
                  <c:v>0.519962859795729</c:v>
                </c:pt>
                <c:pt idx="2">
                  <c:v>0.512143869422861</c:v>
                </c:pt>
              </c:numCache>
            </c:numRef>
          </c:val>
        </c:ser>
        <c:gapWidth val="150"/>
        <c:overlap val="0"/>
        <c:axId val="53016942"/>
        <c:axId val="44420664"/>
      </c:barChart>
      <c:catAx>
        <c:axId val="5301694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Scenario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420664"/>
        <c:crosses val="autoZero"/>
        <c:auto val="1"/>
        <c:lblAlgn val="ctr"/>
        <c:lblOffset val="100"/>
        <c:noMultiLvlLbl val="0"/>
      </c:catAx>
      <c:valAx>
        <c:axId val="4442066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Founders' combined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01694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Proceeds by Holder Class at Three Exit Values</a:t>
            </a:r>
          </a:p>
        </c:rich>
      </c:tx>
      <c:overlay val="0"/>
      <c:spPr>
        <a:noFill/>
        <a:ln w="0">
          <a:noFill/>
        </a:ln>
      </c:spPr>
    </c:title>
    <c:autoTitleDeleted val="0"/>
    <c:plotArea>
      <c:barChart>
        <c:barDir val="col"/>
        <c:grouping val="clustered"/>
        <c:varyColors val="0"/>
        <c:ser>
          <c:idx val="0"/>
          <c:order val="0"/>
          <c:tx>
            <c:strRef>
              <c:f>'Exit Waterfall'!$C$46</c:f>
              <c:strCache>
                <c:ptCount val="1"/>
                <c:pt idx="0">
                  <c:v/>
                </c:pt>
              </c:strCache>
            </c:strRef>
          </c:tx>
          <c:spPr>
            <a:solidFill>
              <a:srgbClr val="4F81BD"/>
            </a:solidFill>
            <a:ln w="12600">
              <a:solidFill>
                <a:srgbClr val="F9F9F9"/>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'Exit Waterfall'!$B$47:$B$51</c:f>
              <c:strCache>
                <c:ptCount val="5"/>
                <c:pt idx="0">
                  <c:v>Founders (combined)</c:v>
                </c:pt>
                <c:pt idx="1">
                  <c:v>Employees + Advisors (combined)</c:v>
                </c:pt>
                <c:pt idx="2">
                  <c:v>Option Pool (combined)</c:v>
                </c:pt>
                <c:pt idx="3">
                  <c:v>Converted SAFEs/Notes (combined)</c:v>
                </c:pt>
                <c:pt idx="4">
                  <c:v>Priced-Round Investors (combined)</c:v>
                </c:pt>
              </c:strCache>
            </c:strRef>
          </c:cat>
          <c:val>
            <c:numRef>
              <c:f>'Exit Waterfall'!$C$47:$C$51</c:f>
              <c:numCache>
                <c:formatCode>\$#,##0;"($"#,##0\);\-</c:formatCode>
                <c:ptCount val="5"/>
                <c:pt idx="0">
                  <c:v>0</c:v>
                </c:pt>
                <c:pt idx="1">
                  <c:v>0</c:v>
                </c:pt>
                <c:pt idx="2">
                  <c:v>0</c:v>
                </c:pt>
                <c:pt idx="3">
                  <c:v>0</c:v>
                </c:pt>
                <c:pt idx="4">
                  <c:v>2000000</c:v>
                </c:pt>
              </c:numCache>
            </c:numRef>
          </c:val>
        </c:ser>
        <c:ser>
          <c:idx val="1"/>
          <c:order val="1"/>
          <c:tx>
            <c:strRef>
              <c:f>'Exit Waterfall'!$D$46</c:f>
              <c:strCache>
                <c:ptCount val="1"/>
                <c:pt idx="0">
                  <c:v/>
                </c:pt>
              </c:strCache>
            </c:strRef>
          </c:tx>
          <c:spPr>
            <a:solidFill>
              <a:srgbClr val="C0504D"/>
            </a:solidFill>
            <a:ln w="12600">
              <a:solidFill>
                <a:srgbClr val="F9F9F9"/>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'Exit Waterfall'!$B$47:$B$51</c:f>
              <c:strCache>
                <c:ptCount val="5"/>
                <c:pt idx="0">
                  <c:v>Founders (combined)</c:v>
                </c:pt>
                <c:pt idx="1">
                  <c:v>Employees + Advisors (combined)</c:v>
                </c:pt>
                <c:pt idx="2">
                  <c:v>Option Pool (combined)</c:v>
                </c:pt>
                <c:pt idx="3">
                  <c:v>Converted SAFEs/Notes (combined)</c:v>
                </c:pt>
                <c:pt idx="4">
                  <c:v>Priced-Round Investors (combined)</c:v>
                </c:pt>
              </c:strCache>
            </c:strRef>
          </c:cat>
          <c:val>
            <c:numRef>
              <c:f>'Exit Waterfall'!$D$47:$D$51</c:f>
              <c:numCache>
                <c:formatCode>\$#,##0;"($"#,##0\);\-</c:formatCode>
                <c:ptCount val="5"/>
                <c:pt idx="0">
                  <c:v>12479108.6350975</c:v>
                </c:pt>
                <c:pt idx="1">
                  <c:v>0</c:v>
                </c:pt>
                <c:pt idx="2">
                  <c:v>2000000</c:v>
                </c:pt>
                <c:pt idx="3">
                  <c:v>1520891.36490251</c:v>
                </c:pt>
                <c:pt idx="4">
                  <c:v>4000000</c:v>
                </c:pt>
              </c:numCache>
            </c:numRef>
          </c:val>
        </c:ser>
        <c:ser>
          <c:idx val="2"/>
          <c:order val="2"/>
          <c:tx>
            <c:strRef>
              <c:f>'Exit Waterfall'!$E$46</c:f>
              <c:strCache>
                <c:ptCount val="1"/>
                <c:pt idx="0">
                  <c:v/>
                </c:pt>
              </c:strCache>
            </c:strRef>
          </c:tx>
          <c:spPr>
            <a:solidFill>
              <a:srgbClr val="9BBB59"/>
            </a:solidFill>
            <a:ln w="12600">
              <a:solidFill>
                <a:srgbClr val="F9F9F9"/>
              </a:solidFill>
              <a:round/>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'Exit Waterfall'!$B$47:$B$51</c:f>
              <c:strCache>
                <c:ptCount val="5"/>
                <c:pt idx="0">
                  <c:v>Founders (combined)</c:v>
                </c:pt>
                <c:pt idx="1">
                  <c:v>Employees + Advisors (combined)</c:v>
                </c:pt>
                <c:pt idx="2">
                  <c:v>Option Pool (combined)</c:v>
                </c:pt>
                <c:pt idx="3">
                  <c:v>Converted SAFEs/Notes (combined)</c:v>
                </c:pt>
                <c:pt idx="4">
                  <c:v>Priced-Round Investors (combined)</c:v>
                </c:pt>
              </c:strCache>
            </c:strRef>
          </c:cat>
          <c:val>
            <c:numRef>
              <c:f>'Exit Waterfall'!$E$47:$E$51</c:f>
              <c:numCache>
                <c:formatCode>\$#,##0;"($"#,##0\);\-</c:formatCode>
                <c:ptCount val="5"/>
                <c:pt idx="0">
                  <c:v>46796657.3816156</c:v>
                </c:pt>
                <c:pt idx="1">
                  <c:v>0</c:v>
                </c:pt>
                <c:pt idx="2">
                  <c:v>7500000</c:v>
                </c:pt>
                <c:pt idx="3">
                  <c:v>5703342.6183844</c:v>
                </c:pt>
                <c:pt idx="4">
                  <c:v>15000000</c:v>
                </c:pt>
              </c:numCache>
            </c:numRef>
          </c:val>
        </c:ser>
        <c:gapWidth val="150"/>
        <c:overlap val="0"/>
        <c:axId val="24262150"/>
        <c:axId val="49078007"/>
      </c:barChart>
      <c:catAx>
        <c:axId val="2426215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Holder class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078007"/>
        <c:crosses val="autoZero"/>
        <c:auto val="1"/>
        <c:lblAlgn val="ctr"/>
        <c:lblOffset val="100"/>
        <c:noMultiLvlLbl val="0"/>
      </c:catAx>
      <c:valAx>
        <c:axId val="4907800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Payout ($)</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26215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49</xdr:row>
      <xdr:rowOff>0</xdr:rowOff>
    </xdr:from>
    <xdr:to>
      <xdr:col>5</xdr:col>
      <xdr:colOff>135360</xdr:colOff>
      <xdr:row>67</xdr:row>
      <xdr:rowOff>169920</xdr:rowOff>
    </xdr:to>
    <xdr:graphicFrame>
      <xdr:nvGraphicFramePr>
        <xdr:cNvPr id="1" name="Chart 1"/>
        <xdr:cNvGraphicFramePr/>
      </xdr:nvGraphicFramePr>
      <xdr:xfrm>
        <a:off x="281880" y="10248840"/>
        <a:ext cx="647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56</xdr:row>
      <xdr:rowOff>0</xdr:rowOff>
    </xdr:from>
    <xdr:to>
      <xdr:col>5</xdr:col>
      <xdr:colOff>432360</xdr:colOff>
      <xdr:row>76</xdr:row>
      <xdr:rowOff>149040</xdr:rowOff>
    </xdr:to>
    <xdr:graphicFrame>
      <xdr:nvGraphicFramePr>
        <xdr:cNvPr id="2" name="Chart 1"/>
        <xdr:cNvGraphicFramePr/>
      </xdr:nvGraphicFramePr>
      <xdr:xfrm>
        <a:off x="281880" y="11649240"/>
        <a:ext cx="7198920" cy="39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78"/>
  </cols>
  <sheetData>
    <row r="1" customFormat="false" ht="21.75" hidden="false" customHeight="true" outlineLevel="0" collapsed="false">
      <c r="A1" s="2" t="s">
        <v>0</v>
      </c>
      <c r="B1" s="2"/>
      <c r="C1" s="2"/>
    </row>
    <row r="2" customFormat="false" ht="15" hidden="false" customHeight="true" outlineLevel="0" collapsed="false">
      <c r="A2" s="3" t="s">
        <v>1</v>
      </c>
      <c r="B2" s="3"/>
      <c r="C2" s="3"/>
    </row>
    <row r="4" customFormat="false" ht="18" hidden="false" customHeight="true" outlineLevel="0" collapsed="false">
      <c r="A4" s="4" t="s">
        <v>2</v>
      </c>
      <c r="B4" s="4"/>
      <c r="C4" s="4"/>
    </row>
    <row r="5" customFormat="false" ht="57.75" hidden="false" customHeight="true" outlineLevel="0" collapsed="false">
      <c r="A5" s="5" t="s">
        <v>3</v>
      </c>
      <c r="B5" s="5"/>
      <c r="C5" s="5"/>
    </row>
    <row r="7" customFormat="false" ht="18" hidden="false" customHeight="true" outlineLevel="0" collapsed="false">
      <c r="A7" s="4" t="s">
        <v>4</v>
      </c>
      <c r="B7" s="4"/>
      <c r="C7" s="4"/>
    </row>
    <row r="8" customFormat="false" ht="25.5" hidden="false" customHeight="true" outlineLevel="0" collapsed="false">
      <c r="B8" s="6" t="s">
        <v>5</v>
      </c>
      <c r="C8" s="6"/>
    </row>
    <row r="9" customFormat="false" ht="25.5" hidden="false" customHeight="true" outlineLevel="0" collapsed="false">
      <c r="B9" s="6" t="s">
        <v>6</v>
      </c>
      <c r="C9" s="6"/>
    </row>
    <row r="10" customFormat="false" ht="25.5" hidden="false" customHeight="true" outlineLevel="0" collapsed="false">
      <c r="B10" s="6" t="s">
        <v>7</v>
      </c>
      <c r="C10" s="6"/>
    </row>
    <row r="11" customFormat="false" ht="25.5" hidden="false" customHeight="true" outlineLevel="0" collapsed="false">
      <c r="B11" s="6" t="s">
        <v>8</v>
      </c>
      <c r="C11" s="6"/>
    </row>
    <row r="12" customFormat="false" ht="25.5" hidden="false" customHeight="true" outlineLevel="0" collapsed="false">
      <c r="B12" s="6" t="s">
        <v>9</v>
      </c>
      <c r="C12" s="6"/>
    </row>
    <row r="13" customFormat="false" ht="25.5" hidden="false" customHeight="true" outlineLevel="0" collapsed="false">
      <c r="B13" s="6" t="s">
        <v>10</v>
      </c>
      <c r="C13" s="6"/>
    </row>
    <row r="15" customFormat="false" ht="18" hidden="false" customHeight="true" outlineLevel="0" collapsed="false">
      <c r="A15" s="4" t="s">
        <v>11</v>
      </c>
      <c r="B15" s="4"/>
      <c r="C15" s="4"/>
    </row>
    <row r="16" customFormat="false" ht="18" hidden="false" customHeight="true" outlineLevel="0" collapsed="false">
      <c r="B16" s="7" t="s">
        <v>12</v>
      </c>
      <c r="C16" s="8" t="s">
        <v>13</v>
      </c>
    </row>
    <row r="17" customFormat="false" ht="18" hidden="false" customHeight="true" outlineLevel="0" collapsed="false">
      <c r="B17" s="9" t="s">
        <v>14</v>
      </c>
      <c r="C17" s="8" t="s">
        <v>15</v>
      </c>
    </row>
    <row r="18" customFormat="false" ht="18" hidden="false" customHeight="true" outlineLevel="0" collapsed="false">
      <c r="B18" s="10" t="s">
        <v>16</v>
      </c>
      <c r="C18" s="8" t="s">
        <v>17</v>
      </c>
    </row>
    <row r="20" customFormat="false" ht="18" hidden="false" customHeight="true" outlineLevel="0" collapsed="false">
      <c r="A20" s="4" t="s">
        <v>18</v>
      </c>
      <c r="B20" s="4"/>
      <c r="C20" s="4"/>
    </row>
    <row r="21" customFormat="false" ht="43.5" hidden="false" customHeight="true" outlineLevel="0" collapsed="false">
      <c r="B21" s="11" t="s">
        <v>19</v>
      </c>
      <c r="C21" s="12" t="s">
        <v>20</v>
      </c>
    </row>
    <row r="22" customFormat="false" ht="43.5" hidden="false" customHeight="true" outlineLevel="0" collapsed="false">
      <c r="B22" s="11" t="s">
        <v>21</v>
      </c>
      <c r="C22" s="12" t="s">
        <v>22</v>
      </c>
    </row>
    <row r="23" customFormat="false" ht="43.5" hidden="false" customHeight="true" outlineLevel="0" collapsed="false">
      <c r="B23" s="11" t="s">
        <v>23</v>
      </c>
      <c r="C23" s="12" t="s">
        <v>24</v>
      </c>
    </row>
    <row r="24" customFormat="false" ht="43.5" hidden="false" customHeight="true" outlineLevel="0" collapsed="false">
      <c r="B24" s="11" t="s">
        <v>25</v>
      </c>
      <c r="C24" s="12" t="s">
        <v>26</v>
      </c>
    </row>
    <row r="25" customFormat="false" ht="43.5" hidden="false" customHeight="true" outlineLevel="0" collapsed="false">
      <c r="B25" s="11" t="s">
        <v>27</v>
      </c>
      <c r="C25" s="12" t="s">
        <v>28</v>
      </c>
    </row>
    <row r="26" customFormat="false" ht="43.5" hidden="false" customHeight="true" outlineLevel="0" collapsed="false">
      <c r="B26" s="11" t="s">
        <v>29</v>
      </c>
      <c r="C26" s="12" t="s">
        <v>30</v>
      </c>
    </row>
    <row r="27" customFormat="false" ht="43.5" hidden="false" customHeight="true" outlineLevel="0" collapsed="false">
      <c r="B27" s="11" t="s">
        <v>31</v>
      </c>
      <c r="C27" s="12" t="s">
        <v>32</v>
      </c>
    </row>
    <row r="28" customFormat="false" ht="43.5" hidden="false" customHeight="true" outlineLevel="0" collapsed="false">
      <c r="B28" s="11" t="s">
        <v>33</v>
      </c>
      <c r="C28" s="12" t="s">
        <v>34</v>
      </c>
    </row>
    <row r="29" customFormat="false" ht="43.5" hidden="false" customHeight="true" outlineLevel="0" collapsed="false">
      <c r="B29" s="11" t="s">
        <v>35</v>
      </c>
      <c r="C29" s="12" t="s">
        <v>36</v>
      </c>
    </row>
    <row r="30" customFormat="false" ht="43.5" hidden="false" customHeight="true" outlineLevel="0" collapsed="false">
      <c r="B30" s="11" t="s">
        <v>37</v>
      </c>
      <c r="C30" s="12" t="s">
        <v>38</v>
      </c>
    </row>
    <row r="32" customFormat="false" ht="18" hidden="false" customHeight="true" outlineLevel="0" collapsed="false">
      <c r="A32" s="4" t="s">
        <v>39</v>
      </c>
      <c r="B32" s="4"/>
      <c r="C32" s="4"/>
    </row>
    <row r="33" customFormat="false" ht="30" hidden="false" customHeight="true" outlineLevel="0" collapsed="false">
      <c r="B33" s="13" t="s">
        <v>40</v>
      </c>
      <c r="C33" s="8" t="s">
        <v>41</v>
      </c>
    </row>
    <row r="34" customFormat="false" ht="30" hidden="false" customHeight="true" outlineLevel="0" collapsed="false">
      <c r="B34" s="13" t="s">
        <v>42</v>
      </c>
      <c r="C34" s="8" t="s">
        <v>43</v>
      </c>
    </row>
    <row r="35" customFormat="false" ht="30" hidden="false" customHeight="true" outlineLevel="0" collapsed="false">
      <c r="B35" s="13" t="s">
        <v>44</v>
      </c>
      <c r="C35" s="8" t="s">
        <v>45</v>
      </c>
    </row>
    <row r="36" customFormat="false" ht="30" hidden="false" customHeight="true" outlineLevel="0" collapsed="false">
      <c r="B36" s="13" t="s">
        <v>46</v>
      </c>
      <c r="C36" s="8" t="s">
        <v>47</v>
      </c>
    </row>
    <row r="37" customFormat="false" ht="30" hidden="false" customHeight="true" outlineLevel="0" collapsed="false">
      <c r="B37" s="13" t="s">
        <v>48</v>
      </c>
      <c r="C37" s="8" t="s">
        <v>49</v>
      </c>
    </row>
    <row r="40" customFormat="false" ht="39.75" hidden="false" customHeight="true" outlineLevel="0" collapsed="false">
      <c r="A40" s="5" t="s">
        <v>50</v>
      </c>
      <c r="B40" s="5"/>
      <c r="C40" s="5"/>
    </row>
    <row r="43" customFormat="false" ht="15" hidden="false" customHeight="true" outlineLevel="0" collapsed="false">
      <c r="B43" s="14" t="s">
        <v>51</v>
      </c>
      <c r="C43" s="14"/>
    </row>
    <row r="45" customFormat="false" ht="15" hidden="false" customHeight="true" outlineLevel="0" collapsed="false">
      <c r="B45" s="14" t="s">
        <v>52</v>
      </c>
      <c r="C45" s="14"/>
    </row>
  </sheetData>
  <mergeCells count="17">
    <mergeCell ref="A1:C1"/>
    <mergeCell ref="A2:C2"/>
    <mergeCell ref="A4:C4"/>
    <mergeCell ref="A5:C5"/>
    <mergeCell ref="A7:C7"/>
    <mergeCell ref="B8:C8"/>
    <mergeCell ref="B9:C9"/>
    <mergeCell ref="B10:C10"/>
    <mergeCell ref="B11:C11"/>
    <mergeCell ref="B12:C12"/>
    <mergeCell ref="B13:C13"/>
    <mergeCell ref="A15:C15"/>
    <mergeCell ref="A20:C20"/>
    <mergeCell ref="A32:C32"/>
    <mergeCell ref="A40:C40"/>
    <mergeCell ref="B43:C43"/>
    <mergeCell ref="B45:C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4" min="3" style="1" width="14"/>
    <col collapsed="false" customWidth="true" hidden="false" outlineLevel="0" max="5" min="5" style="1" width="34"/>
    <col collapsed="false" customWidth="true" hidden="false" outlineLevel="0" max="6" min="6" style="1" width="16"/>
  </cols>
  <sheetData>
    <row r="1" customFormat="false" ht="21.75" hidden="false" customHeight="true" outlineLevel="0" collapsed="false">
      <c r="A1" s="2" t="s">
        <v>40</v>
      </c>
      <c r="B1" s="2"/>
      <c r="C1" s="2"/>
      <c r="D1" s="2"/>
      <c r="E1" s="2"/>
      <c r="F1" s="2"/>
    </row>
    <row r="2" customFormat="false" ht="15" hidden="false" customHeight="true" outlineLevel="0" collapsed="false">
      <c r="A2" s="3" t="s">
        <v>53</v>
      </c>
      <c r="B2" s="3"/>
      <c r="C2" s="3"/>
      <c r="D2" s="3"/>
      <c r="E2" s="3"/>
      <c r="F2" s="3"/>
    </row>
    <row r="4" customFormat="false" ht="27.75" hidden="false" customHeight="true" outlineLevel="0" collapsed="false">
      <c r="A4" s="15" t="s">
        <v>54</v>
      </c>
      <c r="B4" s="15" t="s">
        <v>55</v>
      </c>
      <c r="C4" s="15" t="s">
        <v>56</v>
      </c>
      <c r="D4" s="15" t="s">
        <v>57</v>
      </c>
      <c r="E4" s="15" t="s">
        <v>58</v>
      </c>
      <c r="F4" s="15" t="s">
        <v>59</v>
      </c>
    </row>
    <row r="5" customFormat="false" ht="15" hidden="false" customHeight="true" outlineLevel="0" collapsed="false">
      <c r="A5" s="16" t="n">
        <v>1</v>
      </c>
      <c r="B5" s="7" t="s">
        <v>60</v>
      </c>
      <c r="C5" s="7" t="s">
        <v>61</v>
      </c>
      <c r="D5" s="17" t="n">
        <v>4500000</v>
      </c>
      <c r="E5" s="7" t="s">
        <v>62</v>
      </c>
      <c r="F5" s="18" t="n">
        <f aca="false">IF($D$18=0,0,D5/$D$18)</f>
        <v>0.5</v>
      </c>
    </row>
    <row r="6" customFormat="false" ht="15" hidden="false" customHeight="true" outlineLevel="0" collapsed="false">
      <c r="A6" s="16" t="n">
        <v>2</v>
      </c>
      <c r="B6" s="7" t="s">
        <v>63</v>
      </c>
      <c r="C6" s="7" t="s">
        <v>61</v>
      </c>
      <c r="D6" s="17" t="n">
        <v>3500000</v>
      </c>
      <c r="E6" s="7" t="s">
        <v>62</v>
      </c>
      <c r="F6" s="18" t="n">
        <f aca="false">IF($D$18=0,0,D6/$D$18)</f>
        <v>0.388888888888889</v>
      </c>
    </row>
    <row r="7" customFormat="false" ht="15" hidden="false" customHeight="true" outlineLevel="0" collapsed="false">
      <c r="A7" s="16" t="n">
        <v>3</v>
      </c>
      <c r="B7" s="7" t="s">
        <v>64</v>
      </c>
      <c r="C7" s="7" t="s">
        <v>65</v>
      </c>
      <c r="D7" s="17" t="n">
        <v>1000000</v>
      </c>
      <c r="E7" s="7" t="s">
        <v>66</v>
      </c>
      <c r="F7" s="18" t="n">
        <f aca="false">IF($D$18=0,0,D7/$D$18)</f>
        <v>0.111111111111111</v>
      </c>
    </row>
    <row r="8" customFormat="false" ht="15" hidden="false" customHeight="true" outlineLevel="0" collapsed="false">
      <c r="A8" s="16" t="n">
        <v>4</v>
      </c>
      <c r="B8" s="7"/>
      <c r="C8" s="7"/>
      <c r="D8" s="17"/>
      <c r="E8" s="7"/>
      <c r="F8" s="18" t="n">
        <f aca="false">IF($D$18=0,0,D8/$D$18)</f>
        <v>0</v>
      </c>
    </row>
    <row r="9" customFormat="false" ht="15" hidden="false" customHeight="true" outlineLevel="0" collapsed="false">
      <c r="A9" s="16" t="n">
        <v>5</v>
      </c>
      <c r="B9" s="7"/>
      <c r="C9" s="7"/>
      <c r="D9" s="17"/>
      <c r="E9" s="7"/>
      <c r="F9" s="18" t="n">
        <f aca="false">IF($D$18=0,0,D9/$D$18)</f>
        <v>0</v>
      </c>
    </row>
    <row r="10" customFormat="false" ht="15" hidden="false" customHeight="true" outlineLevel="0" collapsed="false">
      <c r="A10" s="16" t="n">
        <v>6</v>
      </c>
      <c r="B10" s="7"/>
      <c r="C10" s="7"/>
      <c r="D10" s="17"/>
      <c r="E10" s="7"/>
      <c r="F10" s="18" t="n">
        <f aca="false">IF($D$18=0,0,D10/$D$18)</f>
        <v>0</v>
      </c>
    </row>
    <row r="11" customFormat="false" ht="15" hidden="false" customHeight="true" outlineLevel="0" collapsed="false">
      <c r="A11" s="16" t="n">
        <v>7</v>
      </c>
      <c r="B11" s="7"/>
      <c r="C11" s="7"/>
      <c r="D11" s="17"/>
      <c r="E11" s="7"/>
      <c r="F11" s="18" t="n">
        <f aca="false">IF($D$18=0,0,D11/$D$18)</f>
        <v>0</v>
      </c>
    </row>
    <row r="12" customFormat="false" ht="15" hidden="false" customHeight="true" outlineLevel="0" collapsed="false">
      <c r="A12" s="16" t="n">
        <v>8</v>
      </c>
      <c r="B12" s="7"/>
      <c r="C12" s="7"/>
      <c r="D12" s="17"/>
      <c r="E12" s="7"/>
      <c r="F12" s="18" t="n">
        <f aca="false">IF($D$18=0,0,D12/$D$18)</f>
        <v>0</v>
      </c>
    </row>
    <row r="13" customFormat="false" ht="15" hidden="false" customHeight="true" outlineLevel="0" collapsed="false">
      <c r="A13" s="16" t="n">
        <v>9</v>
      </c>
      <c r="B13" s="7"/>
      <c r="C13" s="7"/>
      <c r="D13" s="17"/>
      <c r="E13" s="7"/>
      <c r="F13" s="18" t="n">
        <f aca="false">IF($D$18=0,0,D13/$D$18)</f>
        <v>0</v>
      </c>
    </row>
    <row r="14" customFormat="false" ht="15" hidden="false" customHeight="true" outlineLevel="0" collapsed="false">
      <c r="A14" s="16" t="n">
        <v>10</v>
      </c>
      <c r="B14" s="7"/>
      <c r="C14" s="7"/>
      <c r="D14" s="17"/>
      <c r="E14" s="7"/>
      <c r="F14" s="18" t="n">
        <f aca="false">IF($D$18=0,0,D14/$D$18)</f>
        <v>0</v>
      </c>
    </row>
    <row r="15" customFormat="false" ht="15" hidden="false" customHeight="true" outlineLevel="0" collapsed="false">
      <c r="A15" s="16" t="n">
        <v>11</v>
      </c>
      <c r="B15" s="7"/>
      <c r="C15" s="7"/>
      <c r="D15" s="17"/>
      <c r="E15" s="7"/>
      <c r="F15" s="18" t="n">
        <f aca="false">IF($D$18=0,0,D15/$D$18)</f>
        <v>0</v>
      </c>
    </row>
    <row r="16" customFormat="false" ht="15" hidden="false" customHeight="true" outlineLevel="0" collapsed="false">
      <c r="A16" s="16" t="n">
        <v>12</v>
      </c>
      <c r="B16" s="7"/>
      <c r="C16" s="7"/>
      <c r="D16" s="17"/>
      <c r="E16" s="7"/>
      <c r="F16" s="18" t="n">
        <f aca="false">IF($D$18=0,0,D16/$D$18)</f>
        <v>0</v>
      </c>
    </row>
    <row r="18" customFormat="false" ht="15" hidden="false" customHeight="true" outlineLevel="0" collapsed="false">
      <c r="A18" s="19"/>
      <c r="B18" s="20" t="s">
        <v>67</v>
      </c>
      <c r="C18" s="19"/>
      <c r="D18" s="21" t="n">
        <f aca="false">SUM(D5:D16)</f>
        <v>9000000</v>
      </c>
      <c r="E18" s="19"/>
      <c r="F18" s="22" t="n">
        <f aca="false">SUM(F5:F16)</f>
        <v>1</v>
      </c>
    </row>
    <row r="20" customFormat="false" ht="15" hidden="false" customHeight="true" outlineLevel="0" collapsed="false">
      <c r="B20" s="23" t="s">
        <v>68</v>
      </c>
      <c r="D20" s="24" t="n">
        <f aca="false">SUMIF(C5:C16,"Option Pool",D5:D16)</f>
        <v>1000000</v>
      </c>
    </row>
    <row r="21" customFormat="false" ht="15" hidden="false" customHeight="true" outlineLevel="0" collapsed="false">
      <c r="B21" s="23" t="s">
        <v>69</v>
      </c>
      <c r="D21" s="24" t="n">
        <f aca="false">D18-D20</f>
        <v>8000000</v>
      </c>
    </row>
    <row r="22" customFormat="false" ht="15" hidden="false" customHeight="true" outlineLevel="0" collapsed="false">
      <c r="B22" s="23" t="s">
        <v>70</v>
      </c>
      <c r="D22" s="24" t="n">
        <f aca="false">SUMIF(C5:C16,"Founder",D5:D16)</f>
        <v>8000000</v>
      </c>
    </row>
    <row r="24" customFormat="false" ht="25.5" hidden="false" customHeight="true" outlineLevel="0" collapsed="false">
      <c r="A24" s="5" t="s">
        <v>71</v>
      </c>
      <c r="B24" s="5"/>
      <c r="C24" s="5"/>
      <c r="D24" s="5"/>
      <c r="E24" s="5"/>
      <c r="F24" s="5"/>
    </row>
  </sheetData>
  <mergeCells count="3">
    <mergeCell ref="A1:F1"/>
    <mergeCell ref="A2:F2"/>
    <mergeCell ref="A24:F24"/>
  </mergeCells>
  <dataValidations count="1">
    <dataValidation allowBlank="true" errorStyle="stop" operator="between" showDropDown="false" showErrorMessage="false" showInputMessage="false" sqref="C5:C16" type="list">
      <formula1>"Founder,Employee,Advisor,Option Pool"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16"/>
    <col collapsed="false" customWidth="true" hidden="false" outlineLevel="0" max="5" min="4" style="1" width="15"/>
    <col collapsed="false" customWidth="true" hidden="false" outlineLevel="0" max="6" min="6" style="1" width="11"/>
    <col collapsed="false" customWidth="true" hidden="false" outlineLevel="0" max="7" min="7" style="1" width="13"/>
    <col collapsed="false" customWidth="true" hidden="false" outlineLevel="0" max="8" min="8" style="1" width="11"/>
    <col collapsed="false" customWidth="true" hidden="false" outlineLevel="0" max="9" min="9" style="1" width="17"/>
  </cols>
  <sheetData>
    <row r="1" customFormat="false" ht="21.75" hidden="false" customHeight="true" outlineLevel="0" collapsed="false">
      <c r="A1" s="2" t="s">
        <v>42</v>
      </c>
      <c r="B1" s="2"/>
      <c r="C1" s="2"/>
      <c r="D1" s="2"/>
      <c r="E1" s="2"/>
      <c r="F1" s="2"/>
      <c r="G1" s="2"/>
      <c r="H1" s="2"/>
      <c r="I1" s="2"/>
    </row>
    <row r="2" customFormat="false" ht="15" hidden="false" customHeight="true" outlineLevel="0" collapsed="false">
      <c r="A2" s="3" t="s">
        <v>72</v>
      </c>
      <c r="B2" s="3"/>
      <c r="C2" s="3"/>
      <c r="D2" s="3"/>
      <c r="E2" s="3"/>
      <c r="F2" s="3"/>
      <c r="G2" s="3"/>
      <c r="H2" s="3"/>
      <c r="I2" s="3"/>
    </row>
    <row r="4" customFormat="false" ht="27.75" hidden="false" customHeight="true" outlineLevel="0" collapsed="false">
      <c r="A4" s="15" t="s">
        <v>54</v>
      </c>
      <c r="B4" s="15" t="s">
        <v>73</v>
      </c>
      <c r="C4" s="15" t="s">
        <v>74</v>
      </c>
      <c r="D4" s="15" t="s">
        <v>75</v>
      </c>
      <c r="E4" s="15" t="s">
        <v>76</v>
      </c>
      <c r="F4" s="15" t="s">
        <v>77</v>
      </c>
      <c r="G4" s="15" t="s">
        <v>78</v>
      </c>
      <c r="H4" s="15" t="s">
        <v>79</v>
      </c>
      <c r="I4" s="15" t="s">
        <v>80</v>
      </c>
    </row>
    <row r="5" customFormat="false" ht="15" hidden="false" customHeight="true" outlineLevel="0" collapsed="false">
      <c r="A5" s="16" t="n">
        <v>1</v>
      </c>
      <c r="B5" s="7" t="s">
        <v>81</v>
      </c>
      <c r="C5" s="7" t="s">
        <v>82</v>
      </c>
      <c r="D5" s="25" t="n">
        <v>500000</v>
      </c>
      <c r="E5" s="25" t="n">
        <v>8000000</v>
      </c>
      <c r="F5" s="26" t="n">
        <v>0</v>
      </c>
      <c r="G5" s="26" t="n">
        <v>0</v>
      </c>
      <c r="H5" s="27" t="n">
        <v>0</v>
      </c>
      <c r="I5" s="28" t="n">
        <f aca="false">IF(D5=0,0,IF(C5="Convertible Note",D5*(1+G5*H5/12),D5))</f>
        <v>500000</v>
      </c>
    </row>
    <row r="6" customFormat="false" ht="15" hidden="false" customHeight="true" outlineLevel="0" collapsed="false">
      <c r="A6" s="16" t="n">
        <v>2</v>
      </c>
      <c r="B6" s="7" t="s">
        <v>83</v>
      </c>
      <c r="C6" s="7" t="s">
        <v>84</v>
      </c>
      <c r="D6" s="25" t="n">
        <v>250000</v>
      </c>
      <c r="E6" s="25" t="n">
        <v>6000000</v>
      </c>
      <c r="F6" s="26" t="n">
        <v>0.2</v>
      </c>
      <c r="G6" s="26" t="n">
        <v>0</v>
      </c>
      <c r="H6" s="27" t="n">
        <v>0</v>
      </c>
      <c r="I6" s="28" t="n">
        <f aca="false">IF(D6=0,0,IF(C6="Convertible Note",D6*(1+G6*H6/12),D6))</f>
        <v>250000</v>
      </c>
    </row>
    <row r="7" customFormat="false" ht="15" hidden="false" customHeight="true" outlineLevel="0" collapsed="false">
      <c r="A7" s="16" t="n">
        <v>3</v>
      </c>
      <c r="B7" s="7"/>
      <c r="C7" s="7"/>
      <c r="D7" s="25"/>
      <c r="E7" s="25"/>
      <c r="F7" s="26"/>
      <c r="G7" s="26"/>
      <c r="H7" s="27"/>
      <c r="I7" s="28" t="n">
        <f aca="false">IF(D7=0,0,IF(C7="Convertible Note",D7*(1+G7*H7/12),D7))</f>
        <v>0</v>
      </c>
    </row>
    <row r="8" customFormat="false" ht="15" hidden="false" customHeight="true" outlineLevel="0" collapsed="false">
      <c r="A8" s="16" t="n">
        <v>4</v>
      </c>
      <c r="B8" s="7"/>
      <c r="C8" s="7"/>
      <c r="D8" s="25"/>
      <c r="E8" s="25"/>
      <c r="F8" s="26"/>
      <c r="G8" s="26"/>
      <c r="H8" s="27"/>
      <c r="I8" s="28" t="n">
        <f aca="false">IF(D8=0,0,IF(C8="Convertible Note",D8*(1+G8*H8/12),D8))</f>
        <v>0</v>
      </c>
    </row>
    <row r="9" customFormat="false" ht="15" hidden="false" customHeight="true" outlineLevel="0" collapsed="false">
      <c r="A9" s="16" t="n">
        <v>5</v>
      </c>
      <c r="B9" s="7"/>
      <c r="C9" s="7"/>
      <c r="D9" s="25"/>
      <c r="E9" s="25"/>
      <c r="F9" s="26"/>
      <c r="G9" s="26"/>
      <c r="H9" s="27"/>
      <c r="I9" s="28" t="n">
        <f aca="false">IF(D9=0,0,IF(C9="Convertible Note",D9*(1+G9*H9/12),D9))</f>
        <v>0</v>
      </c>
    </row>
    <row r="10" customFormat="false" ht="15" hidden="false" customHeight="true" outlineLevel="0" collapsed="false">
      <c r="A10" s="16" t="n">
        <v>6</v>
      </c>
      <c r="B10" s="7"/>
      <c r="C10" s="7"/>
      <c r="D10" s="25"/>
      <c r="E10" s="25"/>
      <c r="F10" s="26"/>
      <c r="G10" s="26"/>
      <c r="H10" s="27"/>
      <c r="I10" s="28" t="n">
        <f aca="false">IF(D10=0,0,IF(C10="Convertible Note",D10*(1+G10*H10/12),D10))</f>
        <v>0</v>
      </c>
    </row>
    <row r="12" customFormat="false" ht="15" hidden="false" customHeight="true" outlineLevel="0" collapsed="false">
      <c r="A12" s="19"/>
      <c r="B12" s="20" t="s">
        <v>67</v>
      </c>
      <c r="C12" s="19"/>
      <c r="D12" s="29" t="n">
        <f aca="false">SUM(D5:D10)</f>
        <v>750000</v>
      </c>
      <c r="E12" s="19"/>
      <c r="F12" s="19"/>
      <c r="G12" s="19"/>
      <c r="H12" s="19"/>
      <c r="I12" s="29" t="n">
        <f aca="false">SUM(I5:I10)</f>
        <v>750000</v>
      </c>
    </row>
    <row r="14" customFormat="false" ht="39.75" hidden="false" customHeight="true" outlineLevel="0" collapsed="false">
      <c r="A14" s="5" t="s">
        <v>85</v>
      </c>
      <c r="B14" s="5"/>
      <c r="C14" s="5"/>
      <c r="D14" s="5"/>
      <c r="E14" s="5"/>
      <c r="F14" s="5"/>
      <c r="G14" s="5"/>
      <c r="H14" s="5"/>
      <c r="I14" s="5"/>
    </row>
  </sheetData>
  <mergeCells count="3">
    <mergeCell ref="A1:I1"/>
    <mergeCell ref="A2:I2"/>
    <mergeCell ref="A14:I14"/>
  </mergeCells>
  <dataValidations count="1">
    <dataValidation allowBlank="true" errorStyle="stop" operator="between" showDropDown="false" showErrorMessage="false" showInputMessage="false" sqref="C5:C10" type="list">
      <formula1>"Post-money SAFE,Pre-money SAFE,Convertible Note"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4" min="3" style="1" width="18"/>
    <col collapsed="false" customWidth="true" hidden="false" outlineLevel="0" max="5" min="5" style="1" width="16"/>
    <col collapsed="false" customWidth="true" hidden="false" outlineLevel="0" max="7" min="6" style="1" width="13"/>
    <col collapsed="false" customWidth="true" hidden="false" outlineLevel="0" max="9" min="8" style="1" width="15"/>
    <col collapsed="false" customWidth="true" hidden="false" outlineLevel="0" max="10" min="10" style="1" width="17"/>
  </cols>
  <sheetData>
    <row r="1" customFormat="false" ht="21.75" hidden="false" customHeight="true" outlineLevel="0" collapsed="false">
      <c r="A1" s="2" t="s">
        <v>44</v>
      </c>
      <c r="B1" s="2"/>
      <c r="C1" s="2"/>
      <c r="D1" s="2"/>
      <c r="E1" s="2"/>
      <c r="F1" s="2"/>
      <c r="G1" s="2"/>
      <c r="H1" s="2"/>
      <c r="I1" s="2"/>
      <c r="J1" s="2"/>
    </row>
    <row r="2" customFormat="false" ht="15" hidden="false" customHeight="true" outlineLevel="0" collapsed="false">
      <c r="A2" s="3" t="s">
        <v>86</v>
      </c>
      <c r="B2" s="3"/>
      <c r="C2" s="3"/>
      <c r="D2" s="3"/>
      <c r="E2" s="3"/>
      <c r="F2" s="3"/>
      <c r="G2" s="3"/>
      <c r="H2" s="3"/>
      <c r="I2" s="3"/>
      <c r="J2" s="3"/>
    </row>
    <row r="4" customFormat="false" ht="18" hidden="false" customHeight="true" outlineLevel="0" collapsed="false">
      <c r="A4" s="4" t="s">
        <v>87</v>
      </c>
      <c r="B4" s="4"/>
      <c r="C4" s="4"/>
      <c r="D4" s="4"/>
      <c r="E4" s="4"/>
      <c r="F4" s="4"/>
      <c r="G4" s="4"/>
      <c r="H4" s="4"/>
      <c r="I4" s="4"/>
      <c r="J4" s="4"/>
    </row>
    <row r="5" customFormat="false" ht="15" hidden="false" customHeight="true" outlineLevel="0" collapsed="false">
      <c r="B5" s="23" t="s">
        <v>88</v>
      </c>
      <c r="D5" s="25" t="n">
        <v>12000000</v>
      </c>
    </row>
    <row r="6" customFormat="false" ht="15" hidden="false" customHeight="true" outlineLevel="0" collapsed="false">
      <c r="B6" s="23" t="s">
        <v>89</v>
      </c>
      <c r="D6" s="26" t="n">
        <v>0.1</v>
      </c>
    </row>
    <row r="7" customFormat="false" ht="15" hidden="false" customHeight="true" outlineLevel="0" collapsed="false">
      <c r="B7" s="23" t="s">
        <v>90</v>
      </c>
      <c r="D7" s="7" t="s">
        <v>91</v>
      </c>
    </row>
    <row r="9" customFormat="false" ht="15" hidden="false" customHeight="true" outlineLevel="0" collapsed="false">
      <c r="B9" s="13" t="s">
        <v>92</v>
      </c>
      <c r="C9" s="13" t="s">
        <v>93</v>
      </c>
      <c r="D9" s="13" t="s">
        <v>75</v>
      </c>
    </row>
    <row r="10" customFormat="false" ht="15" hidden="false" customHeight="true" outlineLevel="0" collapsed="false">
      <c r="B10" s="23" t="s">
        <v>94</v>
      </c>
      <c r="C10" s="7" t="s">
        <v>95</v>
      </c>
      <c r="D10" s="25" t="n">
        <v>3000000</v>
      </c>
    </row>
    <row r="11" customFormat="false" ht="15" hidden="false" customHeight="true" outlineLevel="0" collapsed="false">
      <c r="B11" s="23" t="s">
        <v>96</v>
      </c>
      <c r="C11" s="7"/>
      <c r="D11" s="25" t="n">
        <v>0</v>
      </c>
    </row>
    <row r="12" customFormat="false" ht="15" hidden="false" customHeight="true" outlineLevel="0" collapsed="false">
      <c r="B12" s="23" t="s">
        <v>97</v>
      </c>
      <c r="C12" s="7"/>
      <c r="D12" s="25" t="n">
        <v>0</v>
      </c>
    </row>
    <row r="13" customFormat="false" ht="15" hidden="false" customHeight="true" outlineLevel="0" collapsed="false">
      <c r="B13" s="20" t="s">
        <v>98</v>
      </c>
      <c r="C13" s="19"/>
      <c r="D13" s="29" t="n">
        <f aca="false">SUM(D10:D12)</f>
        <v>3000000</v>
      </c>
    </row>
    <row r="15" customFormat="false" ht="18" hidden="false" customHeight="true" outlineLevel="0" collapsed="false">
      <c r="A15" s="4" t="s">
        <v>99</v>
      </c>
      <c r="B15" s="4"/>
      <c r="C15" s="4"/>
      <c r="D15" s="4"/>
      <c r="E15" s="4"/>
      <c r="F15" s="4"/>
      <c r="G15" s="4"/>
      <c r="H15" s="4"/>
      <c r="I15" s="4"/>
      <c r="J15" s="4"/>
    </row>
    <row r="16" customFormat="false" ht="15" hidden="false" customHeight="true" outlineLevel="0" collapsed="false">
      <c r="B16" s="23" t="s">
        <v>100</v>
      </c>
      <c r="D16" s="30" t="n">
        <f aca="false">'Current Cap Table'!$D$18</f>
        <v>9000000</v>
      </c>
    </row>
    <row r="17" customFormat="false" ht="15" hidden="false" customHeight="true" outlineLevel="0" collapsed="false">
      <c r="B17" s="23" t="s">
        <v>101</v>
      </c>
      <c r="D17" s="30" t="n">
        <f aca="false">'Current Cap Table'!$D$20</f>
        <v>1000000</v>
      </c>
    </row>
    <row r="18" customFormat="false" ht="15" hidden="false" customHeight="true" outlineLevel="0" collapsed="false">
      <c r="B18" s="23" t="s">
        <v>102</v>
      </c>
      <c r="D18" s="30" t="n">
        <f aca="false">'Current Cap Table'!$D$21</f>
        <v>8000000</v>
      </c>
    </row>
    <row r="20" customFormat="false" ht="18" hidden="false" customHeight="true" outlineLevel="0" collapsed="false">
      <c r="A20" s="4" t="s">
        <v>103</v>
      </c>
      <c r="B20" s="4"/>
      <c r="C20" s="4"/>
      <c r="D20" s="4"/>
      <c r="E20" s="4"/>
      <c r="F20" s="4"/>
      <c r="G20" s="4"/>
      <c r="H20" s="4"/>
      <c r="I20" s="4"/>
      <c r="J20" s="4"/>
    </row>
    <row r="21" customFormat="false" ht="33.75" hidden="false" customHeight="true" outlineLevel="0" collapsed="false">
      <c r="A21" s="5" t="s">
        <v>104</v>
      </c>
      <c r="B21" s="5"/>
      <c r="C21" s="5"/>
      <c r="D21" s="5"/>
      <c r="E21" s="5"/>
      <c r="F21" s="5"/>
      <c r="G21" s="5"/>
      <c r="H21" s="5"/>
      <c r="I21" s="5"/>
      <c r="J21" s="5"/>
    </row>
    <row r="22" customFormat="false" ht="27.75" hidden="false" customHeight="true" outlineLevel="0" collapsed="false">
      <c r="A22" s="15" t="s">
        <v>54</v>
      </c>
      <c r="B22" s="15" t="s">
        <v>55</v>
      </c>
      <c r="C22" s="15" t="s">
        <v>105</v>
      </c>
      <c r="D22" s="15" t="s">
        <v>106</v>
      </c>
      <c r="E22" s="15" t="s">
        <v>107</v>
      </c>
      <c r="F22" s="15" t="s">
        <v>77</v>
      </c>
      <c r="G22" s="15" t="s">
        <v>108</v>
      </c>
      <c r="H22" s="15" t="s">
        <v>109</v>
      </c>
      <c r="I22" s="15" t="s">
        <v>110</v>
      </c>
      <c r="J22" s="15" t="s">
        <v>111</v>
      </c>
    </row>
    <row r="23" customFormat="false" ht="15" hidden="false" customHeight="true" outlineLevel="0" collapsed="false">
      <c r="A23" s="16" t="n">
        <v>1</v>
      </c>
      <c r="B23" s="31" t="str">
        <f aca="false">IF('SAFEs and Notes'!B5="","",'SAFEs and Notes'!B5)</f>
        <v>SAFE Investor 1</v>
      </c>
      <c r="C23" s="31" t="str">
        <f aca="false">IF('SAFEs and Notes'!C5="","",'SAFEs and Notes'!C5)</f>
        <v>Post-money SAFE</v>
      </c>
      <c r="D23" s="32" t="n">
        <f aca="false">'SAFEs and Notes'!I5</f>
        <v>500000</v>
      </c>
      <c r="E23" s="32" t="n">
        <f aca="false">'SAFEs and Notes'!E5</f>
        <v>8000000</v>
      </c>
      <c r="F23" s="33" t="n">
        <f aca="false">'SAFEs and Notes'!F5</f>
        <v>0</v>
      </c>
      <c r="G23" s="34" t="str">
        <f aca="false">IF(AND(E23&gt;0,C23&lt;&gt;"Post-money SAFE"),E23/$D$16,"")</f>
        <v/>
      </c>
      <c r="H23" s="34" t="str">
        <f aca="false">IF(AND(F23&gt;0,C23&lt;&gt;"Post-money SAFE"),($D$5/$D$16)*(1-F23),"")</f>
        <v/>
      </c>
      <c r="I23" s="34" t="str">
        <f aca="false">IF(D23=0,"",IF(C23="Post-money SAFE","",IF(AND(G23&lt;&gt;"",H23&lt;&gt;""),MIN(G23,H23),IF(G23&lt;&gt;"",G23,IF(H23&lt;&gt;"",H23,"")))))</f>
        <v/>
      </c>
      <c r="J23" s="35" t="n">
        <f aca="false">IF(D23=0,0,IF(C23="Post-money SAFE",(D23/E23)*$D$16/(1-(D23/E23)),IF(I23="",0,D23/I23)))</f>
        <v>600000</v>
      </c>
    </row>
    <row r="24" customFormat="false" ht="15" hidden="false" customHeight="true" outlineLevel="0" collapsed="false">
      <c r="A24" s="16" t="n">
        <v>2</v>
      </c>
      <c r="B24" s="31" t="str">
        <f aca="false">IF('SAFEs and Notes'!B6="","",'SAFEs and Notes'!B6)</f>
        <v>SAFE Investor 2</v>
      </c>
      <c r="C24" s="31" t="str">
        <f aca="false">IF('SAFEs and Notes'!C6="","",'SAFEs and Notes'!C6)</f>
        <v>Pre-money SAFE</v>
      </c>
      <c r="D24" s="32" t="n">
        <f aca="false">'SAFEs and Notes'!I6</f>
        <v>250000</v>
      </c>
      <c r="E24" s="32" t="n">
        <f aca="false">'SAFEs and Notes'!E6</f>
        <v>6000000</v>
      </c>
      <c r="F24" s="33" t="n">
        <f aca="false">'SAFEs and Notes'!F6</f>
        <v>0.2</v>
      </c>
      <c r="G24" s="34" t="n">
        <f aca="false">IF(AND(E24&gt;0,C24&lt;&gt;"Post-money SAFE"),E24/$D$16,"")</f>
        <v>0.666666666666667</v>
      </c>
      <c r="H24" s="34" t="n">
        <f aca="false">IF(AND(F24&gt;0,C24&lt;&gt;"Post-money SAFE"),($D$5/$D$16)*(1-F24),"")</f>
        <v>1.06666666666667</v>
      </c>
      <c r="I24" s="34" t="n">
        <f aca="false">IF(D24=0,"",IF(C24="Post-money SAFE","",IF(AND(G24&lt;&gt;"",H24&lt;&gt;""),MIN(G24,H24),IF(G24&lt;&gt;"",G24,IF(H24&lt;&gt;"",H24,"")))))</f>
        <v>0.666666666666667</v>
      </c>
      <c r="J24" s="35" t="n">
        <f aca="false">IF(D24=0,0,IF(C24="Post-money SAFE",(D24/E24)*$D$16/(1-(D24/E24)),IF(I24="",0,D24/I24)))</f>
        <v>375000</v>
      </c>
    </row>
    <row r="25" customFormat="false" ht="15" hidden="false" customHeight="true" outlineLevel="0" collapsed="false">
      <c r="A25" s="16" t="n">
        <v>3</v>
      </c>
      <c r="B25" s="31" t="str">
        <f aca="false">IF('SAFEs and Notes'!B7="","",'SAFEs and Notes'!B7)</f>
        <v/>
      </c>
      <c r="C25" s="31" t="str">
        <f aca="false">IF('SAFEs and Notes'!C7="","",'SAFEs and Notes'!C7)</f>
        <v/>
      </c>
      <c r="D25" s="32" t="n">
        <f aca="false">'SAFEs and Notes'!I7</f>
        <v>0</v>
      </c>
      <c r="E25" s="32" t="n">
        <f aca="false">'SAFEs and Notes'!E7</f>
        <v>0</v>
      </c>
      <c r="F25" s="33" t="n">
        <f aca="false">'SAFEs and Notes'!F7</f>
        <v>0</v>
      </c>
      <c r="G25" s="34" t="str">
        <f aca="false">IF(AND(E25&gt;0,C25&lt;&gt;"Post-money SAFE"),E25/$D$16,"")</f>
        <v/>
      </c>
      <c r="H25" s="34" t="str">
        <f aca="false">IF(AND(F25&gt;0,C25&lt;&gt;"Post-money SAFE"),($D$5/$D$16)*(1-F25),"")</f>
        <v/>
      </c>
      <c r="I25" s="34" t="str">
        <f aca="false">IF(D25=0,"",IF(C25="Post-money SAFE","",IF(AND(G25&lt;&gt;"",H25&lt;&gt;""),MIN(G25,H25),IF(G25&lt;&gt;"",G25,IF(H25&lt;&gt;"",H25,"")))))</f>
        <v/>
      </c>
      <c r="J25" s="35" t="n">
        <f aca="false">IF(D25=0,0,IF(C25="Post-money SAFE",(D25/E25)*$D$16/(1-(D25/E25)),IF(I25="",0,D25/I25)))</f>
        <v>0</v>
      </c>
    </row>
    <row r="26" customFormat="false" ht="15" hidden="false" customHeight="true" outlineLevel="0" collapsed="false">
      <c r="A26" s="16" t="n">
        <v>4</v>
      </c>
      <c r="B26" s="31" t="str">
        <f aca="false">IF('SAFEs and Notes'!B8="","",'SAFEs and Notes'!B8)</f>
        <v/>
      </c>
      <c r="C26" s="31" t="str">
        <f aca="false">IF('SAFEs and Notes'!C8="","",'SAFEs and Notes'!C8)</f>
        <v/>
      </c>
      <c r="D26" s="32" t="n">
        <f aca="false">'SAFEs and Notes'!I8</f>
        <v>0</v>
      </c>
      <c r="E26" s="32" t="n">
        <f aca="false">'SAFEs and Notes'!E8</f>
        <v>0</v>
      </c>
      <c r="F26" s="33" t="n">
        <f aca="false">'SAFEs and Notes'!F8</f>
        <v>0</v>
      </c>
      <c r="G26" s="34" t="str">
        <f aca="false">IF(AND(E26&gt;0,C26&lt;&gt;"Post-money SAFE"),E26/$D$16,"")</f>
        <v/>
      </c>
      <c r="H26" s="34" t="str">
        <f aca="false">IF(AND(F26&gt;0,C26&lt;&gt;"Post-money SAFE"),($D$5/$D$16)*(1-F26),"")</f>
        <v/>
      </c>
      <c r="I26" s="34" t="str">
        <f aca="false">IF(D26=0,"",IF(C26="Post-money SAFE","",IF(AND(G26&lt;&gt;"",H26&lt;&gt;""),MIN(G26,H26),IF(G26&lt;&gt;"",G26,IF(H26&lt;&gt;"",H26,"")))))</f>
        <v/>
      </c>
      <c r="J26" s="35" t="n">
        <f aca="false">IF(D26=0,0,IF(C26="Post-money SAFE",(D26/E26)*$D$16/(1-(D26/E26)),IF(I26="",0,D26/I26)))</f>
        <v>0</v>
      </c>
    </row>
    <row r="27" customFormat="false" ht="15" hidden="false" customHeight="true" outlineLevel="0" collapsed="false">
      <c r="A27" s="16" t="n">
        <v>5</v>
      </c>
      <c r="B27" s="31" t="str">
        <f aca="false">IF('SAFEs and Notes'!B9="","",'SAFEs and Notes'!B9)</f>
        <v/>
      </c>
      <c r="C27" s="31" t="str">
        <f aca="false">IF('SAFEs and Notes'!C9="","",'SAFEs and Notes'!C9)</f>
        <v/>
      </c>
      <c r="D27" s="32" t="n">
        <f aca="false">'SAFEs and Notes'!I9</f>
        <v>0</v>
      </c>
      <c r="E27" s="32" t="n">
        <f aca="false">'SAFEs and Notes'!E9</f>
        <v>0</v>
      </c>
      <c r="F27" s="33" t="n">
        <f aca="false">'SAFEs and Notes'!F9</f>
        <v>0</v>
      </c>
      <c r="G27" s="34" t="str">
        <f aca="false">IF(AND(E27&gt;0,C27&lt;&gt;"Post-money SAFE"),E27/$D$16,"")</f>
        <v/>
      </c>
      <c r="H27" s="34" t="str">
        <f aca="false">IF(AND(F27&gt;0,C27&lt;&gt;"Post-money SAFE"),($D$5/$D$16)*(1-F27),"")</f>
        <v/>
      </c>
      <c r="I27" s="34" t="str">
        <f aca="false">IF(D27=0,"",IF(C27="Post-money SAFE","",IF(AND(G27&lt;&gt;"",H27&lt;&gt;""),MIN(G27,H27),IF(G27&lt;&gt;"",G27,IF(H27&lt;&gt;"",H27,"")))))</f>
        <v/>
      </c>
      <c r="J27" s="35" t="n">
        <f aca="false">IF(D27=0,0,IF(C27="Post-money SAFE",(D27/E27)*$D$16/(1-(D27/E27)),IF(I27="",0,D27/I27)))</f>
        <v>0</v>
      </c>
    </row>
    <row r="28" customFormat="false" ht="15" hidden="false" customHeight="true" outlineLevel="0" collapsed="false">
      <c r="A28" s="16" t="n">
        <v>6</v>
      </c>
      <c r="B28" s="31" t="str">
        <f aca="false">IF('SAFEs and Notes'!B10="","",'SAFEs and Notes'!B10)</f>
        <v/>
      </c>
      <c r="C28" s="31" t="str">
        <f aca="false">IF('SAFEs and Notes'!C10="","",'SAFEs and Notes'!C10)</f>
        <v/>
      </c>
      <c r="D28" s="32" t="n">
        <f aca="false">'SAFEs and Notes'!I10</f>
        <v>0</v>
      </c>
      <c r="E28" s="32" t="n">
        <f aca="false">'SAFEs and Notes'!E10</f>
        <v>0</v>
      </c>
      <c r="F28" s="33" t="n">
        <f aca="false">'SAFEs and Notes'!F10</f>
        <v>0</v>
      </c>
      <c r="G28" s="34" t="str">
        <f aca="false">IF(AND(E28&gt;0,C28&lt;&gt;"Post-money SAFE"),E28/$D$16,"")</f>
        <v/>
      </c>
      <c r="H28" s="34" t="str">
        <f aca="false">IF(AND(F28&gt;0,C28&lt;&gt;"Post-money SAFE"),($D$5/$D$16)*(1-F28),"")</f>
        <v/>
      </c>
      <c r="I28" s="34" t="str">
        <f aca="false">IF(D28=0,"",IF(C28="Post-money SAFE","",IF(AND(G28&lt;&gt;"",H28&lt;&gt;""),MIN(G28,H28),IF(G28&lt;&gt;"",G28,IF(H28&lt;&gt;"",H28,"")))))</f>
        <v/>
      </c>
      <c r="J28" s="35" t="n">
        <f aca="false">IF(D28=0,0,IF(C28="Post-money SAFE",(D28/E28)*$D$16/(1-(D28/E28)),IF(I28="",0,D28/I28)))</f>
        <v>0</v>
      </c>
    </row>
    <row r="29" customFormat="false" ht="15" hidden="false" customHeight="true" outlineLevel="0" collapsed="false">
      <c r="A29" s="19"/>
      <c r="B29" s="20" t="s">
        <v>112</v>
      </c>
      <c r="C29" s="19"/>
      <c r="D29" s="19"/>
      <c r="E29" s="19"/>
      <c r="F29" s="19"/>
      <c r="G29" s="19"/>
      <c r="H29" s="19"/>
      <c r="I29" s="19"/>
      <c r="J29" s="36" t="n">
        <f aca="false">SUM(J23:J28)</f>
        <v>975000</v>
      </c>
    </row>
    <row r="31" customFormat="false" ht="18" hidden="false" customHeight="true" outlineLevel="0" collapsed="false">
      <c r="A31" s="4" t="s">
        <v>113</v>
      </c>
      <c r="B31" s="4"/>
      <c r="C31" s="4"/>
      <c r="D31" s="4"/>
      <c r="E31" s="4"/>
      <c r="F31" s="4"/>
      <c r="G31" s="4"/>
      <c r="H31" s="4"/>
      <c r="I31" s="4"/>
      <c r="J31" s="4"/>
    </row>
    <row r="32" customFormat="false" ht="33.75" hidden="false" customHeight="true" outlineLevel="0" collapsed="false">
      <c r="A32" s="5" t="s">
        <v>114</v>
      </c>
      <c r="B32" s="5"/>
      <c r="C32" s="5"/>
      <c r="D32" s="5"/>
      <c r="E32" s="5"/>
      <c r="F32" s="5"/>
      <c r="G32" s="5"/>
      <c r="H32" s="5"/>
      <c r="I32" s="5"/>
      <c r="J32" s="5"/>
    </row>
    <row r="33" customFormat="false" ht="15" hidden="false" customHeight="true" outlineLevel="0" collapsed="false">
      <c r="B33" s="23" t="s">
        <v>115</v>
      </c>
      <c r="D33" s="28" t="n">
        <f aca="false">D5+D13</f>
        <v>15000000</v>
      </c>
    </row>
    <row r="34" customFormat="false" ht="15" hidden="false" customHeight="true" outlineLevel="0" collapsed="false">
      <c r="B34" s="23" t="s">
        <v>116</v>
      </c>
      <c r="D34" s="37" t="n">
        <f aca="false">D6*(D33/D5)</f>
        <v>0.125</v>
      </c>
    </row>
    <row r="35" customFormat="false" ht="15" hidden="false" customHeight="true" outlineLevel="0" collapsed="false">
      <c r="B35" s="23" t="s">
        <v>117</v>
      </c>
      <c r="D35" s="35" t="n">
        <f aca="false">D16+J29</f>
        <v>9975000</v>
      </c>
    </row>
    <row r="36" customFormat="false" ht="15" hidden="false" customHeight="true" outlineLevel="0" collapsed="false">
      <c r="B36" s="23" t="s">
        <v>118</v>
      </c>
      <c r="D36" s="35" t="n">
        <f aca="false">MAX((D34*D35-D17)/(1-IF(D7="Yes",D34,D6)),0)</f>
        <v>282142.857142857</v>
      </c>
    </row>
    <row r="37" customFormat="false" ht="15" hidden="false" customHeight="true" outlineLevel="0" collapsed="false">
      <c r="B37" s="13" t="s">
        <v>119</v>
      </c>
      <c r="D37" s="38" t="n">
        <f aca="false">IF(D7="Yes",D5/(D35+D36),D5/D35)</f>
        <v>1.16991643454039</v>
      </c>
    </row>
    <row r="38" customFormat="false" ht="15" hidden="false" customHeight="true" outlineLevel="0" collapsed="false">
      <c r="B38" s="23" t="s">
        <v>120</v>
      </c>
      <c r="D38" s="35" t="n">
        <f aca="false">D13/D37</f>
        <v>2564285.71428571</v>
      </c>
    </row>
    <row r="39" customFormat="false" ht="15" hidden="false" customHeight="true" outlineLevel="0" collapsed="false">
      <c r="B39" s="13" t="s">
        <v>121</v>
      </c>
      <c r="D39" s="39" t="n">
        <f aca="false">D35+D36+D38</f>
        <v>12821428.5714286</v>
      </c>
    </row>
    <row r="40" customFormat="false" ht="15" hidden="false" customHeight="true" outlineLevel="0" collapsed="false">
      <c r="B40" s="23" t="s">
        <v>122</v>
      </c>
      <c r="D40" s="28" t="n">
        <f aca="false">D37*D39</f>
        <v>15000000</v>
      </c>
    </row>
    <row r="41" customFormat="false" ht="15" hidden="false" customHeight="true" outlineLevel="0" collapsed="false">
      <c r="B41" s="23" t="s">
        <v>123</v>
      </c>
      <c r="D41" s="23" t="str">
        <f aca="false">IF(ROUND(D40-D33,2)=0,"OK","ERROR")</f>
        <v>OK</v>
      </c>
    </row>
    <row r="43" customFormat="false" ht="18" hidden="false" customHeight="true" outlineLevel="0" collapsed="false">
      <c r="A43" s="4" t="s">
        <v>124</v>
      </c>
      <c r="B43" s="4"/>
      <c r="C43" s="4"/>
      <c r="D43" s="4"/>
      <c r="E43" s="4"/>
      <c r="F43" s="4"/>
      <c r="G43" s="4"/>
      <c r="H43" s="4"/>
      <c r="I43" s="4"/>
      <c r="J43" s="4"/>
    </row>
    <row r="44" customFormat="false" ht="27.75" hidden="false" customHeight="true" outlineLevel="0" collapsed="false">
      <c r="A44" s="15" t="s">
        <v>54</v>
      </c>
      <c r="B44" s="15" t="s">
        <v>55</v>
      </c>
      <c r="C44" s="15" t="s">
        <v>56</v>
      </c>
      <c r="D44" s="15" t="s">
        <v>57</v>
      </c>
      <c r="E44" s="15" t="s">
        <v>125</v>
      </c>
    </row>
    <row r="45" customFormat="false" ht="15" hidden="false" customHeight="true" outlineLevel="0" collapsed="false">
      <c r="A45" s="16" t="n">
        <v>1</v>
      </c>
      <c r="B45" s="31" t="str">
        <f aca="false">IF('Current Cap Table'!B5="","",'Current Cap Table'!B5)</f>
        <v>Founder A</v>
      </c>
      <c r="C45" s="31" t="str">
        <f aca="false">IF('Current Cap Table'!C5="","",'Current Cap Table'!C5)</f>
        <v>Founder</v>
      </c>
      <c r="D45" s="30" t="n">
        <f aca="false">'Current Cap Table'!D5</f>
        <v>4500000</v>
      </c>
      <c r="E45" s="18" t="n">
        <f aca="false">IF($D$39=0,0,D45/$D$39)</f>
        <v>0.350974930362117</v>
      </c>
    </row>
    <row r="46" customFormat="false" ht="15" hidden="false" customHeight="true" outlineLevel="0" collapsed="false">
      <c r="A46" s="16" t="n">
        <v>2</v>
      </c>
      <c r="B46" s="31" t="str">
        <f aca="false">IF('Current Cap Table'!B6="","",'Current Cap Table'!B6)</f>
        <v>Founder B</v>
      </c>
      <c r="C46" s="31" t="str">
        <f aca="false">IF('Current Cap Table'!C6="","",'Current Cap Table'!C6)</f>
        <v>Founder</v>
      </c>
      <c r="D46" s="30" t="n">
        <f aca="false">'Current Cap Table'!D6</f>
        <v>3500000</v>
      </c>
      <c r="E46" s="18" t="n">
        <f aca="false">IF($D$39=0,0,D46/$D$39)</f>
        <v>0.272980501392758</v>
      </c>
    </row>
    <row r="47" customFormat="false" ht="15" hidden="false" customHeight="true" outlineLevel="0" collapsed="false">
      <c r="A47" s="16" t="n">
        <v>3</v>
      </c>
      <c r="B47" s="31" t="str">
        <f aca="false">IF('Current Cap Table'!B7="","",'Current Cap Table'!B7)</f>
        <v>Option Pool (Unallocated)</v>
      </c>
      <c r="C47" s="31" t="str">
        <f aca="false">IF('Current Cap Table'!C7="","",'Current Cap Table'!C7)</f>
        <v>Option Pool</v>
      </c>
      <c r="D47" s="30" t="n">
        <f aca="false">'Current Cap Table'!D7</f>
        <v>1000000</v>
      </c>
      <c r="E47" s="18" t="n">
        <f aca="false">IF($D$39=0,0,D47/$D$39)</f>
        <v>0.0779944289693593</v>
      </c>
    </row>
    <row r="48" customFormat="false" ht="15" hidden="false" customHeight="true" outlineLevel="0" collapsed="false">
      <c r="A48" s="16" t="n">
        <v>4</v>
      </c>
      <c r="B48" s="31" t="str">
        <f aca="false">IF('Current Cap Table'!B8="","",'Current Cap Table'!B8)</f>
        <v/>
      </c>
      <c r="C48" s="31" t="str">
        <f aca="false">IF('Current Cap Table'!C8="","",'Current Cap Table'!C8)</f>
        <v/>
      </c>
      <c r="D48" s="30" t="n">
        <f aca="false">'Current Cap Table'!D8</f>
        <v>0</v>
      </c>
      <c r="E48" s="18" t="n">
        <f aca="false">IF($D$39=0,0,D48/$D$39)</f>
        <v>0</v>
      </c>
    </row>
    <row r="49" customFormat="false" ht="15" hidden="false" customHeight="true" outlineLevel="0" collapsed="false">
      <c r="A49" s="16" t="n">
        <v>5</v>
      </c>
      <c r="B49" s="31" t="str">
        <f aca="false">IF('Current Cap Table'!B9="","",'Current Cap Table'!B9)</f>
        <v/>
      </c>
      <c r="C49" s="31" t="str">
        <f aca="false">IF('Current Cap Table'!C9="","",'Current Cap Table'!C9)</f>
        <v/>
      </c>
      <c r="D49" s="30" t="n">
        <f aca="false">'Current Cap Table'!D9</f>
        <v>0</v>
      </c>
      <c r="E49" s="18" t="n">
        <f aca="false">IF($D$39=0,0,D49/$D$39)</f>
        <v>0</v>
      </c>
    </row>
    <row r="50" customFormat="false" ht="15" hidden="false" customHeight="true" outlineLevel="0" collapsed="false">
      <c r="A50" s="16" t="n">
        <v>6</v>
      </c>
      <c r="B50" s="31" t="str">
        <f aca="false">IF('Current Cap Table'!B10="","",'Current Cap Table'!B10)</f>
        <v/>
      </c>
      <c r="C50" s="31" t="str">
        <f aca="false">IF('Current Cap Table'!C10="","",'Current Cap Table'!C10)</f>
        <v/>
      </c>
      <c r="D50" s="30" t="n">
        <f aca="false">'Current Cap Table'!D10</f>
        <v>0</v>
      </c>
      <c r="E50" s="18" t="n">
        <f aca="false">IF($D$39=0,0,D50/$D$39)</f>
        <v>0</v>
      </c>
    </row>
    <row r="51" customFormat="false" ht="15" hidden="false" customHeight="true" outlineLevel="0" collapsed="false">
      <c r="A51" s="16" t="n">
        <v>7</v>
      </c>
      <c r="B51" s="31" t="str">
        <f aca="false">IF('Current Cap Table'!B11="","",'Current Cap Table'!B11)</f>
        <v/>
      </c>
      <c r="C51" s="31" t="str">
        <f aca="false">IF('Current Cap Table'!C11="","",'Current Cap Table'!C11)</f>
        <v/>
      </c>
      <c r="D51" s="30" t="n">
        <f aca="false">'Current Cap Table'!D11</f>
        <v>0</v>
      </c>
      <c r="E51" s="18" t="n">
        <f aca="false">IF($D$39=0,0,D51/$D$39)</f>
        <v>0</v>
      </c>
    </row>
    <row r="52" customFormat="false" ht="15" hidden="false" customHeight="true" outlineLevel="0" collapsed="false">
      <c r="A52" s="16" t="n">
        <v>8</v>
      </c>
      <c r="B52" s="31" t="str">
        <f aca="false">IF('Current Cap Table'!B12="","",'Current Cap Table'!B12)</f>
        <v/>
      </c>
      <c r="C52" s="31" t="str">
        <f aca="false">IF('Current Cap Table'!C12="","",'Current Cap Table'!C12)</f>
        <v/>
      </c>
      <c r="D52" s="30" t="n">
        <f aca="false">'Current Cap Table'!D12</f>
        <v>0</v>
      </c>
      <c r="E52" s="18" t="n">
        <f aca="false">IF($D$39=0,0,D52/$D$39)</f>
        <v>0</v>
      </c>
    </row>
    <row r="53" customFormat="false" ht="15" hidden="false" customHeight="true" outlineLevel="0" collapsed="false">
      <c r="A53" s="16" t="n">
        <v>9</v>
      </c>
      <c r="B53" s="31" t="str">
        <f aca="false">IF('Current Cap Table'!B13="","",'Current Cap Table'!B13)</f>
        <v/>
      </c>
      <c r="C53" s="31" t="str">
        <f aca="false">IF('Current Cap Table'!C13="","",'Current Cap Table'!C13)</f>
        <v/>
      </c>
      <c r="D53" s="30" t="n">
        <f aca="false">'Current Cap Table'!D13</f>
        <v>0</v>
      </c>
      <c r="E53" s="18" t="n">
        <f aca="false">IF($D$39=0,0,D53/$D$39)</f>
        <v>0</v>
      </c>
    </row>
    <row r="54" customFormat="false" ht="15" hidden="false" customHeight="true" outlineLevel="0" collapsed="false">
      <c r="A54" s="16" t="n">
        <v>10</v>
      </c>
      <c r="B54" s="31" t="str">
        <f aca="false">IF('Current Cap Table'!B14="","",'Current Cap Table'!B14)</f>
        <v/>
      </c>
      <c r="C54" s="31" t="str">
        <f aca="false">IF('Current Cap Table'!C14="","",'Current Cap Table'!C14)</f>
        <v/>
      </c>
      <c r="D54" s="30" t="n">
        <f aca="false">'Current Cap Table'!D14</f>
        <v>0</v>
      </c>
      <c r="E54" s="18" t="n">
        <f aca="false">IF($D$39=0,0,D54/$D$39)</f>
        <v>0</v>
      </c>
    </row>
    <row r="55" customFormat="false" ht="15" hidden="false" customHeight="true" outlineLevel="0" collapsed="false">
      <c r="A55" s="16" t="n">
        <v>11</v>
      </c>
      <c r="B55" s="31" t="str">
        <f aca="false">IF('Current Cap Table'!B15="","",'Current Cap Table'!B15)</f>
        <v/>
      </c>
      <c r="C55" s="31" t="str">
        <f aca="false">IF('Current Cap Table'!C15="","",'Current Cap Table'!C15)</f>
        <v/>
      </c>
      <c r="D55" s="30" t="n">
        <f aca="false">'Current Cap Table'!D15</f>
        <v>0</v>
      </c>
      <c r="E55" s="18" t="n">
        <f aca="false">IF($D$39=0,0,D55/$D$39)</f>
        <v>0</v>
      </c>
    </row>
    <row r="56" customFormat="false" ht="15" hidden="false" customHeight="true" outlineLevel="0" collapsed="false">
      <c r="A56" s="16" t="n">
        <v>12</v>
      </c>
      <c r="B56" s="31" t="str">
        <f aca="false">IF('Current Cap Table'!B16="","",'Current Cap Table'!B16)</f>
        <v/>
      </c>
      <c r="C56" s="31" t="str">
        <f aca="false">IF('Current Cap Table'!C16="","",'Current Cap Table'!C16)</f>
        <v/>
      </c>
      <c r="D56" s="30" t="n">
        <f aca="false">'Current Cap Table'!D16</f>
        <v>0</v>
      </c>
      <c r="E56" s="18" t="n">
        <f aca="false">IF($D$39=0,0,D56/$D$39)</f>
        <v>0</v>
      </c>
    </row>
    <row r="57" customFormat="false" ht="15" hidden="false" customHeight="true" outlineLevel="0" collapsed="false">
      <c r="B57" s="23" t="s">
        <v>126</v>
      </c>
      <c r="C57" s="23" t="s">
        <v>65</v>
      </c>
      <c r="D57" s="35" t="n">
        <f aca="false">D36</f>
        <v>282142.857142857</v>
      </c>
      <c r="E57" s="18" t="n">
        <f aca="false">IF($D$39=0,0,D57/$D$39)</f>
        <v>0.0220055710306407</v>
      </c>
    </row>
    <row r="58" customFormat="false" ht="15" hidden="false" customHeight="true" outlineLevel="0" collapsed="false">
      <c r="B58" s="23" t="str">
        <f aca="false">B23</f>
        <v>SAFE Investor 1</v>
      </c>
      <c r="C58" s="23" t="str">
        <f aca="false">IF(J23=0,"","Converted SAFE/Note")</f>
        <v>Converted SAFE/Note</v>
      </c>
      <c r="D58" s="35" t="n">
        <f aca="false">J23</f>
        <v>600000</v>
      </c>
      <c r="E58" s="18" t="n">
        <f aca="false">IF($D$39=0,0,D58/$D$39)</f>
        <v>0.0467966573816156</v>
      </c>
    </row>
    <row r="59" customFormat="false" ht="15" hidden="false" customHeight="true" outlineLevel="0" collapsed="false">
      <c r="B59" s="23" t="str">
        <f aca="false">B24</f>
        <v>SAFE Investor 2</v>
      </c>
      <c r="C59" s="23" t="str">
        <f aca="false">IF(J24=0,"","Converted SAFE/Note")</f>
        <v>Converted SAFE/Note</v>
      </c>
      <c r="D59" s="35" t="n">
        <f aca="false">J24</f>
        <v>375000</v>
      </c>
      <c r="E59" s="18" t="n">
        <f aca="false">IF($D$39=0,0,D59/$D$39)</f>
        <v>0.0292479108635098</v>
      </c>
    </row>
    <row r="60" customFormat="false" ht="15" hidden="false" customHeight="true" outlineLevel="0" collapsed="false">
      <c r="B60" s="23" t="str">
        <f aca="false">B25</f>
        <v/>
      </c>
      <c r="C60" s="23" t="str">
        <f aca="false">IF(J25=0,"","Converted SAFE/Note")</f>
        <v/>
      </c>
      <c r="D60" s="35" t="n">
        <f aca="false">J25</f>
        <v>0</v>
      </c>
      <c r="E60" s="18" t="n">
        <f aca="false">IF($D$39=0,0,D60/$D$39)</f>
        <v>0</v>
      </c>
    </row>
    <row r="61" customFormat="false" ht="15" hidden="false" customHeight="true" outlineLevel="0" collapsed="false">
      <c r="B61" s="23" t="str">
        <f aca="false">B26</f>
        <v/>
      </c>
      <c r="C61" s="23" t="str">
        <f aca="false">IF(J26=0,"","Converted SAFE/Note")</f>
        <v/>
      </c>
      <c r="D61" s="35" t="n">
        <f aca="false">J26</f>
        <v>0</v>
      </c>
      <c r="E61" s="18" t="n">
        <f aca="false">IF($D$39=0,0,D61/$D$39)</f>
        <v>0</v>
      </c>
    </row>
    <row r="62" customFormat="false" ht="15" hidden="false" customHeight="true" outlineLevel="0" collapsed="false">
      <c r="B62" s="23" t="str">
        <f aca="false">B27</f>
        <v/>
      </c>
      <c r="C62" s="23" t="str">
        <f aca="false">IF(J27=0,"","Converted SAFE/Note")</f>
        <v/>
      </c>
      <c r="D62" s="35" t="n">
        <f aca="false">J27</f>
        <v>0</v>
      </c>
      <c r="E62" s="18" t="n">
        <f aca="false">IF($D$39=0,0,D62/$D$39)</f>
        <v>0</v>
      </c>
    </row>
    <row r="63" customFormat="false" ht="15" hidden="false" customHeight="true" outlineLevel="0" collapsed="false">
      <c r="B63" s="23" t="str">
        <f aca="false">B28</f>
        <v/>
      </c>
      <c r="C63" s="23" t="str">
        <f aca="false">IF(J28=0,"","Converted SAFE/Note")</f>
        <v/>
      </c>
      <c r="D63" s="35" t="n">
        <f aca="false">J28</f>
        <v>0</v>
      </c>
      <c r="E63" s="18" t="n">
        <f aca="false">IF($D$39=0,0,D63/$D$39)</f>
        <v>0</v>
      </c>
    </row>
    <row r="64" customFormat="false" ht="15" hidden="false" customHeight="true" outlineLevel="0" collapsed="false">
      <c r="B64" s="23" t="str">
        <f aca="false">IF(C10="","",C10)</f>
        <v>Seed Lead</v>
      </c>
      <c r="C64" s="23" t="str">
        <f aca="false">IF(D10=0,"","New Investor")</f>
        <v>New Investor</v>
      </c>
      <c r="D64" s="35" t="n">
        <f aca="false">D10/$D$37</f>
        <v>2564285.71428571</v>
      </c>
      <c r="E64" s="18" t="n">
        <f aca="false">IF($D$39=0,0,D64/$D$39)</f>
        <v>0.2</v>
      </c>
    </row>
    <row r="65" customFormat="false" ht="15" hidden="false" customHeight="true" outlineLevel="0" collapsed="false">
      <c r="B65" s="23" t="str">
        <f aca="false">IF(C11="","",C11)</f>
        <v/>
      </c>
      <c r="C65" s="23" t="str">
        <f aca="false">IF(D11=0,"","New Investor")</f>
        <v/>
      </c>
      <c r="D65" s="35" t="n">
        <f aca="false">D11/$D$37</f>
        <v>0</v>
      </c>
      <c r="E65" s="18" t="n">
        <f aca="false">IF($D$39=0,0,D65/$D$39)</f>
        <v>0</v>
      </c>
    </row>
    <row r="66" customFormat="false" ht="15" hidden="false" customHeight="true" outlineLevel="0" collapsed="false">
      <c r="B66" s="23" t="str">
        <f aca="false">IF(C12="","",C12)</f>
        <v/>
      </c>
      <c r="C66" s="23" t="str">
        <f aca="false">IF(D12=0,"","New Investor")</f>
        <v/>
      </c>
      <c r="D66" s="35" t="n">
        <f aca="false">D12/$D$37</f>
        <v>0</v>
      </c>
      <c r="E66" s="18" t="n">
        <f aca="false">IF($D$39=0,0,D66/$D$39)</f>
        <v>0</v>
      </c>
    </row>
    <row r="67" customFormat="false" ht="15" hidden="false" customHeight="true" outlineLevel="0" collapsed="false">
      <c r="A67" s="19"/>
      <c r="B67" s="20" t="s">
        <v>67</v>
      </c>
      <c r="C67" s="19"/>
      <c r="D67" s="36" t="n">
        <f aca="false">SUM(D45:D66)</f>
        <v>12821428.5714286</v>
      </c>
      <c r="E67" s="22" t="n">
        <f aca="false">SUM(E45:E66)</f>
        <v>1</v>
      </c>
    </row>
    <row r="69" customFormat="false" ht="18" hidden="false" customHeight="true" outlineLevel="0" collapsed="false">
      <c r="A69" s="4" t="s">
        <v>127</v>
      </c>
      <c r="B69" s="4"/>
      <c r="C69" s="4"/>
      <c r="D69" s="4"/>
      <c r="E69" s="4"/>
      <c r="F69" s="4"/>
      <c r="G69" s="4"/>
      <c r="H69" s="4"/>
      <c r="I69" s="4"/>
      <c r="J69" s="4"/>
    </row>
    <row r="70" customFormat="false" ht="27.75" hidden="false" customHeight="true" outlineLevel="0" collapsed="false">
      <c r="A70" s="15" t="s">
        <v>56</v>
      </c>
      <c r="B70" s="15"/>
      <c r="C70" s="15"/>
      <c r="D70" s="15" t="s">
        <v>57</v>
      </c>
      <c r="E70" s="15" t="s">
        <v>128</v>
      </c>
    </row>
    <row r="71" customFormat="false" ht="15" hidden="false" customHeight="true" outlineLevel="0" collapsed="false">
      <c r="B71" s="23" t="s">
        <v>61</v>
      </c>
      <c r="D71" s="35" t="n">
        <f aca="false">SUMIF($C$45:$C$66,"Founder",$D$45:$D$66)</f>
        <v>8000000</v>
      </c>
      <c r="E71" s="18" t="n">
        <f aca="false">IF($D$39=0,0,D71/$D$39)</f>
        <v>0.623955431754875</v>
      </c>
    </row>
    <row r="72" customFormat="false" ht="15" hidden="false" customHeight="true" outlineLevel="0" collapsed="false">
      <c r="B72" s="23" t="s">
        <v>129</v>
      </c>
      <c r="D72" s="35" t="n">
        <f aca="false">SUMIF($C$45:$C$66,"Employee",$D$45:$D$66)</f>
        <v>0</v>
      </c>
      <c r="E72" s="18" t="n">
        <f aca="false">IF($D$39=0,0,D72/$D$39)</f>
        <v>0</v>
      </c>
    </row>
    <row r="73" customFormat="false" ht="15" hidden="false" customHeight="true" outlineLevel="0" collapsed="false">
      <c r="B73" s="23" t="s">
        <v>130</v>
      </c>
      <c r="D73" s="35" t="n">
        <f aca="false">SUMIF($C$45:$C$66,"Advisor",$D$45:$D$66)</f>
        <v>0</v>
      </c>
      <c r="E73" s="18" t="n">
        <f aca="false">IF($D$39=0,0,D73/$D$39)</f>
        <v>0</v>
      </c>
    </row>
    <row r="74" customFormat="false" ht="15" hidden="false" customHeight="true" outlineLevel="0" collapsed="false">
      <c r="B74" s="23" t="s">
        <v>65</v>
      </c>
      <c r="D74" s="35" t="n">
        <f aca="false">SUMIF($C$45:$C$66,"Option Pool",$D$45:$D$66)</f>
        <v>1282142.85714286</v>
      </c>
      <c r="E74" s="18" t="n">
        <f aca="false">IF($D$39=0,0,D74/$D$39)</f>
        <v>0.1</v>
      </c>
    </row>
    <row r="75" customFormat="false" ht="15" hidden="false" customHeight="true" outlineLevel="0" collapsed="false">
      <c r="B75" s="23" t="s">
        <v>131</v>
      </c>
      <c r="D75" s="35" t="n">
        <f aca="false">SUMIF($C$45:$C$66,"Converted SAFE/Note",$D$45:$D$66)</f>
        <v>975000</v>
      </c>
      <c r="E75" s="18" t="n">
        <f aca="false">IF($D$39=0,0,D75/$D$39)</f>
        <v>0.0760445682451254</v>
      </c>
    </row>
    <row r="76" customFormat="false" ht="15" hidden="false" customHeight="true" outlineLevel="0" collapsed="false">
      <c r="B76" s="23" t="s">
        <v>132</v>
      </c>
      <c r="D76" s="35" t="n">
        <f aca="false">SUMIF($C$45:$C$66,"New Investor",$D$45:$D$66)</f>
        <v>2564285.71428571</v>
      </c>
      <c r="E76" s="18" t="n">
        <f aca="false">IF($D$39=0,0,D76/$D$39)</f>
        <v>0.2</v>
      </c>
    </row>
    <row r="77" customFormat="false" ht="15" hidden="false" customHeight="true" outlineLevel="0" collapsed="false">
      <c r="B77" s="20" t="s">
        <v>67</v>
      </c>
      <c r="C77" s="19"/>
      <c r="D77" s="36" t="n">
        <f aca="false">SUM(D71:D76)</f>
        <v>12821428.5714286</v>
      </c>
      <c r="E77" s="22" t="n">
        <f aca="false">SUM(E71:E76)</f>
        <v>1</v>
      </c>
    </row>
  </sheetData>
  <mergeCells count="10">
    <mergeCell ref="A1:J1"/>
    <mergeCell ref="A2:J2"/>
    <mergeCell ref="A4:J4"/>
    <mergeCell ref="A15:J15"/>
    <mergeCell ref="A20:J20"/>
    <mergeCell ref="A21:J21"/>
    <mergeCell ref="A31:J31"/>
    <mergeCell ref="A32:J32"/>
    <mergeCell ref="A43:J43"/>
    <mergeCell ref="A69:J69"/>
  </mergeCells>
  <dataValidations count="1">
    <dataValidation allowBlank="false" errorStyle="stop" operator="between" showDropDown="false" showErrorMessage="false" showInputMessage="false" sqref="D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5" min="3" style="1" width="16"/>
    <col collapsed="false" customWidth="true" hidden="false" outlineLevel="0" max="10" min="6" style="1" width="14"/>
  </cols>
  <sheetData>
    <row r="1" customFormat="false" ht="21.75" hidden="false" customHeight="true" outlineLevel="0" collapsed="false">
      <c r="A1" s="2" t="s">
        <v>46</v>
      </c>
      <c r="B1" s="2"/>
      <c r="C1" s="2"/>
      <c r="D1" s="2"/>
      <c r="E1" s="2"/>
      <c r="F1" s="2"/>
      <c r="G1" s="2"/>
      <c r="H1" s="2"/>
      <c r="I1" s="2"/>
      <c r="J1" s="2"/>
    </row>
    <row r="2" customFormat="false" ht="15" hidden="false" customHeight="true" outlineLevel="0" collapsed="false">
      <c r="A2" s="3" t="s">
        <v>133</v>
      </c>
      <c r="B2" s="3"/>
      <c r="C2" s="3"/>
      <c r="D2" s="3"/>
      <c r="E2" s="3"/>
      <c r="F2" s="3"/>
      <c r="G2" s="3"/>
      <c r="H2" s="3"/>
      <c r="I2" s="3"/>
      <c r="J2" s="3"/>
    </row>
    <row r="4" customFormat="false" ht="18" hidden="false" customHeight="true" outlineLevel="0" collapsed="false">
      <c r="A4" s="4" t="s">
        <v>134</v>
      </c>
      <c r="B4" s="4"/>
      <c r="C4" s="4"/>
      <c r="D4" s="4"/>
      <c r="E4" s="4"/>
    </row>
    <row r="5" customFormat="false" ht="18" hidden="false" customHeight="true" outlineLevel="0" collapsed="false">
      <c r="B5" s="23"/>
      <c r="C5" s="40" t="s">
        <v>135</v>
      </c>
      <c r="D5" s="40" t="s">
        <v>136</v>
      </c>
      <c r="E5" s="40" t="s">
        <v>137</v>
      </c>
    </row>
    <row r="6" customFormat="false" ht="15" hidden="false" customHeight="true" outlineLevel="0" collapsed="false">
      <c r="B6" s="23" t="s">
        <v>138</v>
      </c>
      <c r="C6" s="7" t="s">
        <v>139</v>
      </c>
      <c r="D6" s="7" t="s">
        <v>140</v>
      </c>
      <c r="E6" s="7" t="s">
        <v>141</v>
      </c>
    </row>
    <row r="7" customFormat="false" ht="15" hidden="false" customHeight="true" outlineLevel="0" collapsed="false">
      <c r="B7" s="23" t="s">
        <v>88</v>
      </c>
      <c r="C7" s="25" t="n">
        <v>10000000</v>
      </c>
      <c r="D7" s="25" t="n">
        <v>12000000</v>
      </c>
      <c r="E7" s="25" t="n">
        <v>15000000</v>
      </c>
    </row>
    <row r="8" customFormat="false" ht="15" hidden="false" customHeight="true" outlineLevel="0" collapsed="false">
      <c r="B8" s="23" t="s">
        <v>142</v>
      </c>
      <c r="C8" s="25" t="n">
        <v>2500000</v>
      </c>
      <c r="D8" s="25" t="n">
        <v>3000000</v>
      </c>
      <c r="E8" s="25" t="n">
        <v>4000000</v>
      </c>
    </row>
    <row r="9" customFormat="false" ht="15" hidden="false" customHeight="true" outlineLevel="0" collapsed="false">
      <c r="B9" s="23" t="s">
        <v>89</v>
      </c>
      <c r="C9" s="26" t="n">
        <v>0.1</v>
      </c>
      <c r="D9" s="26" t="n">
        <v>0.1</v>
      </c>
      <c r="E9" s="26" t="n">
        <v>0.1</v>
      </c>
    </row>
    <row r="10" customFormat="false" ht="15" hidden="false" customHeight="true" outlineLevel="0" collapsed="false">
      <c r="B10" s="23" t="s">
        <v>143</v>
      </c>
      <c r="C10" s="7" t="s">
        <v>91</v>
      </c>
      <c r="D10" s="7" t="s">
        <v>91</v>
      </c>
      <c r="E10" s="7" t="s">
        <v>91</v>
      </c>
    </row>
    <row r="12" customFormat="false" ht="18" hidden="false" customHeight="true" outlineLevel="0" collapsed="false">
      <c r="A12" s="4" t="s">
        <v>144</v>
      </c>
      <c r="B12" s="4"/>
      <c r="C12" s="4"/>
      <c r="D12" s="4"/>
      <c r="E12" s="4"/>
    </row>
    <row r="13" customFormat="false" ht="15" hidden="false" customHeight="true" outlineLevel="0" collapsed="false">
      <c r="B13" s="23" t="s">
        <v>145</v>
      </c>
      <c r="C13" s="30" t="n">
        <f aca="false">'Current Cap Table'!$D$18</f>
        <v>9000000</v>
      </c>
    </row>
    <row r="14" customFormat="false" ht="15" hidden="false" customHeight="true" outlineLevel="0" collapsed="false">
      <c r="B14" s="23" t="s">
        <v>146</v>
      </c>
      <c r="C14" s="34" t="n">
        <f aca="false">C7/$C$13</f>
        <v>1.11111111111111</v>
      </c>
      <c r="D14" s="34" t="n">
        <f aca="false">D7/$C$13</f>
        <v>1.33333333333333</v>
      </c>
      <c r="E14" s="34" t="n">
        <f aca="false">E7/$C$13</f>
        <v>1.66666666666667</v>
      </c>
    </row>
    <row r="16" customFormat="false" ht="18" hidden="false" customHeight="true" outlineLevel="0" collapsed="false">
      <c r="A16" s="4" t="s">
        <v>147</v>
      </c>
      <c r="B16" s="4"/>
      <c r="C16" s="4"/>
      <c r="D16" s="4"/>
      <c r="E16" s="4"/>
      <c r="F16" s="4"/>
      <c r="G16" s="4"/>
      <c r="H16" s="4"/>
      <c r="I16" s="4"/>
      <c r="J16" s="4"/>
    </row>
    <row r="17" customFormat="false" ht="27.75" hidden="false" customHeight="true" outlineLevel="0" collapsed="false">
      <c r="A17" s="15" t="s">
        <v>54</v>
      </c>
      <c r="B17" s="15" t="s">
        <v>55</v>
      </c>
      <c r="C17" s="15" t="s">
        <v>105</v>
      </c>
      <c r="D17" s="15" t="s">
        <v>107</v>
      </c>
      <c r="E17" s="15" t="s">
        <v>77</v>
      </c>
      <c r="F17" s="15" t="s">
        <v>148</v>
      </c>
      <c r="G17" s="15" t="s">
        <v>149</v>
      </c>
      <c r="H17" s="15" t="s">
        <v>150</v>
      </c>
      <c r="I17" s="15" t="s">
        <v>151</v>
      </c>
      <c r="J17" s="15" t="s">
        <v>152</v>
      </c>
    </row>
    <row r="18" customFormat="false" ht="15" hidden="false" customHeight="true" outlineLevel="0" collapsed="false">
      <c r="A18" s="16" t="n">
        <v>1</v>
      </c>
      <c r="B18" s="31" t="str">
        <f aca="false">IF('SAFEs and Notes'!B5="","",'SAFEs and Notes'!B5)</f>
        <v>SAFE Investor 1</v>
      </c>
      <c r="C18" s="31" t="str">
        <f aca="false">IF('SAFEs and Notes'!C5="","",'SAFEs and Notes'!C5)</f>
        <v>Post-money SAFE</v>
      </c>
      <c r="D18" s="32" t="n">
        <f aca="false">'SAFEs and Notes'!E5</f>
        <v>8000000</v>
      </c>
      <c r="E18" s="33" t="n">
        <f aca="false">'SAFEs and Notes'!F5</f>
        <v>0</v>
      </c>
      <c r="F18" s="32" t="n">
        <f aca="false">'SAFEs and Notes'!I5</f>
        <v>500000</v>
      </c>
      <c r="G18" s="34" t="n">
        <f aca="false">IF(D18&gt;0,D18/$C$13,"")</f>
        <v>0.888888888888889</v>
      </c>
      <c r="H18" s="35" t="n">
        <f aca="false">IF(F18=0,0,IF(C18="Post-money SAFE",(F18/D18)*$C$13/(1-(F18/D18)),IF(AND(G18&lt;&gt;"",E18&gt;0),F18/MIN(G18,$C$14*(1-E18)),IF(G18&lt;&gt;"",F18/G18,IF(E18&gt;0,F18/($C$14*(1-E18)),0)))))</f>
        <v>600000</v>
      </c>
      <c r="I18" s="35" t="n">
        <f aca="false">IF(F18=0,0,IF(C18="Post-money SAFE",(F18/D18)*$C$13/(1-(F18/D18)),IF(AND(G18&lt;&gt;"",E18&gt;0),F18/MIN(G18,$D$14*(1-E18)),IF(G18&lt;&gt;"",F18/G18,IF(E18&gt;0,F18/($D$14*(1-E18)),0)))))</f>
        <v>600000</v>
      </c>
      <c r="J18" s="35" t="n">
        <f aca="false">IF(F18=0,0,IF(C18="Post-money SAFE",(F18/D18)*$C$13/(1-(F18/D18)),IF(AND(G18&lt;&gt;"",E18&gt;0),F18/MIN(G18,$E$14*(1-E18)),IF(G18&lt;&gt;"",F18/G18,IF(E18&gt;0,F18/($E$14*(1-E18)),0)))))</f>
        <v>600000</v>
      </c>
    </row>
    <row r="19" customFormat="false" ht="15" hidden="false" customHeight="true" outlineLevel="0" collapsed="false">
      <c r="A19" s="16" t="n">
        <v>2</v>
      </c>
      <c r="B19" s="31" t="str">
        <f aca="false">IF('SAFEs and Notes'!B6="","",'SAFEs and Notes'!B6)</f>
        <v>SAFE Investor 2</v>
      </c>
      <c r="C19" s="31" t="str">
        <f aca="false">IF('SAFEs and Notes'!C6="","",'SAFEs and Notes'!C6)</f>
        <v>Pre-money SAFE</v>
      </c>
      <c r="D19" s="32" t="n">
        <f aca="false">'SAFEs and Notes'!E6</f>
        <v>6000000</v>
      </c>
      <c r="E19" s="33" t="n">
        <f aca="false">'SAFEs and Notes'!F6</f>
        <v>0.2</v>
      </c>
      <c r="F19" s="32" t="n">
        <f aca="false">'SAFEs and Notes'!I6</f>
        <v>250000</v>
      </c>
      <c r="G19" s="34" t="n">
        <f aca="false">IF(D19&gt;0,D19/$C$13,"")</f>
        <v>0.666666666666667</v>
      </c>
      <c r="H19" s="35" t="n">
        <f aca="false">IF(F19=0,0,IF(C19="Post-money SAFE",(F19/D19)*$C$13/(1-(F19/D19)),IF(AND(G19&lt;&gt;"",E19&gt;0),F19/MIN(G19,$C$14*(1-E19)),IF(G19&lt;&gt;"",F19/G19,IF(E19&gt;0,F19/($C$14*(1-E19)),0)))))</f>
        <v>375000</v>
      </c>
      <c r="I19" s="35" t="n">
        <f aca="false">IF(F19=0,0,IF(C19="Post-money SAFE",(F19/D19)*$C$13/(1-(F19/D19)),IF(AND(G19&lt;&gt;"",E19&gt;0),F19/MIN(G19,$D$14*(1-E19)),IF(G19&lt;&gt;"",F19/G19,IF(E19&gt;0,F19/($D$14*(1-E19)),0)))))</f>
        <v>375000</v>
      </c>
      <c r="J19" s="35" t="n">
        <f aca="false">IF(F19=0,0,IF(C19="Post-money SAFE",(F19/D19)*$C$13/(1-(F19/D19)),IF(AND(G19&lt;&gt;"",E19&gt;0),F19/MIN(G19,$E$14*(1-E19)),IF(G19&lt;&gt;"",F19/G19,IF(E19&gt;0,F19/($E$14*(1-E19)),0)))))</f>
        <v>375000</v>
      </c>
    </row>
    <row r="20" customFormat="false" ht="15" hidden="false" customHeight="true" outlineLevel="0" collapsed="false">
      <c r="A20" s="16" t="n">
        <v>3</v>
      </c>
      <c r="B20" s="31" t="str">
        <f aca="false">IF('SAFEs and Notes'!B7="","",'SAFEs and Notes'!B7)</f>
        <v/>
      </c>
      <c r="C20" s="31" t="str">
        <f aca="false">IF('SAFEs and Notes'!C7="","",'SAFEs and Notes'!C7)</f>
        <v/>
      </c>
      <c r="D20" s="32" t="n">
        <f aca="false">'SAFEs and Notes'!E7</f>
        <v>0</v>
      </c>
      <c r="E20" s="33" t="n">
        <f aca="false">'SAFEs and Notes'!F7</f>
        <v>0</v>
      </c>
      <c r="F20" s="32" t="n">
        <f aca="false">'SAFEs and Notes'!I7</f>
        <v>0</v>
      </c>
      <c r="G20" s="34" t="str">
        <f aca="false">IF(D20&gt;0,D20/$C$13,"")</f>
        <v/>
      </c>
      <c r="H20" s="35" t="n">
        <f aca="false">IF(F20=0,0,IF(C20="Post-money SAFE",(F20/D20)*$C$13/(1-(F20/D20)),IF(AND(G20&lt;&gt;"",E20&gt;0),F20/MIN(G20,$C$14*(1-E20)),IF(G20&lt;&gt;"",F20/G20,IF(E20&gt;0,F20/($C$14*(1-E20)),0)))))</f>
        <v>0</v>
      </c>
      <c r="I20" s="35" t="n">
        <f aca="false">IF(F20=0,0,IF(C20="Post-money SAFE",(F20/D20)*$C$13/(1-(F20/D20)),IF(AND(G20&lt;&gt;"",E20&gt;0),F20/MIN(G20,$D$14*(1-E20)),IF(G20&lt;&gt;"",F20/G20,IF(E20&gt;0,F20/($D$14*(1-E20)),0)))))</f>
        <v>0</v>
      </c>
      <c r="J20" s="35" t="n">
        <f aca="false">IF(F20=0,0,IF(C20="Post-money SAFE",(F20/D20)*$C$13/(1-(F20/D20)),IF(AND(G20&lt;&gt;"",E20&gt;0),F20/MIN(G20,$E$14*(1-E20)),IF(G20&lt;&gt;"",F20/G20,IF(E20&gt;0,F20/($E$14*(1-E20)),0)))))</f>
        <v>0</v>
      </c>
    </row>
    <row r="21" customFormat="false" ht="15" hidden="false" customHeight="true" outlineLevel="0" collapsed="false">
      <c r="A21" s="16" t="n">
        <v>4</v>
      </c>
      <c r="B21" s="31" t="str">
        <f aca="false">IF('SAFEs and Notes'!B8="","",'SAFEs and Notes'!B8)</f>
        <v/>
      </c>
      <c r="C21" s="31" t="str">
        <f aca="false">IF('SAFEs and Notes'!C8="","",'SAFEs and Notes'!C8)</f>
        <v/>
      </c>
      <c r="D21" s="32" t="n">
        <f aca="false">'SAFEs and Notes'!E8</f>
        <v>0</v>
      </c>
      <c r="E21" s="33" t="n">
        <f aca="false">'SAFEs and Notes'!F8</f>
        <v>0</v>
      </c>
      <c r="F21" s="32" t="n">
        <f aca="false">'SAFEs and Notes'!I8</f>
        <v>0</v>
      </c>
      <c r="G21" s="34" t="str">
        <f aca="false">IF(D21&gt;0,D21/$C$13,"")</f>
        <v/>
      </c>
      <c r="H21" s="35" t="n">
        <f aca="false">IF(F21=0,0,IF(C21="Post-money SAFE",(F21/D21)*$C$13/(1-(F21/D21)),IF(AND(G21&lt;&gt;"",E21&gt;0),F21/MIN(G21,$C$14*(1-E21)),IF(G21&lt;&gt;"",F21/G21,IF(E21&gt;0,F21/($C$14*(1-E21)),0)))))</f>
        <v>0</v>
      </c>
      <c r="I21" s="35" t="n">
        <f aca="false">IF(F21=0,0,IF(C21="Post-money SAFE",(F21/D21)*$C$13/(1-(F21/D21)),IF(AND(G21&lt;&gt;"",E21&gt;0),F21/MIN(G21,$D$14*(1-E21)),IF(G21&lt;&gt;"",F21/G21,IF(E21&gt;0,F21/($D$14*(1-E21)),0)))))</f>
        <v>0</v>
      </c>
      <c r="J21" s="35" t="n">
        <f aca="false">IF(F21=0,0,IF(C21="Post-money SAFE",(F21/D21)*$C$13/(1-(F21/D21)),IF(AND(G21&lt;&gt;"",E21&gt;0),F21/MIN(G21,$E$14*(1-E21)),IF(G21&lt;&gt;"",F21/G21,IF(E21&gt;0,F21/($E$14*(1-E21)),0)))))</f>
        <v>0</v>
      </c>
    </row>
    <row r="22" customFormat="false" ht="15" hidden="false" customHeight="true" outlineLevel="0" collapsed="false">
      <c r="A22" s="16" t="n">
        <v>5</v>
      </c>
      <c r="B22" s="31" t="str">
        <f aca="false">IF('SAFEs and Notes'!B9="","",'SAFEs and Notes'!B9)</f>
        <v/>
      </c>
      <c r="C22" s="31" t="str">
        <f aca="false">IF('SAFEs and Notes'!C9="","",'SAFEs and Notes'!C9)</f>
        <v/>
      </c>
      <c r="D22" s="32" t="n">
        <f aca="false">'SAFEs and Notes'!E9</f>
        <v>0</v>
      </c>
      <c r="E22" s="33" t="n">
        <f aca="false">'SAFEs and Notes'!F9</f>
        <v>0</v>
      </c>
      <c r="F22" s="32" t="n">
        <f aca="false">'SAFEs and Notes'!I9</f>
        <v>0</v>
      </c>
      <c r="G22" s="34" t="str">
        <f aca="false">IF(D22&gt;0,D22/$C$13,"")</f>
        <v/>
      </c>
      <c r="H22" s="35" t="n">
        <f aca="false">IF(F22=0,0,IF(C22="Post-money SAFE",(F22/D22)*$C$13/(1-(F22/D22)),IF(AND(G22&lt;&gt;"",E22&gt;0),F22/MIN(G22,$C$14*(1-E22)),IF(G22&lt;&gt;"",F22/G22,IF(E22&gt;0,F22/($C$14*(1-E22)),0)))))</f>
        <v>0</v>
      </c>
      <c r="I22" s="35" t="n">
        <f aca="false">IF(F22=0,0,IF(C22="Post-money SAFE",(F22/D22)*$C$13/(1-(F22/D22)),IF(AND(G22&lt;&gt;"",E22&gt;0),F22/MIN(G22,$D$14*(1-E22)),IF(G22&lt;&gt;"",F22/G22,IF(E22&gt;0,F22/($D$14*(1-E22)),0)))))</f>
        <v>0</v>
      </c>
      <c r="J22" s="35" t="n">
        <f aca="false">IF(F22=0,0,IF(C22="Post-money SAFE",(F22/D22)*$C$13/(1-(F22/D22)),IF(AND(G22&lt;&gt;"",E22&gt;0),F22/MIN(G22,$E$14*(1-E22)),IF(G22&lt;&gt;"",F22/G22,IF(E22&gt;0,F22/($E$14*(1-E22)),0)))))</f>
        <v>0</v>
      </c>
    </row>
    <row r="23" customFormat="false" ht="15" hidden="false" customHeight="true" outlineLevel="0" collapsed="false">
      <c r="A23" s="16" t="n">
        <v>6</v>
      </c>
      <c r="B23" s="31" t="str">
        <f aca="false">IF('SAFEs and Notes'!B10="","",'SAFEs and Notes'!B10)</f>
        <v/>
      </c>
      <c r="C23" s="31" t="str">
        <f aca="false">IF('SAFEs and Notes'!C10="","",'SAFEs and Notes'!C10)</f>
        <v/>
      </c>
      <c r="D23" s="32" t="n">
        <f aca="false">'SAFEs and Notes'!E10</f>
        <v>0</v>
      </c>
      <c r="E23" s="33" t="n">
        <f aca="false">'SAFEs and Notes'!F10</f>
        <v>0</v>
      </c>
      <c r="F23" s="32" t="n">
        <f aca="false">'SAFEs and Notes'!I10</f>
        <v>0</v>
      </c>
      <c r="G23" s="34" t="str">
        <f aca="false">IF(D23&gt;0,D23/$C$13,"")</f>
        <v/>
      </c>
      <c r="H23" s="35" t="n">
        <f aca="false">IF(F23=0,0,IF(C23="Post-money SAFE",(F23/D23)*$C$13/(1-(F23/D23)),IF(AND(G23&lt;&gt;"",E23&gt;0),F23/MIN(G23,$C$14*(1-E23)),IF(G23&lt;&gt;"",F23/G23,IF(E23&gt;0,F23/($C$14*(1-E23)),0)))))</f>
        <v>0</v>
      </c>
      <c r="I23" s="35" t="n">
        <f aca="false">IF(F23=0,0,IF(C23="Post-money SAFE",(F23/D23)*$C$13/(1-(F23/D23)),IF(AND(G23&lt;&gt;"",E23&gt;0),F23/MIN(G23,$D$14*(1-E23)),IF(G23&lt;&gt;"",F23/G23,IF(E23&gt;0,F23/($D$14*(1-E23)),0)))))</f>
        <v>0</v>
      </c>
      <c r="J23" s="35" t="n">
        <f aca="false">IF(F23=0,0,IF(C23="Post-money SAFE",(F23/D23)*$C$13/(1-(F23/D23)),IF(AND(G23&lt;&gt;"",E23&gt;0),F23/MIN(G23,$E$14*(1-E23)),IF(G23&lt;&gt;"",F23/G23,IF(E23&gt;0,F23/($E$14*(1-E23)),0)))))</f>
        <v>0</v>
      </c>
    </row>
    <row r="24" customFormat="false" ht="15" hidden="false" customHeight="true" outlineLevel="0" collapsed="false">
      <c r="A24" s="19"/>
      <c r="B24" s="20" t="s">
        <v>112</v>
      </c>
      <c r="C24" s="19"/>
      <c r="D24" s="19"/>
      <c r="E24" s="19"/>
      <c r="F24" s="19"/>
      <c r="G24" s="19"/>
      <c r="H24" s="36" t="n">
        <f aca="false">SUM(H18:H23)</f>
        <v>975000</v>
      </c>
      <c r="I24" s="36" t="n">
        <f aca="false">SUM(I18:I23)</f>
        <v>975000</v>
      </c>
      <c r="J24" s="36" t="n">
        <f aca="false">SUM(J18:J23)</f>
        <v>975000</v>
      </c>
    </row>
    <row r="26" customFormat="false" ht="18" hidden="false" customHeight="true" outlineLevel="0" collapsed="false">
      <c r="A26" s="4" t="s">
        <v>153</v>
      </c>
      <c r="B26" s="4"/>
      <c r="C26" s="4"/>
      <c r="D26" s="4"/>
      <c r="E26" s="4"/>
    </row>
    <row r="27" customFormat="false" ht="15" hidden="false" customHeight="true" outlineLevel="0" collapsed="false">
      <c r="B27" s="23"/>
      <c r="C27" s="23" t="str">
        <f aca="false">C6</f>
        <v>Conservative</v>
      </c>
      <c r="D27" s="23" t="str">
        <f aca="false">D6</f>
        <v>Base Case</v>
      </c>
      <c r="E27" s="23" t="str">
        <f aca="false">E6</f>
        <v>Aggressive</v>
      </c>
    </row>
    <row r="28" customFormat="false" ht="15" hidden="false" customHeight="true" outlineLevel="0" collapsed="false">
      <c r="B28" s="23" t="s">
        <v>115</v>
      </c>
      <c r="C28" s="28" t="n">
        <f aca="false">C7+C8</f>
        <v>12500000</v>
      </c>
      <c r="D28" s="28" t="n">
        <f aca="false">D7+D8</f>
        <v>15000000</v>
      </c>
      <c r="E28" s="28" t="n">
        <f aca="false">E7+E8</f>
        <v>19000000</v>
      </c>
    </row>
    <row r="29" customFormat="false" ht="15" hidden="false" customHeight="true" outlineLevel="0" collapsed="false">
      <c r="B29" s="23" t="s">
        <v>116</v>
      </c>
      <c r="C29" s="37" t="n">
        <f aca="false">C9*(C28/C7)</f>
        <v>0.125</v>
      </c>
      <c r="D29" s="37" t="n">
        <f aca="false">D9*(D28/D7)</f>
        <v>0.125</v>
      </c>
      <c r="E29" s="37" t="n">
        <f aca="false">E9*(E28/E7)</f>
        <v>0.126666666666667</v>
      </c>
    </row>
    <row r="30" customFormat="false" ht="15" hidden="false" customHeight="true" outlineLevel="0" collapsed="false">
      <c r="B30" s="23" t="s">
        <v>154</v>
      </c>
      <c r="C30" s="35" t="n">
        <f aca="false">$C$13+H24</f>
        <v>9975000</v>
      </c>
      <c r="D30" s="35" t="n">
        <f aca="false">$C$13+I24</f>
        <v>9975000</v>
      </c>
      <c r="E30" s="35" t="n">
        <f aca="false">$C$13+J24</f>
        <v>9975000</v>
      </c>
    </row>
    <row r="31" customFormat="false" ht="15" hidden="false" customHeight="true" outlineLevel="0" collapsed="false">
      <c r="B31" s="23" t="s">
        <v>155</v>
      </c>
      <c r="C31" s="35" t="n">
        <f aca="false">MAX((C29*C30-'Current Cap Table'!$D$20)/(1-IF(C10="Yes",C29,C9)),0)</f>
        <v>282142.857142857</v>
      </c>
      <c r="D31" s="35" t="n">
        <f aca="false">MAX((D29*D30-'Current Cap Table'!$D$20)/(1-IF(D10="Yes",D29,D9)),0)</f>
        <v>282142.857142857</v>
      </c>
      <c r="E31" s="35" t="n">
        <f aca="false">MAX((E29*E30-'Current Cap Table'!$D$20)/(1-IF(E10="Yes",E29,E9)),0)</f>
        <v>301717.557251908</v>
      </c>
    </row>
    <row r="32" customFormat="false" ht="15" hidden="false" customHeight="true" outlineLevel="0" collapsed="false">
      <c r="B32" s="23" t="s">
        <v>156</v>
      </c>
      <c r="C32" s="34" t="n">
        <f aca="false">IF(C10="Yes",C7/(C30+C31),C7/C30)</f>
        <v>0.974930362116992</v>
      </c>
      <c r="D32" s="34" t="n">
        <f aca="false">IF(D10="Yes",D7/(D30+D31),D7/D30)</f>
        <v>1.16991643454039</v>
      </c>
      <c r="E32" s="34" t="n">
        <f aca="false">IF(E10="Yes",E7/(E30+E31),E7/E30)</f>
        <v>1.45961002785515</v>
      </c>
    </row>
    <row r="33" customFormat="false" ht="15" hidden="false" customHeight="true" outlineLevel="0" collapsed="false">
      <c r="B33" s="23" t="s">
        <v>121</v>
      </c>
      <c r="C33" s="35" t="n">
        <f aca="false">C30+C31+C8/C32</f>
        <v>12821428.5714286</v>
      </c>
      <c r="D33" s="35" t="n">
        <f aca="false">D30+D31+D8/D32</f>
        <v>12821428.5714286</v>
      </c>
      <c r="E33" s="35" t="n">
        <f aca="false">E30+E31+E8/E32</f>
        <v>13017175.5725191</v>
      </c>
    </row>
    <row r="34" customFormat="false" ht="15" hidden="false" customHeight="true" outlineLevel="0" collapsed="false">
      <c r="B34" s="23" t="s">
        <v>157</v>
      </c>
      <c r="C34" s="30" t="n">
        <f aca="false">'Current Cap Table'!$D$22</f>
        <v>8000000</v>
      </c>
      <c r="D34" s="30" t="n">
        <f aca="false">'Current Cap Table'!$D$22</f>
        <v>8000000</v>
      </c>
      <c r="E34" s="30" t="n">
        <f aca="false">'Current Cap Table'!$D$22</f>
        <v>8000000</v>
      </c>
    </row>
    <row r="35" customFormat="false" ht="15" hidden="false" customHeight="true" outlineLevel="0" collapsed="false">
      <c r="B35" s="20" t="s">
        <v>158</v>
      </c>
      <c r="C35" s="22" t="n">
        <f aca="false">C34/C33</f>
        <v>0.623955431754875</v>
      </c>
      <c r="D35" s="22" t="n">
        <f aca="false">D34/D33</f>
        <v>0.623955431754875</v>
      </c>
      <c r="E35" s="22" t="n">
        <f aca="false">E34/E33</f>
        <v>0.614572643307433</v>
      </c>
    </row>
    <row r="37" customFormat="false" ht="18" hidden="false" customHeight="true" outlineLevel="0" collapsed="false">
      <c r="A37" s="4" t="s">
        <v>159</v>
      </c>
      <c r="B37" s="4"/>
      <c r="C37" s="4"/>
      <c r="D37" s="4"/>
      <c r="E37" s="4"/>
    </row>
    <row r="38" customFormat="false" ht="33.75" hidden="false" customHeight="true" outlineLevel="0" collapsed="false">
      <c r="A38" s="5" t="s">
        <v>160</v>
      </c>
      <c r="B38" s="5"/>
      <c r="C38" s="5"/>
      <c r="D38" s="5"/>
      <c r="E38" s="5"/>
    </row>
    <row r="39" customFormat="false" ht="15" hidden="false" customHeight="true" outlineLevel="0" collapsed="false">
      <c r="B39" s="23" t="s">
        <v>161</v>
      </c>
      <c r="D39" s="25" t="n">
        <v>40000000</v>
      </c>
    </row>
    <row r="40" customFormat="false" ht="15" hidden="false" customHeight="true" outlineLevel="0" collapsed="false">
      <c r="B40" s="23" t="s">
        <v>162</v>
      </c>
      <c r="D40" s="25" t="n">
        <v>8000000</v>
      </c>
    </row>
    <row r="41" customFormat="false" ht="15" hidden="false" customHeight="true" outlineLevel="0" collapsed="false">
      <c r="B41" s="23" t="s">
        <v>163</v>
      </c>
      <c r="D41" s="18" t="n">
        <f aca="false">D40/(D39+D40)</f>
        <v>0.166666666666667</v>
      </c>
    </row>
    <row r="42" customFormat="false" ht="15" hidden="false" customHeight="true" outlineLevel="0" collapsed="false">
      <c r="B42" s="20" t="s">
        <v>164</v>
      </c>
      <c r="C42" s="22" t="n">
        <f aca="false">C35*(1-$D$41)</f>
        <v>0.519962859795729</v>
      </c>
      <c r="D42" s="22" t="n">
        <f aca="false">D35*(1-$D$41)</f>
        <v>0.519962859795729</v>
      </c>
      <c r="E42" s="22" t="n">
        <f aca="false">E35*(1-$D$41)</f>
        <v>0.512143869422861</v>
      </c>
    </row>
    <row r="44" customFormat="false" ht="18" hidden="false" customHeight="true" outlineLevel="0" collapsed="false">
      <c r="A44" s="4" t="s">
        <v>165</v>
      </c>
      <c r="B44" s="4"/>
      <c r="C44" s="4"/>
      <c r="D44" s="4"/>
    </row>
    <row r="45" customFormat="false" ht="27.75" hidden="false" customHeight="true" outlineLevel="0" collapsed="false">
      <c r="A45" s="15" t="s">
        <v>166</v>
      </c>
      <c r="B45" s="15" t="s">
        <v>167</v>
      </c>
      <c r="C45" s="15" t="s">
        <v>168</v>
      </c>
    </row>
    <row r="46" customFormat="false" ht="15" hidden="false" customHeight="true" outlineLevel="0" collapsed="false">
      <c r="A46" s="23" t="str">
        <f aca="false">C6</f>
        <v>Conservative</v>
      </c>
      <c r="B46" s="18" t="n">
        <f aca="false">C35</f>
        <v>0.623955431754875</v>
      </c>
      <c r="C46" s="18" t="n">
        <f aca="false">C42</f>
        <v>0.519962859795729</v>
      </c>
    </row>
    <row r="47" customFormat="false" ht="15" hidden="false" customHeight="true" outlineLevel="0" collapsed="false">
      <c r="A47" s="23" t="str">
        <f aca="false">D6</f>
        <v>Base Case</v>
      </c>
      <c r="B47" s="18" t="n">
        <f aca="false">D35</f>
        <v>0.623955431754875</v>
      </c>
      <c r="C47" s="18" t="n">
        <f aca="false">D42</f>
        <v>0.519962859795729</v>
      </c>
    </row>
    <row r="48" customFormat="false" ht="15" hidden="false" customHeight="true" outlineLevel="0" collapsed="false">
      <c r="A48" s="23" t="str">
        <f aca="false">E6</f>
        <v>Aggressive</v>
      </c>
      <c r="B48" s="18" t="n">
        <f aca="false">E35</f>
        <v>0.614572643307433</v>
      </c>
      <c r="C48" s="18" t="n">
        <f aca="false">E42</f>
        <v>0.512143869422861</v>
      </c>
    </row>
  </sheetData>
  <mergeCells count="9">
    <mergeCell ref="A1:J1"/>
    <mergeCell ref="A2:J2"/>
    <mergeCell ref="A4:E4"/>
    <mergeCell ref="A12:E12"/>
    <mergeCell ref="A16:J16"/>
    <mergeCell ref="A26:E26"/>
    <mergeCell ref="A37:E37"/>
    <mergeCell ref="A38:E38"/>
    <mergeCell ref="A44:D44"/>
  </mergeCells>
  <dataValidations count="1">
    <dataValidation allowBlank="false" errorStyle="stop" operator="between" showDropDown="false" showErrorMessage="false" showInputMessage="false" sqref="C10:E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5" min="3" style="1" width="18"/>
  </cols>
  <sheetData>
    <row r="1" customFormat="false" ht="21.75" hidden="false" customHeight="true" outlineLevel="0" collapsed="false">
      <c r="A1" s="2" t="s">
        <v>48</v>
      </c>
      <c r="B1" s="2"/>
      <c r="C1" s="2"/>
      <c r="D1" s="2"/>
      <c r="E1" s="2"/>
    </row>
    <row r="2" customFormat="false" ht="23.25" hidden="false" customHeight="true" outlineLevel="0" collapsed="false">
      <c r="A2" s="3" t="s">
        <v>169</v>
      </c>
      <c r="B2" s="3"/>
      <c r="C2" s="3"/>
      <c r="D2" s="3"/>
      <c r="E2" s="3"/>
    </row>
    <row r="4" customFormat="false" ht="18" hidden="false" customHeight="true" outlineLevel="0" collapsed="false">
      <c r="A4" s="4" t="s">
        <v>170</v>
      </c>
      <c r="B4" s="4"/>
      <c r="C4" s="4"/>
      <c r="D4" s="4"/>
    </row>
    <row r="5" customFormat="false" ht="15" hidden="false" customHeight="true" outlineLevel="0" collapsed="false">
      <c r="B5" s="23" t="s">
        <v>171</v>
      </c>
      <c r="D5" s="25" t="n">
        <v>20000000</v>
      </c>
    </row>
    <row r="6" customFormat="false" ht="15" hidden="false" customHeight="true" outlineLevel="0" collapsed="false">
      <c r="B6" s="23" t="s">
        <v>172</v>
      </c>
      <c r="D6" s="41" t="n">
        <v>1</v>
      </c>
    </row>
    <row r="7" customFormat="false" ht="15" hidden="false" customHeight="true" outlineLevel="0" collapsed="false">
      <c r="B7" s="23" t="s">
        <v>173</v>
      </c>
      <c r="D7" s="7" t="s">
        <v>174</v>
      </c>
    </row>
    <row r="9" customFormat="false" ht="18" hidden="false" customHeight="true" outlineLevel="0" collapsed="false">
      <c r="A9" s="4" t="s">
        <v>175</v>
      </c>
      <c r="B9" s="4"/>
      <c r="C9" s="4"/>
      <c r="D9" s="4"/>
    </row>
    <row r="10" customFormat="false" ht="15" hidden="false" customHeight="true" outlineLevel="0" collapsed="false">
      <c r="B10" s="23" t="s">
        <v>176</v>
      </c>
      <c r="D10" s="32" t="n">
        <f aca="false">'Priced Round'!$D$13</f>
        <v>3000000</v>
      </c>
    </row>
    <row r="11" customFormat="false" ht="15" hidden="false" customHeight="true" outlineLevel="0" collapsed="false">
      <c r="B11" s="23" t="s">
        <v>177</v>
      </c>
      <c r="D11" s="42" t="n">
        <f aca="false">'Priced Round'!$D$38</f>
        <v>2564285.71428571</v>
      </c>
    </row>
    <row r="12" customFormat="false" ht="15" hidden="false" customHeight="true" outlineLevel="0" collapsed="false">
      <c r="B12" s="23" t="s">
        <v>121</v>
      </c>
      <c r="D12" s="42" t="n">
        <f aca="false">'Priced Round'!$D$39</f>
        <v>12821428.5714286</v>
      </c>
    </row>
    <row r="13" customFormat="false" ht="15" hidden="false" customHeight="true" outlineLevel="0" collapsed="false">
      <c r="B13" s="23" t="s">
        <v>178</v>
      </c>
      <c r="D13" s="30" t="n">
        <f aca="false">'Current Cap Table'!$D$22</f>
        <v>8000000</v>
      </c>
    </row>
    <row r="14" customFormat="false" ht="15" hidden="false" customHeight="true" outlineLevel="0" collapsed="false">
      <c r="B14" s="23" t="s">
        <v>179</v>
      </c>
      <c r="D14" s="24" t="n">
        <f aca="false">'Current Cap Table'!$D$21-'Current Cap Table'!$D$22</f>
        <v>0</v>
      </c>
    </row>
    <row r="15" customFormat="false" ht="15" hidden="false" customHeight="true" outlineLevel="0" collapsed="false">
      <c r="B15" s="23" t="s">
        <v>180</v>
      </c>
      <c r="D15" s="35" t="n">
        <f aca="false">'Current Cap Table'!$D$20+'Priced Round'!$D$36</f>
        <v>1282142.85714286</v>
      </c>
    </row>
    <row r="16" customFormat="false" ht="15" hidden="false" customHeight="true" outlineLevel="0" collapsed="false">
      <c r="B16" s="23" t="s">
        <v>181</v>
      </c>
      <c r="D16" s="42" t="n">
        <f aca="false">'Priced Round'!$J$29</f>
        <v>975000</v>
      </c>
    </row>
    <row r="18" customFormat="false" ht="18" hidden="false" customHeight="true" outlineLevel="0" collapsed="false">
      <c r="A18" s="4" t="s">
        <v>182</v>
      </c>
      <c r="B18" s="4"/>
      <c r="C18" s="4"/>
      <c r="D18" s="4"/>
    </row>
    <row r="19" customFormat="false" ht="15" hidden="false" customHeight="true" outlineLevel="0" collapsed="false">
      <c r="B19" s="23" t="s">
        <v>183</v>
      </c>
      <c r="D19" s="28" t="n">
        <f aca="false">D10*D6</f>
        <v>3000000</v>
      </c>
    </row>
    <row r="20" customFormat="false" ht="15" hidden="false" customHeight="true" outlineLevel="0" collapsed="false">
      <c r="B20" s="23" t="s">
        <v>184</v>
      </c>
      <c r="D20" s="28" t="n">
        <f aca="false">D5*(D11/D12)</f>
        <v>4000000</v>
      </c>
    </row>
    <row r="21" customFormat="false" ht="15" hidden="false" customHeight="true" outlineLevel="0" collapsed="false">
      <c r="B21" s="23" t="s">
        <v>185</v>
      </c>
      <c r="D21" s="23" t="str">
        <f aca="false">IF(D7="Yes","Participates (preference + pro rata)",IF(D20&gt;D19,"Converts to common","Takes preference"))</f>
        <v>Converts to common</v>
      </c>
    </row>
    <row r="22" customFormat="false" ht="15" hidden="false" customHeight="true" outlineLevel="0" collapsed="false">
      <c r="B22" s="13" t="s">
        <v>186</v>
      </c>
      <c r="D22" s="43" t="n">
        <f aca="false">IF(D7="Yes",MIN(D19,D5)+(D5-MIN(D19,D5))*(D11/D12),IF(D20&gt;D19,D5*(D11/D12),MIN(D19,D5)))</f>
        <v>4000000</v>
      </c>
    </row>
    <row r="23" customFormat="false" ht="15" hidden="false" customHeight="true" outlineLevel="0" collapsed="false">
      <c r="B23" s="23" t="s">
        <v>187</v>
      </c>
      <c r="D23" s="28" t="n">
        <f aca="false">D5-D22</f>
        <v>16000000</v>
      </c>
    </row>
    <row r="24" customFormat="false" ht="15" hidden="false" customHeight="true" outlineLevel="0" collapsed="false">
      <c r="B24" s="23" t="s">
        <v>188</v>
      </c>
      <c r="D24" s="34" t="n">
        <f aca="false">IF((D12-D11)=0,0,D23/(D12-D11))</f>
        <v>1.55988857938719</v>
      </c>
    </row>
    <row r="25" customFormat="false" ht="15" hidden="false" customHeight="true" outlineLevel="0" collapsed="false">
      <c r="B25" s="23" t="s">
        <v>189</v>
      </c>
      <c r="D25" s="34" t="n">
        <f aca="false">IF(D11=0,0,D22/D11)</f>
        <v>1.55988857938719</v>
      </c>
    </row>
    <row r="27" customFormat="false" ht="18" hidden="false" customHeight="true" outlineLevel="0" collapsed="false">
      <c r="A27" s="4" t="s">
        <v>190</v>
      </c>
      <c r="B27" s="4"/>
      <c r="C27" s="4"/>
      <c r="D27" s="4"/>
      <c r="E27" s="4"/>
    </row>
    <row r="28" customFormat="false" ht="27.75" hidden="false" customHeight="true" outlineLevel="0" collapsed="false">
      <c r="B28" s="15" t="s">
        <v>191</v>
      </c>
      <c r="C28" s="15" t="s">
        <v>57</v>
      </c>
      <c r="D28" s="15" t="s">
        <v>192</v>
      </c>
      <c r="E28" s="15" t="s">
        <v>193</v>
      </c>
    </row>
    <row r="29" customFormat="false" ht="15" hidden="false" customHeight="true" outlineLevel="0" collapsed="false">
      <c r="B29" s="23" t="s">
        <v>194</v>
      </c>
      <c r="C29" s="35" t="n">
        <f aca="false">D13</f>
        <v>8000000</v>
      </c>
      <c r="D29" s="28" t="n">
        <f aca="false">C29*$D$24</f>
        <v>12479108.6350975</v>
      </c>
      <c r="E29" s="34" t="n">
        <f aca="false">$D$24</f>
        <v>1.55988857938719</v>
      </c>
    </row>
    <row r="30" customFormat="false" ht="15" hidden="false" customHeight="true" outlineLevel="0" collapsed="false">
      <c r="B30" s="23" t="s">
        <v>195</v>
      </c>
      <c r="C30" s="35" t="n">
        <f aca="false">D14</f>
        <v>0</v>
      </c>
      <c r="D30" s="28" t="n">
        <f aca="false">C30*$D$24</f>
        <v>0</v>
      </c>
      <c r="E30" s="34" t="n">
        <f aca="false">$D$24</f>
        <v>1.55988857938719</v>
      </c>
    </row>
    <row r="31" customFormat="false" ht="15" hidden="false" customHeight="true" outlineLevel="0" collapsed="false">
      <c r="B31" s="23" t="s">
        <v>196</v>
      </c>
      <c r="C31" s="35" t="n">
        <f aca="false">D15</f>
        <v>1282142.85714286</v>
      </c>
      <c r="D31" s="28" t="n">
        <f aca="false">C31*$D$24</f>
        <v>2000000</v>
      </c>
      <c r="E31" s="34" t="n">
        <f aca="false">$D$24</f>
        <v>1.55988857938719</v>
      </c>
    </row>
    <row r="32" customFormat="false" ht="15" hidden="false" customHeight="true" outlineLevel="0" collapsed="false">
      <c r="B32" s="23" t="s">
        <v>197</v>
      </c>
      <c r="C32" s="35" t="n">
        <f aca="false">D16</f>
        <v>975000</v>
      </c>
      <c r="D32" s="28" t="n">
        <f aca="false">C32*$D$24</f>
        <v>1520891.36490251</v>
      </c>
      <c r="E32" s="34" t="n">
        <f aca="false">$D$24</f>
        <v>1.55988857938719</v>
      </c>
    </row>
    <row r="33" customFormat="false" ht="15" hidden="false" customHeight="true" outlineLevel="0" collapsed="false">
      <c r="B33" s="23" t="s">
        <v>198</v>
      </c>
      <c r="C33" s="35" t="n">
        <f aca="false">D11</f>
        <v>2564285.71428571</v>
      </c>
      <c r="D33" s="28" t="n">
        <f aca="false">$D$22</f>
        <v>4000000</v>
      </c>
      <c r="E33" s="34" t="n">
        <f aca="false">$D$25</f>
        <v>1.55988857938719</v>
      </c>
    </row>
    <row r="34" customFormat="false" ht="15" hidden="false" customHeight="true" outlineLevel="0" collapsed="false">
      <c r="B34" s="20" t="s">
        <v>67</v>
      </c>
      <c r="C34" s="36" t="n">
        <f aca="false">SUM(C29:C33)</f>
        <v>12821428.5714286</v>
      </c>
      <c r="D34" s="29" t="n">
        <f aca="false">SUM(D29:D33)</f>
        <v>20000000</v>
      </c>
      <c r="E34" s="19"/>
    </row>
    <row r="35" customFormat="false" ht="15" hidden="false" customHeight="true" outlineLevel="0" collapsed="false">
      <c r="B35" s="23" t="s">
        <v>199</v>
      </c>
      <c r="D35" s="23" t="str">
        <f aca="false">IF(ROUND(D34-$D$5,2)=0,"OK","ERROR")</f>
        <v>OK</v>
      </c>
    </row>
    <row r="37" customFormat="false" ht="18" hidden="false" customHeight="true" outlineLevel="0" collapsed="false">
      <c r="A37" s="4" t="s">
        <v>200</v>
      </c>
      <c r="B37" s="4"/>
      <c r="C37" s="4"/>
      <c r="D37" s="4"/>
    </row>
    <row r="38" customFormat="false" ht="15" hidden="false" customHeight="true" outlineLevel="0" collapsed="false">
      <c r="B38" s="23" t="s">
        <v>201</v>
      </c>
      <c r="D38" s="25" t="n">
        <v>2000000</v>
      </c>
    </row>
    <row r="39" customFormat="false" ht="15" hidden="false" customHeight="true" outlineLevel="0" collapsed="false">
      <c r="B39" s="23" t="s">
        <v>202</v>
      </c>
      <c r="D39" s="25" t="n">
        <v>20000000</v>
      </c>
    </row>
    <row r="40" customFormat="false" ht="15" hidden="false" customHeight="true" outlineLevel="0" collapsed="false">
      <c r="B40" s="23" t="s">
        <v>203</v>
      </c>
      <c r="D40" s="25" t="n">
        <v>75000000</v>
      </c>
    </row>
    <row r="42" customFormat="false" ht="18" hidden="false" customHeight="true" outlineLevel="0" collapsed="false">
      <c r="A42" s="4" t="s">
        <v>204</v>
      </c>
      <c r="B42" s="4"/>
      <c r="C42" s="4"/>
      <c r="D42" s="4"/>
      <c r="E42" s="4"/>
    </row>
    <row r="43" customFormat="false" ht="27.75" hidden="false" customHeight="true" outlineLevel="0" collapsed="false">
      <c r="B43" s="15" t="s">
        <v>191</v>
      </c>
      <c r="C43" s="15" t="s">
        <v>205</v>
      </c>
      <c r="D43" s="15" t="s">
        <v>206</v>
      </c>
      <c r="E43" s="15" t="s">
        <v>207</v>
      </c>
    </row>
    <row r="44" customFormat="false" ht="15" hidden="false" customHeight="true" outlineLevel="0" collapsed="false">
      <c r="B44" s="23" t="s">
        <v>186</v>
      </c>
      <c r="C44" s="28" t="n">
        <f aca="false">IF($D$7="Yes",MIN($D$19,$D$38)+($D$38-MIN($D$19,$D$38))*($D$11/$D$12),IF($D$38*($D$11/$D$12)&gt;$D$19,$D$38*($D$11/$D$12),MIN($D$19,$D$38)))</f>
        <v>2000000</v>
      </c>
      <c r="D44" s="28" t="n">
        <f aca="false">IF($D$7="Yes",MIN($D$19,$D$39)+($D$39-MIN($D$19,$D$39))*($D$11/$D$12),IF($D$39*($D$11/$D$12)&gt;$D$19,$D$39*($D$11/$D$12),MIN($D$19,$D$39)))</f>
        <v>4000000</v>
      </c>
      <c r="E44" s="28" t="n">
        <f aca="false">IF($D$7="Yes",MIN($D$19,$D$40)+($D$40-MIN($D$19,$D$40))*($D$11/$D$12),IF($D$40*($D$11/$D$12)&gt;$D$19,$D$40*($D$11/$D$12),MIN($D$19,$D$40)))</f>
        <v>15000000</v>
      </c>
    </row>
    <row r="45" customFormat="false" ht="15" hidden="false" customHeight="true" outlineLevel="0" collapsed="false">
      <c r="B45" s="23" t="s">
        <v>188</v>
      </c>
      <c r="C45" s="34" t="n">
        <f aca="false">IF(($D$12-$D$11)=0,0,($D$38-C44)/($D$12-$D$11))</f>
        <v>0</v>
      </c>
      <c r="D45" s="34" t="n">
        <f aca="false">IF(($D$12-$D$11)=0,0,($D$39-D44)/($D$12-$D$11))</f>
        <v>1.55988857938719</v>
      </c>
      <c r="E45" s="34" t="n">
        <f aca="false">IF(($D$12-$D$11)=0,0,($D$40-E44)/($D$12-$D$11))</f>
        <v>5.84958217270195</v>
      </c>
    </row>
    <row r="47" customFormat="false" ht="15" hidden="false" customHeight="true" outlineLevel="0" collapsed="false">
      <c r="B47" s="23" t="s">
        <v>194</v>
      </c>
      <c r="C47" s="28" t="n">
        <f aca="false">$D$13*C45</f>
        <v>0</v>
      </c>
      <c r="D47" s="28" t="n">
        <f aca="false">$D$13*D45</f>
        <v>12479108.6350975</v>
      </c>
      <c r="E47" s="28" t="n">
        <f aca="false">$D$13*E45</f>
        <v>46796657.3816156</v>
      </c>
    </row>
    <row r="48" customFormat="false" ht="15" hidden="false" customHeight="true" outlineLevel="0" collapsed="false">
      <c r="B48" s="23" t="s">
        <v>195</v>
      </c>
      <c r="C48" s="28" t="n">
        <f aca="false">$D$14*C45</f>
        <v>0</v>
      </c>
      <c r="D48" s="28" t="n">
        <f aca="false">$D$14*D45</f>
        <v>0</v>
      </c>
      <c r="E48" s="28" t="n">
        <f aca="false">$D$14*E45</f>
        <v>0</v>
      </c>
    </row>
    <row r="49" customFormat="false" ht="15" hidden="false" customHeight="true" outlineLevel="0" collapsed="false">
      <c r="B49" s="23" t="s">
        <v>196</v>
      </c>
      <c r="C49" s="28" t="n">
        <f aca="false">$D$15*C45</f>
        <v>0</v>
      </c>
      <c r="D49" s="28" t="n">
        <f aca="false">$D$15*D45</f>
        <v>2000000</v>
      </c>
      <c r="E49" s="28" t="n">
        <f aca="false">$D$15*E45</f>
        <v>7500000</v>
      </c>
    </row>
    <row r="50" customFormat="false" ht="15" hidden="false" customHeight="true" outlineLevel="0" collapsed="false">
      <c r="B50" s="23" t="s">
        <v>197</v>
      </c>
      <c r="C50" s="28" t="n">
        <f aca="false">$D$16*C45</f>
        <v>0</v>
      </c>
      <c r="D50" s="28" t="n">
        <f aca="false">$D$16*D45</f>
        <v>1520891.36490251</v>
      </c>
      <c r="E50" s="28" t="n">
        <f aca="false">$D$16*E45</f>
        <v>5703342.6183844</v>
      </c>
    </row>
    <row r="51" customFormat="false" ht="15" hidden="false" customHeight="true" outlineLevel="0" collapsed="false">
      <c r="B51" s="23" t="s">
        <v>208</v>
      </c>
      <c r="C51" s="28" t="n">
        <f aca="false">C44</f>
        <v>2000000</v>
      </c>
      <c r="D51" s="28" t="n">
        <f aca="false">D44</f>
        <v>4000000</v>
      </c>
      <c r="E51" s="28" t="n">
        <f aca="false">E44</f>
        <v>15000000</v>
      </c>
    </row>
    <row r="52" customFormat="false" ht="15" hidden="false" customHeight="true" outlineLevel="0" collapsed="false">
      <c r="B52" s="20" t="s">
        <v>67</v>
      </c>
      <c r="C52" s="29" t="n">
        <f aca="false">SUM(C47:C51)</f>
        <v>2000000</v>
      </c>
      <c r="D52" s="29" t="n">
        <f aca="false">SUM(D47:D51)</f>
        <v>20000000</v>
      </c>
      <c r="E52" s="29" t="n">
        <f aca="false">SUM(E47:E51)</f>
        <v>75000000</v>
      </c>
    </row>
    <row r="54" customFormat="false" ht="33.75" hidden="false" customHeight="true" outlineLevel="0" collapsed="false">
      <c r="A54" s="5" t="s">
        <v>209</v>
      </c>
      <c r="B54" s="5"/>
      <c r="C54" s="5"/>
      <c r="D54" s="5"/>
      <c r="E54" s="5"/>
    </row>
  </sheetData>
  <mergeCells count="9">
    <mergeCell ref="A1:E1"/>
    <mergeCell ref="A2:E2"/>
    <mergeCell ref="A4:D4"/>
    <mergeCell ref="A9:D9"/>
    <mergeCell ref="A18:D18"/>
    <mergeCell ref="A27:E27"/>
    <mergeCell ref="A37:D37"/>
    <mergeCell ref="A42:E42"/>
    <mergeCell ref="A54:E54"/>
  </mergeCells>
  <dataValidations count="1">
    <dataValidation allowBlank="false" errorStyle="stop" operator="between" showDropDown="false" showErrorMessage="false" showInputMessage="false" sqref="D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2026-09-17T09:08:40Z</dcterms:created>
  <dc:creator>openpyxl</dc:creator>
  <dc:description/>
  <dc:language>en-US</dc:language>
  <cp:lastModifiedBy/>
  <dcterms:modified xsi:type="dcterms:W3CDTF">2026-09-18T13:07:41Z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