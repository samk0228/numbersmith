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Monthly" sheetId="3" state="visible" r:id="rId5"/>
    <sheet name="Annual" sheetId="4" state="visible" r:id="rId6"/>
    <sheet name="Unit Economics" sheetId="5" state="visible" r:id="rId7"/>
    <sheet name="Runway &amp; Raise" sheetId="6" state="visible" r:id="rId8"/>
    <sheet name="Char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<sst xmlns="http://schemas.openxmlformats.org/spreadsheetml/2006/main" count="226" uniqueCount="189">
  <si>
    <t xml:space="preserve">Numbersmith - Startup Financial Model</t>
  </si>
  <si>
    <t xml:space="preserve">3-statement, driver-based model for pre-seed / seed founders</t>
  </si>
  <si>
    <t xml:space="preserve">WHAT THIS MODEL DOES</t>
  </si>
  <si>
    <t xml:space="preserve">This workbook builds a full 3-statement financial model (Income Statement, Balance Sheet, Cash Flow) for an early-stage startup from a small set of operating drivers: customers, price, churn, headcount, and operating spend. It projects 36 months in detail and rolls that detail up into a 5-year annual view, with Years 4-5 extrapolated from the Year-3 run-rate. Every output is a formula that traces back to the Assumptions tab, so changing one input recalculates the entire model, including the balance sheet, which balances to the penny in every year.</t>
  </si>
  <si>
    <t xml:space="preserve">HOW TO USE IT</t>
  </si>
  <si>
    <t xml:space="preserve">Start on the Assumptions tab and replace the sample numbers (a two-stream B2B SaaS company with a $2.4M raise) with your own. The Monthly tab shows the full 36-month build; the Annual tab summarizes it into a 5-year, investor-ready set of statements. Unit Economics reports CAC, LTV, the LTV:CAC ratio, and payback period; Runway &amp; Raise reports months of runway, the month cash would run out (if any), and a raise-sizing calculator with a 5x5 growth-vs-churn sensitivity grid on Year-3 revenue. Charts gives you three ready-made visuals for a deck or a data room. Nothing is locked, so you can extend any tab, add rows, or change formulas directly.</t>
  </si>
  <si>
    <t xml:space="preserve">COLOR LEGEND</t>
  </si>
  <si>
    <t xml:space="preserve">Blue font - Input cell. The only cells you should type over.</t>
  </si>
  <si>
    <t xml:space="preserve">Black font - Formula that calculates using cells on the same sheet.</t>
  </si>
  <si>
    <t xml:space="preserve">Green font - Formula that links to another sheet.</t>
  </si>
  <si>
    <t xml:space="preserve">QUICK START (6 STEPS)</t>
  </si>
  <si>
    <t xml:space="preserve">1. Open the Assumptions tab. Update General, Revenue Streams 1-2, and the Cash Minimum Threshold.</t>
  </si>
  <si>
    <t xml:space="preserve">2. Fill in your Headcount Plan (role, start month, fully-loaded monthly cost, count) - add or remove rows as needed, keeping the Monthly tab's SUMPRODUCT ranges pointed at the full table.</t>
  </si>
  <si>
    <t xml:space="preserve">3. Set Opex, Capex &amp; Depreciation, and Working Capital (DSO / DPO / deferred revenue days).</t>
  </si>
  <si>
    <t xml:space="preserve">4. Enter your Financing plan: equity raise amount and month, and an optional loan (amount, start month, rate, term). Set the Year 4-5 growth assumptions.</t>
  </si>
  <si>
    <t xml:space="preserve">5. Review the Monthly and Annual tabs. Confirm the Balance Check row on Annual reads 0.00 in every year and that the Monthly cash flag row stays clear of BELOW MIN.</t>
  </si>
  <si>
    <t xml:space="preserve">6. Check Unit Economics and Runway &amp; Raise, then pull the charts on the Charts tab into your deck or data room.</t>
  </si>
  <si>
    <t xml:space="preserve">Built by Numbersmith with AI assistance. Formulas are open; nothing is hidden or locked.</t>
  </si>
  <si>
    <t xml:space="preserve">For education and planning only, not financial advice.</t>
  </si>
  <si>
    <t xml:space="preserve">Assumptions</t>
  </si>
  <si>
    <t xml:space="preserve">All inputs for the model live on this sheet only. Blue font = input cell. Figures below are illustrative starting values for a sample B2B SaaS pre-seed company; replace with your own numbers.</t>
  </si>
  <si>
    <t xml:space="preserve">GENERAL</t>
  </si>
  <si>
    <t xml:space="preserve">Model Start Month</t>
  </si>
  <si>
    <t xml:space="preserve">Corporate Tax Rate</t>
  </si>
  <si>
    <t xml:space="preserve">Cash Minimum Warning Threshold</t>
  </si>
  <si>
    <t xml:space="preserve">Starting Cash Balance (pre-raise)</t>
  </si>
  <si>
    <t xml:space="preserve">REVENUE - STREAM 1 (Core Platform Subscription)</t>
  </si>
  <si>
    <t xml:space="preserve">Starting Customers (Month 1 beginning balance)</t>
  </si>
  <si>
    <t xml:space="preserve">Month 1 New Customers</t>
  </si>
  <si>
    <t xml:space="preserve">Monthly Growth in New Customers %</t>
  </si>
  <si>
    <t xml:space="preserve">Monthly Churn %</t>
  </si>
  <si>
    <t xml:space="preserve">Price per Customer / Month</t>
  </si>
  <si>
    <t xml:space="preserve">COGS % of Revenue</t>
  </si>
  <si>
    <t xml:space="preserve">REVENUE - STREAM 2 (Add-on Services)</t>
  </si>
  <si>
    <t xml:space="preserve">HEADCOUNT PLAN</t>
  </si>
  <si>
    <t xml:space="preserve">Role</t>
  </si>
  <si>
    <t xml:space="preserve">Start Month (#)</t>
  </si>
  <si>
    <t xml:space="preserve">Fully-Loaded Cost / Mo</t>
  </si>
  <si>
    <t xml:space="preserve">Count</t>
  </si>
  <si>
    <t xml:space="preserve">Founder / CEO</t>
  </si>
  <si>
    <t xml:space="preserve">Founder / CTO</t>
  </si>
  <si>
    <t xml:space="preserve">Engineer</t>
  </si>
  <si>
    <t xml:space="preserve">Sales Lead</t>
  </si>
  <si>
    <t xml:space="preserve">Customer Success</t>
  </si>
  <si>
    <t xml:space="preserve">Marketing Manager</t>
  </si>
  <si>
    <t xml:space="preserve">Sales Rep</t>
  </si>
  <si>
    <t xml:space="preserve">Finance / Ops</t>
  </si>
  <si>
    <t xml:space="preserve">OPERATING EXPENSES</t>
  </si>
  <si>
    <t xml:space="preserve">Rent ($ / month)</t>
  </si>
  <si>
    <t xml:space="preserve">Software &amp; Tools ($ / month)</t>
  </si>
  <si>
    <t xml:space="preserve">Marketing (% of Revenue)</t>
  </si>
  <si>
    <t xml:space="preserve">Other G&amp;A ($ / month)</t>
  </si>
  <si>
    <t xml:space="preserve">CAPEX &amp; DEPRECIATION</t>
  </si>
  <si>
    <t xml:space="preserve">Monthly Capex ($)</t>
  </si>
  <si>
    <t xml:space="preserve">Depreciation Life (months)</t>
  </si>
  <si>
    <t xml:space="preserve">Life set &gt;= 36-month model horizon so straight-line D&amp;A on cumulative gross PP&amp;E exactly equals vintage depreciation (no asset fully depreciates inside the model window).</t>
  </si>
  <si>
    <t xml:space="preserve">WORKING CAPITAL</t>
  </si>
  <si>
    <t xml:space="preserve">Days Sales Outstanding (DSO)</t>
  </si>
  <si>
    <t xml:space="preserve">Days Payable Outstanding (DPO)</t>
  </si>
  <si>
    <t xml:space="preserve">Deferred Revenue Days</t>
  </si>
  <si>
    <t xml:space="preserve">FINANCING</t>
  </si>
  <si>
    <t xml:space="preserve">Equity Raise Amount</t>
  </si>
  <si>
    <t xml:space="preserve">Equity Raise Month (#)</t>
  </si>
  <si>
    <t xml:space="preserve">Loan Amount (optional, 0 = none)</t>
  </si>
  <si>
    <t xml:space="preserve">Loan Start Month (#)</t>
  </si>
  <si>
    <t xml:space="preserve">Loan Annual Interest Rate</t>
  </si>
  <si>
    <t xml:space="preserve">Loan Term (months)</t>
  </si>
  <si>
    <t xml:space="preserve">YEAR 4-5 EXTRAPOLATION (applied to Year-3 run-rate)</t>
  </si>
  <si>
    <t xml:space="preserve">Year 4 Annual Revenue Growth % (vs. Year 3)</t>
  </si>
  <si>
    <t xml:space="preserve">Year 5 Annual Revenue Growth % (vs. Year 4)</t>
  </si>
  <si>
    <t xml:space="preserve">Monthly Model - 36 Months</t>
  </si>
  <si>
    <t xml:space="preserve">Month #</t>
  </si>
  <si>
    <t xml:space="preserve">Calendar Month</t>
  </si>
  <si>
    <t xml:space="preserve">CUSTOMERS</t>
  </si>
  <si>
    <t xml:space="preserve">Stream 1 - New Customers</t>
  </si>
  <si>
    <t xml:space="preserve">Stream 1 - Ending Customers</t>
  </si>
  <si>
    <t xml:space="preserve">Stream 2 - New Customers</t>
  </si>
  <si>
    <t xml:space="preserve">Stream 2 - Ending Customers</t>
  </si>
  <si>
    <t xml:space="preserve">REVENUE</t>
  </si>
  <si>
    <t xml:space="preserve">Stream 1 Revenue</t>
  </si>
  <si>
    <t xml:space="preserve">Stream 2 Revenue</t>
  </si>
  <si>
    <t xml:space="preserve">Total Revenue</t>
  </si>
  <si>
    <t xml:space="preserve">COGS &amp; GROSS PROFIT</t>
  </si>
  <si>
    <t xml:space="preserve">Stream 1 COGS</t>
  </si>
  <si>
    <t xml:space="preserve">Stream 2 COGS</t>
  </si>
  <si>
    <t xml:space="preserve">Total COGS</t>
  </si>
  <si>
    <t xml:space="preserve">Gross Profit</t>
  </si>
  <si>
    <t xml:space="preserve">Gross Margin %</t>
  </si>
  <si>
    <t xml:space="preserve">HEADCOUNT &amp; OPERATING EXPENSES</t>
  </si>
  <si>
    <t xml:space="preserve">Headcount Count</t>
  </si>
  <si>
    <t xml:space="preserve">Headcount Cost</t>
  </si>
  <si>
    <t xml:space="preserve">Rent</t>
  </si>
  <si>
    <t xml:space="preserve">Software &amp; Tools</t>
  </si>
  <si>
    <t xml:space="preserve">Other G&amp;A</t>
  </si>
  <si>
    <t xml:space="preserve">Total Operating Expenses</t>
  </si>
  <si>
    <t xml:space="preserve">EBITDA TO NET INCOME</t>
  </si>
  <si>
    <t xml:space="preserve">EBITDA</t>
  </si>
  <si>
    <t xml:space="preserve">Capex</t>
  </si>
  <si>
    <t xml:space="preserve">PP&amp;E, Gross (cumulative)</t>
  </si>
  <si>
    <t xml:space="preserve">Depreciation &amp; Amortization</t>
  </si>
  <si>
    <t xml:space="preserve">Accumulated Depreciation</t>
  </si>
  <si>
    <t xml:space="preserve">PP&amp;E, Net</t>
  </si>
  <si>
    <t xml:space="preserve">EBIT</t>
  </si>
  <si>
    <t xml:space="preserve">Debt Balance, Beginning</t>
  </si>
  <si>
    <t xml:space="preserve">Interest Expense</t>
  </si>
  <si>
    <t xml:space="preserve">Debt Principal Payment</t>
  </si>
  <si>
    <t xml:space="preserve">Debt Balance, Ending</t>
  </si>
  <si>
    <t xml:space="preserve">EBT (Pre-Tax Income)</t>
  </si>
  <si>
    <t xml:space="preserve">Taxes</t>
  </si>
  <si>
    <t xml:space="preserve">Net Income</t>
  </si>
  <si>
    <t xml:space="preserve">Accounts Receivable Balance</t>
  </si>
  <si>
    <t xml:space="preserve">Accounts Payable Balance</t>
  </si>
  <si>
    <t xml:space="preserve">Deferred Revenue Balance</t>
  </si>
  <si>
    <t xml:space="preserve">Change in AR (cash impact)</t>
  </si>
  <si>
    <t xml:space="preserve">Change in AP (cash impact)</t>
  </si>
  <si>
    <t xml:space="preserve">Change in Deferred Revenue (cash impact)</t>
  </si>
  <si>
    <t xml:space="preserve">Net Change in Working Capital (cash impact)</t>
  </si>
  <si>
    <t xml:space="preserve">CASH FLOW &amp; ENDING CASH</t>
  </si>
  <si>
    <t xml:space="preserve">+ Depreciation &amp; Amortization</t>
  </si>
  <si>
    <t xml:space="preserve">- Capex</t>
  </si>
  <si>
    <t xml:space="preserve">+/- Net Change in Working Capital</t>
  </si>
  <si>
    <t xml:space="preserve">+ Equity Raised</t>
  </si>
  <si>
    <t xml:space="preserve">+ Loan Proceeds</t>
  </si>
  <si>
    <t xml:space="preserve">- Loan Principal Repayment</t>
  </si>
  <si>
    <t xml:space="preserve">Net Change in Cash</t>
  </si>
  <si>
    <t xml:space="preserve">Beginning Cash</t>
  </si>
  <si>
    <t xml:space="preserve">Ending Cash</t>
  </si>
  <si>
    <t xml:space="preserve">Cash Flag (Below Minimum?)</t>
  </si>
  <si>
    <t xml:space="preserve">Annual Summary - Years 1-5</t>
  </si>
  <si>
    <t xml:space="preserve">Years 1-3 aggregate the 36-month detail on the Monthly tab. Years 4-5 extrapolate from the Year-3 run-rate using the growth assumptions on the Assumptions tab.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</si>
  <si>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</si>
  <si>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</si>
  <si>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</si>
  <si>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</si>
  <si>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</si>
  <si>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INCOME STATEMENT</t>
  </si>
  <si>
    <t xml:space="preserve">Net Margin %</t>
  </si>
  <si>
    <t xml:space="preserve">BALANCE SHEET (Year-End)</t>
  </si>
  <si>
    <t xml:space="preserve">Cash</t>
  </si>
  <si>
    <t xml:space="preserve">Accounts Receivable</t>
  </si>
  <si>
    <t xml:space="preserve">Total Assets</t>
  </si>
  <si>
    <t xml:space="preserve">Accounts Payable</t>
  </si>
  <si>
    <t xml:space="preserve">Deferred Revenue</t>
  </si>
  <si>
    <t xml:space="preserve">Debt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</si>
  <si>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</si>
  <si>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</si>
  <si>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</si>
  <si>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</si>
  <si>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</si>
  <si>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Balance Check (Assets - Liab. &amp; Equity)</t>
  </si>
  <si>
    <t xml:space="preserve">CASH FLOW STATEMENT</t>
  </si>
  <si>
    <t xml:space="preserve">Change in Accounts Receivable</t>
  </si>
  <si>
    <t xml:space="preserve">Change in Accounts Payable</t>
  </si>
  <si>
    <t xml:space="preserve">Change in Deferred Revenue</t>
  </si>
  <si>
    <t xml:space="preserve">Unit Economics</t>
  </si>
  <si>
    <t xml:space="preserve">CAC = marketing spend / new customers added. LTV = ARPU x gross margin % / monthly churn %. Blended figures weight the two revenue streams by their ending customer counts.</t>
  </si>
  <si>
    <t xml:space="preserve">CUSTOMER ACQUISITION COST</t>
  </si>
  <si>
    <t xml:space="preserve">Marketing Spend</t>
  </si>
  <si>
    <t xml:space="preserve">New Customers Added</t>
  </si>
  <si>
    <t xml:space="preserve">CAC (Customer Acquisition Cost)</t>
  </si>
  <si>
    <t xml:space="preserve">LIFETIME VALUE</t>
  </si>
  <si>
    <t xml:space="preserve">Average Customers (period)</t>
  </si>
  <si>
    <t xml:space="preserve">ARPU, Monthly (blended)</t>
  </si>
  <si>
    <t xml:space="preserve">Blended Gross Margin %</t>
  </si>
  <si>
    <t xml:space="preserve">Blended Monthly Churn %</t>
  </si>
  <si>
    <t xml:space="preserve">LTV (Lifetime Value)</t>
  </si>
  <si>
    <t xml:space="preserve">PAYBACK &amp; RATIO</t>
  </si>
  <si>
    <t xml:space="preserve">LTV : CAC Ratio</t>
  </si>
  <si>
    <t xml:space="preserve">CAC Payback (months)</t>
  </si>
  <si>
    <t xml:space="preserve">Runway &amp; Raise</t>
  </si>
  <si>
    <t xml:space="preserve">CURRENT POSITION &amp; RUNWAY</t>
  </si>
  <si>
    <t xml:space="preserve">Latest Ending Cash (Month 36)</t>
  </si>
  <si>
    <t xml:space="preserve">Trailing 3-Month Average Monthly Burn</t>
  </si>
  <si>
    <t xml:space="preserve">Months of Runway at Current Burn</t>
  </si>
  <si>
    <t xml:space="preserve">Cash-Out Month (within 36-Month Model)</t>
  </si>
  <si>
    <t xml:space="preserve">RAISE SIZING</t>
  </si>
  <si>
    <t xml:space="preserve">Months of Runway Desired</t>
  </si>
  <si>
    <t xml:space="preserve">Implied Additional Raise Needed</t>
  </si>
  <si>
    <t xml:space="preserve">YEAR-3 REVENUE SENSITIVITY: NEW-CUSTOMER GROWTH % vs CHURN %</t>
  </si>
  <si>
    <t xml:space="preserve">Note - simplified closed-form (not Excel Data Table): both streams' new-customer growth and churn are overridden with the single growth/churn pair shown for the grid cell, compounded for 36 months from each stream's Month-1 new-customer count, then annualized at the Month-36 run rate. Revenue = 12 x SUM over streams of [Month-1 New Customers x (1-churn)^35 x SUM_{k=1..36}((1+growth)/(1-churn))^(k-1) x Price]. Because the override is uniform across both streams, this will not exactly equal the base-case Year-3 figure on the Annual tab, which uses each stream's own growth/churn assumption.</t>
  </si>
  <si>
    <t xml:space="preserve">Churn % (rows) \ New-Customer Growth % (columns) -&gt;</t>
  </si>
  <si>
    <t xml:space="preserve">Base Case Year-3 Revenue (from Annual tab, for reference)</t>
  </si>
  <si>
    <t xml:space="preserve">SUPPORTING CALCULATION - CASH-OUT MONTH DETECTION (not a primary output)</t>
  </si>
  <si>
    <t xml:space="preserve">Month if Ending Cash &lt; 0, else blank</t>
  </si>
  <si>
    <t xml:space="preserve">Charts</t>
  </si>
  <si>
    <t xml:space="preserve">1. Revenue by Stream - Monthly (stacked column)</t>
  </si>
  <si>
    <t xml:space="preserve">2. Ending Cash - 36 Months (line)</t>
  </si>
  <si>
    <t xml:space="preserve">3. Headcount Over Time (column)</t>
  </si>
  <si>
    <t xml:space="preserve">4. Annual Revenue &amp; Net Income - Years 1-5 (bonus, clustered column)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</si>
</sst>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-yyyy"/>
    <numFmt numFmtId="166" formatCode="0.0%"/>
    <numFmt numFmtId="167" formatCode="\$#,##0;&quot;($&quot;#,##0\);\-"/>
    <numFmt numFmtId="168" formatCode="#,##0;\(#,##0\);\-"/>
    <numFmt numFmtId="169" formatCode="mmm\-yy"/>
    <numFmt numFmtId="170" formatCode="\$#,##0.00;&quot;($&quot;#,##0.00\);\-"/>
    <numFmt numFmtId="171" formatCode="#,##0.0"/>
    <numFmt numFmtId="172" formatCode="0.00\x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i val="true"/>
      <sz val="11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8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Stream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Monthly!A13</c:f>
              <c:strCache>
                <c:ptCount val="1"/>
                <c:pt idx="0">
                  <c:v>Stream 1 Revenue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Monthly!$B$3:$AK$3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Monthly!$B$13:$AK$13</c:f>
              <c:numCache>
                <c:formatCode>\$#,##0;"($"#,##0\);\-</c:formatCode>
                <c:ptCount val="36"/>
                <c:pt idx="0">
                  <c:v>10000</c:v>
                </c:pt>
                <c:pt idx="1">
                  <c:v>20200</c:v>
                </c:pt>
                <c:pt idx="2">
                  <c:v>30628</c:v>
                </c:pt>
                <c:pt idx="3">
                  <c:v>41313.04</c:v>
                </c:pt>
                <c:pt idx="4">
                  <c:v>52285.288</c:v>
                </c:pt>
                <c:pt idx="5">
                  <c:v>63576.132256</c:v>
                </c:pt>
                <c:pt idx="6">
                  <c:v>75218.27808832</c:v>
                </c:pt>
                <c:pt idx="7">
                  <c:v>87245.8495547008</c:v>
                </c:pt>
                <c:pt idx="8">
                  <c:v>99694.4963178212</c:v>
                </c:pt>
                <c:pt idx="9">
                  <c:v>112601.506055135</c:v>
                </c:pt>
                <c:pt idx="10">
                  <c:v>126005.922778358</c:v>
                </c:pt>
                <c:pt idx="11">
                  <c:v>139948.671450578</c:v>
                </c:pt>
                <c:pt idx="12">
                  <c:v>154472.689310911</c:v>
                </c:pt>
                <c:pt idx="13">
                  <c:v>169623.064339931</c:v>
                </c:pt>
                <c:pt idx="14">
                  <c:v>185447.181323878</c:v>
                </c:pt>
                <c:pt idx="15">
                  <c:v>201994.87600192</c:v>
                </c:pt>
                <c:pt idx="16">
                  <c:v>219318.5978087</c:v>
                </c:pt>
                <c:pt idx="17">
                  <c:v>237473.58175402</c:v>
                </c:pt>
                <c:pt idx="18">
                  <c:v>256518.030012987</c:v>
                </c:pt>
                <c:pt idx="19">
                  <c:v>276513.303833344</c:v>
                </c:pt>
                <c:pt idx="20">
                  <c:v>297524.126402139</c:v>
                </c:pt>
                <c:pt idx="21">
                  <c:v>319618.797351509</c:v>
                </c:pt>
                <c:pt idx="22">
                  <c:v>342869.419623232</c:v>
                </c:pt>
                <c:pt idx="23">
                  <c:v>367352.139454034</c:v>
                </c:pt>
                <c:pt idx="24">
                  <c:v>393147.400288547</c:v>
                </c:pt>
                <c:pt idx="25">
                  <c:v>420340.21147444</c:v>
                </c:pt>
                <c:pt idx="26">
                  <c:v>449020.432644743</c:v>
                </c:pt>
                <c:pt idx="27">
                  <c:v>479283.074745991</c:v>
                </c:pt>
                <c:pt idx="28">
                  <c:v>511228.618727612</c:v>
                </c:pt>
                <c:pt idx="29">
                  <c:v>544963.352968255</c:v>
                </c:pt>
                <c:pt idx="30">
                  <c:v>580599.730578657</c:v>
                </c:pt>
                <c:pt idx="31">
                  <c:v>618256.747788392</c:v>
                </c:pt>
                <c:pt idx="32">
                  <c:v>658060.344695709</c:v>
                </c:pt>
                <c:pt idx="33">
                  <c:v>700143.829735866</c:v>
                </c:pt>
                <c:pt idx="34">
                  <c:v>744648.329304095</c:v>
                </c:pt>
                <c:pt idx="35">
                  <c:v>791723.264055054</c:v>
                </c:pt>
              </c:numCache>
            </c:numRef>
          </c:val>
        </c:ser>
        <c:ser>
          <c:idx val="1"/>
          <c:order val="1"/>
          <c:tx>
            <c:strRef>
              <c:f>Monthly!A14</c:f>
              <c:strCache>
                <c:ptCount val="1"/>
                <c:pt idx="0">
                  <c:v>Stream 2 Revenue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Monthly!$B$3:$AK$3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Monthly!$B$14:$AK$14</c:f>
              <c:numCache>
                <c:formatCode>\$#,##0;"($"#,##0\);\-</c:formatCode>
                <c:ptCount val="36"/>
                <c:pt idx="0">
                  <c:v>1440</c:v>
                </c:pt>
                <c:pt idx="1">
                  <c:v>2872.8</c:v>
                </c:pt>
                <c:pt idx="2">
                  <c:v>4302.396</c:v>
                </c:pt>
                <c:pt idx="3">
                  <c:v>5732.74422</c:v>
                </c:pt>
                <c:pt idx="4">
                  <c:v>7167.7722879</c:v>
                </c:pt>
                <c:pt idx="5">
                  <c:v>8611.3902620655</c:v>
                </c:pt>
                <c:pt idx="6">
                  <c:v>10067.5015201519</c:v>
                </c:pt>
                <c:pt idx="7">
                  <c:v>11540.0135451685</c:v>
                </c:pt>
                <c:pt idx="8">
                  <c:v>13032.8486392405</c:v>
                </c:pt>
                <c:pt idx="9">
                  <c:v>14549.9545950914</c:v>
                </c:pt>
                <c:pt idx="10">
                  <c:v>16095.3153549208</c:v>
                </c:pt>
                <c:pt idx="11">
                  <c:v>17672.9616860877</c:v>
                </c:pt>
                <c:pt idx="12">
                  <c:v>19286.9819028247</c:v>
                </c:pt>
                <c:pt idx="13">
                  <c:v>20941.5326631148</c:v>
                </c:pt>
                <c:pt idx="14">
                  <c:v>22640.8498698363</c:v>
                </c:pt>
                <c:pt idx="15">
                  <c:v>24389.2597053476</c:v>
                </c:pt>
                <c:pt idx="16">
                  <c:v>26191.1898288235</c:v>
                </c:pt>
                <c:pt idx="17">
                  <c:v>28051.1807658717</c:v>
                </c:pt>
                <c:pt idx="18">
                  <c:v>29973.8975202639</c:v>
                </c:pt>
                <c:pt idx="19">
                  <c:v>31964.1414379903</c:v>
                </c:pt>
                <c:pt idx="20">
                  <c:v>34026.8623543088</c:v>
                </c:pt>
                <c:pt idx="21">
                  <c:v>36167.1710550002</c:v>
                </c:pt>
                <c:pt idx="22">
                  <c:v>38390.3520836625</c:v>
                </c:pt>
                <c:pt idx="23">
                  <c:v>40701.8769275827</c:v>
                </c:pt>
                <c:pt idx="24">
                  <c:v>43107.4176155134</c:v>
                </c:pt>
                <c:pt idx="25">
                  <c:v>45612.8607615553</c:v>
                </c:pt>
                <c:pt idx="26">
                  <c:v>48224.3220903096</c:v>
                </c:pt>
                <c:pt idx="27">
                  <c:v>50948.1614795144</c:v>
                </c:pt>
                <c:pt idx="28">
                  <c:v>53790.9985575216</c:v>
                </c:pt>
                <c:pt idx="29">
                  <c:v>56759.7288942074</c:v>
                </c:pt>
                <c:pt idx="30">
                  <c:v>59861.540825243</c:v>
                </c:pt>
                <c:pt idx="31">
                  <c:v>63103.9329510824</c:v>
                </c:pt>
                <c:pt idx="32">
                  <c:v>66494.7323535621</c:v>
                </c:pt>
                <c:pt idx="33">
                  <c:v>70042.1135746448</c:v>
                </c:pt>
                <c:pt idx="34">
                  <c:v>73754.6184035944</c:v>
                </c:pt>
                <c:pt idx="35">
                  <c:v>77641.1765207296</c:v>
                </c:pt>
              </c:numCache>
            </c:numRef>
          </c:val>
        </c:ser>
        <c:gapWidth val="150"/>
        <c:overlap val="100"/>
        <c:axId val="50053384"/>
        <c:axId val="83410489"/>
      </c:barChart>
      <c:catAx>
        <c:axId val="500533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410489"/>
        <c:crosses val="autoZero"/>
        <c:auto val="1"/>
        <c:lblAlgn val="ctr"/>
        <c:lblOffset val="100"/>
        <c:noMultiLvlLbl val="0"/>
      </c:catAx>
      <c:valAx>
        <c:axId val="83410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0533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Ending Cash Over 36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Monthly!A68</c:f>
              <c:strCache>
                <c:ptCount val="1"/>
                <c:pt idx="0">
                  <c:v>Ending Cash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Monthly!$B$3:$AK$3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Monthly!$B$68:$AK$68</c:f>
              <c:numCache>
                <c:formatCode>\$#,##0;"($"#,##0\);\-</c:formatCode>
                <c:ptCount val="36"/>
                <c:pt idx="0">
                  <c:v>2364360</c:v>
                </c:pt>
                <c:pt idx="1">
                  <c:v>2323688.2</c:v>
                </c:pt>
                <c:pt idx="2">
                  <c:v>2289602.999</c:v>
                </c:pt>
                <c:pt idx="3">
                  <c:v>2252741.004055</c:v>
                </c:pt>
                <c:pt idx="4">
                  <c:v>2222757.62798198</c:v>
                </c:pt>
                <c:pt idx="5">
                  <c:v>2192827.74384347</c:v>
                </c:pt>
                <c:pt idx="6">
                  <c:v>2170146.39863302</c:v>
                </c:pt>
                <c:pt idx="7">
                  <c:v>2154929.58877629</c:v>
                </c:pt>
                <c:pt idx="8">
                  <c:v>2135915.10025935</c:v>
                </c:pt>
                <c:pt idx="9">
                  <c:v>2124863.41640342</c:v>
                </c:pt>
                <c:pt idx="10">
                  <c:v>2113558.69652316</c:v>
                </c:pt>
                <c:pt idx="11">
                  <c:v>2109894.81198545</c:v>
                </c:pt>
                <c:pt idx="12">
                  <c:v>2304893.32273095</c:v>
                </c:pt>
                <c:pt idx="13">
                  <c:v>2306034.52797246</c:v>
                </c:pt>
                <c:pt idx="14">
                  <c:v>2305723.27435131</c:v>
                </c:pt>
                <c:pt idx="15">
                  <c:v>2313372.7515094</c:v>
                </c:pt>
                <c:pt idx="16">
                  <c:v>2329335.65424267</c:v>
                </c:pt>
                <c:pt idx="17">
                  <c:v>2347670.42357893</c:v>
                </c:pt>
                <c:pt idx="18">
                  <c:v>2375102.57104948</c:v>
                </c:pt>
                <c:pt idx="19">
                  <c:v>2412066.09069836</c:v>
                </c:pt>
                <c:pt idx="20">
                  <c:v>2452309.96366277</c:v>
                </c:pt>
                <c:pt idx="21">
                  <c:v>2503044.76046458</c:v>
                </c:pt>
                <c:pt idx="22">
                  <c:v>2564799.34647651</c:v>
                </c:pt>
                <c:pt idx="23">
                  <c:v>2638137.69636889</c:v>
                </c:pt>
                <c:pt idx="24">
                  <c:v>2723660.82370459</c:v>
                </c:pt>
                <c:pt idx="25">
                  <c:v>2822008.83223302</c:v>
                </c:pt>
                <c:pt idx="26">
                  <c:v>2933863.0958386</c:v>
                </c:pt>
                <c:pt idx="27">
                  <c:v>3059948.57452809</c:v>
                </c:pt>
                <c:pt idx="28">
                  <c:v>3201036.2742944</c:v>
                </c:pt>
                <c:pt idx="29">
                  <c:v>3357945.85917471</c:v>
                </c:pt>
                <c:pt idx="30">
                  <c:v>3531548.42432883</c:v>
                </c:pt>
                <c:pt idx="31">
                  <c:v>3722769.43950171</c:v>
                </c:pt>
                <c:pt idx="32">
                  <c:v>3932591.87280355</c:v>
                </c:pt>
                <c:pt idx="33">
                  <c:v>4162059.50534414</c:v>
                </c:pt>
                <c:pt idx="34">
                  <c:v>4412280.44789679</c:v>
                </c:pt>
                <c:pt idx="35">
                  <c:v>4684430.87144354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879206"/>
        <c:axId val="92790597"/>
      </c:lineChart>
      <c:catAx>
        <c:axId val="718792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790597"/>
        <c:crosses val="autoZero"/>
        <c:auto val="1"/>
        <c:lblAlgn val="ctr"/>
        <c:lblOffset val="100"/>
        <c:noMultiLvlLbl val="0"/>
      </c:catAx>
      <c:valAx>
        <c:axId val="92790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Cash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8792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Headcount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Monthly!A25</c:f>
              <c:strCache>
                <c:ptCount val="1"/>
                <c:pt idx="0">
                  <c:v>Headcount 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Monthly!$B$3:$AK$3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Monthly!$B$25:$AK$25</c:f>
              <c:numCache>
                <c:formatCode>#,##0;\(#,##0\);\-</c:formatCode>
                <c:ptCount val="3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</c:numCache>
            </c:numRef>
          </c:val>
        </c:ser>
        <c:gapWidth val="150"/>
        <c:overlap val="0"/>
        <c:axId val="63751341"/>
        <c:axId val="96840026"/>
      </c:barChart>
      <c:catAx>
        <c:axId val="637513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840026"/>
        <c:crosses val="autoZero"/>
        <c:auto val="1"/>
        <c:lblAlgn val="ctr"/>
        <c:lblOffset val="100"/>
        <c:noMultiLvlLbl val="0"/>
      </c:catAx>
      <c:valAx>
        <c:axId val="96840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Headcount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7513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Annual Revenue &amp; 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Annual!A6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Annual!$B$3:$F$3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Annual!$B$6:$F$6</c:f>
              <c:numCache>
                <c:formatCode>\$#,##0;"($"#,##0\);\-</c:formatCode>
                <c:ptCount val="5"/>
                <c:pt idx="0">
                  <c:v>971802.88261154</c:v>
                </c:pt>
                <c:pt idx="1">
                  <c:v>3381451.10333123</c:v>
                </c:pt>
                <c:pt idx="2">
                  <c:v>7600756.94103484</c:v>
                </c:pt>
                <c:pt idx="3">
                  <c:v>11781173.258604</c:v>
                </c:pt>
                <c:pt idx="4">
                  <c:v>16493642.5620456</c:v>
                </c:pt>
              </c:numCache>
            </c:numRef>
          </c:val>
        </c:ser>
        <c:ser>
          <c:idx val="1"/>
          <c:order val="1"/>
          <c:tx>
            <c:strRef>
              <c:f>Annual!A17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Annual!$B$3:$F$3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Annual!$B$17:$F$17</c:f>
              <c:numCache>
                <c:formatCode>\$#,##0;"($"#,##0\);\-</c:formatCode>
                <c:ptCount val="5"/>
                <c:pt idx="0">
                  <c:v>-209778.372728839</c:v>
                </c:pt>
                <c:pt idx="1">
                  <c:v>528894.222954915</c:v>
                </c:pt>
                <c:pt idx="2">
                  <c:v>2304451.75984527</c:v>
                </c:pt>
                <c:pt idx="3">
                  <c:v>3577869.66526017</c:v>
                </c:pt>
                <c:pt idx="4">
                  <c:v>5009017.53136423</c:v>
                </c:pt>
              </c:numCache>
            </c:numRef>
          </c:val>
        </c:ser>
        <c:gapWidth val="150"/>
        <c:overlap val="0"/>
        <c:axId val="62373110"/>
        <c:axId val="96575639"/>
      </c:barChart>
      <c:catAx>
        <c:axId val="623731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575639"/>
        <c:crosses val="autoZero"/>
        <c:auto val="1"/>
        <c:lblAlgn val="ctr"/>
        <c:lblOffset val="100"/>
        <c:noMultiLvlLbl val="0"/>
      </c:catAx>
      <c:valAx>
        <c:axId val="96575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3731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13</xdr:col>
      <xdr:colOff>313920</xdr:colOff>
      <xdr:row>20</xdr:row>
      <xdr:rowOff>360</xdr:rowOff>
    </xdr:to>
    <xdr:graphicFrame>
      <xdr:nvGraphicFramePr>
        <xdr:cNvPr id="1" name="Chart 1"/>
        <xdr:cNvGraphicFramePr/>
      </xdr:nvGraphicFramePr>
      <xdr:xfrm>
        <a:off x="0" y="600120"/>
        <a:ext cx="863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13</xdr:col>
      <xdr:colOff>313920</xdr:colOff>
      <xdr:row>38</xdr:row>
      <xdr:rowOff>360</xdr:rowOff>
    </xdr:to>
    <xdr:graphicFrame>
      <xdr:nvGraphicFramePr>
        <xdr:cNvPr id="2" name="Chart 2"/>
        <xdr:cNvGraphicFramePr/>
      </xdr:nvGraphicFramePr>
      <xdr:xfrm>
        <a:off x="0" y="4029120"/>
        <a:ext cx="863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13</xdr:col>
      <xdr:colOff>313920</xdr:colOff>
      <xdr:row>56</xdr:row>
      <xdr:rowOff>360</xdr:rowOff>
    </xdr:to>
    <xdr:graphicFrame>
      <xdr:nvGraphicFramePr>
        <xdr:cNvPr id="3" name="Chart 3"/>
        <xdr:cNvGraphicFramePr/>
      </xdr:nvGraphicFramePr>
      <xdr:xfrm>
        <a:off x="0" y="7458120"/>
        <a:ext cx="863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57</xdr:row>
      <xdr:rowOff>0</xdr:rowOff>
    </xdr:from>
    <xdr:to>
      <xdr:col>13</xdr:col>
      <xdr:colOff>313920</xdr:colOff>
      <xdr:row>74</xdr:row>
      <xdr:rowOff>360</xdr:rowOff>
    </xdr:to>
    <xdr:graphicFrame>
      <xdr:nvGraphicFramePr>
        <xdr:cNvPr id="4" name="Chart 4"/>
        <xdr:cNvGraphicFramePr/>
      </xdr:nvGraphicFramePr>
      <xdr:xfrm>
        <a:off x="0" y="10887120"/>
        <a:ext cx="863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0"/>
  </cols>
  <sheetData>
    <row r="1" customFormat="false" ht="25.5" hidden="false" customHeight="true" outlineLevel="0" collapsed="false">
      <c r="B1" s="2" t="s">
        <v>0</v>
      </c>
    </row>
    <row r="2" customFormat="false" ht="19.5" hidden="false" customHeight="true" outlineLevel="0" collapsed="false">
      <c r="B2" s="3" t="s">
        <v>1</v>
      </c>
    </row>
    <row r="4" customFormat="false" ht="18" hidden="false" customHeight="true" outlineLevel="0" collapsed="false">
      <c r="A4" s="4" t="s">
        <v>2</v>
      </c>
      <c r="B4" s="4"/>
    </row>
    <row r="5" customFormat="false" ht="78" hidden="false" customHeight="true" outlineLevel="0" collapsed="false">
      <c r="B5" s="5" t="s">
        <v>3</v>
      </c>
    </row>
    <row r="7" customFormat="false" ht="18" hidden="false" customHeight="true" outlineLevel="0" collapsed="false">
      <c r="A7" s="4" t="s">
        <v>4</v>
      </c>
      <c r="B7" s="4"/>
    </row>
    <row r="8" customFormat="false" ht="91.5" hidden="false" customHeight="true" outlineLevel="0" collapsed="false">
      <c r="B8" s="5" t="s">
        <v>5</v>
      </c>
    </row>
    <row r="10" customFormat="false" ht="18" hidden="false" customHeight="true" outlineLevel="0" collapsed="false">
      <c r="A10" s="4" t="s">
        <v>6</v>
      </c>
      <c r="B10" s="4"/>
    </row>
    <row r="11" customFormat="false" ht="15" hidden="false" customHeight="true" outlineLevel="0" collapsed="false">
      <c r="B11" s="6" t="s">
        <v>7</v>
      </c>
    </row>
    <row r="12" customFormat="false" ht="15" hidden="false" customHeight="true" outlineLevel="0" collapsed="false">
      <c r="B12" s="7" t="s">
        <v>8</v>
      </c>
    </row>
    <row r="13" customFormat="false" ht="15" hidden="false" customHeight="true" outlineLevel="0" collapsed="false">
      <c r="B13" s="8" t="s">
        <v>9</v>
      </c>
    </row>
    <row r="15" customFormat="false" ht="18" hidden="false" customHeight="true" outlineLevel="0" collapsed="false">
      <c r="A15" s="4" t="s">
        <v>10</v>
      </c>
      <c r="B15" s="4"/>
    </row>
    <row r="16" customFormat="false" ht="27.75" hidden="false" customHeight="true" outlineLevel="0" collapsed="false">
      <c r="B16" s="5" t="s">
        <v>11</v>
      </c>
    </row>
    <row r="17" customFormat="false" ht="27.75" hidden="false" customHeight="true" outlineLevel="0" collapsed="false">
      <c r="B17" s="5" t="s">
        <v>12</v>
      </c>
    </row>
    <row r="18" customFormat="false" ht="27.75" hidden="false" customHeight="true" outlineLevel="0" collapsed="false">
      <c r="B18" s="5" t="s">
        <v>13</v>
      </c>
    </row>
    <row r="19" customFormat="false" ht="27.75" hidden="false" customHeight="true" outlineLevel="0" collapsed="false">
      <c r="B19" s="5" t="s">
        <v>14</v>
      </c>
    </row>
    <row r="20" customFormat="false" ht="27.75" hidden="false" customHeight="true" outlineLevel="0" collapsed="false">
      <c r="B20" s="5" t="s">
        <v>15</v>
      </c>
    </row>
    <row r="21" customFormat="false" ht="27.75" hidden="false" customHeight="true" outlineLevel="0" collapsed="false">
      <c r="B21" s="5" t="s">
        <v>16</v>
      </c>
    </row>
    <row r="23" customFormat="false" ht="19.5" hidden="false" customHeight="true" outlineLevel="0" collapsed="false">
      <c r="A23" s="9" t="s">
        <v>17</v>
      </c>
      <c r="B23" s="9"/>
    </row>
    <row r="25" customFormat="false" ht="15" hidden="false" customHeight="true" outlineLevel="0" collapsed="false">
      <c r="A25" s="9" t="s">
        <v>18</v>
      </c>
      <c r="B25" s="9"/>
    </row>
  </sheetData>
  <mergeCells count="6">
    <mergeCell ref="A4:B4"/>
    <mergeCell ref="A7:B7"/>
    <mergeCell ref="A10:B10"/>
    <mergeCell ref="A15:B15"/>
    <mergeCell ref="A23:B23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0"/>
  </cols>
  <sheetData>
    <row r="1" customFormat="false" ht="15" hidden="false" customHeight="true" outlineLevel="0" collapsed="false">
      <c r="A1" s="10" t="s">
        <v>19</v>
      </c>
    </row>
    <row r="2" customFormat="false" ht="27.75" hidden="false" customHeight="true" outlineLevel="0" collapsed="false">
      <c r="A2" s="11" t="s">
        <v>20</v>
      </c>
      <c r="B2" s="11"/>
      <c r="C2" s="11"/>
      <c r="D2" s="11"/>
      <c r="E2" s="11"/>
    </row>
    <row r="3" customFormat="false" ht="18" hidden="false" customHeight="true" outlineLevel="0" collapsed="false">
      <c r="A3" s="4" t="s">
        <v>21</v>
      </c>
      <c r="B3" s="4"/>
      <c r="C3" s="4"/>
      <c r="D3" s="4"/>
      <c r="E3" s="4"/>
    </row>
    <row r="4" customFormat="false" ht="15" hidden="false" customHeight="true" outlineLevel="0" collapsed="false">
      <c r="A4" s="12" t="s">
        <v>22</v>
      </c>
      <c r="B4" s="13" t="n">
        <v>46023</v>
      </c>
    </row>
    <row r="5" customFormat="false" ht="15" hidden="false" customHeight="true" outlineLevel="0" collapsed="false">
      <c r="A5" s="12" t="s">
        <v>23</v>
      </c>
      <c r="B5" s="14" t="n">
        <v>0.21</v>
      </c>
    </row>
    <row r="6" customFormat="false" ht="15" hidden="false" customHeight="true" outlineLevel="0" collapsed="false">
      <c r="A6" s="12" t="s">
        <v>24</v>
      </c>
      <c r="B6" s="15" t="n">
        <v>50000</v>
      </c>
    </row>
    <row r="7" customFormat="false" ht="15" hidden="false" customHeight="true" outlineLevel="0" collapsed="false">
      <c r="A7" s="12" t="s">
        <v>25</v>
      </c>
      <c r="B7" s="15" t="n">
        <v>0</v>
      </c>
    </row>
    <row r="8" customFormat="false" ht="15" hidden="false" customHeight="true" outlineLevel="0" collapsed="false"/>
    <row r="9" customFormat="false" ht="18" hidden="false" customHeight="true" outlineLevel="0" collapsed="false">
      <c r="A9" s="4" t="s">
        <v>26</v>
      </c>
      <c r="B9" s="4"/>
      <c r="C9" s="4"/>
      <c r="D9" s="4"/>
      <c r="E9" s="4"/>
    </row>
    <row r="10" customFormat="false" ht="15" hidden="false" customHeight="true" outlineLevel="0" collapsed="false">
      <c r="A10" s="12" t="s">
        <v>27</v>
      </c>
      <c r="B10" s="16" t="n">
        <v>0</v>
      </c>
    </row>
    <row r="11" customFormat="false" ht="15" hidden="false" customHeight="true" outlineLevel="0" collapsed="false">
      <c r="A11" s="12" t="s">
        <v>28</v>
      </c>
      <c r="B11" s="16" t="n">
        <v>20</v>
      </c>
    </row>
    <row r="12" customFormat="false" ht="15" hidden="false" customHeight="true" outlineLevel="0" collapsed="false">
      <c r="A12" s="12" t="s">
        <v>29</v>
      </c>
      <c r="B12" s="14" t="n">
        <v>0.06</v>
      </c>
    </row>
    <row r="13" customFormat="false" ht="15" hidden="false" customHeight="true" outlineLevel="0" collapsed="false">
      <c r="A13" s="12" t="s">
        <v>30</v>
      </c>
      <c r="B13" s="14" t="n">
        <v>0.04</v>
      </c>
    </row>
    <row r="14" customFormat="false" ht="15" hidden="false" customHeight="true" outlineLevel="0" collapsed="false">
      <c r="A14" s="12" t="s">
        <v>31</v>
      </c>
      <c r="B14" s="15" t="n">
        <v>500</v>
      </c>
    </row>
    <row r="15" customFormat="false" ht="15" hidden="false" customHeight="true" outlineLevel="0" collapsed="false">
      <c r="A15" s="12" t="s">
        <v>32</v>
      </c>
      <c r="B15" s="14" t="n">
        <v>0.18</v>
      </c>
    </row>
    <row r="16" customFormat="false" ht="15" hidden="false" customHeight="true" outlineLevel="0" collapsed="false"/>
    <row r="17" customFormat="false" ht="18" hidden="false" customHeight="true" outlineLevel="0" collapsed="false">
      <c r="A17" s="4" t="s">
        <v>33</v>
      </c>
      <c r="B17" s="4"/>
      <c r="C17" s="4"/>
      <c r="D17" s="4"/>
      <c r="E17" s="4"/>
    </row>
    <row r="18" customFormat="false" ht="15" hidden="false" customHeight="true" outlineLevel="0" collapsed="false">
      <c r="A18" s="12" t="s">
        <v>27</v>
      </c>
      <c r="B18" s="16" t="n">
        <v>0</v>
      </c>
    </row>
    <row r="19" customFormat="false" ht="15" hidden="false" customHeight="true" outlineLevel="0" collapsed="false">
      <c r="A19" s="12" t="s">
        <v>28</v>
      </c>
      <c r="B19" s="16" t="n">
        <v>8</v>
      </c>
    </row>
    <row r="20" customFormat="false" ht="15" hidden="false" customHeight="true" outlineLevel="0" collapsed="false">
      <c r="A20" s="12" t="s">
        <v>29</v>
      </c>
      <c r="B20" s="14" t="n">
        <v>0.05</v>
      </c>
    </row>
    <row r="21" customFormat="false" ht="15" hidden="false" customHeight="true" outlineLevel="0" collapsed="false">
      <c r="A21" s="12" t="s">
        <v>30</v>
      </c>
      <c r="B21" s="14" t="n">
        <v>0.055</v>
      </c>
    </row>
    <row r="22" customFormat="false" ht="15" hidden="false" customHeight="true" outlineLevel="0" collapsed="false">
      <c r="A22" s="12" t="s">
        <v>31</v>
      </c>
      <c r="B22" s="15" t="n">
        <v>180</v>
      </c>
    </row>
    <row r="23" customFormat="false" ht="15" hidden="false" customHeight="true" outlineLevel="0" collapsed="false">
      <c r="A23" s="12" t="s">
        <v>32</v>
      </c>
      <c r="B23" s="14" t="n">
        <v>0.25</v>
      </c>
    </row>
    <row r="24" customFormat="false" ht="15" hidden="false" customHeight="true" outlineLevel="0" collapsed="false"/>
    <row r="25" customFormat="false" ht="18" hidden="false" customHeight="true" outlineLevel="0" collapsed="false">
      <c r="A25" s="4" t="s">
        <v>34</v>
      </c>
      <c r="B25" s="4"/>
      <c r="C25" s="4"/>
      <c r="D25" s="4"/>
      <c r="E25" s="4"/>
    </row>
    <row r="26" customFormat="false" ht="15" hidden="false" customHeight="true" outlineLevel="0" collapsed="false">
      <c r="A26" s="17" t="s">
        <v>35</v>
      </c>
      <c r="B26" s="17" t="s">
        <v>36</v>
      </c>
      <c r="C26" s="17" t="s">
        <v>37</v>
      </c>
      <c r="D26" s="17" t="s">
        <v>38</v>
      </c>
    </row>
    <row r="27" customFormat="false" ht="15" hidden="false" customHeight="true" outlineLevel="0" collapsed="false">
      <c r="A27" s="18" t="s">
        <v>39</v>
      </c>
      <c r="B27" s="16" t="n">
        <v>1</v>
      </c>
      <c r="C27" s="15" t="n">
        <v>13000</v>
      </c>
      <c r="D27" s="16" t="n">
        <v>1</v>
      </c>
    </row>
    <row r="28" customFormat="false" ht="15" hidden="false" customHeight="true" outlineLevel="0" collapsed="false">
      <c r="A28" s="18" t="s">
        <v>40</v>
      </c>
      <c r="B28" s="16" t="n">
        <v>1</v>
      </c>
      <c r="C28" s="15" t="n">
        <v>13000</v>
      </c>
      <c r="D28" s="16" t="n">
        <v>1</v>
      </c>
    </row>
    <row r="29" customFormat="false" ht="15" hidden="false" customHeight="true" outlineLevel="0" collapsed="false">
      <c r="A29" s="18" t="s">
        <v>41</v>
      </c>
      <c r="B29" s="16" t="n">
        <v>2</v>
      </c>
      <c r="C29" s="15" t="n">
        <v>11500</v>
      </c>
      <c r="D29" s="16" t="n">
        <v>1</v>
      </c>
    </row>
    <row r="30" customFormat="false" ht="15" hidden="false" customHeight="true" outlineLevel="0" collapsed="false">
      <c r="A30" s="18" t="s">
        <v>42</v>
      </c>
      <c r="B30" s="16" t="n">
        <v>4</v>
      </c>
      <c r="C30" s="15" t="n">
        <v>9500</v>
      </c>
      <c r="D30" s="16" t="n">
        <v>1</v>
      </c>
    </row>
    <row r="31" customFormat="false" ht="15" hidden="false" customHeight="true" outlineLevel="0" collapsed="false">
      <c r="A31" s="18" t="s">
        <v>43</v>
      </c>
      <c r="B31" s="16" t="n">
        <v>6</v>
      </c>
      <c r="C31" s="15" t="n">
        <v>7000</v>
      </c>
      <c r="D31" s="16" t="n">
        <v>1</v>
      </c>
    </row>
    <row r="32" customFormat="false" ht="15" hidden="false" customHeight="true" outlineLevel="0" collapsed="false">
      <c r="A32" s="18" t="s">
        <v>41</v>
      </c>
      <c r="B32" s="16" t="n">
        <v>9</v>
      </c>
      <c r="C32" s="15" t="n">
        <v>11500</v>
      </c>
      <c r="D32" s="16" t="n">
        <v>1</v>
      </c>
    </row>
    <row r="33" customFormat="false" ht="15" hidden="false" customHeight="true" outlineLevel="0" collapsed="false">
      <c r="A33" s="18" t="s">
        <v>44</v>
      </c>
      <c r="B33" s="16" t="n">
        <v>11</v>
      </c>
      <c r="C33" s="15" t="n">
        <v>8500</v>
      </c>
      <c r="D33" s="16" t="n">
        <v>1</v>
      </c>
    </row>
    <row r="34" customFormat="false" ht="15" hidden="false" customHeight="true" outlineLevel="0" collapsed="false">
      <c r="A34" s="18" t="s">
        <v>41</v>
      </c>
      <c r="B34" s="16" t="n">
        <v>15</v>
      </c>
      <c r="C34" s="15" t="n">
        <v>11500</v>
      </c>
      <c r="D34" s="16" t="n">
        <v>1</v>
      </c>
    </row>
    <row r="35" customFormat="false" ht="15" hidden="false" customHeight="true" outlineLevel="0" collapsed="false">
      <c r="A35" s="18" t="s">
        <v>45</v>
      </c>
      <c r="B35" s="16" t="n">
        <v>18</v>
      </c>
      <c r="C35" s="15" t="n">
        <v>8000</v>
      </c>
      <c r="D35" s="16" t="n">
        <v>1</v>
      </c>
    </row>
    <row r="36" customFormat="false" ht="15" hidden="false" customHeight="true" outlineLevel="0" collapsed="false">
      <c r="A36" s="18" t="s">
        <v>46</v>
      </c>
      <c r="B36" s="16" t="n">
        <v>21</v>
      </c>
      <c r="C36" s="15" t="n">
        <v>8500</v>
      </c>
      <c r="D36" s="16" t="n">
        <v>1</v>
      </c>
    </row>
    <row r="37" customFormat="false" ht="15" hidden="false" customHeight="true" outlineLevel="0" collapsed="false"/>
    <row r="38" customFormat="false" ht="18" hidden="false" customHeight="true" outlineLevel="0" collapsed="false">
      <c r="A38" s="4" t="s">
        <v>47</v>
      </c>
      <c r="B38" s="4"/>
      <c r="C38" s="4"/>
      <c r="D38" s="4"/>
      <c r="E38" s="4"/>
    </row>
    <row r="39" customFormat="false" ht="15" hidden="false" customHeight="true" outlineLevel="0" collapsed="false">
      <c r="A39" s="12" t="s">
        <v>48</v>
      </c>
      <c r="B39" s="15" t="n">
        <v>4000</v>
      </c>
    </row>
    <row r="40" customFormat="false" ht="15" hidden="false" customHeight="true" outlineLevel="0" collapsed="false">
      <c r="A40" s="12" t="s">
        <v>49</v>
      </c>
      <c r="B40" s="15" t="n">
        <v>2500</v>
      </c>
    </row>
    <row r="41" customFormat="false" ht="15" hidden="false" customHeight="true" outlineLevel="0" collapsed="false">
      <c r="A41" s="12" t="s">
        <v>50</v>
      </c>
      <c r="B41" s="14" t="n">
        <v>0.25</v>
      </c>
    </row>
    <row r="42" customFormat="false" ht="15" hidden="false" customHeight="true" outlineLevel="0" collapsed="false">
      <c r="A42" s="12" t="s">
        <v>51</v>
      </c>
      <c r="B42" s="15" t="n">
        <v>3000</v>
      </c>
    </row>
    <row r="43" customFormat="false" ht="15" hidden="false" customHeight="true" outlineLevel="0" collapsed="false"/>
    <row r="44" customFormat="false" ht="18" hidden="false" customHeight="true" outlineLevel="0" collapsed="false">
      <c r="A44" s="4" t="s">
        <v>52</v>
      </c>
      <c r="B44" s="4"/>
      <c r="C44" s="4"/>
      <c r="D44" s="4"/>
      <c r="E44" s="4"/>
    </row>
    <row r="45" customFormat="false" ht="15" hidden="false" customHeight="true" outlineLevel="0" collapsed="false">
      <c r="A45" s="12" t="s">
        <v>53</v>
      </c>
      <c r="B45" s="15" t="n">
        <v>3000</v>
      </c>
    </row>
    <row r="46" customFormat="false" ht="39.75" hidden="false" customHeight="true" outlineLevel="0" collapsed="false">
      <c r="A46" s="12" t="s">
        <v>54</v>
      </c>
      <c r="B46" s="16" t="n">
        <v>48</v>
      </c>
      <c r="C46" s="19" t="s">
        <v>55</v>
      </c>
      <c r="D46" s="19"/>
      <c r="E46" s="19"/>
    </row>
    <row r="47" customFormat="false" ht="15" hidden="false" customHeight="true" outlineLevel="0" collapsed="false"/>
    <row r="48" customFormat="false" ht="18" hidden="false" customHeight="true" outlineLevel="0" collapsed="false">
      <c r="A48" s="4" t="s">
        <v>56</v>
      </c>
      <c r="B48" s="4"/>
      <c r="C48" s="4"/>
      <c r="D48" s="4"/>
      <c r="E48" s="4"/>
    </row>
    <row r="49" customFormat="false" ht="15" hidden="false" customHeight="true" outlineLevel="0" collapsed="false">
      <c r="A49" s="12" t="s">
        <v>57</v>
      </c>
      <c r="B49" s="16" t="n">
        <v>30</v>
      </c>
    </row>
    <row r="50" customFormat="false" ht="15" hidden="false" customHeight="true" outlineLevel="0" collapsed="false">
      <c r="A50" s="12" t="s">
        <v>58</v>
      </c>
      <c r="B50" s="16" t="n">
        <v>30</v>
      </c>
    </row>
    <row r="51" customFormat="false" ht="15" hidden="false" customHeight="true" outlineLevel="0" collapsed="false">
      <c r="A51" s="12" t="s">
        <v>59</v>
      </c>
      <c r="B51" s="16" t="n">
        <v>15</v>
      </c>
    </row>
    <row r="52" customFormat="false" ht="15" hidden="false" customHeight="true" outlineLevel="0" collapsed="false"/>
    <row r="53" customFormat="false" ht="18" hidden="false" customHeight="true" outlineLevel="0" collapsed="false">
      <c r="A53" s="4" t="s">
        <v>60</v>
      </c>
      <c r="B53" s="4"/>
      <c r="C53" s="4"/>
      <c r="D53" s="4"/>
      <c r="E53" s="4"/>
    </row>
    <row r="54" customFormat="false" ht="15" hidden="false" customHeight="true" outlineLevel="0" collapsed="false">
      <c r="A54" s="12" t="s">
        <v>61</v>
      </c>
      <c r="B54" s="15" t="n">
        <v>2400000</v>
      </c>
    </row>
    <row r="55" customFormat="false" ht="15" hidden="false" customHeight="true" outlineLevel="0" collapsed="false">
      <c r="A55" s="12" t="s">
        <v>62</v>
      </c>
      <c r="B55" s="16" t="n">
        <v>1</v>
      </c>
    </row>
    <row r="56" customFormat="false" ht="15" hidden="false" customHeight="true" outlineLevel="0" collapsed="false">
      <c r="A56" s="12" t="s">
        <v>63</v>
      </c>
      <c r="B56" s="15" t="n">
        <v>200000</v>
      </c>
    </row>
    <row r="57" customFormat="false" ht="15" hidden="false" customHeight="true" outlineLevel="0" collapsed="false">
      <c r="A57" s="12" t="s">
        <v>64</v>
      </c>
      <c r="B57" s="16" t="n">
        <v>13</v>
      </c>
    </row>
    <row r="58" customFormat="false" ht="15" hidden="false" customHeight="true" outlineLevel="0" collapsed="false">
      <c r="A58" s="12" t="s">
        <v>65</v>
      </c>
      <c r="B58" s="14" t="n">
        <v>0.09</v>
      </c>
    </row>
    <row r="59" customFormat="false" ht="15" hidden="false" customHeight="true" outlineLevel="0" collapsed="false">
      <c r="A59" s="12" t="s">
        <v>66</v>
      </c>
      <c r="B59" s="16" t="n">
        <v>24</v>
      </c>
    </row>
    <row r="60" customFormat="false" ht="15" hidden="false" customHeight="true" outlineLevel="0" collapsed="false"/>
    <row r="61" customFormat="false" ht="18" hidden="false" customHeight="true" outlineLevel="0" collapsed="false">
      <c r="A61" s="4" t="s">
        <v>67</v>
      </c>
      <c r="B61" s="4"/>
      <c r="C61" s="4"/>
      <c r="D61" s="4"/>
      <c r="E61" s="4"/>
    </row>
    <row r="62" customFormat="false" ht="15" hidden="false" customHeight="true" outlineLevel="0" collapsed="false">
      <c r="A62" s="12" t="s">
        <v>68</v>
      </c>
      <c r="B62" s="14" t="n">
        <v>0.55</v>
      </c>
    </row>
    <row r="63" customFormat="false" ht="15" hidden="false" customHeight="true" outlineLevel="0" collapsed="false">
      <c r="A63" s="12" t="s">
        <v>69</v>
      </c>
      <c r="B63" s="14" t="n">
        <v>0.4</v>
      </c>
    </row>
    <row r="64" customFormat="false" ht="15" hidden="false" customHeight="true" outlineLevel="0" collapsed="false"/>
  </sheetData>
  <mergeCells count="11">
    <mergeCell ref="A2:E2"/>
    <mergeCell ref="A3:E3"/>
    <mergeCell ref="A9:E9"/>
    <mergeCell ref="A17:E17"/>
    <mergeCell ref="A25:E25"/>
    <mergeCell ref="A38:E38"/>
    <mergeCell ref="A44:E44"/>
    <mergeCell ref="C46:E46"/>
    <mergeCell ref="A48:E48"/>
    <mergeCell ref="A53:E53"/>
    <mergeCell ref="A61:E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AK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37" min="2" style="1" width="11"/>
  </cols>
  <sheetData>
    <row r="1" customFormat="false" ht="17.25" hidden="false" customHeight="true" outlineLevel="0" collapsed="false">
      <c r="A1" s="20" t="s">
        <v>70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</row>
    <row r="3" customFormat="false" ht="15" hidden="false" customHeight="true" outlineLevel="0" collapsed="false">
      <c r="A3" s="21" t="s">
        <v>71</v>
      </c>
      <c r="B3" s="22" t="n">
        <v>1</v>
      </c>
      <c r="C3" s="22" t="n">
        <f aca="false">B3+1</f>
        <v>2</v>
      </c>
      <c r="D3" s="22" t="n">
        <f aca="false">C3+1</f>
        <v>3</v>
      </c>
      <c r="E3" s="22" t="n">
        <f aca="false">D3+1</f>
        <v>4</v>
      </c>
      <c r="F3" s="22" t="n">
        <f aca="false">E3+1</f>
        <v>5</v>
      </c>
      <c r="G3" s="22" t="n">
        <f aca="false">F3+1</f>
        <v>6</v>
      </c>
      <c r="H3" s="22" t="n">
        <f aca="false">G3+1</f>
        <v>7</v>
      </c>
      <c r="I3" s="22" t="n">
        <f aca="false">H3+1</f>
        <v>8</v>
      </c>
      <c r="J3" s="22" t="n">
        <f aca="false">I3+1</f>
        <v>9</v>
      </c>
      <c r="K3" s="22" t="n">
        <f aca="false">J3+1</f>
        <v>10</v>
      </c>
      <c r="L3" s="22" t="n">
        <f aca="false">K3+1</f>
        <v>11</v>
      </c>
      <c r="M3" s="22" t="n">
        <f aca="false">L3+1</f>
        <v>12</v>
      </c>
      <c r="N3" s="22" t="n">
        <f aca="false">M3+1</f>
        <v>13</v>
      </c>
      <c r="O3" s="22" t="n">
        <f aca="false">N3+1</f>
        <v>14</v>
      </c>
      <c r="P3" s="22" t="n">
        <f aca="false">O3+1</f>
        <v>15</v>
      </c>
      <c r="Q3" s="22" t="n">
        <f aca="false">P3+1</f>
        <v>16</v>
      </c>
      <c r="R3" s="22" t="n">
        <f aca="false">Q3+1</f>
        <v>17</v>
      </c>
      <c r="S3" s="22" t="n">
        <f aca="false">R3+1</f>
        <v>18</v>
      </c>
      <c r="T3" s="22" t="n">
        <f aca="false">S3+1</f>
        <v>19</v>
      </c>
      <c r="U3" s="22" t="n">
        <f aca="false">T3+1</f>
        <v>20</v>
      </c>
      <c r="V3" s="22" t="n">
        <f aca="false">U3+1</f>
        <v>21</v>
      </c>
      <c r="W3" s="22" t="n">
        <f aca="false">V3+1</f>
        <v>22</v>
      </c>
      <c r="X3" s="22" t="n">
        <f aca="false">W3+1</f>
        <v>23</v>
      </c>
      <c r="Y3" s="22" t="n">
        <f aca="false">X3+1</f>
        <v>24</v>
      </c>
      <c r="Z3" s="22" t="n">
        <f aca="false">Y3+1</f>
        <v>25</v>
      </c>
      <c r="AA3" s="22" t="n">
        <f aca="false">Z3+1</f>
        <v>26</v>
      </c>
      <c r="AB3" s="22" t="n">
        <f aca="false">AA3+1</f>
        <v>27</v>
      </c>
      <c r="AC3" s="22" t="n">
        <f aca="false">AB3+1</f>
        <v>28</v>
      </c>
      <c r="AD3" s="22" t="n">
        <f aca="false">AC3+1</f>
        <v>29</v>
      </c>
      <c r="AE3" s="22" t="n">
        <f aca="false">AD3+1</f>
        <v>30</v>
      </c>
      <c r="AF3" s="22" t="n">
        <f aca="false">AE3+1</f>
        <v>31</v>
      </c>
      <c r="AG3" s="22" t="n">
        <f aca="false">AF3+1</f>
        <v>32</v>
      </c>
      <c r="AH3" s="22" t="n">
        <f aca="false">AG3+1</f>
        <v>33</v>
      </c>
      <c r="AI3" s="22" t="n">
        <f aca="false">AH3+1</f>
        <v>34</v>
      </c>
      <c r="AJ3" s="22" t="n">
        <f aca="false">AI3+1</f>
        <v>35</v>
      </c>
      <c r="AK3" s="22" t="n">
        <f aca="false">AJ3+1</f>
        <v>36</v>
      </c>
    </row>
    <row r="4" customFormat="false" ht="15" hidden="false" customHeight="true" outlineLevel="0" collapsed="false">
      <c r="A4" s="21" t="s">
        <v>72</v>
      </c>
      <c r="B4" s="23" t="n">
        <f aca="false">Assumptions!$B$4</f>
        <v>46023</v>
      </c>
      <c r="C4" s="24" t="n">
        <f aca="false">EDATE(B4,1)</f>
        <v>46054</v>
      </c>
      <c r="D4" s="24" t="n">
        <f aca="false">EDATE(C4,1)</f>
        <v>46082</v>
      </c>
      <c r="E4" s="24" t="n">
        <f aca="false">EDATE(D4,1)</f>
        <v>46113</v>
      </c>
      <c r="F4" s="24" t="n">
        <f aca="false">EDATE(E4,1)</f>
        <v>46143</v>
      </c>
      <c r="G4" s="24" t="n">
        <f aca="false">EDATE(F4,1)</f>
        <v>46174</v>
      </c>
      <c r="H4" s="24" t="n">
        <f aca="false">EDATE(G4,1)</f>
        <v>46204</v>
      </c>
      <c r="I4" s="24" t="n">
        <f aca="false">EDATE(H4,1)</f>
        <v>46235</v>
      </c>
      <c r="J4" s="24" t="n">
        <f aca="false">EDATE(I4,1)</f>
        <v>46266</v>
      </c>
      <c r="K4" s="24" t="n">
        <f aca="false">EDATE(J4,1)</f>
        <v>46296</v>
      </c>
      <c r="L4" s="24" t="n">
        <f aca="false">EDATE(K4,1)</f>
        <v>46327</v>
      </c>
      <c r="M4" s="24" t="n">
        <f aca="false">EDATE(L4,1)</f>
        <v>46357</v>
      </c>
      <c r="N4" s="24" t="n">
        <f aca="false">EDATE(M4,1)</f>
        <v>46388</v>
      </c>
      <c r="O4" s="24" t="n">
        <f aca="false">EDATE(N4,1)</f>
        <v>46419</v>
      </c>
      <c r="P4" s="24" t="n">
        <f aca="false">EDATE(O4,1)</f>
        <v>46447</v>
      </c>
      <c r="Q4" s="24" t="n">
        <f aca="false">EDATE(P4,1)</f>
        <v>46478</v>
      </c>
      <c r="R4" s="24" t="n">
        <f aca="false">EDATE(Q4,1)</f>
        <v>46508</v>
      </c>
      <c r="S4" s="24" t="n">
        <f aca="false">EDATE(R4,1)</f>
        <v>46539</v>
      </c>
      <c r="T4" s="24" t="n">
        <f aca="false">EDATE(S4,1)</f>
        <v>46569</v>
      </c>
      <c r="U4" s="24" t="n">
        <f aca="false">EDATE(T4,1)</f>
        <v>46600</v>
      </c>
      <c r="V4" s="24" t="n">
        <f aca="false">EDATE(U4,1)</f>
        <v>46631</v>
      </c>
      <c r="W4" s="24" t="n">
        <f aca="false">EDATE(V4,1)</f>
        <v>46661</v>
      </c>
      <c r="X4" s="24" t="n">
        <f aca="false">EDATE(W4,1)</f>
        <v>46692</v>
      </c>
      <c r="Y4" s="24" t="n">
        <f aca="false">EDATE(X4,1)</f>
        <v>46722</v>
      </c>
      <c r="Z4" s="24" t="n">
        <f aca="false">EDATE(Y4,1)</f>
        <v>46753</v>
      </c>
      <c r="AA4" s="24" t="n">
        <f aca="false">EDATE(Z4,1)</f>
        <v>46784</v>
      </c>
      <c r="AB4" s="24" t="n">
        <f aca="false">EDATE(AA4,1)</f>
        <v>46813</v>
      </c>
      <c r="AC4" s="24" t="n">
        <f aca="false">EDATE(AB4,1)</f>
        <v>46844</v>
      </c>
      <c r="AD4" s="24" t="n">
        <f aca="false">EDATE(AC4,1)</f>
        <v>46874</v>
      </c>
      <c r="AE4" s="24" t="n">
        <f aca="false">EDATE(AD4,1)</f>
        <v>46905</v>
      </c>
      <c r="AF4" s="24" t="n">
        <f aca="false">EDATE(AE4,1)</f>
        <v>46935</v>
      </c>
      <c r="AG4" s="24" t="n">
        <f aca="false">EDATE(AF4,1)</f>
        <v>46966</v>
      </c>
      <c r="AH4" s="24" t="n">
        <f aca="false">EDATE(AG4,1)</f>
        <v>46997</v>
      </c>
      <c r="AI4" s="24" t="n">
        <f aca="false">EDATE(AH4,1)</f>
        <v>47027</v>
      </c>
      <c r="AJ4" s="24" t="n">
        <f aca="false">EDATE(AI4,1)</f>
        <v>47058</v>
      </c>
      <c r="AK4" s="24" t="n">
        <f aca="false">EDATE(AJ4,1)</f>
        <v>47088</v>
      </c>
    </row>
    <row r="6" customFormat="false" ht="18" hidden="false" customHeight="true" outlineLevel="0" collapsed="false">
      <c r="A6" s="4" t="s">
        <v>73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customFormat="false" ht="15" hidden="false" customHeight="true" outlineLevel="0" collapsed="false">
      <c r="A7" s="12" t="s">
        <v>74</v>
      </c>
      <c r="B7" s="25" t="n">
        <f aca="false">Assumptions!$B$11</f>
        <v>20</v>
      </c>
      <c r="C7" s="25" t="n">
        <f aca="false">B7*(1+Assumptions!$B$12)</f>
        <v>21.2</v>
      </c>
      <c r="D7" s="25" t="n">
        <f aca="false">C7*(1+Assumptions!$B$12)</f>
        <v>22.472</v>
      </c>
      <c r="E7" s="25" t="n">
        <f aca="false">D7*(1+Assumptions!$B$12)</f>
        <v>23.82032</v>
      </c>
      <c r="F7" s="25" t="n">
        <f aca="false">E7*(1+Assumptions!$B$12)</f>
        <v>25.2495392</v>
      </c>
      <c r="G7" s="25" t="n">
        <f aca="false">F7*(1+Assumptions!$B$12)</f>
        <v>26.764511552</v>
      </c>
      <c r="H7" s="25" t="n">
        <f aca="false">G7*(1+Assumptions!$B$12)</f>
        <v>28.37038224512</v>
      </c>
      <c r="I7" s="25" t="n">
        <f aca="false">H7*(1+Assumptions!$B$12)</f>
        <v>30.0726051798272</v>
      </c>
      <c r="J7" s="25" t="n">
        <f aca="false">I7*(1+Assumptions!$B$12)</f>
        <v>31.8769614906169</v>
      </c>
      <c r="K7" s="25" t="n">
        <f aca="false">J7*(1+Assumptions!$B$12)</f>
        <v>33.7895791800539</v>
      </c>
      <c r="L7" s="25" t="n">
        <f aca="false">K7*(1+Assumptions!$B$12)</f>
        <v>35.8169539308571</v>
      </c>
      <c r="M7" s="25" t="n">
        <f aca="false">L7*(1+Assumptions!$B$12)</f>
        <v>37.9659711667085</v>
      </c>
      <c r="N7" s="25" t="n">
        <f aca="false">M7*(1+Assumptions!$B$12)</f>
        <v>40.243929436711</v>
      </c>
      <c r="O7" s="25" t="n">
        <f aca="false">N7*(1+Assumptions!$B$12)</f>
        <v>42.6585652029137</v>
      </c>
      <c r="P7" s="25" t="n">
        <f aca="false">O7*(1+Assumptions!$B$12)</f>
        <v>45.2180791150885</v>
      </c>
      <c r="Q7" s="25" t="n">
        <f aca="false">P7*(1+Assumptions!$B$12)</f>
        <v>47.9311638619938</v>
      </c>
      <c r="R7" s="25" t="n">
        <f aca="false">Q7*(1+Assumptions!$B$12)</f>
        <v>50.8070336937135</v>
      </c>
      <c r="S7" s="25" t="n">
        <f aca="false">R7*(1+Assumptions!$B$12)</f>
        <v>53.8554557153363</v>
      </c>
      <c r="T7" s="25" t="n">
        <f aca="false">S7*(1+Assumptions!$B$12)</f>
        <v>57.0867830582565</v>
      </c>
      <c r="U7" s="25" t="n">
        <f aca="false">T7*(1+Assumptions!$B$12)</f>
        <v>60.5119900417519</v>
      </c>
      <c r="V7" s="25" t="n">
        <f aca="false">U7*(1+Assumptions!$B$12)</f>
        <v>64.142709444257</v>
      </c>
      <c r="W7" s="25" t="n">
        <f aca="false">V7*(1+Assumptions!$B$12)</f>
        <v>67.9912720109124</v>
      </c>
      <c r="X7" s="25" t="n">
        <f aca="false">W7*(1+Assumptions!$B$12)</f>
        <v>72.0707483315672</v>
      </c>
      <c r="Y7" s="25" t="n">
        <f aca="false">X7*(1+Assumptions!$B$12)</f>
        <v>76.3949932314612</v>
      </c>
      <c r="Z7" s="25" t="n">
        <f aca="false">Y7*(1+Assumptions!$B$12)</f>
        <v>80.9786928253488</v>
      </c>
      <c r="AA7" s="25" t="n">
        <f aca="false">Z7*(1+Assumptions!$B$12)</f>
        <v>85.8374143948698</v>
      </c>
      <c r="AB7" s="25" t="n">
        <f aca="false">AA7*(1+Assumptions!$B$12)</f>
        <v>90.987659258562</v>
      </c>
      <c r="AC7" s="25" t="n">
        <f aca="false">AB7*(1+Assumptions!$B$12)</f>
        <v>96.4469188140757</v>
      </c>
      <c r="AD7" s="25" t="n">
        <f aca="false">AC7*(1+Assumptions!$B$12)</f>
        <v>102.23373394292</v>
      </c>
      <c r="AE7" s="25" t="n">
        <f aca="false">AD7*(1+Assumptions!$B$12)</f>
        <v>108.367757979495</v>
      </c>
      <c r="AF7" s="25" t="n">
        <f aca="false">AE7*(1+Assumptions!$B$12)</f>
        <v>114.869823458265</v>
      </c>
      <c r="AG7" s="25" t="n">
        <f aca="false">AF7*(1+Assumptions!$B$12)</f>
        <v>121.762012865761</v>
      </c>
      <c r="AH7" s="25" t="n">
        <f aca="false">AG7*(1+Assumptions!$B$12)</f>
        <v>129.067733637707</v>
      </c>
      <c r="AI7" s="25" t="n">
        <f aca="false">AH7*(1+Assumptions!$B$12)</f>
        <v>136.811797655969</v>
      </c>
      <c r="AJ7" s="25" t="n">
        <f aca="false">AI7*(1+Assumptions!$B$12)</f>
        <v>145.020505515327</v>
      </c>
      <c r="AK7" s="25" t="n">
        <f aca="false">AJ7*(1+Assumptions!$B$12)</f>
        <v>153.721735846247</v>
      </c>
    </row>
    <row r="8" customFormat="false" ht="15" hidden="false" customHeight="true" outlineLevel="0" collapsed="false">
      <c r="A8" s="12" t="s">
        <v>75</v>
      </c>
      <c r="B8" s="25" t="n">
        <f aca="false">Assumptions!$B$10*(1-Assumptions!$B$13)+B7</f>
        <v>20</v>
      </c>
      <c r="C8" s="25" t="n">
        <f aca="false">B8*(1-Assumptions!$B$13)+C7</f>
        <v>40.4</v>
      </c>
      <c r="D8" s="25" t="n">
        <f aca="false">C8*(1-Assumptions!$B$13)+D7</f>
        <v>61.256</v>
      </c>
      <c r="E8" s="25" t="n">
        <f aca="false">D8*(1-Assumptions!$B$13)+E7</f>
        <v>82.62608</v>
      </c>
      <c r="F8" s="25" t="n">
        <f aca="false">E8*(1-Assumptions!$B$13)+F7</f>
        <v>104.570576</v>
      </c>
      <c r="G8" s="25" t="n">
        <f aca="false">F8*(1-Assumptions!$B$13)+G7</f>
        <v>127.152264512</v>
      </c>
      <c r="H8" s="25" t="n">
        <f aca="false">G8*(1-Assumptions!$B$13)+H7</f>
        <v>150.43655617664</v>
      </c>
      <c r="I8" s="25" t="n">
        <f aca="false">H8*(1-Assumptions!$B$13)+I7</f>
        <v>174.491699109402</v>
      </c>
      <c r="J8" s="25" t="n">
        <f aca="false">I8*(1-Assumptions!$B$13)+J7</f>
        <v>199.388992635642</v>
      </c>
      <c r="K8" s="25" t="n">
        <f aca="false">J8*(1-Assumptions!$B$13)+K7</f>
        <v>225.203012110271</v>
      </c>
      <c r="L8" s="25" t="n">
        <f aca="false">K8*(1-Assumptions!$B$13)+L7</f>
        <v>252.011845556717</v>
      </c>
      <c r="M8" s="25" t="n">
        <f aca="false">L8*(1-Assumptions!$B$13)+M7</f>
        <v>279.897342901157</v>
      </c>
      <c r="N8" s="25" t="n">
        <f aca="false">M8*(1-Assumptions!$B$13)+N7</f>
        <v>308.945378621821</v>
      </c>
      <c r="O8" s="25" t="n">
        <f aca="false">N8*(1-Assumptions!$B$13)+O7</f>
        <v>339.246128679862</v>
      </c>
      <c r="P8" s="25" t="n">
        <f aca="false">O8*(1-Assumptions!$B$13)+P7</f>
        <v>370.894362647756</v>
      </c>
      <c r="Q8" s="25" t="n">
        <f aca="false">P8*(1-Assumptions!$B$13)+Q7</f>
        <v>403.98975200384</v>
      </c>
      <c r="R8" s="25" t="n">
        <f aca="false">Q8*(1-Assumptions!$B$13)+R7</f>
        <v>438.6371956174</v>
      </c>
      <c r="S8" s="25" t="n">
        <f aca="false">R8*(1-Assumptions!$B$13)+S7</f>
        <v>474.94716350804</v>
      </c>
      <c r="T8" s="25" t="n">
        <f aca="false">S8*(1-Assumptions!$B$13)+T7</f>
        <v>513.036060025975</v>
      </c>
      <c r="U8" s="25" t="n">
        <f aca="false">T8*(1-Assumptions!$B$13)+U7</f>
        <v>553.026607666688</v>
      </c>
      <c r="V8" s="25" t="n">
        <f aca="false">U8*(1-Assumptions!$B$13)+V7</f>
        <v>595.048252804277</v>
      </c>
      <c r="W8" s="25" t="n">
        <f aca="false">V8*(1-Assumptions!$B$13)+W7</f>
        <v>639.237594703018</v>
      </c>
      <c r="X8" s="25" t="n">
        <f aca="false">W8*(1-Assumptions!$B$13)+X7</f>
        <v>685.738839246465</v>
      </c>
      <c r="Y8" s="25" t="n">
        <f aca="false">X8*(1-Assumptions!$B$13)+Y7</f>
        <v>734.704278908067</v>
      </c>
      <c r="Z8" s="25" t="n">
        <f aca="false">Y8*(1-Assumptions!$B$13)+Z7</f>
        <v>786.294800577094</v>
      </c>
      <c r="AA8" s="25" t="n">
        <f aca="false">Z8*(1-Assumptions!$B$13)+AA7</f>
        <v>840.68042294888</v>
      </c>
      <c r="AB8" s="25" t="n">
        <f aca="false">AA8*(1-Assumptions!$B$13)+AB7</f>
        <v>898.040865289486</v>
      </c>
      <c r="AC8" s="25" t="n">
        <f aca="false">AB8*(1-Assumptions!$B$13)+AC7</f>
        <v>958.566149491983</v>
      </c>
      <c r="AD8" s="25" t="n">
        <f aca="false">AC8*(1-Assumptions!$B$13)+AD7</f>
        <v>1022.45723745522</v>
      </c>
      <c r="AE8" s="25" t="n">
        <f aca="false">AD8*(1-Assumptions!$B$13)+AE7</f>
        <v>1089.92670593651</v>
      </c>
      <c r="AF8" s="25" t="n">
        <f aca="false">AE8*(1-Assumptions!$B$13)+AF7</f>
        <v>1161.19946115731</v>
      </c>
      <c r="AG8" s="25" t="n">
        <f aca="false">AF8*(1-Assumptions!$B$13)+AG7</f>
        <v>1236.51349557678</v>
      </c>
      <c r="AH8" s="25" t="n">
        <f aca="false">AG8*(1-Assumptions!$B$13)+AH7</f>
        <v>1316.12068939142</v>
      </c>
      <c r="AI8" s="25" t="n">
        <f aca="false">AH8*(1-Assumptions!$B$13)+AI7</f>
        <v>1400.28765947173</v>
      </c>
      <c r="AJ8" s="25" t="n">
        <f aca="false">AI8*(1-Assumptions!$B$13)+AJ7</f>
        <v>1489.29665860819</v>
      </c>
      <c r="AK8" s="25" t="n">
        <f aca="false">AJ8*(1-Assumptions!$B$13)+AK7</f>
        <v>1583.44652811011</v>
      </c>
    </row>
    <row r="9" customFormat="false" ht="15" hidden="false" customHeight="true" outlineLevel="0" collapsed="false">
      <c r="A9" s="12" t="s">
        <v>76</v>
      </c>
      <c r="B9" s="25" t="n">
        <f aca="false">Assumptions!$B$19</f>
        <v>8</v>
      </c>
      <c r="C9" s="25" t="n">
        <f aca="false">B9*(1+Assumptions!$B$20)</f>
        <v>8.4</v>
      </c>
      <c r="D9" s="25" t="n">
        <f aca="false">C9*(1+Assumptions!$B$20)</f>
        <v>8.82</v>
      </c>
      <c r="E9" s="25" t="n">
        <f aca="false">D9*(1+Assumptions!$B$20)</f>
        <v>9.261</v>
      </c>
      <c r="F9" s="25" t="n">
        <f aca="false">E9*(1+Assumptions!$B$20)</f>
        <v>9.72405</v>
      </c>
      <c r="G9" s="25" t="n">
        <f aca="false">F9*(1+Assumptions!$B$20)</f>
        <v>10.2102525</v>
      </c>
      <c r="H9" s="25" t="n">
        <f aca="false">G9*(1+Assumptions!$B$20)</f>
        <v>10.720765125</v>
      </c>
      <c r="I9" s="25" t="n">
        <f aca="false">H9*(1+Assumptions!$B$20)</f>
        <v>11.25680338125</v>
      </c>
      <c r="J9" s="25" t="n">
        <f aca="false">I9*(1+Assumptions!$B$20)</f>
        <v>11.8196435503125</v>
      </c>
      <c r="K9" s="25" t="n">
        <f aca="false">J9*(1+Assumptions!$B$20)</f>
        <v>12.4106257278281</v>
      </c>
      <c r="L9" s="25" t="n">
        <f aca="false">K9*(1+Assumptions!$B$20)</f>
        <v>13.0311570142195</v>
      </c>
      <c r="M9" s="25" t="n">
        <f aca="false">L9*(1+Assumptions!$B$20)</f>
        <v>13.6827148649305</v>
      </c>
      <c r="N9" s="25" t="n">
        <f aca="false">M9*(1+Assumptions!$B$20)</f>
        <v>14.366850608177</v>
      </c>
      <c r="O9" s="25" t="n">
        <f aca="false">N9*(1+Assumptions!$B$20)</f>
        <v>15.0851931385859</v>
      </c>
      <c r="P9" s="25" t="n">
        <f aca="false">O9*(1+Assumptions!$B$20)</f>
        <v>15.8394527955152</v>
      </c>
      <c r="Q9" s="25" t="n">
        <f aca="false">P9*(1+Assumptions!$B$20)</f>
        <v>16.631425435291</v>
      </c>
      <c r="R9" s="25" t="n">
        <f aca="false">Q9*(1+Assumptions!$B$20)</f>
        <v>17.4629967070555</v>
      </c>
      <c r="S9" s="25" t="n">
        <f aca="false">R9*(1+Assumptions!$B$20)</f>
        <v>18.3361465424083</v>
      </c>
      <c r="T9" s="25" t="n">
        <f aca="false">S9*(1+Assumptions!$B$20)</f>
        <v>19.2529538695287</v>
      </c>
      <c r="U9" s="25" t="n">
        <f aca="false">T9*(1+Assumptions!$B$20)</f>
        <v>20.2156015630051</v>
      </c>
      <c r="V9" s="25" t="n">
        <f aca="false">U9*(1+Assumptions!$B$20)</f>
        <v>21.2263816411554</v>
      </c>
      <c r="W9" s="25" t="n">
        <f aca="false">V9*(1+Assumptions!$B$20)</f>
        <v>22.2877007232132</v>
      </c>
      <c r="X9" s="25" t="n">
        <f aca="false">W9*(1+Assumptions!$B$20)</f>
        <v>23.4020857593738</v>
      </c>
      <c r="Y9" s="25" t="n">
        <f aca="false">X9*(1+Assumptions!$B$20)</f>
        <v>24.5721900473425</v>
      </c>
      <c r="Z9" s="25" t="n">
        <f aca="false">Y9*(1+Assumptions!$B$20)</f>
        <v>25.8007995497096</v>
      </c>
      <c r="AA9" s="25" t="n">
        <f aca="false">Z9*(1+Assumptions!$B$20)</f>
        <v>27.0908395271951</v>
      </c>
      <c r="AB9" s="25" t="n">
        <f aca="false">AA9*(1+Assumptions!$B$20)</f>
        <v>28.4453815035549</v>
      </c>
      <c r="AC9" s="25" t="n">
        <f aca="false">AB9*(1+Assumptions!$B$20)</f>
        <v>29.8676505787326</v>
      </c>
      <c r="AD9" s="25" t="n">
        <f aca="false">AC9*(1+Assumptions!$B$20)</f>
        <v>31.3610331076692</v>
      </c>
      <c r="AE9" s="25" t="n">
        <f aca="false">AD9*(1+Assumptions!$B$20)</f>
        <v>32.9290847630527</v>
      </c>
      <c r="AF9" s="25" t="n">
        <f aca="false">AE9*(1+Assumptions!$B$20)</f>
        <v>34.5755390012053</v>
      </c>
      <c r="AG9" s="25" t="n">
        <f aca="false">AF9*(1+Assumptions!$B$20)</f>
        <v>36.3043159512656</v>
      </c>
      <c r="AH9" s="25" t="n">
        <f aca="false">AG9*(1+Assumptions!$B$20)</f>
        <v>38.1195317488289</v>
      </c>
      <c r="AI9" s="25" t="n">
        <f aca="false">AH9*(1+Assumptions!$B$20)</f>
        <v>40.0255083362703</v>
      </c>
      <c r="AJ9" s="25" t="n">
        <f aca="false">AI9*(1+Assumptions!$B$20)</f>
        <v>42.0267837530839</v>
      </c>
      <c r="AK9" s="25" t="n">
        <f aca="false">AJ9*(1+Assumptions!$B$20)</f>
        <v>44.1281229407381</v>
      </c>
    </row>
    <row r="10" customFormat="false" ht="15" hidden="false" customHeight="true" outlineLevel="0" collapsed="false">
      <c r="A10" s="12" t="s">
        <v>77</v>
      </c>
      <c r="B10" s="25" t="n">
        <f aca="false">Assumptions!$B$18*(1-Assumptions!$B$21)+B9</f>
        <v>8</v>
      </c>
      <c r="C10" s="25" t="n">
        <f aca="false">B10*(1-Assumptions!$B$21)+C9</f>
        <v>15.96</v>
      </c>
      <c r="D10" s="25" t="n">
        <f aca="false">C10*(1-Assumptions!$B$21)+D9</f>
        <v>23.9022</v>
      </c>
      <c r="E10" s="25" t="n">
        <f aca="false">D10*(1-Assumptions!$B$21)+E9</f>
        <v>31.848579</v>
      </c>
      <c r="F10" s="25" t="n">
        <f aca="false">E10*(1-Assumptions!$B$21)+F9</f>
        <v>39.820957155</v>
      </c>
      <c r="G10" s="25" t="n">
        <f aca="false">F10*(1-Assumptions!$B$21)+G9</f>
        <v>47.841057011475</v>
      </c>
      <c r="H10" s="25" t="n">
        <f aca="false">G10*(1-Assumptions!$B$21)+H9</f>
        <v>55.9305640008439</v>
      </c>
      <c r="I10" s="25" t="n">
        <f aca="false">H10*(1-Assumptions!$B$21)+I9</f>
        <v>64.1111863620475</v>
      </c>
      <c r="J10" s="25" t="n">
        <f aca="false">I10*(1-Assumptions!$B$21)+J9</f>
        <v>72.4047146624474</v>
      </c>
      <c r="K10" s="25" t="n">
        <f aca="false">J10*(1-Assumptions!$B$21)+K9</f>
        <v>80.8330810838409</v>
      </c>
      <c r="L10" s="25" t="n">
        <f aca="false">K10*(1-Assumptions!$B$21)+L9</f>
        <v>89.4184186384491</v>
      </c>
      <c r="M10" s="25" t="n">
        <f aca="false">L10*(1-Assumptions!$B$21)+M9</f>
        <v>98.183120478265</v>
      </c>
      <c r="N10" s="25" t="n">
        <f aca="false">M10*(1-Assumptions!$B$21)+N9</f>
        <v>107.149899460137</v>
      </c>
      <c r="O10" s="25" t="n">
        <f aca="false">N10*(1-Assumptions!$B$21)+O9</f>
        <v>116.341848128416</v>
      </c>
      <c r="P10" s="25" t="n">
        <f aca="false">O10*(1-Assumptions!$B$21)+P9</f>
        <v>125.782499276868</v>
      </c>
      <c r="Q10" s="25" t="n">
        <f aca="false">P10*(1-Assumptions!$B$21)+Q9</f>
        <v>135.495887251931</v>
      </c>
      <c r="R10" s="25" t="n">
        <f aca="false">Q10*(1-Assumptions!$B$21)+R9</f>
        <v>145.506610160131</v>
      </c>
      <c r="S10" s="25" t="n">
        <f aca="false">R10*(1-Assumptions!$B$21)+S9</f>
        <v>155.839893143732</v>
      </c>
      <c r="T10" s="25" t="n">
        <f aca="false">S10*(1-Assumptions!$B$21)+T9</f>
        <v>166.521652890355</v>
      </c>
      <c r="U10" s="25" t="n">
        <f aca="false">T10*(1-Assumptions!$B$21)+U9</f>
        <v>177.578563544391</v>
      </c>
      <c r="V10" s="25" t="n">
        <f aca="false">U10*(1-Assumptions!$B$21)+V9</f>
        <v>189.038124190605</v>
      </c>
      <c r="W10" s="25" t="n">
        <f aca="false">V10*(1-Assumptions!$B$21)+W9</f>
        <v>200.928728083334</v>
      </c>
      <c r="X10" s="25" t="n">
        <f aca="false">W10*(1-Assumptions!$B$21)+X9</f>
        <v>213.279733798125</v>
      </c>
      <c r="Y10" s="25" t="n">
        <f aca="false">X10*(1-Assumptions!$B$21)+Y9</f>
        <v>226.12153848657</v>
      </c>
      <c r="Z10" s="25" t="n">
        <f aca="false">Y10*(1-Assumptions!$B$21)+Z9</f>
        <v>239.485653419519</v>
      </c>
      <c r="AA10" s="25" t="n">
        <f aca="false">Z10*(1-Assumptions!$B$21)+AA9</f>
        <v>253.40478200864</v>
      </c>
      <c r="AB10" s="25" t="n">
        <f aca="false">AA10*(1-Assumptions!$B$21)+AB9</f>
        <v>267.91290050172</v>
      </c>
      <c r="AC10" s="25" t="n">
        <f aca="false">AB10*(1-Assumptions!$B$21)+AC9</f>
        <v>283.045341552858</v>
      </c>
      <c r="AD10" s="25" t="n">
        <f aca="false">AC10*(1-Assumptions!$B$21)+AD9</f>
        <v>298.83888087512</v>
      </c>
      <c r="AE10" s="25" t="n">
        <f aca="false">AD10*(1-Assumptions!$B$21)+AE9</f>
        <v>315.331827190041</v>
      </c>
      <c r="AF10" s="25" t="n">
        <f aca="false">AE10*(1-Assumptions!$B$21)+AF9</f>
        <v>332.564115695794</v>
      </c>
      <c r="AG10" s="25" t="n">
        <f aca="false">AF10*(1-Assumptions!$B$21)+AG9</f>
        <v>350.577405283791</v>
      </c>
      <c r="AH10" s="25" t="n">
        <f aca="false">AG10*(1-Assumptions!$B$21)+AH9</f>
        <v>369.415179742011</v>
      </c>
      <c r="AI10" s="25" t="n">
        <f aca="false">AH10*(1-Assumptions!$B$21)+AI9</f>
        <v>389.122853192471</v>
      </c>
      <c r="AJ10" s="25" t="n">
        <f aca="false">AI10*(1-Assumptions!$B$21)+AJ9</f>
        <v>409.747880019969</v>
      </c>
      <c r="AK10" s="25" t="n">
        <f aca="false">AJ10*(1-Assumptions!$B$21)+AK9</f>
        <v>431.339869559609</v>
      </c>
    </row>
    <row r="12" customFormat="false" ht="18" hidden="false" customHeight="true" outlineLevel="0" collapsed="false">
      <c r="A12" s="4" t="s">
        <v>78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customFormat="false" ht="15" hidden="false" customHeight="true" outlineLevel="0" collapsed="false">
      <c r="A13" s="12" t="s">
        <v>79</v>
      </c>
      <c r="B13" s="26" t="n">
        <f aca="false">B8*Assumptions!$B$14</f>
        <v>10000</v>
      </c>
      <c r="C13" s="26" t="n">
        <f aca="false">C8*Assumptions!$B$14</f>
        <v>20200</v>
      </c>
      <c r="D13" s="26" t="n">
        <f aca="false">D8*Assumptions!$B$14</f>
        <v>30628</v>
      </c>
      <c r="E13" s="26" t="n">
        <f aca="false">E8*Assumptions!$B$14</f>
        <v>41313.04</v>
      </c>
      <c r="F13" s="26" t="n">
        <f aca="false">F8*Assumptions!$B$14</f>
        <v>52285.288</v>
      </c>
      <c r="G13" s="26" t="n">
        <f aca="false">G8*Assumptions!$B$14</f>
        <v>63576.132256</v>
      </c>
      <c r="H13" s="26" t="n">
        <f aca="false">H8*Assumptions!$B$14</f>
        <v>75218.27808832</v>
      </c>
      <c r="I13" s="26" t="n">
        <f aca="false">I8*Assumptions!$B$14</f>
        <v>87245.8495547008</v>
      </c>
      <c r="J13" s="26" t="n">
        <f aca="false">J8*Assumptions!$B$14</f>
        <v>99694.4963178212</v>
      </c>
      <c r="K13" s="26" t="n">
        <f aca="false">K8*Assumptions!$B$14</f>
        <v>112601.506055135</v>
      </c>
      <c r="L13" s="26" t="n">
        <f aca="false">L8*Assumptions!$B$14</f>
        <v>126005.922778358</v>
      </c>
      <c r="M13" s="26" t="n">
        <f aca="false">M8*Assumptions!$B$14</f>
        <v>139948.671450578</v>
      </c>
      <c r="N13" s="26" t="n">
        <f aca="false">N8*Assumptions!$B$14</f>
        <v>154472.689310911</v>
      </c>
      <c r="O13" s="26" t="n">
        <f aca="false">O8*Assumptions!$B$14</f>
        <v>169623.064339931</v>
      </c>
      <c r="P13" s="26" t="n">
        <f aca="false">P8*Assumptions!$B$14</f>
        <v>185447.181323878</v>
      </c>
      <c r="Q13" s="26" t="n">
        <f aca="false">Q8*Assumptions!$B$14</f>
        <v>201994.87600192</v>
      </c>
      <c r="R13" s="26" t="n">
        <f aca="false">R8*Assumptions!$B$14</f>
        <v>219318.5978087</v>
      </c>
      <c r="S13" s="26" t="n">
        <f aca="false">S8*Assumptions!$B$14</f>
        <v>237473.58175402</v>
      </c>
      <c r="T13" s="26" t="n">
        <f aca="false">T8*Assumptions!$B$14</f>
        <v>256518.030012987</v>
      </c>
      <c r="U13" s="26" t="n">
        <f aca="false">U8*Assumptions!$B$14</f>
        <v>276513.303833344</v>
      </c>
      <c r="V13" s="26" t="n">
        <f aca="false">V8*Assumptions!$B$14</f>
        <v>297524.126402139</v>
      </c>
      <c r="W13" s="26" t="n">
        <f aca="false">W8*Assumptions!$B$14</f>
        <v>319618.797351509</v>
      </c>
      <c r="X13" s="26" t="n">
        <f aca="false">X8*Assumptions!$B$14</f>
        <v>342869.419623232</v>
      </c>
      <c r="Y13" s="26" t="n">
        <f aca="false">Y8*Assumptions!$B$14</f>
        <v>367352.139454034</v>
      </c>
      <c r="Z13" s="26" t="n">
        <f aca="false">Z8*Assumptions!$B$14</f>
        <v>393147.400288547</v>
      </c>
      <c r="AA13" s="26" t="n">
        <f aca="false">AA8*Assumptions!$B$14</f>
        <v>420340.21147444</v>
      </c>
      <c r="AB13" s="26" t="n">
        <f aca="false">AB8*Assumptions!$B$14</f>
        <v>449020.432644743</v>
      </c>
      <c r="AC13" s="26" t="n">
        <f aca="false">AC8*Assumptions!$B$14</f>
        <v>479283.074745991</v>
      </c>
      <c r="AD13" s="26" t="n">
        <f aca="false">AD8*Assumptions!$B$14</f>
        <v>511228.618727612</v>
      </c>
      <c r="AE13" s="26" t="n">
        <f aca="false">AE8*Assumptions!$B$14</f>
        <v>544963.352968255</v>
      </c>
      <c r="AF13" s="26" t="n">
        <f aca="false">AF8*Assumptions!$B$14</f>
        <v>580599.730578657</v>
      </c>
      <c r="AG13" s="26" t="n">
        <f aca="false">AG8*Assumptions!$B$14</f>
        <v>618256.747788392</v>
      </c>
      <c r="AH13" s="26" t="n">
        <f aca="false">AH8*Assumptions!$B$14</f>
        <v>658060.344695709</v>
      </c>
      <c r="AI13" s="26" t="n">
        <f aca="false">AI8*Assumptions!$B$14</f>
        <v>700143.829735866</v>
      </c>
      <c r="AJ13" s="26" t="n">
        <f aca="false">AJ8*Assumptions!$B$14</f>
        <v>744648.329304095</v>
      </c>
      <c r="AK13" s="26" t="n">
        <f aca="false">AK8*Assumptions!$B$14</f>
        <v>791723.264055054</v>
      </c>
    </row>
    <row r="14" customFormat="false" ht="15" hidden="false" customHeight="true" outlineLevel="0" collapsed="false">
      <c r="A14" s="12" t="s">
        <v>80</v>
      </c>
      <c r="B14" s="26" t="n">
        <f aca="false">B10*Assumptions!$B$22</f>
        <v>1440</v>
      </c>
      <c r="C14" s="26" t="n">
        <f aca="false">C10*Assumptions!$B$22</f>
        <v>2872.8</v>
      </c>
      <c r="D14" s="26" t="n">
        <f aca="false">D10*Assumptions!$B$22</f>
        <v>4302.396</v>
      </c>
      <c r="E14" s="26" t="n">
        <f aca="false">E10*Assumptions!$B$22</f>
        <v>5732.74422</v>
      </c>
      <c r="F14" s="26" t="n">
        <f aca="false">F10*Assumptions!$B$22</f>
        <v>7167.7722879</v>
      </c>
      <c r="G14" s="26" t="n">
        <f aca="false">G10*Assumptions!$B$22</f>
        <v>8611.3902620655</v>
      </c>
      <c r="H14" s="26" t="n">
        <f aca="false">H10*Assumptions!$B$22</f>
        <v>10067.5015201519</v>
      </c>
      <c r="I14" s="26" t="n">
        <f aca="false">I10*Assumptions!$B$22</f>
        <v>11540.0135451685</v>
      </c>
      <c r="J14" s="26" t="n">
        <f aca="false">J10*Assumptions!$B$22</f>
        <v>13032.8486392405</v>
      </c>
      <c r="K14" s="26" t="n">
        <f aca="false">K10*Assumptions!$B$22</f>
        <v>14549.9545950914</v>
      </c>
      <c r="L14" s="26" t="n">
        <f aca="false">L10*Assumptions!$B$22</f>
        <v>16095.3153549208</v>
      </c>
      <c r="M14" s="26" t="n">
        <f aca="false">M10*Assumptions!$B$22</f>
        <v>17672.9616860877</v>
      </c>
      <c r="N14" s="26" t="n">
        <f aca="false">N10*Assumptions!$B$22</f>
        <v>19286.9819028247</v>
      </c>
      <c r="O14" s="26" t="n">
        <f aca="false">O10*Assumptions!$B$22</f>
        <v>20941.5326631148</v>
      </c>
      <c r="P14" s="26" t="n">
        <f aca="false">P10*Assumptions!$B$22</f>
        <v>22640.8498698363</v>
      </c>
      <c r="Q14" s="26" t="n">
        <f aca="false">Q10*Assumptions!$B$22</f>
        <v>24389.2597053476</v>
      </c>
      <c r="R14" s="26" t="n">
        <f aca="false">R10*Assumptions!$B$22</f>
        <v>26191.1898288235</v>
      </c>
      <c r="S14" s="26" t="n">
        <f aca="false">S10*Assumptions!$B$22</f>
        <v>28051.1807658717</v>
      </c>
      <c r="T14" s="26" t="n">
        <f aca="false">T10*Assumptions!$B$22</f>
        <v>29973.8975202639</v>
      </c>
      <c r="U14" s="26" t="n">
        <f aca="false">U10*Assumptions!$B$22</f>
        <v>31964.1414379903</v>
      </c>
      <c r="V14" s="26" t="n">
        <f aca="false">V10*Assumptions!$B$22</f>
        <v>34026.8623543088</v>
      </c>
      <c r="W14" s="26" t="n">
        <f aca="false">W10*Assumptions!$B$22</f>
        <v>36167.1710550002</v>
      </c>
      <c r="X14" s="26" t="n">
        <f aca="false">X10*Assumptions!$B$22</f>
        <v>38390.3520836625</v>
      </c>
      <c r="Y14" s="26" t="n">
        <f aca="false">Y10*Assumptions!$B$22</f>
        <v>40701.8769275827</v>
      </c>
      <c r="Z14" s="26" t="n">
        <f aca="false">Z10*Assumptions!$B$22</f>
        <v>43107.4176155134</v>
      </c>
      <c r="AA14" s="26" t="n">
        <f aca="false">AA10*Assumptions!$B$22</f>
        <v>45612.8607615553</v>
      </c>
      <c r="AB14" s="26" t="n">
        <f aca="false">AB10*Assumptions!$B$22</f>
        <v>48224.3220903096</v>
      </c>
      <c r="AC14" s="26" t="n">
        <f aca="false">AC10*Assumptions!$B$22</f>
        <v>50948.1614795144</v>
      </c>
      <c r="AD14" s="26" t="n">
        <f aca="false">AD10*Assumptions!$B$22</f>
        <v>53790.9985575216</v>
      </c>
      <c r="AE14" s="26" t="n">
        <f aca="false">AE10*Assumptions!$B$22</f>
        <v>56759.7288942074</v>
      </c>
      <c r="AF14" s="26" t="n">
        <f aca="false">AF10*Assumptions!$B$22</f>
        <v>59861.540825243</v>
      </c>
      <c r="AG14" s="26" t="n">
        <f aca="false">AG10*Assumptions!$B$22</f>
        <v>63103.9329510824</v>
      </c>
      <c r="AH14" s="26" t="n">
        <f aca="false">AH10*Assumptions!$B$22</f>
        <v>66494.7323535621</v>
      </c>
      <c r="AI14" s="26" t="n">
        <f aca="false">AI10*Assumptions!$B$22</f>
        <v>70042.1135746448</v>
      </c>
      <c r="AJ14" s="26" t="n">
        <f aca="false">AJ10*Assumptions!$B$22</f>
        <v>73754.6184035944</v>
      </c>
      <c r="AK14" s="26" t="n">
        <f aca="false">AK10*Assumptions!$B$22</f>
        <v>77641.1765207296</v>
      </c>
    </row>
    <row r="15" customFormat="false" ht="15" hidden="false" customHeight="true" outlineLevel="0" collapsed="false">
      <c r="A15" s="7" t="s">
        <v>81</v>
      </c>
      <c r="B15" s="27" t="n">
        <f aca="false">B13+B14</f>
        <v>11440</v>
      </c>
      <c r="C15" s="27" t="n">
        <f aca="false">C13+C14</f>
        <v>23072.8</v>
      </c>
      <c r="D15" s="27" t="n">
        <f aca="false">D13+D14</f>
        <v>34930.396</v>
      </c>
      <c r="E15" s="27" t="n">
        <f aca="false">E13+E14</f>
        <v>47045.78422</v>
      </c>
      <c r="F15" s="27" t="n">
        <f aca="false">F13+F14</f>
        <v>59453.0602879</v>
      </c>
      <c r="G15" s="27" t="n">
        <f aca="false">G13+G14</f>
        <v>72187.5225180655</v>
      </c>
      <c r="H15" s="27" t="n">
        <f aca="false">H13+H14</f>
        <v>85285.7796084719</v>
      </c>
      <c r="I15" s="27" t="n">
        <f aca="false">I13+I14</f>
        <v>98785.8630998694</v>
      </c>
      <c r="J15" s="27" t="n">
        <f aca="false">J13+J14</f>
        <v>112727.344957062</v>
      </c>
      <c r="K15" s="27" t="n">
        <f aca="false">K13+K14</f>
        <v>127151.460650227</v>
      </c>
      <c r="L15" s="27" t="n">
        <f aca="false">L13+L14</f>
        <v>142101.238133279</v>
      </c>
      <c r="M15" s="27" t="n">
        <f aca="false">M13+M14</f>
        <v>157621.633136666</v>
      </c>
      <c r="N15" s="27" t="n">
        <f aca="false">N13+N14</f>
        <v>173759.671213735</v>
      </c>
      <c r="O15" s="27" t="n">
        <f aca="false">O13+O14</f>
        <v>190564.597003046</v>
      </c>
      <c r="P15" s="27" t="n">
        <f aca="false">P13+P14</f>
        <v>208088.031193714</v>
      </c>
      <c r="Q15" s="27" t="n">
        <f aca="false">Q13+Q14</f>
        <v>226384.135707268</v>
      </c>
      <c r="R15" s="27" t="n">
        <f aca="false">R13+R14</f>
        <v>245509.787637523</v>
      </c>
      <c r="S15" s="27" t="n">
        <f aca="false">S13+S14</f>
        <v>265524.762519892</v>
      </c>
      <c r="T15" s="27" t="n">
        <f aca="false">T13+T14</f>
        <v>286491.927533251</v>
      </c>
      <c r="U15" s="27" t="n">
        <f aca="false">U13+U14</f>
        <v>308477.445271334</v>
      </c>
      <c r="V15" s="27" t="n">
        <f aca="false">V13+V14</f>
        <v>331550.988756447</v>
      </c>
      <c r="W15" s="27" t="n">
        <f aca="false">W13+W14</f>
        <v>355785.968406509</v>
      </c>
      <c r="X15" s="27" t="n">
        <f aca="false">X13+X14</f>
        <v>381259.771706895</v>
      </c>
      <c r="Y15" s="27" t="n">
        <f aca="false">Y13+Y14</f>
        <v>408054.016381616</v>
      </c>
      <c r="Z15" s="27" t="n">
        <f aca="false">Z13+Z14</f>
        <v>436254.81790406</v>
      </c>
      <c r="AA15" s="27" t="n">
        <f aca="false">AA13+AA14</f>
        <v>465953.072235995</v>
      </c>
      <c r="AB15" s="27" t="n">
        <f aca="false">AB13+AB14</f>
        <v>497244.754735053</v>
      </c>
      <c r="AC15" s="27" t="n">
        <f aca="false">AC13+AC14</f>
        <v>530231.236225506</v>
      </c>
      <c r="AD15" s="27" t="n">
        <f aca="false">AD13+AD14</f>
        <v>565019.617285133</v>
      </c>
      <c r="AE15" s="27" t="n">
        <f aca="false">AE13+AE14</f>
        <v>601723.081862462</v>
      </c>
      <c r="AF15" s="27" t="n">
        <f aca="false">AF13+AF14</f>
        <v>640461.2714039</v>
      </c>
      <c r="AG15" s="27" t="n">
        <f aca="false">AG13+AG14</f>
        <v>681360.680739474</v>
      </c>
      <c r="AH15" s="27" t="n">
        <f aca="false">AH13+AH14</f>
        <v>724555.077049271</v>
      </c>
      <c r="AI15" s="27" t="n">
        <f aca="false">AI13+AI14</f>
        <v>770185.94331051</v>
      </c>
      <c r="AJ15" s="27" t="n">
        <f aca="false">AJ13+AJ14</f>
        <v>818402.947707689</v>
      </c>
      <c r="AK15" s="27" t="n">
        <f aca="false">AK13+AK14</f>
        <v>869364.440575784</v>
      </c>
    </row>
    <row r="17" customFormat="false" ht="18" hidden="false" customHeight="true" outlineLevel="0" collapsed="false">
      <c r="A17" s="4" t="s">
        <v>82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customFormat="false" ht="15" hidden="false" customHeight="true" outlineLevel="0" collapsed="false">
      <c r="A18" s="12" t="s">
        <v>83</v>
      </c>
      <c r="B18" s="26" t="n">
        <f aca="false">B13*Assumptions!$B$15</f>
        <v>1800</v>
      </c>
      <c r="C18" s="26" t="n">
        <f aca="false">C13*Assumptions!$B$15</f>
        <v>3636</v>
      </c>
      <c r="D18" s="26" t="n">
        <f aca="false">D13*Assumptions!$B$15</f>
        <v>5513.04</v>
      </c>
      <c r="E18" s="26" t="n">
        <f aca="false">E13*Assumptions!$B$15</f>
        <v>7436.3472</v>
      </c>
      <c r="F18" s="26" t="n">
        <f aca="false">F13*Assumptions!$B$15</f>
        <v>9411.35184</v>
      </c>
      <c r="G18" s="26" t="n">
        <f aca="false">G13*Assumptions!$B$15</f>
        <v>11443.70380608</v>
      </c>
      <c r="H18" s="26" t="n">
        <f aca="false">H13*Assumptions!$B$15</f>
        <v>13539.2900558976</v>
      </c>
      <c r="I18" s="26" t="n">
        <f aca="false">I13*Assumptions!$B$15</f>
        <v>15704.2529198461</v>
      </c>
      <c r="J18" s="26" t="n">
        <f aca="false">J13*Assumptions!$B$15</f>
        <v>17945.0093372078</v>
      </c>
      <c r="K18" s="26" t="n">
        <f aca="false">K13*Assumptions!$B$15</f>
        <v>20268.2710899244</v>
      </c>
      <c r="L18" s="26" t="n">
        <f aca="false">L13*Assumptions!$B$15</f>
        <v>22681.0661001045</v>
      </c>
      <c r="M18" s="26" t="n">
        <f aca="false">M13*Assumptions!$B$15</f>
        <v>25190.7608611041</v>
      </c>
      <c r="N18" s="26" t="n">
        <f aca="false">N13*Assumptions!$B$15</f>
        <v>27805.0840759639</v>
      </c>
      <c r="O18" s="26" t="n">
        <f aca="false">O13*Assumptions!$B$15</f>
        <v>30532.1515811876</v>
      </c>
      <c r="P18" s="26" t="n">
        <f aca="false">P13*Assumptions!$B$15</f>
        <v>33380.4926382981</v>
      </c>
      <c r="Q18" s="26" t="n">
        <f aca="false">Q13*Assumptions!$B$15</f>
        <v>36359.0776803456</v>
      </c>
      <c r="R18" s="26" t="n">
        <f aca="false">R13*Assumptions!$B$15</f>
        <v>39477.347605566</v>
      </c>
      <c r="S18" s="26" t="n">
        <f aca="false">S13*Assumptions!$B$15</f>
        <v>42745.2447157236</v>
      </c>
      <c r="T18" s="26" t="n">
        <f aca="false">T13*Assumptions!$B$15</f>
        <v>46173.2454023377</v>
      </c>
      <c r="U18" s="26" t="n">
        <f aca="false">U13*Assumptions!$B$15</f>
        <v>49772.3946900019</v>
      </c>
      <c r="V18" s="26" t="n">
        <f aca="false">V13*Assumptions!$B$15</f>
        <v>53554.3427523849</v>
      </c>
      <c r="W18" s="26" t="n">
        <f aca="false">W13*Assumptions!$B$15</f>
        <v>57531.3835232717</v>
      </c>
      <c r="X18" s="26" t="n">
        <f aca="false">X13*Assumptions!$B$15</f>
        <v>61716.4955321818</v>
      </c>
      <c r="Y18" s="26" t="n">
        <f aca="false">Y13*Assumptions!$B$15</f>
        <v>66123.3851017261</v>
      </c>
      <c r="Z18" s="26" t="n">
        <f aca="false">Z13*Assumptions!$B$15</f>
        <v>70766.5320519384</v>
      </c>
      <c r="AA18" s="26" t="n">
        <f aca="false">AA13*Assumptions!$B$15</f>
        <v>75661.2380653992</v>
      </c>
      <c r="AB18" s="26" t="n">
        <f aca="false">AB13*Assumptions!$B$15</f>
        <v>80823.6778760538</v>
      </c>
      <c r="AC18" s="26" t="n">
        <f aca="false">AC13*Assumptions!$B$15</f>
        <v>86270.9534542784</v>
      </c>
      <c r="AD18" s="26" t="n">
        <f aca="false">AD13*Assumptions!$B$15</f>
        <v>92021.1513709701</v>
      </c>
      <c r="AE18" s="26" t="n">
        <f aca="false">AE13*Assumptions!$B$15</f>
        <v>98093.4035342859</v>
      </c>
      <c r="AF18" s="26" t="n">
        <f aca="false">AF13*Assumptions!$B$15</f>
        <v>104507.951504158</v>
      </c>
      <c r="AG18" s="26" t="n">
        <f aca="false">AG13*Assumptions!$B$15</f>
        <v>111286.214601911</v>
      </c>
      <c r="AH18" s="26" t="n">
        <f aca="false">AH13*Assumptions!$B$15</f>
        <v>118450.862045228</v>
      </c>
      <c r="AI18" s="26" t="n">
        <f aca="false">AI13*Assumptions!$B$15</f>
        <v>126025.889352456</v>
      </c>
      <c r="AJ18" s="26" t="n">
        <f aca="false">AJ13*Assumptions!$B$15</f>
        <v>134036.699274737</v>
      </c>
      <c r="AK18" s="26" t="n">
        <f aca="false">AK13*Assumptions!$B$15</f>
        <v>142510.18752991</v>
      </c>
    </row>
    <row r="19" customFormat="false" ht="15" hidden="false" customHeight="true" outlineLevel="0" collapsed="false">
      <c r="A19" s="12" t="s">
        <v>84</v>
      </c>
      <c r="B19" s="26" t="n">
        <f aca="false">B14*Assumptions!$B$23</f>
        <v>360</v>
      </c>
      <c r="C19" s="26" t="n">
        <f aca="false">C14*Assumptions!$B$23</f>
        <v>718.2</v>
      </c>
      <c r="D19" s="26" t="n">
        <f aca="false">D14*Assumptions!$B$23</f>
        <v>1075.599</v>
      </c>
      <c r="E19" s="26" t="n">
        <f aca="false">E14*Assumptions!$B$23</f>
        <v>1433.186055</v>
      </c>
      <c r="F19" s="26" t="n">
        <f aca="false">F14*Assumptions!$B$23</f>
        <v>1791.943071975</v>
      </c>
      <c r="G19" s="26" t="n">
        <f aca="false">G14*Assumptions!$B$23</f>
        <v>2152.84756551638</v>
      </c>
      <c r="H19" s="26" t="n">
        <f aca="false">H14*Assumptions!$B$23</f>
        <v>2516.87538003797</v>
      </c>
      <c r="I19" s="26" t="n">
        <f aca="false">I14*Assumptions!$B$23</f>
        <v>2885.00338629214</v>
      </c>
      <c r="J19" s="26" t="n">
        <f aca="false">J14*Assumptions!$B$23</f>
        <v>3258.21215981013</v>
      </c>
      <c r="K19" s="26" t="n">
        <f aca="false">K14*Assumptions!$B$23</f>
        <v>3637.48864877284</v>
      </c>
      <c r="L19" s="26" t="n">
        <f aca="false">L14*Assumptions!$B$23</f>
        <v>4023.82883873021</v>
      </c>
      <c r="M19" s="26" t="n">
        <f aca="false">M14*Assumptions!$B$23</f>
        <v>4418.24042152192</v>
      </c>
      <c r="N19" s="26" t="n">
        <f aca="false">N14*Assumptions!$B$23</f>
        <v>4821.74547570618</v>
      </c>
      <c r="O19" s="26" t="n">
        <f aca="false">O14*Assumptions!$B$23</f>
        <v>5235.38316577871</v>
      </c>
      <c r="P19" s="26" t="n">
        <f aca="false">P14*Assumptions!$B$23</f>
        <v>5660.21246745906</v>
      </c>
      <c r="Q19" s="26" t="n">
        <f aca="false">Q14*Assumptions!$B$23</f>
        <v>6097.31492633691</v>
      </c>
      <c r="R19" s="26" t="n">
        <f aca="false">R14*Assumptions!$B$23</f>
        <v>6547.79745720588</v>
      </c>
      <c r="S19" s="26" t="n">
        <f aca="false">S14*Assumptions!$B$23</f>
        <v>7012.79519146792</v>
      </c>
      <c r="T19" s="26" t="n">
        <f aca="false">T14*Assumptions!$B$23</f>
        <v>7493.47438006598</v>
      </c>
      <c r="U19" s="26" t="n">
        <f aca="false">U14*Assumptions!$B$23</f>
        <v>7991.03535949758</v>
      </c>
      <c r="V19" s="26" t="n">
        <f aca="false">V14*Assumptions!$B$23</f>
        <v>8506.7155885772</v>
      </c>
      <c r="W19" s="26" t="n">
        <f aca="false">W14*Assumptions!$B$23</f>
        <v>9041.79276375005</v>
      </c>
      <c r="X19" s="26" t="n">
        <f aca="false">X14*Assumptions!$B$23</f>
        <v>9597.58802091562</v>
      </c>
      <c r="Y19" s="26" t="n">
        <f aca="false">Y14*Assumptions!$B$23</f>
        <v>10175.4692318957</v>
      </c>
      <c r="Z19" s="26" t="n">
        <f aca="false">Z14*Assumptions!$B$23</f>
        <v>10776.8544038783</v>
      </c>
      <c r="AA19" s="26" t="n">
        <f aca="false">AA14*Assumptions!$B$23</f>
        <v>11403.2151903888</v>
      </c>
      <c r="AB19" s="26" t="n">
        <f aca="false">AB14*Assumptions!$B$23</f>
        <v>12056.0805225774</v>
      </c>
      <c r="AC19" s="26" t="n">
        <f aca="false">AC14*Assumptions!$B$23</f>
        <v>12737.0403698786</v>
      </c>
      <c r="AD19" s="26" t="n">
        <f aca="false">AD14*Assumptions!$B$23</f>
        <v>13447.7496393804</v>
      </c>
      <c r="AE19" s="26" t="n">
        <f aca="false">AE14*Assumptions!$B$23</f>
        <v>14189.9322235518</v>
      </c>
      <c r="AF19" s="26" t="n">
        <f aca="false">AF14*Assumptions!$B$23</f>
        <v>14965.3852063107</v>
      </c>
      <c r="AG19" s="26" t="n">
        <f aca="false">AG14*Assumptions!$B$23</f>
        <v>15775.9832377706</v>
      </c>
      <c r="AH19" s="26" t="n">
        <f aca="false">AH14*Assumptions!$B$23</f>
        <v>16623.6830883905</v>
      </c>
      <c r="AI19" s="26" t="n">
        <f aca="false">AI14*Assumptions!$B$23</f>
        <v>17510.5283936612</v>
      </c>
      <c r="AJ19" s="26" t="n">
        <f aca="false">AJ14*Assumptions!$B$23</f>
        <v>18438.6546008986</v>
      </c>
      <c r="AK19" s="26" t="n">
        <f aca="false">AK14*Assumptions!$B$23</f>
        <v>19410.2941301824</v>
      </c>
    </row>
    <row r="20" customFormat="false" ht="15" hidden="false" customHeight="true" outlineLevel="0" collapsed="false">
      <c r="A20" s="7" t="s">
        <v>85</v>
      </c>
      <c r="B20" s="27" t="n">
        <f aca="false">B18+B19</f>
        <v>2160</v>
      </c>
      <c r="C20" s="27" t="n">
        <f aca="false">C18+C19</f>
        <v>4354.2</v>
      </c>
      <c r="D20" s="27" t="n">
        <f aca="false">D18+D19</f>
        <v>6588.639</v>
      </c>
      <c r="E20" s="27" t="n">
        <f aca="false">E18+E19</f>
        <v>8869.533255</v>
      </c>
      <c r="F20" s="27" t="n">
        <f aca="false">F18+F19</f>
        <v>11203.294911975</v>
      </c>
      <c r="G20" s="27" t="n">
        <f aca="false">G18+G19</f>
        <v>13596.5513715964</v>
      </c>
      <c r="H20" s="27" t="n">
        <f aca="false">H18+H19</f>
        <v>16056.1654359356</v>
      </c>
      <c r="I20" s="27" t="n">
        <f aca="false">I18+I19</f>
        <v>18589.2563061383</v>
      </c>
      <c r="J20" s="27" t="n">
        <f aca="false">J18+J19</f>
        <v>21203.2214970179</v>
      </c>
      <c r="K20" s="27" t="n">
        <f aca="false">K18+K19</f>
        <v>23905.7597386972</v>
      </c>
      <c r="L20" s="27" t="n">
        <f aca="false">L18+L19</f>
        <v>26704.8949388347</v>
      </c>
      <c r="M20" s="27" t="n">
        <f aca="false">M18+M19</f>
        <v>29609.001282626</v>
      </c>
      <c r="N20" s="27" t="n">
        <f aca="false">N18+N19</f>
        <v>32626.8295516701</v>
      </c>
      <c r="O20" s="27" t="n">
        <f aca="false">O18+O19</f>
        <v>35767.5347469663</v>
      </c>
      <c r="P20" s="27" t="n">
        <f aca="false">P18+P19</f>
        <v>39040.7051057571</v>
      </c>
      <c r="Q20" s="27" t="n">
        <f aca="false">Q18+Q19</f>
        <v>42456.3926066825</v>
      </c>
      <c r="R20" s="27" t="n">
        <f aca="false">R18+R19</f>
        <v>46025.1450627718</v>
      </c>
      <c r="S20" s="27" t="n">
        <f aca="false">S18+S19</f>
        <v>49758.0399071915</v>
      </c>
      <c r="T20" s="27" t="n">
        <f aca="false">T18+T19</f>
        <v>53666.7197824037</v>
      </c>
      <c r="U20" s="27" t="n">
        <f aca="false">U18+U19</f>
        <v>57763.4300494995</v>
      </c>
      <c r="V20" s="27" t="n">
        <f aca="false">V18+V19</f>
        <v>62061.0583409622</v>
      </c>
      <c r="W20" s="27" t="n">
        <f aca="false">W18+W19</f>
        <v>66573.1762870217</v>
      </c>
      <c r="X20" s="27" t="n">
        <f aca="false">X18+X19</f>
        <v>71314.0835530975</v>
      </c>
      <c r="Y20" s="27" t="n">
        <f aca="false">Y18+Y19</f>
        <v>76298.8543336217</v>
      </c>
      <c r="Z20" s="27" t="n">
        <f aca="false">Z18+Z19</f>
        <v>81543.3864558168</v>
      </c>
      <c r="AA20" s="27" t="n">
        <f aca="false">AA18+AA19</f>
        <v>87064.453255788</v>
      </c>
      <c r="AB20" s="27" t="n">
        <f aca="false">AB18+AB19</f>
        <v>92879.7583986312</v>
      </c>
      <c r="AC20" s="27" t="n">
        <f aca="false">AC18+AC19</f>
        <v>99007.993824157</v>
      </c>
      <c r="AD20" s="27" t="n">
        <f aca="false">AD18+AD19</f>
        <v>105468.901010351</v>
      </c>
      <c r="AE20" s="27" t="n">
        <f aca="false">AE18+AE19</f>
        <v>112283.335757838</v>
      </c>
      <c r="AF20" s="27" t="n">
        <f aca="false">AF18+AF19</f>
        <v>119473.336710469</v>
      </c>
      <c r="AG20" s="27" t="n">
        <f aca="false">AG18+AG19</f>
        <v>127062.197839681</v>
      </c>
      <c r="AH20" s="27" t="n">
        <f aca="false">AH18+AH19</f>
        <v>135074.545133618</v>
      </c>
      <c r="AI20" s="27" t="n">
        <f aca="false">AI18+AI19</f>
        <v>143536.417746117</v>
      </c>
      <c r="AJ20" s="27" t="n">
        <f aca="false">AJ18+AJ19</f>
        <v>152475.353875636</v>
      </c>
      <c r="AK20" s="27" t="n">
        <f aca="false">AK18+AK19</f>
        <v>161920.481660092</v>
      </c>
    </row>
    <row r="21" customFormat="false" ht="15" hidden="false" customHeight="true" outlineLevel="0" collapsed="false">
      <c r="A21" s="7" t="s">
        <v>86</v>
      </c>
      <c r="B21" s="27" t="n">
        <f aca="false">B15-B20</f>
        <v>9280</v>
      </c>
      <c r="C21" s="27" t="n">
        <f aca="false">C15-C20</f>
        <v>18718.6</v>
      </c>
      <c r="D21" s="27" t="n">
        <f aca="false">D15-D20</f>
        <v>28341.757</v>
      </c>
      <c r="E21" s="27" t="n">
        <f aca="false">E15-E20</f>
        <v>38176.250965</v>
      </c>
      <c r="F21" s="27" t="n">
        <f aca="false">F15-F20</f>
        <v>48249.765375925</v>
      </c>
      <c r="G21" s="27" t="n">
        <f aca="false">G15-G20</f>
        <v>58590.9711464691</v>
      </c>
      <c r="H21" s="27" t="n">
        <f aca="false">H15-H20</f>
        <v>69229.6141725363</v>
      </c>
      <c r="I21" s="27" t="n">
        <f aca="false">I15-I20</f>
        <v>80196.6067937311</v>
      </c>
      <c r="J21" s="27" t="n">
        <f aca="false">J15-J20</f>
        <v>91524.1234600438</v>
      </c>
      <c r="K21" s="27" t="n">
        <f aca="false">K15-K20</f>
        <v>103245.700911529</v>
      </c>
      <c r="L21" s="27" t="n">
        <f aca="false">L15-L20</f>
        <v>115396.343194445</v>
      </c>
      <c r="M21" s="27" t="n">
        <f aca="false">M15-M20</f>
        <v>128012.63185404</v>
      </c>
      <c r="N21" s="27" t="n">
        <f aca="false">N15-N20</f>
        <v>141132.841662065</v>
      </c>
      <c r="O21" s="27" t="n">
        <f aca="false">O15-O20</f>
        <v>154797.06225608</v>
      </c>
      <c r="P21" s="27" t="n">
        <f aca="false">P15-P20</f>
        <v>169047.326087957</v>
      </c>
      <c r="Q21" s="27" t="n">
        <f aca="false">Q15-Q20</f>
        <v>183927.743100585</v>
      </c>
      <c r="R21" s="27" t="n">
        <f aca="false">R15-R20</f>
        <v>199484.642574752</v>
      </c>
      <c r="S21" s="27" t="n">
        <f aca="false">S15-S20</f>
        <v>215766.7226127</v>
      </c>
      <c r="T21" s="27" t="n">
        <f aca="false">T15-T20</f>
        <v>232825.207750848</v>
      </c>
      <c r="U21" s="27" t="n">
        <f aca="false">U15-U20</f>
        <v>250714.015221835</v>
      </c>
      <c r="V21" s="27" t="n">
        <f aca="false">V15-V20</f>
        <v>269489.930415485</v>
      </c>
      <c r="W21" s="27" t="n">
        <f aca="false">W15-W20</f>
        <v>289212.792119488</v>
      </c>
      <c r="X21" s="27" t="n">
        <f aca="false">X15-X20</f>
        <v>309945.688153797</v>
      </c>
      <c r="Y21" s="27" t="n">
        <f aca="false">Y15-Y20</f>
        <v>331755.162047995</v>
      </c>
      <c r="Z21" s="27" t="n">
        <f aca="false">Z15-Z20</f>
        <v>354711.431448243</v>
      </c>
      <c r="AA21" s="27" t="n">
        <f aca="false">AA15-AA20</f>
        <v>378888.618980207</v>
      </c>
      <c r="AB21" s="27" t="n">
        <f aca="false">AB15-AB20</f>
        <v>404364.996336422</v>
      </c>
      <c r="AC21" s="27" t="n">
        <f aca="false">AC15-AC20</f>
        <v>431223.242401349</v>
      </c>
      <c r="AD21" s="27" t="n">
        <f aca="false">AD15-AD20</f>
        <v>459550.716274783</v>
      </c>
      <c r="AE21" s="27" t="n">
        <f aca="false">AE15-AE20</f>
        <v>489439.746104625</v>
      </c>
      <c r="AF21" s="27" t="n">
        <f aca="false">AF15-AF20</f>
        <v>520987.934693431</v>
      </c>
      <c r="AG21" s="27" t="n">
        <f aca="false">AG15-AG20</f>
        <v>554298.482899793</v>
      </c>
      <c r="AH21" s="27" t="n">
        <f aca="false">AH15-AH20</f>
        <v>589480.531915653</v>
      </c>
      <c r="AI21" s="27" t="n">
        <f aca="false">AI15-AI20</f>
        <v>626649.525564393</v>
      </c>
      <c r="AJ21" s="27" t="n">
        <f aca="false">AJ15-AJ20</f>
        <v>665927.593832053</v>
      </c>
      <c r="AK21" s="27" t="n">
        <f aca="false">AK15-AK20</f>
        <v>707443.958915692</v>
      </c>
    </row>
    <row r="22" customFormat="false" ht="15" hidden="false" customHeight="true" outlineLevel="0" collapsed="false">
      <c r="A22" s="12" t="s">
        <v>87</v>
      </c>
      <c r="B22" s="28" t="n">
        <f aca="false">IFERROR(B21/B15,0)</f>
        <v>0.811188811188811</v>
      </c>
      <c r="C22" s="28" t="n">
        <f aca="false">IFERROR(C21/C15,0)</f>
        <v>0.811284282791859</v>
      </c>
      <c r="D22" s="28" t="n">
        <f aca="false">IFERROR(D21/D15,0)</f>
        <v>0.811378061674422</v>
      </c>
      <c r="E22" s="28" t="n">
        <f aca="false">IFERROR(E21/E15,0)</f>
        <v>0.81147017948466</v>
      </c>
      <c r="F22" s="28" t="n">
        <f aca="false">IFERROR(F21/F15,0)</f>
        <v>0.811560668908828</v>
      </c>
      <c r="G22" s="28" t="n">
        <f aca="false">IFERROR(G21/G15,0)</f>
        <v>0.81164956356282</v>
      </c>
      <c r="H22" s="28" t="n">
        <f aca="false">IFERROR(H21/H15,0)</f>
        <v>0.811736897878569</v>
      </c>
      <c r="I22" s="28" t="n">
        <f aca="false">IFERROR(I21/I15,0)</f>
        <v>0.811822706986473</v>
      </c>
      <c r="J22" s="28" t="n">
        <f aca="false">IFERROR(J21/J15,0)</f>
        <v>0.811907026595061</v>
      </c>
      <c r="K22" s="28" t="n">
        <f aca="false">IFERROR(K21/K15,0)</f>
        <v>0.811989892869118</v>
      </c>
      <c r="L22" s="28" t="n">
        <f aca="false">IFERROR(L21/L15,0)</f>
        <v>0.812071342307463</v>
      </c>
      <c r="M22" s="28" t="n">
        <f aca="false">IFERROR(M21/M15,0)</f>
        <v>0.812151411621567</v>
      </c>
      <c r="N22" s="28" t="n">
        <f aca="false">IFERROR(N21/N15,0)</f>
        <v>0.812230137616127</v>
      </c>
      <c r="O22" s="28" t="n">
        <f aca="false">IFERROR(O21/O15,0)</f>
        <v>0.812307557072657</v>
      </c>
      <c r="P22" s="28" t="n">
        <f aca="false">IFERROR(P21/P15,0)</f>
        <v>0.812383706637057</v>
      </c>
      <c r="Q22" s="28" t="n">
        <f aca="false">IFERROR(Q21/Q15,0)</f>
        <v>0.812458622712053</v>
      </c>
      <c r="R22" s="28" t="n">
        <f aca="false">IFERROR(R21/R15,0)</f>
        <v>0.812532341355268</v>
      </c>
      <c r="S22" s="28" t="n">
        <f aca="false">IFERROR(S21/S15,0)</f>
        <v>0.812604898183596</v>
      </c>
      <c r="T22" s="28" t="n">
        <f aca="false">IFERROR(T21/T15,0)</f>
        <v>0.812676328284416</v>
      </c>
      <c r="U22" s="28" t="n">
        <f aca="false">IFERROR(U21/U15,0)</f>
        <v>0.812746666134079</v>
      </c>
      <c r="V22" s="28" t="n">
        <f aca="false">IFERROR(V21/V15,0)</f>
        <v>0.812815945523989</v>
      </c>
      <c r="W22" s="28" t="n">
        <f aca="false">IFERROR(W21/W15,0)</f>
        <v>0.812884199494463</v>
      </c>
      <c r="X22" s="28" t="n">
        <f aca="false">IFERROR(X21/X15,0)</f>
        <v>0.81295146027648</v>
      </c>
      <c r="Y22" s="28" t="n">
        <f aca="false">IFERROR(Y21/Y15,0)</f>
        <v>0.8130177592413</v>
      </c>
      <c r="Z22" s="28" t="n">
        <f aca="false">IFERROR(Z21/Z15,0)</f>
        <v>0.813083126857869</v>
      </c>
      <c r="AA22" s="28" t="n">
        <f aca="false">IFERROR(AA21/AA15,0)</f>
        <v>0.813147592657804</v>
      </c>
      <c r="AB22" s="28" t="n">
        <f aca="false">IFERROR(AB21/AB15,0)</f>
        <v>0.813211185207735</v>
      </c>
      <c r="AC22" s="28" t="n">
        <f aca="false">IFERROR(AC21/AC15,0)</f>
        <v>0.813273932088661</v>
      </c>
      <c r="AD22" s="28" t="n">
        <f aca="false">IFERROR(AD21/AD15,0)</f>
        <v>0.813335859881965</v>
      </c>
      <c r="AE22" s="28" t="n">
        <f aca="false">IFERROR(AE21/AE15,0)</f>
        <v>0.813396994161672</v>
      </c>
      <c r="AF22" s="28" t="n">
        <f aca="false">IFERROR(AF21/AF15,0)</f>
        <v>0.813457359492508</v>
      </c>
      <c r="AG22" s="28" t="n">
        <f aca="false">IFERROR(AG21/AG15,0)</f>
        <v>0.813516979433299</v>
      </c>
      <c r="AH22" s="28" t="n">
        <f aca="false">IFERROR(AH21/AH15,0)</f>
        <v>0.813575876545224</v>
      </c>
      <c r="AI22" s="28" t="n">
        <f aca="false">IFERROR(AI21/AI15,0)</f>
        <v>0.81363407240445</v>
      </c>
      <c r="AJ22" s="28" t="n">
        <f aca="false">IFERROR(AJ21/AJ15,0)</f>
        <v>0.813691587618651</v>
      </c>
      <c r="AK22" s="28" t="n">
        <f aca="false">IFERROR(AK21/AK15,0)</f>
        <v>0.813748441846953</v>
      </c>
    </row>
    <row r="24" customFormat="false" ht="18" hidden="false" customHeight="true" outlineLevel="0" collapsed="false">
      <c r="A24" s="4" t="s">
        <v>88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customFormat="false" ht="15" hidden="false" customHeight="true" outlineLevel="0" collapsed="false">
      <c r="A25" s="12" t="s">
        <v>89</v>
      </c>
      <c r="B25" s="25" t="n">
        <f aca="false">SUMPRODUCT((Assumptions!$B$27:$B$36&lt;=B$3)*Assumptions!$D$27:$D$36)</f>
        <v>2</v>
      </c>
      <c r="C25" s="25" t="n">
        <f aca="false">SUMPRODUCT((Assumptions!$B$27:$B$36&lt;=C$3)*Assumptions!$D$27:$D$36)</f>
        <v>3</v>
      </c>
      <c r="D25" s="25" t="n">
        <f aca="false">SUMPRODUCT((Assumptions!$B$27:$B$36&lt;=D$3)*Assumptions!$D$27:$D$36)</f>
        <v>3</v>
      </c>
      <c r="E25" s="25" t="n">
        <f aca="false">SUMPRODUCT((Assumptions!$B$27:$B$36&lt;=E$3)*Assumptions!$D$27:$D$36)</f>
        <v>4</v>
      </c>
      <c r="F25" s="25" t="n">
        <f aca="false">SUMPRODUCT((Assumptions!$B$27:$B$36&lt;=F$3)*Assumptions!$D$27:$D$36)</f>
        <v>4</v>
      </c>
      <c r="G25" s="25" t="n">
        <f aca="false">SUMPRODUCT((Assumptions!$B$27:$B$36&lt;=G$3)*Assumptions!$D$27:$D$36)</f>
        <v>5</v>
      </c>
      <c r="H25" s="25" t="n">
        <f aca="false">SUMPRODUCT((Assumptions!$B$27:$B$36&lt;=H$3)*Assumptions!$D$27:$D$36)</f>
        <v>5</v>
      </c>
      <c r="I25" s="25" t="n">
        <f aca="false">SUMPRODUCT((Assumptions!$B$27:$B$36&lt;=I$3)*Assumptions!$D$27:$D$36)</f>
        <v>5</v>
      </c>
      <c r="J25" s="25" t="n">
        <f aca="false">SUMPRODUCT((Assumptions!$B$27:$B$36&lt;=J$3)*Assumptions!$D$27:$D$36)</f>
        <v>6</v>
      </c>
      <c r="K25" s="25" t="n">
        <f aca="false">SUMPRODUCT((Assumptions!$B$27:$B$36&lt;=K$3)*Assumptions!$D$27:$D$36)</f>
        <v>6</v>
      </c>
      <c r="L25" s="25" t="n">
        <f aca="false">SUMPRODUCT((Assumptions!$B$27:$B$36&lt;=L$3)*Assumptions!$D$27:$D$36)</f>
        <v>7</v>
      </c>
      <c r="M25" s="25" t="n">
        <f aca="false">SUMPRODUCT((Assumptions!$B$27:$B$36&lt;=M$3)*Assumptions!$D$27:$D$36)</f>
        <v>7</v>
      </c>
      <c r="N25" s="25" t="n">
        <f aca="false">SUMPRODUCT((Assumptions!$B$27:$B$36&lt;=N$3)*Assumptions!$D$27:$D$36)</f>
        <v>7</v>
      </c>
      <c r="O25" s="25" t="n">
        <f aca="false">SUMPRODUCT((Assumptions!$B$27:$B$36&lt;=O$3)*Assumptions!$D$27:$D$36)</f>
        <v>7</v>
      </c>
      <c r="P25" s="25" t="n">
        <f aca="false">SUMPRODUCT((Assumptions!$B$27:$B$36&lt;=P$3)*Assumptions!$D$27:$D$36)</f>
        <v>8</v>
      </c>
      <c r="Q25" s="25" t="n">
        <f aca="false">SUMPRODUCT((Assumptions!$B$27:$B$36&lt;=Q$3)*Assumptions!$D$27:$D$36)</f>
        <v>8</v>
      </c>
      <c r="R25" s="25" t="n">
        <f aca="false">SUMPRODUCT((Assumptions!$B$27:$B$36&lt;=R$3)*Assumptions!$D$27:$D$36)</f>
        <v>8</v>
      </c>
      <c r="S25" s="25" t="n">
        <f aca="false">SUMPRODUCT((Assumptions!$B$27:$B$36&lt;=S$3)*Assumptions!$D$27:$D$36)</f>
        <v>9</v>
      </c>
      <c r="T25" s="25" t="n">
        <f aca="false">SUMPRODUCT((Assumptions!$B$27:$B$36&lt;=T$3)*Assumptions!$D$27:$D$36)</f>
        <v>9</v>
      </c>
      <c r="U25" s="25" t="n">
        <f aca="false">SUMPRODUCT((Assumptions!$B$27:$B$36&lt;=U$3)*Assumptions!$D$27:$D$36)</f>
        <v>9</v>
      </c>
      <c r="V25" s="25" t="n">
        <f aca="false">SUMPRODUCT((Assumptions!$B$27:$B$36&lt;=V$3)*Assumptions!$D$27:$D$36)</f>
        <v>10</v>
      </c>
      <c r="W25" s="25" t="n">
        <f aca="false">SUMPRODUCT((Assumptions!$B$27:$B$36&lt;=W$3)*Assumptions!$D$27:$D$36)</f>
        <v>10</v>
      </c>
      <c r="X25" s="25" t="n">
        <f aca="false">SUMPRODUCT((Assumptions!$B$27:$B$36&lt;=X$3)*Assumptions!$D$27:$D$36)</f>
        <v>10</v>
      </c>
      <c r="Y25" s="25" t="n">
        <f aca="false">SUMPRODUCT((Assumptions!$B$27:$B$36&lt;=Y$3)*Assumptions!$D$27:$D$36)</f>
        <v>10</v>
      </c>
      <c r="Z25" s="25" t="n">
        <f aca="false">SUMPRODUCT((Assumptions!$B$27:$B$36&lt;=Z$3)*Assumptions!$D$27:$D$36)</f>
        <v>10</v>
      </c>
      <c r="AA25" s="25" t="n">
        <f aca="false">SUMPRODUCT((Assumptions!$B$27:$B$36&lt;=AA$3)*Assumptions!$D$27:$D$36)</f>
        <v>10</v>
      </c>
      <c r="AB25" s="25" t="n">
        <f aca="false">SUMPRODUCT((Assumptions!$B$27:$B$36&lt;=AB$3)*Assumptions!$D$27:$D$36)</f>
        <v>10</v>
      </c>
      <c r="AC25" s="25" t="n">
        <f aca="false">SUMPRODUCT((Assumptions!$B$27:$B$36&lt;=AC$3)*Assumptions!$D$27:$D$36)</f>
        <v>10</v>
      </c>
      <c r="AD25" s="25" t="n">
        <f aca="false">SUMPRODUCT((Assumptions!$B$27:$B$36&lt;=AD$3)*Assumptions!$D$27:$D$36)</f>
        <v>10</v>
      </c>
      <c r="AE25" s="25" t="n">
        <f aca="false">SUMPRODUCT((Assumptions!$B$27:$B$36&lt;=AE$3)*Assumptions!$D$27:$D$36)</f>
        <v>10</v>
      </c>
      <c r="AF25" s="25" t="n">
        <f aca="false">SUMPRODUCT((Assumptions!$B$27:$B$36&lt;=AF$3)*Assumptions!$D$27:$D$36)</f>
        <v>10</v>
      </c>
      <c r="AG25" s="25" t="n">
        <f aca="false">SUMPRODUCT((Assumptions!$B$27:$B$36&lt;=AG$3)*Assumptions!$D$27:$D$36)</f>
        <v>10</v>
      </c>
      <c r="AH25" s="25" t="n">
        <f aca="false">SUMPRODUCT((Assumptions!$B$27:$B$36&lt;=AH$3)*Assumptions!$D$27:$D$36)</f>
        <v>10</v>
      </c>
      <c r="AI25" s="25" t="n">
        <f aca="false">SUMPRODUCT((Assumptions!$B$27:$B$36&lt;=AI$3)*Assumptions!$D$27:$D$36)</f>
        <v>10</v>
      </c>
      <c r="AJ25" s="25" t="n">
        <f aca="false">SUMPRODUCT((Assumptions!$B$27:$B$36&lt;=AJ$3)*Assumptions!$D$27:$D$36)</f>
        <v>10</v>
      </c>
      <c r="AK25" s="25" t="n">
        <f aca="false">SUMPRODUCT((Assumptions!$B$27:$B$36&lt;=AK$3)*Assumptions!$D$27:$D$36)</f>
        <v>10</v>
      </c>
    </row>
    <row r="26" customFormat="false" ht="15" hidden="false" customHeight="true" outlineLevel="0" collapsed="false">
      <c r="A26" s="12" t="s">
        <v>90</v>
      </c>
      <c r="B26" s="26" t="n">
        <f aca="false">SUMPRODUCT((Assumptions!$B$27:$B$36&lt;=B$3)*Assumptions!$C$27:$C$36*Assumptions!$D$27:$D$36)</f>
        <v>26000</v>
      </c>
      <c r="C26" s="26" t="n">
        <f aca="false">SUMPRODUCT((Assumptions!$B$27:$B$36&lt;=C$3)*Assumptions!$C$27:$C$36*Assumptions!$D$27:$D$36)</f>
        <v>37500</v>
      </c>
      <c r="D26" s="26" t="n">
        <f aca="false">SUMPRODUCT((Assumptions!$B$27:$B$36&lt;=D$3)*Assumptions!$C$27:$C$36*Assumptions!$D$27:$D$36)</f>
        <v>37500</v>
      </c>
      <c r="E26" s="26" t="n">
        <f aca="false">SUMPRODUCT((Assumptions!$B$27:$B$36&lt;=E$3)*Assumptions!$C$27:$C$36*Assumptions!$D$27:$D$36)</f>
        <v>47000</v>
      </c>
      <c r="F26" s="26" t="n">
        <f aca="false">SUMPRODUCT((Assumptions!$B$27:$B$36&lt;=F$3)*Assumptions!$C$27:$C$36*Assumptions!$D$27:$D$36)</f>
        <v>47000</v>
      </c>
      <c r="G26" s="26" t="n">
        <f aca="false">SUMPRODUCT((Assumptions!$B$27:$B$36&lt;=G$3)*Assumptions!$C$27:$C$36*Assumptions!$D$27:$D$36)</f>
        <v>54000</v>
      </c>
      <c r="H26" s="26" t="n">
        <f aca="false">SUMPRODUCT((Assumptions!$B$27:$B$36&lt;=H$3)*Assumptions!$C$27:$C$36*Assumptions!$D$27:$D$36)</f>
        <v>54000</v>
      </c>
      <c r="I26" s="26" t="n">
        <f aca="false">SUMPRODUCT((Assumptions!$B$27:$B$36&lt;=I$3)*Assumptions!$C$27:$C$36*Assumptions!$D$27:$D$36)</f>
        <v>54000</v>
      </c>
      <c r="J26" s="26" t="n">
        <f aca="false">SUMPRODUCT((Assumptions!$B$27:$B$36&lt;=J$3)*Assumptions!$C$27:$C$36*Assumptions!$D$27:$D$36)</f>
        <v>65500</v>
      </c>
      <c r="K26" s="26" t="n">
        <f aca="false">SUMPRODUCT((Assumptions!$B$27:$B$36&lt;=K$3)*Assumptions!$C$27:$C$36*Assumptions!$D$27:$D$36)</f>
        <v>65500</v>
      </c>
      <c r="L26" s="26" t="n">
        <f aca="false">SUMPRODUCT((Assumptions!$B$27:$B$36&lt;=L$3)*Assumptions!$C$27:$C$36*Assumptions!$D$27:$D$36)</f>
        <v>74000</v>
      </c>
      <c r="M26" s="26" t="n">
        <f aca="false">SUMPRODUCT((Assumptions!$B$27:$B$36&lt;=M$3)*Assumptions!$C$27:$C$36*Assumptions!$D$27:$D$36)</f>
        <v>74000</v>
      </c>
      <c r="N26" s="26" t="n">
        <f aca="false">SUMPRODUCT((Assumptions!$B$27:$B$36&lt;=N$3)*Assumptions!$C$27:$C$36*Assumptions!$D$27:$D$36)</f>
        <v>74000</v>
      </c>
      <c r="O26" s="26" t="n">
        <f aca="false">SUMPRODUCT((Assumptions!$B$27:$B$36&lt;=O$3)*Assumptions!$C$27:$C$36*Assumptions!$D$27:$D$36)</f>
        <v>74000</v>
      </c>
      <c r="P26" s="26" t="n">
        <f aca="false">SUMPRODUCT((Assumptions!$B$27:$B$36&lt;=P$3)*Assumptions!$C$27:$C$36*Assumptions!$D$27:$D$36)</f>
        <v>85500</v>
      </c>
      <c r="Q26" s="26" t="n">
        <f aca="false">SUMPRODUCT((Assumptions!$B$27:$B$36&lt;=Q$3)*Assumptions!$C$27:$C$36*Assumptions!$D$27:$D$36)</f>
        <v>85500</v>
      </c>
      <c r="R26" s="26" t="n">
        <f aca="false">SUMPRODUCT((Assumptions!$B$27:$B$36&lt;=R$3)*Assumptions!$C$27:$C$36*Assumptions!$D$27:$D$36)</f>
        <v>85500</v>
      </c>
      <c r="S26" s="26" t="n">
        <f aca="false">SUMPRODUCT((Assumptions!$B$27:$B$36&lt;=S$3)*Assumptions!$C$27:$C$36*Assumptions!$D$27:$D$36)</f>
        <v>93500</v>
      </c>
      <c r="T26" s="26" t="n">
        <f aca="false">SUMPRODUCT((Assumptions!$B$27:$B$36&lt;=T$3)*Assumptions!$C$27:$C$36*Assumptions!$D$27:$D$36)</f>
        <v>93500</v>
      </c>
      <c r="U26" s="26" t="n">
        <f aca="false">SUMPRODUCT((Assumptions!$B$27:$B$36&lt;=U$3)*Assumptions!$C$27:$C$36*Assumptions!$D$27:$D$36)</f>
        <v>93500</v>
      </c>
      <c r="V26" s="26" t="n">
        <f aca="false">SUMPRODUCT((Assumptions!$B$27:$B$36&lt;=V$3)*Assumptions!$C$27:$C$36*Assumptions!$D$27:$D$36)</f>
        <v>102000</v>
      </c>
      <c r="W26" s="26" t="n">
        <f aca="false">SUMPRODUCT((Assumptions!$B$27:$B$36&lt;=W$3)*Assumptions!$C$27:$C$36*Assumptions!$D$27:$D$36)</f>
        <v>102000</v>
      </c>
      <c r="X26" s="26" t="n">
        <f aca="false">SUMPRODUCT((Assumptions!$B$27:$B$36&lt;=X$3)*Assumptions!$C$27:$C$36*Assumptions!$D$27:$D$36)</f>
        <v>102000</v>
      </c>
      <c r="Y26" s="26" t="n">
        <f aca="false">SUMPRODUCT((Assumptions!$B$27:$B$36&lt;=Y$3)*Assumptions!$C$27:$C$36*Assumptions!$D$27:$D$36)</f>
        <v>102000</v>
      </c>
      <c r="Z26" s="26" t="n">
        <f aca="false">SUMPRODUCT((Assumptions!$B$27:$B$36&lt;=Z$3)*Assumptions!$C$27:$C$36*Assumptions!$D$27:$D$36)</f>
        <v>102000</v>
      </c>
      <c r="AA26" s="26" t="n">
        <f aca="false">SUMPRODUCT((Assumptions!$B$27:$B$36&lt;=AA$3)*Assumptions!$C$27:$C$36*Assumptions!$D$27:$D$36)</f>
        <v>102000</v>
      </c>
      <c r="AB26" s="26" t="n">
        <f aca="false">SUMPRODUCT((Assumptions!$B$27:$B$36&lt;=AB$3)*Assumptions!$C$27:$C$36*Assumptions!$D$27:$D$36)</f>
        <v>102000</v>
      </c>
      <c r="AC26" s="26" t="n">
        <f aca="false">SUMPRODUCT((Assumptions!$B$27:$B$36&lt;=AC$3)*Assumptions!$C$27:$C$36*Assumptions!$D$27:$D$36)</f>
        <v>102000</v>
      </c>
      <c r="AD26" s="26" t="n">
        <f aca="false">SUMPRODUCT((Assumptions!$B$27:$B$36&lt;=AD$3)*Assumptions!$C$27:$C$36*Assumptions!$D$27:$D$36)</f>
        <v>102000</v>
      </c>
      <c r="AE26" s="26" t="n">
        <f aca="false">SUMPRODUCT((Assumptions!$B$27:$B$36&lt;=AE$3)*Assumptions!$C$27:$C$36*Assumptions!$D$27:$D$36)</f>
        <v>102000</v>
      </c>
      <c r="AF26" s="26" t="n">
        <f aca="false">SUMPRODUCT((Assumptions!$B$27:$B$36&lt;=AF$3)*Assumptions!$C$27:$C$36*Assumptions!$D$27:$D$36)</f>
        <v>102000</v>
      </c>
      <c r="AG26" s="26" t="n">
        <f aca="false">SUMPRODUCT((Assumptions!$B$27:$B$36&lt;=AG$3)*Assumptions!$C$27:$C$36*Assumptions!$D$27:$D$36)</f>
        <v>102000</v>
      </c>
      <c r="AH26" s="26" t="n">
        <f aca="false">SUMPRODUCT((Assumptions!$B$27:$B$36&lt;=AH$3)*Assumptions!$C$27:$C$36*Assumptions!$D$27:$D$36)</f>
        <v>102000</v>
      </c>
      <c r="AI26" s="26" t="n">
        <f aca="false">SUMPRODUCT((Assumptions!$B$27:$B$36&lt;=AI$3)*Assumptions!$C$27:$C$36*Assumptions!$D$27:$D$36)</f>
        <v>102000</v>
      </c>
      <c r="AJ26" s="26" t="n">
        <f aca="false">SUMPRODUCT((Assumptions!$B$27:$B$36&lt;=AJ$3)*Assumptions!$C$27:$C$36*Assumptions!$D$27:$D$36)</f>
        <v>102000</v>
      </c>
      <c r="AK26" s="26" t="n">
        <f aca="false">SUMPRODUCT((Assumptions!$B$27:$B$36&lt;=AK$3)*Assumptions!$C$27:$C$36*Assumptions!$D$27:$D$36)</f>
        <v>102000</v>
      </c>
    </row>
    <row r="27" customFormat="false" ht="15" hidden="false" customHeight="true" outlineLevel="0" collapsed="false">
      <c r="A27" s="12" t="s">
        <v>91</v>
      </c>
      <c r="B27" s="26" t="n">
        <f aca="false">Assumptions!$B$39</f>
        <v>4000</v>
      </c>
      <c r="C27" s="26" t="n">
        <f aca="false">Assumptions!$B$39</f>
        <v>4000</v>
      </c>
      <c r="D27" s="26" t="n">
        <f aca="false">Assumptions!$B$39</f>
        <v>4000</v>
      </c>
      <c r="E27" s="26" t="n">
        <f aca="false">Assumptions!$B$39</f>
        <v>4000</v>
      </c>
      <c r="F27" s="26" t="n">
        <f aca="false">Assumptions!$B$39</f>
        <v>4000</v>
      </c>
      <c r="G27" s="26" t="n">
        <f aca="false">Assumptions!$B$39</f>
        <v>4000</v>
      </c>
      <c r="H27" s="26" t="n">
        <f aca="false">Assumptions!$B$39</f>
        <v>4000</v>
      </c>
      <c r="I27" s="26" t="n">
        <f aca="false">Assumptions!$B$39</f>
        <v>4000</v>
      </c>
      <c r="J27" s="26" t="n">
        <f aca="false">Assumptions!$B$39</f>
        <v>4000</v>
      </c>
      <c r="K27" s="26" t="n">
        <f aca="false">Assumptions!$B$39</f>
        <v>4000</v>
      </c>
      <c r="L27" s="26" t="n">
        <f aca="false">Assumptions!$B$39</f>
        <v>4000</v>
      </c>
      <c r="M27" s="26" t="n">
        <f aca="false">Assumptions!$B$39</f>
        <v>4000</v>
      </c>
      <c r="N27" s="26" t="n">
        <f aca="false">Assumptions!$B$39</f>
        <v>4000</v>
      </c>
      <c r="O27" s="26" t="n">
        <f aca="false">Assumptions!$B$39</f>
        <v>4000</v>
      </c>
      <c r="P27" s="26" t="n">
        <f aca="false">Assumptions!$B$39</f>
        <v>4000</v>
      </c>
      <c r="Q27" s="26" t="n">
        <f aca="false">Assumptions!$B$39</f>
        <v>4000</v>
      </c>
      <c r="R27" s="26" t="n">
        <f aca="false">Assumptions!$B$39</f>
        <v>4000</v>
      </c>
      <c r="S27" s="26" t="n">
        <f aca="false">Assumptions!$B$39</f>
        <v>4000</v>
      </c>
      <c r="T27" s="26" t="n">
        <f aca="false">Assumptions!$B$39</f>
        <v>4000</v>
      </c>
      <c r="U27" s="26" t="n">
        <f aca="false">Assumptions!$B$39</f>
        <v>4000</v>
      </c>
      <c r="V27" s="26" t="n">
        <f aca="false">Assumptions!$B$39</f>
        <v>4000</v>
      </c>
      <c r="W27" s="26" t="n">
        <f aca="false">Assumptions!$B$39</f>
        <v>4000</v>
      </c>
      <c r="X27" s="26" t="n">
        <f aca="false">Assumptions!$B$39</f>
        <v>4000</v>
      </c>
      <c r="Y27" s="26" t="n">
        <f aca="false">Assumptions!$B$39</f>
        <v>4000</v>
      </c>
      <c r="Z27" s="26" t="n">
        <f aca="false">Assumptions!$B$39</f>
        <v>4000</v>
      </c>
      <c r="AA27" s="26" t="n">
        <f aca="false">Assumptions!$B$39</f>
        <v>4000</v>
      </c>
      <c r="AB27" s="26" t="n">
        <f aca="false">Assumptions!$B$39</f>
        <v>4000</v>
      </c>
      <c r="AC27" s="26" t="n">
        <f aca="false">Assumptions!$B$39</f>
        <v>4000</v>
      </c>
      <c r="AD27" s="26" t="n">
        <f aca="false">Assumptions!$B$39</f>
        <v>4000</v>
      </c>
      <c r="AE27" s="26" t="n">
        <f aca="false">Assumptions!$B$39</f>
        <v>4000</v>
      </c>
      <c r="AF27" s="26" t="n">
        <f aca="false">Assumptions!$B$39</f>
        <v>4000</v>
      </c>
      <c r="AG27" s="26" t="n">
        <f aca="false">Assumptions!$B$39</f>
        <v>4000</v>
      </c>
      <c r="AH27" s="26" t="n">
        <f aca="false">Assumptions!$B$39</f>
        <v>4000</v>
      </c>
      <c r="AI27" s="26" t="n">
        <f aca="false">Assumptions!$B$39</f>
        <v>4000</v>
      </c>
      <c r="AJ27" s="26" t="n">
        <f aca="false">Assumptions!$B$39</f>
        <v>4000</v>
      </c>
      <c r="AK27" s="26" t="n">
        <f aca="false">Assumptions!$B$39</f>
        <v>4000</v>
      </c>
    </row>
    <row r="28" customFormat="false" ht="15" hidden="false" customHeight="true" outlineLevel="0" collapsed="false">
      <c r="A28" s="12" t="s">
        <v>92</v>
      </c>
      <c r="B28" s="26" t="n">
        <f aca="false">Assumptions!$B$40</f>
        <v>2500</v>
      </c>
      <c r="C28" s="26" t="n">
        <f aca="false">Assumptions!$B$40</f>
        <v>2500</v>
      </c>
      <c r="D28" s="26" t="n">
        <f aca="false">Assumptions!$B$40</f>
        <v>2500</v>
      </c>
      <c r="E28" s="26" t="n">
        <f aca="false">Assumptions!$B$40</f>
        <v>2500</v>
      </c>
      <c r="F28" s="26" t="n">
        <f aca="false">Assumptions!$B$40</f>
        <v>2500</v>
      </c>
      <c r="G28" s="26" t="n">
        <f aca="false">Assumptions!$B$40</f>
        <v>2500</v>
      </c>
      <c r="H28" s="26" t="n">
        <f aca="false">Assumptions!$B$40</f>
        <v>2500</v>
      </c>
      <c r="I28" s="26" t="n">
        <f aca="false">Assumptions!$B$40</f>
        <v>2500</v>
      </c>
      <c r="J28" s="26" t="n">
        <f aca="false">Assumptions!$B$40</f>
        <v>2500</v>
      </c>
      <c r="K28" s="26" t="n">
        <f aca="false">Assumptions!$B$40</f>
        <v>2500</v>
      </c>
      <c r="L28" s="26" t="n">
        <f aca="false">Assumptions!$B$40</f>
        <v>2500</v>
      </c>
      <c r="M28" s="26" t="n">
        <f aca="false">Assumptions!$B$40</f>
        <v>2500</v>
      </c>
      <c r="N28" s="26" t="n">
        <f aca="false">Assumptions!$B$40</f>
        <v>2500</v>
      </c>
      <c r="O28" s="26" t="n">
        <f aca="false">Assumptions!$B$40</f>
        <v>2500</v>
      </c>
      <c r="P28" s="26" t="n">
        <f aca="false">Assumptions!$B$40</f>
        <v>2500</v>
      </c>
      <c r="Q28" s="26" t="n">
        <f aca="false">Assumptions!$B$40</f>
        <v>2500</v>
      </c>
      <c r="R28" s="26" t="n">
        <f aca="false">Assumptions!$B$40</f>
        <v>2500</v>
      </c>
      <c r="S28" s="26" t="n">
        <f aca="false">Assumptions!$B$40</f>
        <v>2500</v>
      </c>
      <c r="T28" s="26" t="n">
        <f aca="false">Assumptions!$B$40</f>
        <v>2500</v>
      </c>
      <c r="U28" s="26" t="n">
        <f aca="false">Assumptions!$B$40</f>
        <v>2500</v>
      </c>
      <c r="V28" s="26" t="n">
        <f aca="false">Assumptions!$B$40</f>
        <v>2500</v>
      </c>
      <c r="W28" s="26" t="n">
        <f aca="false">Assumptions!$B$40</f>
        <v>2500</v>
      </c>
      <c r="X28" s="26" t="n">
        <f aca="false">Assumptions!$B$40</f>
        <v>2500</v>
      </c>
      <c r="Y28" s="26" t="n">
        <f aca="false">Assumptions!$B$40</f>
        <v>2500</v>
      </c>
      <c r="Z28" s="26" t="n">
        <f aca="false">Assumptions!$B$40</f>
        <v>2500</v>
      </c>
      <c r="AA28" s="26" t="n">
        <f aca="false">Assumptions!$B$40</f>
        <v>2500</v>
      </c>
      <c r="AB28" s="26" t="n">
        <f aca="false">Assumptions!$B$40</f>
        <v>2500</v>
      </c>
      <c r="AC28" s="26" t="n">
        <f aca="false">Assumptions!$B$40</f>
        <v>2500</v>
      </c>
      <c r="AD28" s="26" t="n">
        <f aca="false">Assumptions!$B$40</f>
        <v>2500</v>
      </c>
      <c r="AE28" s="26" t="n">
        <f aca="false">Assumptions!$B$40</f>
        <v>2500</v>
      </c>
      <c r="AF28" s="26" t="n">
        <f aca="false">Assumptions!$B$40</f>
        <v>2500</v>
      </c>
      <c r="AG28" s="26" t="n">
        <f aca="false">Assumptions!$B$40</f>
        <v>2500</v>
      </c>
      <c r="AH28" s="26" t="n">
        <f aca="false">Assumptions!$B$40</f>
        <v>2500</v>
      </c>
      <c r="AI28" s="26" t="n">
        <f aca="false">Assumptions!$B$40</f>
        <v>2500</v>
      </c>
      <c r="AJ28" s="26" t="n">
        <f aca="false">Assumptions!$B$40</f>
        <v>2500</v>
      </c>
      <c r="AK28" s="26" t="n">
        <f aca="false">Assumptions!$B$40</f>
        <v>2500</v>
      </c>
    </row>
    <row r="29" customFormat="false" ht="15" hidden="false" customHeight="true" outlineLevel="0" collapsed="false">
      <c r="A29" s="12" t="s">
        <v>50</v>
      </c>
      <c r="B29" s="26" t="n">
        <f aca="false">B15*Assumptions!$B$41</f>
        <v>2860</v>
      </c>
      <c r="C29" s="26" t="n">
        <f aca="false">C15*Assumptions!$B$41</f>
        <v>5768.2</v>
      </c>
      <c r="D29" s="26" t="n">
        <f aca="false">D15*Assumptions!$B$41</f>
        <v>8732.599</v>
      </c>
      <c r="E29" s="26" t="n">
        <f aca="false">E15*Assumptions!$B$41</f>
        <v>11761.446055</v>
      </c>
      <c r="F29" s="26" t="n">
        <f aca="false">F15*Assumptions!$B$41</f>
        <v>14863.265071975</v>
      </c>
      <c r="G29" s="26" t="n">
        <f aca="false">G15*Assumptions!$B$41</f>
        <v>18046.8806295164</v>
      </c>
      <c r="H29" s="26" t="n">
        <f aca="false">H15*Assumptions!$B$41</f>
        <v>21321.444902118</v>
      </c>
      <c r="I29" s="26" t="n">
        <f aca="false">I15*Assumptions!$B$41</f>
        <v>24696.4657749673</v>
      </c>
      <c r="J29" s="26" t="n">
        <f aca="false">J15*Assumptions!$B$41</f>
        <v>28181.8362392654</v>
      </c>
      <c r="K29" s="26" t="n">
        <f aca="false">K15*Assumptions!$B$41</f>
        <v>31787.8651625567</v>
      </c>
      <c r="L29" s="26" t="n">
        <f aca="false">L15*Assumptions!$B$41</f>
        <v>35525.3095333198</v>
      </c>
      <c r="M29" s="26" t="n">
        <f aca="false">M15*Assumptions!$B$41</f>
        <v>39405.4082841665</v>
      </c>
      <c r="N29" s="26" t="n">
        <f aca="false">N15*Assumptions!$B$41</f>
        <v>43439.9178034339</v>
      </c>
      <c r="O29" s="26" t="n">
        <f aca="false">O15*Assumptions!$B$41</f>
        <v>47641.1492507615</v>
      </c>
      <c r="P29" s="26" t="n">
        <f aca="false">P15*Assumptions!$B$41</f>
        <v>52022.0077984286</v>
      </c>
      <c r="Q29" s="26" t="n">
        <f aca="false">Q15*Assumptions!$B$41</f>
        <v>56596.0339268169</v>
      </c>
      <c r="R29" s="26" t="n">
        <f aca="false">R15*Assumptions!$B$41</f>
        <v>61377.4469093808</v>
      </c>
      <c r="S29" s="26" t="n">
        <f aca="false">S15*Assumptions!$B$41</f>
        <v>66381.1906299729</v>
      </c>
      <c r="T29" s="26" t="n">
        <f aca="false">T15*Assumptions!$B$41</f>
        <v>71622.9818833128</v>
      </c>
      <c r="U29" s="26" t="n">
        <f aca="false">U15*Assumptions!$B$41</f>
        <v>77119.3613178335</v>
      </c>
      <c r="V29" s="26" t="n">
        <f aca="false">V15*Assumptions!$B$41</f>
        <v>82887.7471891119</v>
      </c>
      <c r="W29" s="26" t="n">
        <f aca="false">W15*Assumptions!$B$41</f>
        <v>88946.4921016274</v>
      </c>
      <c r="X29" s="26" t="n">
        <f aca="false">X15*Assumptions!$B$41</f>
        <v>95314.9429267237</v>
      </c>
      <c r="Y29" s="26" t="n">
        <f aca="false">Y15*Assumptions!$B$41</f>
        <v>102013.504095404</v>
      </c>
      <c r="Z29" s="26" t="n">
        <f aca="false">Z15*Assumptions!$B$41</f>
        <v>109063.704476015</v>
      </c>
      <c r="AA29" s="26" t="n">
        <f aca="false">AA15*Assumptions!$B$41</f>
        <v>116488.268058999</v>
      </c>
      <c r="AB29" s="26" t="n">
        <f aca="false">AB15*Assumptions!$B$41</f>
        <v>124311.188683763</v>
      </c>
      <c r="AC29" s="26" t="n">
        <f aca="false">AC15*Assumptions!$B$41</f>
        <v>132557.809056376</v>
      </c>
      <c r="AD29" s="26" t="n">
        <f aca="false">AD15*Assumptions!$B$41</f>
        <v>141254.904321283</v>
      </c>
      <c r="AE29" s="26" t="n">
        <f aca="false">AE15*Assumptions!$B$41</f>
        <v>150430.770465616</v>
      </c>
      <c r="AF29" s="26" t="n">
        <f aca="false">AF15*Assumptions!$B$41</f>
        <v>160115.317850975</v>
      </c>
      <c r="AG29" s="26" t="n">
        <f aca="false">AG15*Assumptions!$B$41</f>
        <v>170340.170184869</v>
      </c>
      <c r="AH29" s="26" t="n">
        <f aca="false">AH15*Assumptions!$B$41</f>
        <v>181138.769262318</v>
      </c>
      <c r="AI29" s="26" t="n">
        <f aca="false">AI15*Assumptions!$B$41</f>
        <v>192546.485827628</v>
      </c>
      <c r="AJ29" s="26" t="n">
        <f aca="false">AJ15*Assumptions!$B$41</f>
        <v>204600.736926922</v>
      </c>
      <c r="AK29" s="26" t="n">
        <f aca="false">AK15*Assumptions!$B$41</f>
        <v>217341.110143946</v>
      </c>
    </row>
    <row r="30" customFormat="false" ht="15" hidden="false" customHeight="true" outlineLevel="0" collapsed="false">
      <c r="A30" s="12" t="s">
        <v>93</v>
      </c>
      <c r="B30" s="26" t="n">
        <f aca="false">Assumptions!$B$42</f>
        <v>3000</v>
      </c>
      <c r="C30" s="26" t="n">
        <f aca="false">Assumptions!$B$42</f>
        <v>3000</v>
      </c>
      <c r="D30" s="26" t="n">
        <f aca="false">Assumptions!$B$42</f>
        <v>3000</v>
      </c>
      <c r="E30" s="26" t="n">
        <f aca="false">Assumptions!$B$42</f>
        <v>3000</v>
      </c>
      <c r="F30" s="26" t="n">
        <f aca="false">Assumptions!$B$42</f>
        <v>3000</v>
      </c>
      <c r="G30" s="26" t="n">
        <f aca="false">Assumptions!$B$42</f>
        <v>3000</v>
      </c>
      <c r="H30" s="26" t="n">
        <f aca="false">Assumptions!$B$42</f>
        <v>3000</v>
      </c>
      <c r="I30" s="26" t="n">
        <f aca="false">Assumptions!$B$42</f>
        <v>3000</v>
      </c>
      <c r="J30" s="26" t="n">
        <f aca="false">Assumptions!$B$42</f>
        <v>3000</v>
      </c>
      <c r="K30" s="26" t="n">
        <f aca="false">Assumptions!$B$42</f>
        <v>3000</v>
      </c>
      <c r="L30" s="26" t="n">
        <f aca="false">Assumptions!$B$42</f>
        <v>3000</v>
      </c>
      <c r="M30" s="26" t="n">
        <f aca="false">Assumptions!$B$42</f>
        <v>3000</v>
      </c>
      <c r="N30" s="26" t="n">
        <f aca="false">Assumptions!$B$42</f>
        <v>3000</v>
      </c>
      <c r="O30" s="26" t="n">
        <f aca="false">Assumptions!$B$42</f>
        <v>3000</v>
      </c>
      <c r="P30" s="26" t="n">
        <f aca="false">Assumptions!$B$42</f>
        <v>3000</v>
      </c>
      <c r="Q30" s="26" t="n">
        <f aca="false">Assumptions!$B$42</f>
        <v>3000</v>
      </c>
      <c r="R30" s="26" t="n">
        <f aca="false">Assumptions!$B$42</f>
        <v>3000</v>
      </c>
      <c r="S30" s="26" t="n">
        <f aca="false">Assumptions!$B$42</f>
        <v>3000</v>
      </c>
      <c r="T30" s="26" t="n">
        <f aca="false">Assumptions!$B$42</f>
        <v>3000</v>
      </c>
      <c r="U30" s="26" t="n">
        <f aca="false">Assumptions!$B$42</f>
        <v>3000</v>
      </c>
      <c r="V30" s="26" t="n">
        <f aca="false">Assumptions!$B$42</f>
        <v>3000</v>
      </c>
      <c r="W30" s="26" t="n">
        <f aca="false">Assumptions!$B$42</f>
        <v>3000</v>
      </c>
      <c r="X30" s="26" t="n">
        <f aca="false">Assumptions!$B$42</f>
        <v>3000</v>
      </c>
      <c r="Y30" s="26" t="n">
        <f aca="false">Assumptions!$B$42</f>
        <v>3000</v>
      </c>
      <c r="Z30" s="26" t="n">
        <f aca="false">Assumptions!$B$42</f>
        <v>3000</v>
      </c>
      <c r="AA30" s="26" t="n">
        <f aca="false">Assumptions!$B$42</f>
        <v>3000</v>
      </c>
      <c r="AB30" s="26" t="n">
        <f aca="false">Assumptions!$B$42</f>
        <v>3000</v>
      </c>
      <c r="AC30" s="26" t="n">
        <f aca="false">Assumptions!$B$42</f>
        <v>3000</v>
      </c>
      <c r="AD30" s="26" t="n">
        <f aca="false">Assumptions!$B$42</f>
        <v>3000</v>
      </c>
      <c r="AE30" s="26" t="n">
        <f aca="false">Assumptions!$B$42</f>
        <v>3000</v>
      </c>
      <c r="AF30" s="26" t="n">
        <f aca="false">Assumptions!$B$42</f>
        <v>3000</v>
      </c>
      <c r="AG30" s="26" t="n">
        <f aca="false">Assumptions!$B$42</f>
        <v>3000</v>
      </c>
      <c r="AH30" s="26" t="n">
        <f aca="false">Assumptions!$B$42</f>
        <v>3000</v>
      </c>
      <c r="AI30" s="26" t="n">
        <f aca="false">Assumptions!$B$42</f>
        <v>3000</v>
      </c>
      <c r="AJ30" s="26" t="n">
        <f aca="false">Assumptions!$B$42</f>
        <v>3000</v>
      </c>
      <c r="AK30" s="26" t="n">
        <f aca="false">Assumptions!$B$42</f>
        <v>3000</v>
      </c>
    </row>
    <row r="31" customFormat="false" ht="15" hidden="false" customHeight="true" outlineLevel="0" collapsed="false">
      <c r="A31" s="7" t="s">
        <v>94</v>
      </c>
      <c r="B31" s="27" t="n">
        <f aca="false">SUM(B26:B30)</f>
        <v>38360</v>
      </c>
      <c r="C31" s="27" t="n">
        <f aca="false">SUM(C26:C30)</f>
        <v>52768.2</v>
      </c>
      <c r="D31" s="27" t="n">
        <f aca="false">SUM(D26:D30)</f>
        <v>55732.599</v>
      </c>
      <c r="E31" s="27" t="n">
        <f aca="false">SUM(E26:E30)</f>
        <v>68261.446055</v>
      </c>
      <c r="F31" s="27" t="n">
        <f aca="false">SUM(F26:F30)</f>
        <v>71363.265071975</v>
      </c>
      <c r="G31" s="27" t="n">
        <f aca="false">SUM(G26:G30)</f>
        <v>81546.8806295164</v>
      </c>
      <c r="H31" s="27" t="n">
        <f aca="false">SUM(H26:H30)</f>
        <v>84821.444902118</v>
      </c>
      <c r="I31" s="27" t="n">
        <f aca="false">SUM(I26:I30)</f>
        <v>88196.4657749673</v>
      </c>
      <c r="J31" s="27" t="n">
        <f aca="false">SUM(J26:J30)</f>
        <v>103181.836239265</v>
      </c>
      <c r="K31" s="27" t="n">
        <f aca="false">SUM(K26:K30)</f>
        <v>106787.865162557</v>
      </c>
      <c r="L31" s="27" t="n">
        <f aca="false">SUM(L26:L30)</f>
        <v>119025.30953332</v>
      </c>
      <c r="M31" s="27" t="n">
        <f aca="false">SUM(M26:M30)</f>
        <v>122905.408284167</v>
      </c>
      <c r="N31" s="27" t="n">
        <f aca="false">SUM(N26:N30)</f>
        <v>126939.917803434</v>
      </c>
      <c r="O31" s="27" t="n">
        <f aca="false">SUM(O26:O30)</f>
        <v>131141.149250762</v>
      </c>
      <c r="P31" s="27" t="n">
        <f aca="false">SUM(P26:P30)</f>
        <v>147022.007798429</v>
      </c>
      <c r="Q31" s="27" t="n">
        <f aca="false">SUM(Q26:Q30)</f>
        <v>151596.033926817</v>
      </c>
      <c r="R31" s="27" t="n">
        <f aca="false">SUM(R26:R30)</f>
        <v>156377.446909381</v>
      </c>
      <c r="S31" s="27" t="n">
        <f aca="false">SUM(S26:S30)</f>
        <v>169381.190629973</v>
      </c>
      <c r="T31" s="27" t="n">
        <f aca="false">SUM(T26:T30)</f>
        <v>174622.981883313</v>
      </c>
      <c r="U31" s="27" t="n">
        <f aca="false">SUM(U26:U30)</f>
        <v>180119.361317834</v>
      </c>
      <c r="V31" s="27" t="n">
        <f aca="false">SUM(V26:V30)</f>
        <v>194387.747189112</v>
      </c>
      <c r="W31" s="27" t="n">
        <f aca="false">SUM(W26:W30)</f>
        <v>200446.492101627</v>
      </c>
      <c r="X31" s="27" t="n">
        <f aca="false">SUM(X26:X30)</f>
        <v>206814.942926724</v>
      </c>
      <c r="Y31" s="27" t="n">
        <f aca="false">SUM(Y26:Y30)</f>
        <v>213513.504095404</v>
      </c>
      <c r="Z31" s="27" t="n">
        <f aca="false">SUM(Z26:Z30)</f>
        <v>220563.704476015</v>
      </c>
      <c r="AA31" s="27" t="n">
        <f aca="false">SUM(AA26:AA30)</f>
        <v>227988.268058999</v>
      </c>
      <c r="AB31" s="27" t="n">
        <f aca="false">SUM(AB26:AB30)</f>
        <v>235811.188683763</v>
      </c>
      <c r="AC31" s="27" t="n">
        <f aca="false">SUM(AC26:AC30)</f>
        <v>244057.809056376</v>
      </c>
      <c r="AD31" s="27" t="n">
        <f aca="false">SUM(AD26:AD30)</f>
        <v>252754.904321283</v>
      </c>
      <c r="AE31" s="27" t="n">
        <f aca="false">SUM(AE26:AE30)</f>
        <v>261930.770465616</v>
      </c>
      <c r="AF31" s="27" t="n">
        <f aca="false">SUM(AF26:AF30)</f>
        <v>271615.317850975</v>
      </c>
      <c r="AG31" s="27" t="n">
        <f aca="false">SUM(AG26:AG30)</f>
        <v>281840.170184869</v>
      </c>
      <c r="AH31" s="27" t="n">
        <f aca="false">SUM(AH26:AH30)</f>
        <v>292638.769262318</v>
      </c>
      <c r="AI31" s="27" t="n">
        <f aca="false">SUM(AI26:AI30)</f>
        <v>304046.485827628</v>
      </c>
      <c r="AJ31" s="27" t="n">
        <f aca="false">SUM(AJ26:AJ30)</f>
        <v>316100.736926922</v>
      </c>
      <c r="AK31" s="27" t="n">
        <f aca="false">SUM(AK26:AK30)</f>
        <v>328841.110143946</v>
      </c>
    </row>
    <row r="33" customFormat="false" ht="18" hidden="false" customHeight="true" outlineLevel="0" collapsed="false">
      <c r="A33" s="4" t="s">
        <v>95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customFormat="false" ht="15" hidden="false" customHeight="true" outlineLevel="0" collapsed="false">
      <c r="A34" s="7" t="s">
        <v>96</v>
      </c>
      <c r="B34" s="27" t="n">
        <f aca="false">B21-B31</f>
        <v>-29080</v>
      </c>
      <c r="C34" s="27" t="n">
        <f aca="false">C21-C31</f>
        <v>-34049.6</v>
      </c>
      <c r="D34" s="27" t="n">
        <f aca="false">D21-D31</f>
        <v>-27390.842</v>
      </c>
      <c r="E34" s="27" t="n">
        <f aca="false">E21-E31</f>
        <v>-30085.19509</v>
      </c>
      <c r="F34" s="27" t="n">
        <f aca="false">F21-F31</f>
        <v>-23113.49969605</v>
      </c>
      <c r="G34" s="27" t="n">
        <f aca="false">G21-G31</f>
        <v>-22955.9094830472</v>
      </c>
      <c r="H34" s="27" t="n">
        <f aca="false">H21-H31</f>
        <v>-15591.8307295816</v>
      </c>
      <c r="I34" s="27" t="n">
        <f aca="false">I21-I31</f>
        <v>-7999.85898123626</v>
      </c>
      <c r="J34" s="27" t="n">
        <f aca="false">J21-J31</f>
        <v>-11657.7127792216</v>
      </c>
      <c r="K34" s="27" t="n">
        <f aca="false">K21-K31</f>
        <v>-3542.16425102721</v>
      </c>
      <c r="L34" s="27" t="n">
        <f aca="false">L21-L31</f>
        <v>-3628.96633887528</v>
      </c>
      <c r="M34" s="27" t="n">
        <f aca="false">M21-M31</f>
        <v>5107.22356987347</v>
      </c>
      <c r="N34" s="27" t="n">
        <f aca="false">N21-N31</f>
        <v>14192.9238586315</v>
      </c>
      <c r="O34" s="27" t="n">
        <f aca="false">O21-O31</f>
        <v>23655.9130053181</v>
      </c>
      <c r="P34" s="27" t="n">
        <f aca="false">P21-P31</f>
        <v>22025.3182895287</v>
      </c>
      <c r="Q34" s="27" t="n">
        <f aca="false">Q21-Q31</f>
        <v>32331.7091737681</v>
      </c>
      <c r="R34" s="27" t="n">
        <f aca="false">R21-R31</f>
        <v>43107.1956653707</v>
      </c>
      <c r="S34" s="27" t="n">
        <f aca="false">S21-S31</f>
        <v>46385.5319827272</v>
      </c>
      <c r="T34" s="27" t="n">
        <f aca="false">T21-T31</f>
        <v>58202.2258675348</v>
      </c>
      <c r="U34" s="27" t="n">
        <f aca="false">U21-U31</f>
        <v>70594.6539040011</v>
      </c>
      <c r="V34" s="27" t="n">
        <f aca="false">V21-V31</f>
        <v>75102.1832263734</v>
      </c>
      <c r="W34" s="27" t="n">
        <f aca="false">W21-W31</f>
        <v>88766.3000178604</v>
      </c>
      <c r="X34" s="27" t="n">
        <f aca="false">X21-X31</f>
        <v>103130.745227074</v>
      </c>
      <c r="Y34" s="27" t="n">
        <f aca="false">Y21-Y31</f>
        <v>118241.657952591</v>
      </c>
      <c r="Z34" s="27" t="n">
        <f aca="false">Z21-Z31</f>
        <v>134147.726972228</v>
      </c>
      <c r="AA34" s="27" t="n">
        <f aca="false">AA21-AA31</f>
        <v>150900.350921208</v>
      </c>
      <c r="AB34" s="27" t="n">
        <f aca="false">AB21-AB31</f>
        <v>168553.807652658</v>
      </c>
      <c r="AC34" s="27" t="n">
        <f aca="false">AC21-AC31</f>
        <v>187165.433344972</v>
      </c>
      <c r="AD34" s="27" t="n">
        <f aca="false">AD21-AD31</f>
        <v>206795.8119535</v>
      </c>
      <c r="AE34" s="27" t="n">
        <f aca="false">AE21-AE31</f>
        <v>227508.975639009</v>
      </c>
      <c r="AF34" s="27" t="n">
        <f aca="false">AF21-AF31</f>
        <v>249372.616842456</v>
      </c>
      <c r="AG34" s="27" t="n">
        <f aca="false">AG21-AG31</f>
        <v>272458.312714924</v>
      </c>
      <c r="AH34" s="27" t="n">
        <f aca="false">AH21-AH31</f>
        <v>296841.762653335</v>
      </c>
      <c r="AI34" s="27" t="n">
        <f aca="false">AI21-AI31</f>
        <v>322603.039736766</v>
      </c>
      <c r="AJ34" s="27" t="n">
        <f aca="false">AJ21-AJ31</f>
        <v>349826.856905131</v>
      </c>
      <c r="AK34" s="27" t="n">
        <f aca="false">AK21-AK31</f>
        <v>378602.848771746</v>
      </c>
    </row>
    <row r="35" customFormat="false" ht="15" hidden="false" customHeight="true" outlineLevel="0" collapsed="false">
      <c r="A35" s="12" t="s">
        <v>97</v>
      </c>
      <c r="B35" s="26" t="n">
        <f aca="false">Assumptions!$B$45</f>
        <v>3000</v>
      </c>
      <c r="C35" s="26" t="n">
        <f aca="false">Assumptions!$B$45</f>
        <v>3000</v>
      </c>
      <c r="D35" s="26" t="n">
        <f aca="false">Assumptions!$B$45</f>
        <v>3000</v>
      </c>
      <c r="E35" s="26" t="n">
        <f aca="false">Assumptions!$B$45</f>
        <v>3000</v>
      </c>
      <c r="F35" s="26" t="n">
        <f aca="false">Assumptions!$B$45</f>
        <v>3000</v>
      </c>
      <c r="G35" s="26" t="n">
        <f aca="false">Assumptions!$B$45</f>
        <v>3000</v>
      </c>
      <c r="H35" s="26" t="n">
        <f aca="false">Assumptions!$B$45</f>
        <v>3000</v>
      </c>
      <c r="I35" s="26" t="n">
        <f aca="false">Assumptions!$B$45</f>
        <v>3000</v>
      </c>
      <c r="J35" s="26" t="n">
        <f aca="false">Assumptions!$B$45</f>
        <v>3000</v>
      </c>
      <c r="K35" s="26" t="n">
        <f aca="false">Assumptions!$B$45</f>
        <v>3000</v>
      </c>
      <c r="L35" s="26" t="n">
        <f aca="false">Assumptions!$B$45</f>
        <v>3000</v>
      </c>
      <c r="M35" s="26" t="n">
        <f aca="false">Assumptions!$B$45</f>
        <v>3000</v>
      </c>
      <c r="N35" s="26" t="n">
        <f aca="false">Assumptions!$B$45</f>
        <v>3000</v>
      </c>
      <c r="O35" s="26" t="n">
        <f aca="false">Assumptions!$B$45</f>
        <v>3000</v>
      </c>
      <c r="P35" s="26" t="n">
        <f aca="false">Assumptions!$B$45</f>
        <v>3000</v>
      </c>
      <c r="Q35" s="26" t="n">
        <f aca="false">Assumptions!$B$45</f>
        <v>3000</v>
      </c>
      <c r="R35" s="26" t="n">
        <f aca="false">Assumptions!$B$45</f>
        <v>3000</v>
      </c>
      <c r="S35" s="26" t="n">
        <f aca="false">Assumptions!$B$45</f>
        <v>3000</v>
      </c>
      <c r="T35" s="26" t="n">
        <f aca="false">Assumptions!$B$45</f>
        <v>3000</v>
      </c>
      <c r="U35" s="26" t="n">
        <f aca="false">Assumptions!$B$45</f>
        <v>3000</v>
      </c>
      <c r="V35" s="26" t="n">
        <f aca="false">Assumptions!$B$45</f>
        <v>3000</v>
      </c>
      <c r="W35" s="26" t="n">
        <f aca="false">Assumptions!$B$45</f>
        <v>3000</v>
      </c>
      <c r="X35" s="26" t="n">
        <f aca="false">Assumptions!$B$45</f>
        <v>3000</v>
      </c>
      <c r="Y35" s="26" t="n">
        <f aca="false">Assumptions!$B$45</f>
        <v>3000</v>
      </c>
      <c r="Z35" s="26" t="n">
        <f aca="false">Assumptions!$B$45</f>
        <v>3000</v>
      </c>
      <c r="AA35" s="26" t="n">
        <f aca="false">Assumptions!$B$45</f>
        <v>3000</v>
      </c>
      <c r="AB35" s="26" t="n">
        <f aca="false">Assumptions!$B$45</f>
        <v>3000</v>
      </c>
      <c r="AC35" s="26" t="n">
        <f aca="false">Assumptions!$B$45</f>
        <v>3000</v>
      </c>
      <c r="AD35" s="26" t="n">
        <f aca="false">Assumptions!$B$45</f>
        <v>3000</v>
      </c>
      <c r="AE35" s="26" t="n">
        <f aca="false">Assumptions!$B$45</f>
        <v>3000</v>
      </c>
      <c r="AF35" s="26" t="n">
        <f aca="false">Assumptions!$B$45</f>
        <v>3000</v>
      </c>
      <c r="AG35" s="26" t="n">
        <f aca="false">Assumptions!$B$45</f>
        <v>3000</v>
      </c>
      <c r="AH35" s="26" t="n">
        <f aca="false">Assumptions!$B$45</f>
        <v>3000</v>
      </c>
      <c r="AI35" s="26" t="n">
        <f aca="false">Assumptions!$B$45</f>
        <v>3000</v>
      </c>
      <c r="AJ35" s="26" t="n">
        <f aca="false">Assumptions!$B$45</f>
        <v>3000</v>
      </c>
      <c r="AK35" s="26" t="n">
        <f aca="false">Assumptions!$B$45</f>
        <v>3000</v>
      </c>
    </row>
    <row r="36" customFormat="false" ht="15" hidden="false" customHeight="true" outlineLevel="0" collapsed="false">
      <c r="A36" s="12" t="s">
        <v>98</v>
      </c>
      <c r="B36" s="29" t="n">
        <f aca="false">B35</f>
        <v>3000</v>
      </c>
      <c r="C36" s="29" t="n">
        <f aca="false">B36+C35</f>
        <v>6000</v>
      </c>
      <c r="D36" s="29" t="n">
        <f aca="false">C36+D35</f>
        <v>9000</v>
      </c>
      <c r="E36" s="29" t="n">
        <f aca="false">D36+E35</f>
        <v>12000</v>
      </c>
      <c r="F36" s="29" t="n">
        <f aca="false">E36+F35</f>
        <v>15000</v>
      </c>
      <c r="G36" s="29" t="n">
        <f aca="false">F36+G35</f>
        <v>18000</v>
      </c>
      <c r="H36" s="29" t="n">
        <f aca="false">G36+H35</f>
        <v>21000</v>
      </c>
      <c r="I36" s="29" t="n">
        <f aca="false">H36+I35</f>
        <v>24000</v>
      </c>
      <c r="J36" s="29" t="n">
        <f aca="false">I36+J35</f>
        <v>27000</v>
      </c>
      <c r="K36" s="29" t="n">
        <f aca="false">J36+K35</f>
        <v>30000</v>
      </c>
      <c r="L36" s="29" t="n">
        <f aca="false">K36+L35</f>
        <v>33000</v>
      </c>
      <c r="M36" s="29" t="n">
        <f aca="false">L36+M35</f>
        <v>36000</v>
      </c>
      <c r="N36" s="29" t="n">
        <f aca="false">M36+N35</f>
        <v>39000</v>
      </c>
      <c r="O36" s="29" t="n">
        <f aca="false">N36+O35</f>
        <v>42000</v>
      </c>
      <c r="P36" s="29" t="n">
        <f aca="false">O36+P35</f>
        <v>45000</v>
      </c>
      <c r="Q36" s="29" t="n">
        <f aca="false">P36+Q35</f>
        <v>48000</v>
      </c>
      <c r="R36" s="29" t="n">
        <f aca="false">Q36+R35</f>
        <v>51000</v>
      </c>
      <c r="S36" s="29" t="n">
        <f aca="false">R36+S35</f>
        <v>54000</v>
      </c>
      <c r="T36" s="29" t="n">
        <f aca="false">S36+T35</f>
        <v>57000</v>
      </c>
      <c r="U36" s="29" t="n">
        <f aca="false">T36+U35</f>
        <v>60000</v>
      </c>
      <c r="V36" s="29" t="n">
        <f aca="false">U36+V35</f>
        <v>63000</v>
      </c>
      <c r="W36" s="29" t="n">
        <f aca="false">V36+W35</f>
        <v>66000</v>
      </c>
      <c r="X36" s="29" t="n">
        <f aca="false">W36+X35</f>
        <v>69000</v>
      </c>
      <c r="Y36" s="29" t="n">
        <f aca="false">X36+Y35</f>
        <v>72000</v>
      </c>
      <c r="Z36" s="29" t="n">
        <f aca="false">Y36+Z35</f>
        <v>75000</v>
      </c>
      <c r="AA36" s="29" t="n">
        <f aca="false">Z36+AA35</f>
        <v>78000</v>
      </c>
      <c r="AB36" s="29" t="n">
        <f aca="false">AA36+AB35</f>
        <v>81000</v>
      </c>
      <c r="AC36" s="29" t="n">
        <f aca="false">AB36+AC35</f>
        <v>84000</v>
      </c>
      <c r="AD36" s="29" t="n">
        <f aca="false">AC36+AD35</f>
        <v>87000</v>
      </c>
      <c r="AE36" s="29" t="n">
        <f aca="false">AD36+AE35</f>
        <v>90000</v>
      </c>
      <c r="AF36" s="29" t="n">
        <f aca="false">AE36+AF35</f>
        <v>93000</v>
      </c>
      <c r="AG36" s="29" t="n">
        <f aca="false">AF36+AG35</f>
        <v>96000</v>
      </c>
      <c r="AH36" s="29" t="n">
        <f aca="false">AG36+AH35</f>
        <v>99000</v>
      </c>
      <c r="AI36" s="29" t="n">
        <f aca="false">AH36+AI35</f>
        <v>102000</v>
      </c>
      <c r="AJ36" s="29" t="n">
        <f aca="false">AI36+AJ35</f>
        <v>105000</v>
      </c>
      <c r="AK36" s="29" t="n">
        <f aca="false">AJ36+AK35</f>
        <v>108000</v>
      </c>
    </row>
    <row r="37" customFormat="false" ht="15" hidden="false" customHeight="true" outlineLevel="0" collapsed="false">
      <c r="A37" s="12" t="s">
        <v>99</v>
      </c>
      <c r="B37" s="26" t="n">
        <f aca="false">B36/Assumptions!$B$46</f>
        <v>62.5</v>
      </c>
      <c r="C37" s="26" t="n">
        <f aca="false">C36/Assumptions!$B$46</f>
        <v>125</v>
      </c>
      <c r="D37" s="26" t="n">
        <f aca="false">D36/Assumptions!$B$46</f>
        <v>187.5</v>
      </c>
      <c r="E37" s="26" t="n">
        <f aca="false">E36/Assumptions!$B$46</f>
        <v>250</v>
      </c>
      <c r="F37" s="26" t="n">
        <f aca="false">F36/Assumptions!$B$46</f>
        <v>312.5</v>
      </c>
      <c r="G37" s="26" t="n">
        <f aca="false">G36/Assumptions!$B$46</f>
        <v>375</v>
      </c>
      <c r="H37" s="26" t="n">
        <f aca="false">H36/Assumptions!$B$46</f>
        <v>437.5</v>
      </c>
      <c r="I37" s="26" t="n">
        <f aca="false">I36/Assumptions!$B$46</f>
        <v>500</v>
      </c>
      <c r="J37" s="26" t="n">
        <f aca="false">J36/Assumptions!$B$46</f>
        <v>562.5</v>
      </c>
      <c r="K37" s="26" t="n">
        <f aca="false">K36/Assumptions!$B$46</f>
        <v>625</v>
      </c>
      <c r="L37" s="26" t="n">
        <f aca="false">L36/Assumptions!$B$46</f>
        <v>687.5</v>
      </c>
      <c r="M37" s="26" t="n">
        <f aca="false">M36/Assumptions!$B$46</f>
        <v>750</v>
      </c>
      <c r="N37" s="26" t="n">
        <f aca="false">N36/Assumptions!$B$46</f>
        <v>812.5</v>
      </c>
      <c r="O37" s="26" t="n">
        <f aca="false">O36/Assumptions!$B$46</f>
        <v>875</v>
      </c>
      <c r="P37" s="26" t="n">
        <f aca="false">P36/Assumptions!$B$46</f>
        <v>937.5</v>
      </c>
      <c r="Q37" s="26" t="n">
        <f aca="false">Q36/Assumptions!$B$46</f>
        <v>1000</v>
      </c>
      <c r="R37" s="26" t="n">
        <f aca="false">R36/Assumptions!$B$46</f>
        <v>1062.5</v>
      </c>
      <c r="S37" s="26" t="n">
        <f aca="false">S36/Assumptions!$B$46</f>
        <v>1125</v>
      </c>
      <c r="T37" s="26" t="n">
        <f aca="false">T36/Assumptions!$B$46</f>
        <v>1187.5</v>
      </c>
      <c r="U37" s="26" t="n">
        <f aca="false">U36/Assumptions!$B$46</f>
        <v>1250</v>
      </c>
      <c r="V37" s="26" t="n">
        <f aca="false">V36/Assumptions!$B$46</f>
        <v>1312.5</v>
      </c>
      <c r="W37" s="26" t="n">
        <f aca="false">W36/Assumptions!$B$46</f>
        <v>1375</v>
      </c>
      <c r="X37" s="26" t="n">
        <f aca="false">X36/Assumptions!$B$46</f>
        <v>1437.5</v>
      </c>
      <c r="Y37" s="26" t="n">
        <f aca="false">Y36/Assumptions!$B$46</f>
        <v>1500</v>
      </c>
      <c r="Z37" s="26" t="n">
        <f aca="false">Z36/Assumptions!$B$46</f>
        <v>1562.5</v>
      </c>
      <c r="AA37" s="26" t="n">
        <f aca="false">AA36/Assumptions!$B$46</f>
        <v>1625</v>
      </c>
      <c r="AB37" s="26" t="n">
        <f aca="false">AB36/Assumptions!$B$46</f>
        <v>1687.5</v>
      </c>
      <c r="AC37" s="26" t="n">
        <f aca="false">AC36/Assumptions!$B$46</f>
        <v>1750</v>
      </c>
      <c r="AD37" s="26" t="n">
        <f aca="false">AD36/Assumptions!$B$46</f>
        <v>1812.5</v>
      </c>
      <c r="AE37" s="26" t="n">
        <f aca="false">AE36/Assumptions!$B$46</f>
        <v>1875</v>
      </c>
      <c r="AF37" s="26" t="n">
        <f aca="false">AF36/Assumptions!$B$46</f>
        <v>1937.5</v>
      </c>
      <c r="AG37" s="26" t="n">
        <f aca="false">AG36/Assumptions!$B$46</f>
        <v>2000</v>
      </c>
      <c r="AH37" s="26" t="n">
        <f aca="false">AH36/Assumptions!$B$46</f>
        <v>2062.5</v>
      </c>
      <c r="AI37" s="26" t="n">
        <f aca="false">AI36/Assumptions!$B$46</f>
        <v>2125</v>
      </c>
      <c r="AJ37" s="26" t="n">
        <f aca="false">AJ36/Assumptions!$B$46</f>
        <v>2187.5</v>
      </c>
      <c r="AK37" s="26" t="n">
        <f aca="false">AK36/Assumptions!$B$46</f>
        <v>2250</v>
      </c>
    </row>
    <row r="38" customFormat="false" ht="15" hidden="false" customHeight="true" outlineLevel="0" collapsed="false">
      <c r="A38" s="12" t="s">
        <v>100</v>
      </c>
      <c r="B38" s="29" t="n">
        <f aca="false">B37</f>
        <v>62.5</v>
      </c>
      <c r="C38" s="29" t="n">
        <f aca="false">B38+C37</f>
        <v>187.5</v>
      </c>
      <c r="D38" s="29" t="n">
        <f aca="false">C38+D37</f>
        <v>375</v>
      </c>
      <c r="E38" s="29" t="n">
        <f aca="false">D38+E37</f>
        <v>625</v>
      </c>
      <c r="F38" s="29" t="n">
        <f aca="false">E38+F37</f>
        <v>937.5</v>
      </c>
      <c r="G38" s="29" t="n">
        <f aca="false">F38+G37</f>
        <v>1312.5</v>
      </c>
      <c r="H38" s="29" t="n">
        <f aca="false">G38+H37</f>
        <v>1750</v>
      </c>
      <c r="I38" s="29" t="n">
        <f aca="false">H38+I37</f>
        <v>2250</v>
      </c>
      <c r="J38" s="29" t="n">
        <f aca="false">I38+J37</f>
        <v>2812.5</v>
      </c>
      <c r="K38" s="29" t="n">
        <f aca="false">J38+K37</f>
        <v>3437.5</v>
      </c>
      <c r="L38" s="29" t="n">
        <f aca="false">K38+L37</f>
        <v>4125</v>
      </c>
      <c r="M38" s="29" t="n">
        <f aca="false">L38+M37</f>
        <v>4875</v>
      </c>
      <c r="N38" s="29" t="n">
        <f aca="false">M38+N37</f>
        <v>5687.5</v>
      </c>
      <c r="O38" s="29" t="n">
        <f aca="false">N38+O37</f>
        <v>6562.5</v>
      </c>
      <c r="P38" s="29" t="n">
        <f aca="false">O38+P37</f>
        <v>7500</v>
      </c>
      <c r="Q38" s="29" t="n">
        <f aca="false">P38+Q37</f>
        <v>8500</v>
      </c>
      <c r="R38" s="29" t="n">
        <f aca="false">Q38+R37</f>
        <v>9562.5</v>
      </c>
      <c r="S38" s="29" t="n">
        <f aca="false">R38+S37</f>
        <v>10687.5</v>
      </c>
      <c r="T38" s="29" t="n">
        <f aca="false">S38+T37</f>
        <v>11875</v>
      </c>
      <c r="U38" s="29" t="n">
        <f aca="false">T38+U37</f>
        <v>13125</v>
      </c>
      <c r="V38" s="29" t="n">
        <f aca="false">U38+V37</f>
        <v>14437.5</v>
      </c>
      <c r="W38" s="29" t="n">
        <f aca="false">V38+W37</f>
        <v>15812.5</v>
      </c>
      <c r="X38" s="29" t="n">
        <f aca="false">W38+X37</f>
        <v>17250</v>
      </c>
      <c r="Y38" s="29" t="n">
        <f aca="false">X38+Y37</f>
        <v>18750</v>
      </c>
      <c r="Z38" s="29" t="n">
        <f aca="false">Y38+Z37</f>
        <v>20312.5</v>
      </c>
      <c r="AA38" s="29" t="n">
        <f aca="false">Z38+AA37</f>
        <v>21937.5</v>
      </c>
      <c r="AB38" s="29" t="n">
        <f aca="false">AA38+AB37</f>
        <v>23625</v>
      </c>
      <c r="AC38" s="29" t="n">
        <f aca="false">AB38+AC37</f>
        <v>25375</v>
      </c>
      <c r="AD38" s="29" t="n">
        <f aca="false">AC38+AD37</f>
        <v>27187.5</v>
      </c>
      <c r="AE38" s="29" t="n">
        <f aca="false">AD38+AE37</f>
        <v>29062.5</v>
      </c>
      <c r="AF38" s="29" t="n">
        <f aca="false">AE38+AF37</f>
        <v>31000</v>
      </c>
      <c r="AG38" s="29" t="n">
        <f aca="false">AF38+AG37</f>
        <v>33000</v>
      </c>
      <c r="AH38" s="29" t="n">
        <f aca="false">AG38+AH37</f>
        <v>35062.5</v>
      </c>
      <c r="AI38" s="29" t="n">
        <f aca="false">AH38+AI37</f>
        <v>37187.5</v>
      </c>
      <c r="AJ38" s="29" t="n">
        <f aca="false">AI38+AJ37</f>
        <v>39375</v>
      </c>
      <c r="AK38" s="29" t="n">
        <f aca="false">AJ38+AK37</f>
        <v>41625</v>
      </c>
    </row>
    <row r="39" customFormat="false" ht="15" hidden="false" customHeight="true" outlineLevel="0" collapsed="false">
      <c r="A39" s="12" t="s">
        <v>101</v>
      </c>
      <c r="B39" s="29" t="n">
        <f aca="false">B36-B38</f>
        <v>2937.5</v>
      </c>
      <c r="C39" s="29" t="n">
        <f aca="false">C36-C38</f>
        <v>5812.5</v>
      </c>
      <c r="D39" s="29" t="n">
        <f aca="false">D36-D38</f>
        <v>8625</v>
      </c>
      <c r="E39" s="29" t="n">
        <f aca="false">E36-E38</f>
        <v>11375</v>
      </c>
      <c r="F39" s="29" t="n">
        <f aca="false">F36-F38</f>
        <v>14062.5</v>
      </c>
      <c r="G39" s="29" t="n">
        <f aca="false">G36-G38</f>
        <v>16687.5</v>
      </c>
      <c r="H39" s="29" t="n">
        <f aca="false">H36-H38</f>
        <v>19250</v>
      </c>
      <c r="I39" s="29" t="n">
        <f aca="false">I36-I38</f>
        <v>21750</v>
      </c>
      <c r="J39" s="29" t="n">
        <f aca="false">J36-J38</f>
        <v>24187.5</v>
      </c>
      <c r="K39" s="29" t="n">
        <f aca="false">K36-K38</f>
        <v>26562.5</v>
      </c>
      <c r="L39" s="29" t="n">
        <f aca="false">L36-L38</f>
        <v>28875</v>
      </c>
      <c r="M39" s="29" t="n">
        <f aca="false">M36-M38</f>
        <v>31125</v>
      </c>
      <c r="N39" s="29" t="n">
        <f aca="false">N36-N38</f>
        <v>33312.5</v>
      </c>
      <c r="O39" s="29" t="n">
        <f aca="false">O36-O38</f>
        <v>35437.5</v>
      </c>
      <c r="P39" s="29" t="n">
        <f aca="false">P36-P38</f>
        <v>37500</v>
      </c>
      <c r="Q39" s="29" t="n">
        <f aca="false">Q36-Q38</f>
        <v>39500</v>
      </c>
      <c r="R39" s="29" t="n">
        <f aca="false">R36-R38</f>
        <v>41437.5</v>
      </c>
      <c r="S39" s="29" t="n">
        <f aca="false">S36-S38</f>
        <v>43312.5</v>
      </c>
      <c r="T39" s="29" t="n">
        <f aca="false">T36-T38</f>
        <v>45125</v>
      </c>
      <c r="U39" s="29" t="n">
        <f aca="false">U36-U38</f>
        <v>46875</v>
      </c>
      <c r="V39" s="29" t="n">
        <f aca="false">V36-V38</f>
        <v>48562.5</v>
      </c>
      <c r="W39" s="29" t="n">
        <f aca="false">W36-W38</f>
        <v>50187.5</v>
      </c>
      <c r="X39" s="29" t="n">
        <f aca="false">X36-X38</f>
        <v>51750</v>
      </c>
      <c r="Y39" s="29" t="n">
        <f aca="false">Y36-Y38</f>
        <v>53250</v>
      </c>
      <c r="Z39" s="29" t="n">
        <f aca="false">Z36-Z38</f>
        <v>54687.5</v>
      </c>
      <c r="AA39" s="29" t="n">
        <f aca="false">AA36-AA38</f>
        <v>56062.5</v>
      </c>
      <c r="AB39" s="29" t="n">
        <f aca="false">AB36-AB38</f>
        <v>57375</v>
      </c>
      <c r="AC39" s="29" t="n">
        <f aca="false">AC36-AC38</f>
        <v>58625</v>
      </c>
      <c r="AD39" s="29" t="n">
        <f aca="false">AD36-AD38</f>
        <v>59812.5</v>
      </c>
      <c r="AE39" s="29" t="n">
        <f aca="false">AE36-AE38</f>
        <v>60937.5</v>
      </c>
      <c r="AF39" s="29" t="n">
        <f aca="false">AF36-AF38</f>
        <v>62000</v>
      </c>
      <c r="AG39" s="29" t="n">
        <f aca="false">AG36-AG38</f>
        <v>63000</v>
      </c>
      <c r="AH39" s="29" t="n">
        <f aca="false">AH36-AH38</f>
        <v>63937.5</v>
      </c>
      <c r="AI39" s="29" t="n">
        <f aca="false">AI36-AI38</f>
        <v>64812.5</v>
      </c>
      <c r="AJ39" s="29" t="n">
        <f aca="false">AJ36-AJ38</f>
        <v>65625</v>
      </c>
      <c r="AK39" s="29" t="n">
        <f aca="false">AK36-AK38</f>
        <v>66375</v>
      </c>
    </row>
    <row r="40" customFormat="false" ht="15" hidden="false" customHeight="true" outlineLevel="0" collapsed="false">
      <c r="A40" s="7" t="s">
        <v>102</v>
      </c>
      <c r="B40" s="27" t="n">
        <f aca="false">B34-B37</f>
        <v>-29142.5</v>
      </c>
      <c r="C40" s="27" t="n">
        <f aca="false">C34-C37</f>
        <v>-34174.6</v>
      </c>
      <c r="D40" s="27" t="n">
        <f aca="false">D34-D37</f>
        <v>-27578.342</v>
      </c>
      <c r="E40" s="27" t="n">
        <f aca="false">E34-E37</f>
        <v>-30335.19509</v>
      </c>
      <c r="F40" s="27" t="n">
        <f aca="false">F34-F37</f>
        <v>-23425.99969605</v>
      </c>
      <c r="G40" s="27" t="n">
        <f aca="false">G34-G37</f>
        <v>-23330.9094830472</v>
      </c>
      <c r="H40" s="27" t="n">
        <f aca="false">H34-H37</f>
        <v>-16029.3307295816</v>
      </c>
      <c r="I40" s="27" t="n">
        <f aca="false">I34-I37</f>
        <v>-8499.85898123626</v>
      </c>
      <c r="J40" s="27" t="n">
        <f aca="false">J34-J37</f>
        <v>-12220.2127792216</v>
      </c>
      <c r="K40" s="27" t="n">
        <f aca="false">K34-K37</f>
        <v>-4167.16425102721</v>
      </c>
      <c r="L40" s="27" t="n">
        <f aca="false">L34-L37</f>
        <v>-4316.46633887528</v>
      </c>
      <c r="M40" s="27" t="n">
        <f aca="false">M34-M37</f>
        <v>4357.22356987347</v>
      </c>
      <c r="N40" s="27" t="n">
        <f aca="false">N34-N37</f>
        <v>13380.4238586315</v>
      </c>
      <c r="O40" s="27" t="n">
        <f aca="false">O34-O37</f>
        <v>22780.9130053181</v>
      </c>
      <c r="P40" s="27" t="n">
        <f aca="false">P34-P37</f>
        <v>21087.8182895287</v>
      </c>
      <c r="Q40" s="27" t="n">
        <f aca="false">Q34-Q37</f>
        <v>31331.7091737681</v>
      </c>
      <c r="R40" s="27" t="n">
        <f aca="false">R34-R37</f>
        <v>42044.6956653707</v>
      </c>
      <c r="S40" s="27" t="n">
        <f aca="false">S34-S37</f>
        <v>45260.5319827272</v>
      </c>
      <c r="T40" s="27" t="n">
        <f aca="false">T34-T37</f>
        <v>57014.7258675348</v>
      </c>
      <c r="U40" s="27" t="n">
        <f aca="false">U34-U37</f>
        <v>69344.6539040011</v>
      </c>
      <c r="V40" s="27" t="n">
        <f aca="false">V34-V37</f>
        <v>73789.6832263734</v>
      </c>
      <c r="W40" s="27" t="n">
        <f aca="false">W34-W37</f>
        <v>87391.3000178604</v>
      </c>
      <c r="X40" s="27" t="n">
        <f aca="false">X34-X37</f>
        <v>101693.245227074</v>
      </c>
      <c r="Y40" s="27" t="n">
        <f aca="false">Y34-Y37</f>
        <v>116741.657952591</v>
      </c>
      <c r="Z40" s="27" t="n">
        <f aca="false">Z34-Z37</f>
        <v>132585.226972228</v>
      </c>
      <c r="AA40" s="27" t="n">
        <f aca="false">AA34-AA37</f>
        <v>149275.350921208</v>
      </c>
      <c r="AB40" s="27" t="n">
        <f aca="false">AB34-AB37</f>
        <v>166866.307652658</v>
      </c>
      <c r="AC40" s="27" t="n">
        <f aca="false">AC34-AC37</f>
        <v>185415.433344972</v>
      </c>
      <c r="AD40" s="27" t="n">
        <f aca="false">AD34-AD37</f>
        <v>204983.3119535</v>
      </c>
      <c r="AE40" s="27" t="n">
        <f aca="false">AE34-AE37</f>
        <v>225633.975639009</v>
      </c>
      <c r="AF40" s="27" t="n">
        <f aca="false">AF34-AF37</f>
        <v>247435.116842456</v>
      </c>
      <c r="AG40" s="27" t="n">
        <f aca="false">AG34-AG37</f>
        <v>270458.312714924</v>
      </c>
      <c r="AH40" s="27" t="n">
        <f aca="false">AH34-AH37</f>
        <v>294779.262653335</v>
      </c>
      <c r="AI40" s="27" t="n">
        <f aca="false">AI34-AI37</f>
        <v>320478.039736766</v>
      </c>
      <c r="AJ40" s="27" t="n">
        <f aca="false">AJ34-AJ37</f>
        <v>347639.356905131</v>
      </c>
      <c r="AK40" s="27" t="n">
        <f aca="false">AK34-AK37</f>
        <v>376352.848771746</v>
      </c>
    </row>
    <row r="41" customFormat="false" ht="15" hidden="false" customHeight="true" outlineLevel="0" collapsed="false">
      <c r="A41" s="12" t="s">
        <v>103</v>
      </c>
      <c r="B41" s="29" t="n">
        <v>0</v>
      </c>
      <c r="C41" s="29" t="n">
        <f aca="false">B44</f>
        <v>0</v>
      </c>
      <c r="D41" s="29" t="n">
        <f aca="false">C44</f>
        <v>0</v>
      </c>
      <c r="E41" s="29" t="n">
        <f aca="false">D44</f>
        <v>0</v>
      </c>
      <c r="F41" s="29" t="n">
        <f aca="false">E44</f>
        <v>0</v>
      </c>
      <c r="G41" s="29" t="n">
        <f aca="false">F44</f>
        <v>0</v>
      </c>
      <c r="H41" s="29" t="n">
        <f aca="false">G44</f>
        <v>0</v>
      </c>
      <c r="I41" s="29" t="n">
        <f aca="false">H44</f>
        <v>0</v>
      </c>
      <c r="J41" s="29" t="n">
        <f aca="false">I44</f>
        <v>0</v>
      </c>
      <c r="K41" s="29" t="n">
        <f aca="false">J44</f>
        <v>0</v>
      </c>
      <c r="L41" s="29" t="n">
        <f aca="false">K44</f>
        <v>0</v>
      </c>
      <c r="M41" s="29" t="n">
        <f aca="false">L44</f>
        <v>0</v>
      </c>
      <c r="N41" s="29" t="n">
        <f aca="false">M44</f>
        <v>0</v>
      </c>
      <c r="O41" s="29" t="n">
        <f aca="false">N44</f>
        <v>191666.666666667</v>
      </c>
      <c r="P41" s="29" t="n">
        <f aca="false">O44</f>
        <v>183333.333333333</v>
      </c>
      <c r="Q41" s="29" t="n">
        <f aca="false">P44</f>
        <v>175000</v>
      </c>
      <c r="R41" s="29" t="n">
        <f aca="false">Q44</f>
        <v>166666.666666667</v>
      </c>
      <c r="S41" s="29" t="n">
        <f aca="false">R44</f>
        <v>158333.333333333</v>
      </c>
      <c r="T41" s="29" t="n">
        <f aca="false">S44</f>
        <v>150000</v>
      </c>
      <c r="U41" s="29" t="n">
        <f aca="false">T44</f>
        <v>141666.666666667</v>
      </c>
      <c r="V41" s="29" t="n">
        <f aca="false">U44</f>
        <v>133333.333333333</v>
      </c>
      <c r="W41" s="29" t="n">
        <f aca="false">V44</f>
        <v>125000</v>
      </c>
      <c r="X41" s="29" t="n">
        <f aca="false">W44</f>
        <v>116666.666666667</v>
      </c>
      <c r="Y41" s="29" t="n">
        <f aca="false">X44</f>
        <v>108333.333333333</v>
      </c>
      <c r="Z41" s="29" t="n">
        <f aca="false">Y44</f>
        <v>99999.9999999999</v>
      </c>
      <c r="AA41" s="29" t="n">
        <f aca="false">Z44</f>
        <v>91666.6666666666</v>
      </c>
      <c r="AB41" s="29" t="n">
        <f aca="false">AA44</f>
        <v>83333.3333333333</v>
      </c>
      <c r="AC41" s="29" t="n">
        <f aca="false">AB44</f>
        <v>75000</v>
      </c>
      <c r="AD41" s="29" t="n">
        <f aca="false">AC44</f>
        <v>66666.6666666666</v>
      </c>
      <c r="AE41" s="29" t="n">
        <f aca="false">AD44</f>
        <v>58333.3333333333</v>
      </c>
      <c r="AF41" s="29" t="n">
        <f aca="false">AE44</f>
        <v>50000</v>
      </c>
      <c r="AG41" s="29" t="n">
        <f aca="false">AF44</f>
        <v>41666.6666666666</v>
      </c>
      <c r="AH41" s="29" t="n">
        <f aca="false">AG44</f>
        <v>33333.3333333333</v>
      </c>
      <c r="AI41" s="29" t="n">
        <f aca="false">AH44</f>
        <v>25000</v>
      </c>
      <c r="AJ41" s="29" t="n">
        <f aca="false">AI44</f>
        <v>16666.6666666666</v>
      </c>
      <c r="AK41" s="29" t="n">
        <f aca="false">AJ44</f>
        <v>8333.33333333328</v>
      </c>
    </row>
    <row r="42" customFormat="false" ht="15" hidden="false" customHeight="true" outlineLevel="0" collapsed="false">
      <c r="A42" s="12" t="s">
        <v>104</v>
      </c>
      <c r="B42" s="26" t="n">
        <f aca="false">B41*(Assumptions!$B$58/12)</f>
        <v>0</v>
      </c>
      <c r="C42" s="26" t="n">
        <f aca="false">C41*(Assumptions!$B$58/12)</f>
        <v>0</v>
      </c>
      <c r="D42" s="26" t="n">
        <f aca="false">D41*(Assumptions!$B$58/12)</f>
        <v>0</v>
      </c>
      <c r="E42" s="26" t="n">
        <f aca="false">E41*(Assumptions!$B$58/12)</f>
        <v>0</v>
      </c>
      <c r="F42" s="26" t="n">
        <f aca="false">F41*(Assumptions!$B$58/12)</f>
        <v>0</v>
      </c>
      <c r="G42" s="26" t="n">
        <f aca="false">G41*(Assumptions!$B$58/12)</f>
        <v>0</v>
      </c>
      <c r="H42" s="26" t="n">
        <f aca="false">H41*(Assumptions!$B$58/12)</f>
        <v>0</v>
      </c>
      <c r="I42" s="26" t="n">
        <f aca="false">I41*(Assumptions!$B$58/12)</f>
        <v>0</v>
      </c>
      <c r="J42" s="26" t="n">
        <f aca="false">J41*(Assumptions!$B$58/12)</f>
        <v>0</v>
      </c>
      <c r="K42" s="26" t="n">
        <f aca="false">K41*(Assumptions!$B$58/12)</f>
        <v>0</v>
      </c>
      <c r="L42" s="26" t="n">
        <f aca="false">L41*(Assumptions!$B$58/12)</f>
        <v>0</v>
      </c>
      <c r="M42" s="26" t="n">
        <f aca="false">M41*(Assumptions!$B$58/12)</f>
        <v>0</v>
      </c>
      <c r="N42" s="26" t="n">
        <f aca="false">N41*(Assumptions!$B$58/12)</f>
        <v>0</v>
      </c>
      <c r="O42" s="26" t="n">
        <f aca="false">O41*(Assumptions!$B$58/12)</f>
        <v>1437.5</v>
      </c>
      <c r="P42" s="26" t="n">
        <f aca="false">P41*(Assumptions!$B$58/12)</f>
        <v>1375</v>
      </c>
      <c r="Q42" s="26" t="n">
        <f aca="false">Q41*(Assumptions!$B$58/12)</f>
        <v>1312.5</v>
      </c>
      <c r="R42" s="26" t="n">
        <f aca="false">R41*(Assumptions!$B$58/12)</f>
        <v>1250</v>
      </c>
      <c r="S42" s="26" t="n">
        <f aca="false">S41*(Assumptions!$B$58/12)</f>
        <v>1187.5</v>
      </c>
      <c r="T42" s="26" t="n">
        <f aca="false">T41*(Assumptions!$B$58/12)</f>
        <v>1125</v>
      </c>
      <c r="U42" s="26" t="n">
        <f aca="false">U41*(Assumptions!$B$58/12)</f>
        <v>1062.5</v>
      </c>
      <c r="V42" s="26" t="n">
        <f aca="false">V41*(Assumptions!$B$58/12)</f>
        <v>999.999999999999</v>
      </c>
      <c r="W42" s="26" t="n">
        <f aca="false">W41*(Assumptions!$B$58/12)</f>
        <v>937.499999999999</v>
      </c>
      <c r="X42" s="26" t="n">
        <f aca="false">X41*(Assumptions!$B$58/12)</f>
        <v>874.999999999999</v>
      </c>
      <c r="Y42" s="26" t="n">
        <f aca="false">Y41*(Assumptions!$B$58/12)</f>
        <v>812.5</v>
      </c>
      <c r="Z42" s="26" t="n">
        <f aca="false">Z41*(Assumptions!$B$58/12)</f>
        <v>750</v>
      </c>
      <c r="AA42" s="26" t="n">
        <f aca="false">AA41*(Assumptions!$B$58/12)</f>
        <v>687.5</v>
      </c>
      <c r="AB42" s="26" t="n">
        <f aca="false">AB41*(Assumptions!$B$58/12)</f>
        <v>625</v>
      </c>
      <c r="AC42" s="26" t="n">
        <f aca="false">AC41*(Assumptions!$B$58/12)</f>
        <v>562.5</v>
      </c>
      <c r="AD42" s="26" t="n">
        <f aca="false">AD41*(Assumptions!$B$58/12)</f>
        <v>500</v>
      </c>
      <c r="AE42" s="26" t="n">
        <f aca="false">AE41*(Assumptions!$B$58/12)</f>
        <v>437.5</v>
      </c>
      <c r="AF42" s="26" t="n">
        <f aca="false">AF41*(Assumptions!$B$58/12)</f>
        <v>375</v>
      </c>
      <c r="AG42" s="26" t="n">
        <f aca="false">AG41*(Assumptions!$B$58/12)</f>
        <v>312.5</v>
      </c>
      <c r="AH42" s="26" t="n">
        <f aca="false">AH41*(Assumptions!$B$58/12)</f>
        <v>250</v>
      </c>
      <c r="AI42" s="26" t="n">
        <f aca="false">AI41*(Assumptions!$B$58/12)</f>
        <v>187.5</v>
      </c>
      <c r="AJ42" s="26" t="n">
        <f aca="false">AJ41*(Assumptions!$B$58/12)</f>
        <v>125</v>
      </c>
      <c r="AK42" s="26" t="n">
        <f aca="false">AK41*(Assumptions!$B$58/12)</f>
        <v>62.4999999999996</v>
      </c>
    </row>
    <row r="43" customFormat="false" ht="15" hidden="false" customHeight="true" outlineLevel="0" collapsed="false">
      <c r="A43" s="12" t="s">
        <v>105</v>
      </c>
      <c r="B43" s="26" t="n">
        <f aca="false">IF(AND(B$3&gt;=Assumptions!$B$57,B$3&lt;Assumptions!$B$57+Assumptions!$B$59),Assumptions!$B$56/Assumptions!$B$59,0)</f>
        <v>0</v>
      </c>
      <c r="C43" s="26" t="n">
        <f aca="false">IF(AND(C$3&gt;=Assumptions!$B$57,C$3&lt;Assumptions!$B$57+Assumptions!$B$59),Assumptions!$B$56/Assumptions!$B$59,0)</f>
        <v>0</v>
      </c>
      <c r="D43" s="26" t="n">
        <f aca="false">IF(AND(D$3&gt;=Assumptions!$B$57,D$3&lt;Assumptions!$B$57+Assumptions!$B$59),Assumptions!$B$56/Assumptions!$B$59,0)</f>
        <v>0</v>
      </c>
      <c r="E43" s="26" t="n">
        <f aca="false">IF(AND(E$3&gt;=Assumptions!$B$57,E$3&lt;Assumptions!$B$57+Assumptions!$B$59),Assumptions!$B$56/Assumptions!$B$59,0)</f>
        <v>0</v>
      </c>
      <c r="F43" s="26" t="n">
        <f aca="false">IF(AND(F$3&gt;=Assumptions!$B$57,F$3&lt;Assumptions!$B$57+Assumptions!$B$59),Assumptions!$B$56/Assumptions!$B$59,0)</f>
        <v>0</v>
      </c>
      <c r="G43" s="26" t="n">
        <f aca="false">IF(AND(G$3&gt;=Assumptions!$B$57,G$3&lt;Assumptions!$B$57+Assumptions!$B$59),Assumptions!$B$56/Assumptions!$B$59,0)</f>
        <v>0</v>
      </c>
      <c r="H43" s="26" t="n">
        <f aca="false">IF(AND(H$3&gt;=Assumptions!$B$57,H$3&lt;Assumptions!$B$57+Assumptions!$B$59),Assumptions!$B$56/Assumptions!$B$59,0)</f>
        <v>0</v>
      </c>
      <c r="I43" s="26" t="n">
        <f aca="false">IF(AND(I$3&gt;=Assumptions!$B$57,I$3&lt;Assumptions!$B$57+Assumptions!$B$59),Assumptions!$B$56/Assumptions!$B$59,0)</f>
        <v>0</v>
      </c>
      <c r="J43" s="26" t="n">
        <f aca="false">IF(AND(J$3&gt;=Assumptions!$B$57,J$3&lt;Assumptions!$B$57+Assumptions!$B$59),Assumptions!$B$56/Assumptions!$B$59,0)</f>
        <v>0</v>
      </c>
      <c r="K43" s="26" t="n">
        <f aca="false">IF(AND(K$3&gt;=Assumptions!$B$57,K$3&lt;Assumptions!$B$57+Assumptions!$B$59),Assumptions!$B$56/Assumptions!$B$59,0)</f>
        <v>0</v>
      </c>
      <c r="L43" s="26" t="n">
        <f aca="false">IF(AND(L$3&gt;=Assumptions!$B$57,L$3&lt;Assumptions!$B$57+Assumptions!$B$59),Assumptions!$B$56/Assumptions!$B$59,0)</f>
        <v>0</v>
      </c>
      <c r="M43" s="26" t="n">
        <f aca="false">IF(AND(M$3&gt;=Assumptions!$B$57,M$3&lt;Assumptions!$B$57+Assumptions!$B$59),Assumptions!$B$56/Assumptions!$B$59,0)</f>
        <v>0</v>
      </c>
      <c r="N43" s="26" t="n">
        <f aca="false">IF(AND(N$3&gt;=Assumptions!$B$57,N$3&lt;Assumptions!$B$57+Assumptions!$B$59),Assumptions!$B$56/Assumptions!$B$59,0)</f>
        <v>8333.33333333333</v>
      </c>
      <c r="O43" s="26" t="n">
        <f aca="false">IF(AND(O$3&gt;=Assumptions!$B$57,O$3&lt;Assumptions!$B$57+Assumptions!$B$59),Assumptions!$B$56/Assumptions!$B$59,0)</f>
        <v>8333.33333333333</v>
      </c>
      <c r="P43" s="26" t="n">
        <f aca="false">IF(AND(P$3&gt;=Assumptions!$B$57,P$3&lt;Assumptions!$B$57+Assumptions!$B$59),Assumptions!$B$56/Assumptions!$B$59,0)</f>
        <v>8333.33333333333</v>
      </c>
      <c r="Q43" s="26" t="n">
        <f aca="false">IF(AND(Q$3&gt;=Assumptions!$B$57,Q$3&lt;Assumptions!$B$57+Assumptions!$B$59),Assumptions!$B$56/Assumptions!$B$59,0)</f>
        <v>8333.33333333333</v>
      </c>
      <c r="R43" s="26" t="n">
        <f aca="false">IF(AND(R$3&gt;=Assumptions!$B$57,R$3&lt;Assumptions!$B$57+Assumptions!$B$59),Assumptions!$B$56/Assumptions!$B$59,0)</f>
        <v>8333.33333333333</v>
      </c>
      <c r="S43" s="26" t="n">
        <f aca="false">IF(AND(S$3&gt;=Assumptions!$B$57,S$3&lt;Assumptions!$B$57+Assumptions!$B$59),Assumptions!$B$56/Assumptions!$B$59,0)</f>
        <v>8333.33333333333</v>
      </c>
      <c r="T43" s="26" t="n">
        <f aca="false">IF(AND(T$3&gt;=Assumptions!$B$57,T$3&lt;Assumptions!$B$57+Assumptions!$B$59),Assumptions!$B$56/Assumptions!$B$59,0)</f>
        <v>8333.33333333333</v>
      </c>
      <c r="U43" s="26" t="n">
        <f aca="false">IF(AND(U$3&gt;=Assumptions!$B$57,U$3&lt;Assumptions!$B$57+Assumptions!$B$59),Assumptions!$B$56/Assumptions!$B$59,0)</f>
        <v>8333.33333333333</v>
      </c>
      <c r="V43" s="26" t="n">
        <f aca="false">IF(AND(V$3&gt;=Assumptions!$B$57,V$3&lt;Assumptions!$B$57+Assumptions!$B$59),Assumptions!$B$56/Assumptions!$B$59,0)</f>
        <v>8333.33333333333</v>
      </c>
      <c r="W43" s="26" t="n">
        <f aca="false">IF(AND(W$3&gt;=Assumptions!$B$57,W$3&lt;Assumptions!$B$57+Assumptions!$B$59),Assumptions!$B$56/Assumptions!$B$59,0)</f>
        <v>8333.33333333333</v>
      </c>
      <c r="X43" s="26" t="n">
        <f aca="false">IF(AND(X$3&gt;=Assumptions!$B$57,X$3&lt;Assumptions!$B$57+Assumptions!$B$59),Assumptions!$B$56/Assumptions!$B$59,0)</f>
        <v>8333.33333333333</v>
      </c>
      <c r="Y43" s="26" t="n">
        <f aca="false">IF(AND(Y$3&gt;=Assumptions!$B$57,Y$3&lt;Assumptions!$B$57+Assumptions!$B$59),Assumptions!$B$56/Assumptions!$B$59,0)</f>
        <v>8333.33333333333</v>
      </c>
      <c r="Z43" s="26" t="n">
        <f aca="false">IF(AND(Z$3&gt;=Assumptions!$B$57,Z$3&lt;Assumptions!$B$57+Assumptions!$B$59),Assumptions!$B$56/Assumptions!$B$59,0)</f>
        <v>8333.33333333333</v>
      </c>
      <c r="AA43" s="26" t="n">
        <f aca="false">IF(AND(AA$3&gt;=Assumptions!$B$57,AA$3&lt;Assumptions!$B$57+Assumptions!$B$59),Assumptions!$B$56/Assumptions!$B$59,0)</f>
        <v>8333.33333333333</v>
      </c>
      <c r="AB43" s="26" t="n">
        <f aca="false">IF(AND(AB$3&gt;=Assumptions!$B$57,AB$3&lt;Assumptions!$B$57+Assumptions!$B$59),Assumptions!$B$56/Assumptions!$B$59,0)</f>
        <v>8333.33333333333</v>
      </c>
      <c r="AC43" s="26" t="n">
        <f aca="false">IF(AND(AC$3&gt;=Assumptions!$B$57,AC$3&lt;Assumptions!$B$57+Assumptions!$B$59),Assumptions!$B$56/Assumptions!$B$59,0)</f>
        <v>8333.33333333333</v>
      </c>
      <c r="AD43" s="26" t="n">
        <f aca="false">IF(AND(AD$3&gt;=Assumptions!$B$57,AD$3&lt;Assumptions!$B$57+Assumptions!$B$59),Assumptions!$B$56/Assumptions!$B$59,0)</f>
        <v>8333.33333333333</v>
      </c>
      <c r="AE43" s="26" t="n">
        <f aca="false">IF(AND(AE$3&gt;=Assumptions!$B$57,AE$3&lt;Assumptions!$B$57+Assumptions!$B$59),Assumptions!$B$56/Assumptions!$B$59,0)</f>
        <v>8333.33333333333</v>
      </c>
      <c r="AF43" s="26" t="n">
        <f aca="false">IF(AND(AF$3&gt;=Assumptions!$B$57,AF$3&lt;Assumptions!$B$57+Assumptions!$B$59),Assumptions!$B$56/Assumptions!$B$59,0)</f>
        <v>8333.33333333333</v>
      </c>
      <c r="AG43" s="26" t="n">
        <f aca="false">IF(AND(AG$3&gt;=Assumptions!$B$57,AG$3&lt;Assumptions!$B$57+Assumptions!$B$59),Assumptions!$B$56/Assumptions!$B$59,0)</f>
        <v>8333.33333333333</v>
      </c>
      <c r="AH43" s="26" t="n">
        <f aca="false">IF(AND(AH$3&gt;=Assumptions!$B$57,AH$3&lt;Assumptions!$B$57+Assumptions!$B$59),Assumptions!$B$56/Assumptions!$B$59,0)</f>
        <v>8333.33333333333</v>
      </c>
      <c r="AI43" s="26" t="n">
        <f aca="false">IF(AND(AI$3&gt;=Assumptions!$B$57,AI$3&lt;Assumptions!$B$57+Assumptions!$B$59),Assumptions!$B$56/Assumptions!$B$59,0)</f>
        <v>8333.33333333333</v>
      </c>
      <c r="AJ43" s="26" t="n">
        <f aca="false">IF(AND(AJ$3&gt;=Assumptions!$B$57,AJ$3&lt;Assumptions!$B$57+Assumptions!$B$59),Assumptions!$B$56/Assumptions!$B$59,0)</f>
        <v>8333.33333333333</v>
      </c>
      <c r="AK43" s="26" t="n">
        <f aca="false">IF(AND(AK$3&gt;=Assumptions!$B$57,AK$3&lt;Assumptions!$B$57+Assumptions!$B$59),Assumptions!$B$56/Assumptions!$B$59,0)</f>
        <v>8333.33333333333</v>
      </c>
    </row>
    <row r="44" customFormat="false" ht="15" hidden="false" customHeight="true" outlineLevel="0" collapsed="false">
      <c r="A44" s="12" t="s">
        <v>106</v>
      </c>
      <c r="B44" s="26" t="n">
        <f aca="false">B41+IF(B$3=Assumptions!$B$57,Assumptions!$B$56,0)-B43</f>
        <v>0</v>
      </c>
      <c r="C44" s="26" t="n">
        <f aca="false">C41+IF(C$3=Assumptions!$B$57,Assumptions!$B$56,0)-C43</f>
        <v>0</v>
      </c>
      <c r="D44" s="26" t="n">
        <f aca="false">D41+IF(D$3=Assumptions!$B$57,Assumptions!$B$56,0)-D43</f>
        <v>0</v>
      </c>
      <c r="E44" s="26" t="n">
        <f aca="false">E41+IF(E$3=Assumptions!$B$57,Assumptions!$B$56,0)-E43</f>
        <v>0</v>
      </c>
      <c r="F44" s="26" t="n">
        <f aca="false">F41+IF(F$3=Assumptions!$B$57,Assumptions!$B$56,0)-F43</f>
        <v>0</v>
      </c>
      <c r="G44" s="26" t="n">
        <f aca="false">G41+IF(G$3=Assumptions!$B$57,Assumptions!$B$56,0)-G43</f>
        <v>0</v>
      </c>
      <c r="H44" s="26" t="n">
        <f aca="false">H41+IF(H$3=Assumptions!$B$57,Assumptions!$B$56,0)-H43</f>
        <v>0</v>
      </c>
      <c r="I44" s="26" t="n">
        <f aca="false">I41+IF(I$3=Assumptions!$B$57,Assumptions!$B$56,0)-I43</f>
        <v>0</v>
      </c>
      <c r="J44" s="26" t="n">
        <f aca="false">J41+IF(J$3=Assumptions!$B$57,Assumptions!$B$56,0)-J43</f>
        <v>0</v>
      </c>
      <c r="K44" s="26" t="n">
        <f aca="false">K41+IF(K$3=Assumptions!$B$57,Assumptions!$B$56,0)-K43</f>
        <v>0</v>
      </c>
      <c r="L44" s="26" t="n">
        <f aca="false">L41+IF(L$3=Assumptions!$B$57,Assumptions!$B$56,0)-L43</f>
        <v>0</v>
      </c>
      <c r="M44" s="26" t="n">
        <f aca="false">M41+IF(M$3=Assumptions!$B$57,Assumptions!$B$56,0)-M43</f>
        <v>0</v>
      </c>
      <c r="N44" s="26" t="n">
        <f aca="false">N41+IF(N$3=Assumptions!$B$57,Assumptions!$B$56,0)-N43</f>
        <v>191666.666666667</v>
      </c>
      <c r="O44" s="26" t="n">
        <f aca="false">O41+IF(O$3=Assumptions!$B$57,Assumptions!$B$56,0)-O43</f>
        <v>183333.333333333</v>
      </c>
      <c r="P44" s="26" t="n">
        <f aca="false">P41+IF(P$3=Assumptions!$B$57,Assumptions!$B$56,0)-P43</f>
        <v>175000</v>
      </c>
      <c r="Q44" s="26" t="n">
        <f aca="false">Q41+IF(Q$3=Assumptions!$B$57,Assumptions!$B$56,0)-Q43</f>
        <v>166666.666666667</v>
      </c>
      <c r="R44" s="26" t="n">
        <f aca="false">R41+IF(R$3=Assumptions!$B$57,Assumptions!$B$56,0)-R43</f>
        <v>158333.333333333</v>
      </c>
      <c r="S44" s="26" t="n">
        <f aca="false">S41+IF(S$3=Assumptions!$B$57,Assumptions!$B$56,0)-S43</f>
        <v>150000</v>
      </c>
      <c r="T44" s="26" t="n">
        <f aca="false">T41+IF(T$3=Assumptions!$B$57,Assumptions!$B$56,0)-T43</f>
        <v>141666.666666667</v>
      </c>
      <c r="U44" s="26" t="n">
        <f aca="false">U41+IF(U$3=Assumptions!$B$57,Assumptions!$B$56,0)-U43</f>
        <v>133333.333333333</v>
      </c>
      <c r="V44" s="26" t="n">
        <f aca="false">V41+IF(V$3=Assumptions!$B$57,Assumptions!$B$56,0)-V43</f>
        <v>125000</v>
      </c>
      <c r="W44" s="26" t="n">
        <f aca="false">W41+IF(W$3=Assumptions!$B$57,Assumptions!$B$56,0)-W43</f>
        <v>116666.666666667</v>
      </c>
      <c r="X44" s="26" t="n">
        <f aca="false">X41+IF(X$3=Assumptions!$B$57,Assumptions!$B$56,0)-X43</f>
        <v>108333.333333333</v>
      </c>
      <c r="Y44" s="26" t="n">
        <f aca="false">Y41+IF(Y$3=Assumptions!$B$57,Assumptions!$B$56,0)-Y43</f>
        <v>99999.9999999999</v>
      </c>
      <c r="Z44" s="26" t="n">
        <f aca="false">Z41+IF(Z$3=Assumptions!$B$57,Assumptions!$B$56,0)-Z43</f>
        <v>91666.6666666666</v>
      </c>
      <c r="AA44" s="26" t="n">
        <f aca="false">AA41+IF(AA$3=Assumptions!$B$57,Assumptions!$B$56,0)-AA43</f>
        <v>83333.3333333333</v>
      </c>
      <c r="AB44" s="26" t="n">
        <f aca="false">AB41+IF(AB$3=Assumptions!$B$57,Assumptions!$B$56,0)-AB43</f>
        <v>75000</v>
      </c>
      <c r="AC44" s="26" t="n">
        <f aca="false">AC41+IF(AC$3=Assumptions!$B$57,Assumptions!$B$56,0)-AC43</f>
        <v>66666.6666666666</v>
      </c>
      <c r="AD44" s="26" t="n">
        <f aca="false">AD41+IF(AD$3=Assumptions!$B$57,Assumptions!$B$56,0)-AD43</f>
        <v>58333.3333333333</v>
      </c>
      <c r="AE44" s="26" t="n">
        <f aca="false">AE41+IF(AE$3=Assumptions!$B$57,Assumptions!$B$56,0)-AE43</f>
        <v>50000</v>
      </c>
      <c r="AF44" s="26" t="n">
        <f aca="false">AF41+IF(AF$3=Assumptions!$B$57,Assumptions!$B$56,0)-AF43</f>
        <v>41666.6666666666</v>
      </c>
      <c r="AG44" s="26" t="n">
        <f aca="false">AG41+IF(AG$3=Assumptions!$B$57,Assumptions!$B$56,0)-AG43</f>
        <v>33333.3333333333</v>
      </c>
      <c r="AH44" s="26" t="n">
        <f aca="false">AH41+IF(AH$3=Assumptions!$B$57,Assumptions!$B$56,0)-AH43</f>
        <v>25000</v>
      </c>
      <c r="AI44" s="26" t="n">
        <f aca="false">AI41+IF(AI$3=Assumptions!$B$57,Assumptions!$B$56,0)-AI43</f>
        <v>16666.6666666666</v>
      </c>
      <c r="AJ44" s="26" t="n">
        <f aca="false">AJ41+IF(AJ$3=Assumptions!$B$57,Assumptions!$B$56,0)-AJ43</f>
        <v>8333.33333333328</v>
      </c>
      <c r="AK44" s="26" t="n">
        <f aca="false">AK41+IF(AK$3=Assumptions!$B$57,Assumptions!$B$56,0)-AK43</f>
        <v>-5.45696821063757E-011</v>
      </c>
    </row>
    <row r="45" customFormat="false" ht="15" hidden="false" customHeight="true" outlineLevel="0" collapsed="false">
      <c r="A45" s="12" t="s">
        <v>107</v>
      </c>
      <c r="B45" s="27" t="n">
        <f aca="false">B40-B42</f>
        <v>-29142.5</v>
      </c>
      <c r="C45" s="27" t="n">
        <f aca="false">C40-C42</f>
        <v>-34174.6</v>
      </c>
      <c r="D45" s="27" t="n">
        <f aca="false">D40-D42</f>
        <v>-27578.342</v>
      </c>
      <c r="E45" s="27" t="n">
        <f aca="false">E40-E42</f>
        <v>-30335.19509</v>
      </c>
      <c r="F45" s="27" t="n">
        <f aca="false">F40-F42</f>
        <v>-23425.99969605</v>
      </c>
      <c r="G45" s="27" t="n">
        <f aca="false">G40-G42</f>
        <v>-23330.9094830472</v>
      </c>
      <c r="H45" s="27" t="n">
        <f aca="false">H40-H42</f>
        <v>-16029.3307295816</v>
      </c>
      <c r="I45" s="27" t="n">
        <f aca="false">I40-I42</f>
        <v>-8499.85898123626</v>
      </c>
      <c r="J45" s="27" t="n">
        <f aca="false">J40-J42</f>
        <v>-12220.2127792216</v>
      </c>
      <c r="K45" s="27" t="n">
        <f aca="false">K40-K42</f>
        <v>-4167.16425102721</v>
      </c>
      <c r="L45" s="27" t="n">
        <f aca="false">L40-L42</f>
        <v>-4316.46633887528</v>
      </c>
      <c r="M45" s="27" t="n">
        <f aca="false">M40-M42</f>
        <v>4357.22356987347</v>
      </c>
      <c r="N45" s="27" t="n">
        <f aca="false">N40-N42</f>
        <v>13380.4238586315</v>
      </c>
      <c r="O45" s="27" t="n">
        <f aca="false">O40-O42</f>
        <v>21343.4130053181</v>
      </c>
      <c r="P45" s="27" t="n">
        <f aca="false">P40-P42</f>
        <v>19712.8182895287</v>
      </c>
      <c r="Q45" s="27" t="n">
        <f aca="false">Q40-Q42</f>
        <v>30019.2091737681</v>
      </c>
      <c r="R45" s="27" t="n">
        <f aca="false">R40-R42</f>
        <v>40794.6956653707</v>
      </c>
      <c r="S45" s="27" t="n">
        <f aca="false">S40-S42</f>
        <v>44073.0319827272</v>
      </c>
      <c r="T45" s="27" t="n">
        <f aca="false">T40-T42</f>
        <v>55889.7258675348</v>
      </c>
      <c r="U45" s="27" t="n">
        <f aca="false">U40-U42</f>
        <v>68282.1539040011</v>
      </c>
      <c r="V45" s="27" t="n">
        <f aca="false">V40-V42</f>
        <v>72789.6832263734</v>
      </c>
      <c r="W45" s="27" t="n">
        <f aca="false">W40-W42</f>
        <v>86453.8000178604</v>
      </c>
      <c r="X45" s="27" t="n">
        <f aca="false">X40-X42</f>
        <v>100818.245227074</v>
      </c>
      <c r="Y45" s="27" t="n">
        <f aca="false">Y40-Y42</f>
        <v>115929.157952591</v>
      </c>
      <c r="Z45" s="27" t="n">
        <f aca="false">Z40-Z42</f>
        <v>131835.226972228</v>
      </c>
      <c r="AA45" s="27" t="n">
        <f aca="false">AA40-AA42</f>
        <v>148587.850921208</v>
      </c>
      <c r="AB45" s="27" t="n">
        <f aca="false">AB40-AB42</f>
        <v>166241.307652658</v>
      </c>
      <c r="AC45" s="27" t="n">
        <f aca="false">AC40-AC42</f>
        <v>184852.933344972</v>
      </c>
      <c r="AD45" s="27" t="n">
        <f aca="false">AD40-AD42</f>
        <v>204483.3119535</v>
      </c>
      <c r="AE45" s="27" t="n">
        <f aca="false">AE40-AE42</f>
        <v>225196.475639009</v>
      </c>
      <c r="AF45" s="27" t="n">
        <f aca="false">AF40-AF42</f>
        <v>247060.116842456</v>
      </c>
      <c r="AG45" s="27" t="n">
        <f aca="false">AG40-AG42</f>
        <v>270145.812714924</v>
      </c>
      <c r="AH45" s="27" t="n">
        <f aca="false">AH40-AH42</f>
        <v>294529.262653335</v>
      </c>
      <c r="AI45" s="27" t="n">
        <f aca="false">AI40-AI42</f>
        <v>320290.539736766</v>
      </c>
      <c r="AJ45" s="27" t="n">
        <f aca="false">AJ40-AJ42</f>
        <v>347514.356905131</v>
      </c>
      <c r="AK45" s="27" t="n">
        <f aca="false">AK40-AK42</f>
        <v>376290.348771746</v>
      </c>
    </row>
    <row r="46" customFormat="false" ht="15" hidden="false" customHeight="true" outlineLevel="0" collapsed="false">
      <c r="A46" s="12" t="s">
        <v>108</v>
      </c>
      <c r="B46" s="26" t="n">
        <f aca="false">MAX(B45,0)*Assumptions!$B$5</f>
        <v>0</v>
      </c>
      <c r="C46" s="26" t="n">
        <f aca="false">MAX(C45,0)*Assumptions!$B$5</f>
        <v>0</v>
      </c>
      <c r="D46" s="26" t="n">
        <f aca="false">MAX(D45,0)*Assumptions!$B$5</f>
        <v>0</v>
      </c>
      <c r="E46" s="26" t="n">
        <f aca="false">MAX(E45,0)*Assumptions!$B$5</f>
        <v>0</v>
      </c>
      <c r="F46" s="26" t="n">
        <f aca="false">MAX(F45,0)*Assumptions!$B$5</f>
        <v>0</v>
      </c>
      <c r="G46" s="26" t="n">
        <f aca="false">MAX(G45,0)*Assumptions!$B$5</f>
        <v>0</v>
      </c>
      <c r="H46" s="26" t="n">
        <f aca="false">MAX(H45,0)*Assumptions!$B$5</f>
        <v>0</v>
      </c>
      <c r="I46" s="26" t="n">
        <f aca="false">MAX(I45,0)*Assumptions!$B$5</f>
        <v>0</v>
      </c>
      <c r="J46" s="26" t="n">
        <f aca="false">MAX(J45,0)*Assumptions!$B$5</f>
        <v>0</v>
      </c>
      <c r="K46" s="26" t="n">
        <f aca="false">MAX(K45,0)*Assumptions!$B$5</f>
        <v>0</v>
      </c>
      <c r="L46" s="26" t="n">
        <f aca="false">MAX(L45,0)*Assumptions!$B$5</f>
        <v>0</v>
      </c>
      <c r="M46" s="26" t="n">
        <f aca="false">MAX(M45,0)*Assumptions!$B$5</f>
        <v>915.016949673429</v>
      </c>
      <c r="N46" s="26" t="n">
        <f aca="false">MAX(N45,0)*Assumptions!$B$5</f>
        <v>2809.88901031261</v>
      </c>
      <c r="O46" s="26" t="n">
        <f aca="false">MAX(O45,0)*Assumptions!$B$5</f>
        <v>4482.11673111681</v>
      </c>
      <c r="P46" s="26" t="n">
        <f aca="false">MAX(P45,0)*Assumptions!$B$5</f>
        <v>4139.69184080103</v>
      </c>
      <c r="Q46" s="26" t="n">
        <f aca="false">MAX(Q45,0)*Assumptions!$B$5</f>
        <v>6304.03392649131</v>
      </c>
      <c r="R46" s="26" t="n">
        <f aca="false">MAX(R45,0)*Assumptions!$B$5</f>
        <v>8566.88608972784</v>
      </c>
      <c r="S46" s="26" t="n">
        <f aca="false">MAX(S45,0)*Assumptions!$B$5</f>
        <v>9255.33671637272</v>
      </c>
      <c r="T46" s="26" t="n">
        <f aca="false">MAX(T45,0)*Assumptions!$B$5</f>
        <v>11736.8424321823</v>
      </c>
      <c r="U46" s="26" t="n">
        <f aca="false">MAX(U45,0)*Assumptions!$B$5</f>
        <v>14339.2523198402</v>
      </c>
      <c r="V46" s="26" t="n">
        <f aca="false">MAX(V45,0)*Assumptions!$B$5</f>
        <v>15285.8334775384</v>
      </c>
      <c r="W46" s="26" t="n">
        <f aca="false">MAX(W45,0)*Assumptions!$B$5</f>
        <v>18155.2980037507</v>
      </c>
      <c r="X46" s="26" t="n">
        <f aca="false">MAX(X45,0)*Assumptions!$B$5</f>
        <v>21171.8314976855</v>
      </c>
      <c r="Y46" s="26" t="n">
        <f aca="false">MAX(Y45,0)*Assumptions!$B$5</f>
        <v>24345.123170044</v>
      </c>
      <c r="Z46" s="26" t="n">
        <f aca="false">MAX(Z45,0)*Assumptions!$B$5</f>
        <v>27685.397664168</v>
      </c>
      <c r="AA46" s="26" t="n">
        <f aca="false">MAX(AA45,0)*Assumptions!$B$5</f>
        <v>31203.4486934538</v>
      </c>
      <c r="AB46" s="26" t="n">
        <f aca="false">MAX(AB45,0)*Assumptions!$B$5</f>
        <v>34910.6746070583</v>
      </c>
      <c r="AC46" s="26" t="n">
        <f aca="false">MAX(AC45,0)*Assumptions!$B$5</f>
        <v>38819.1160024442</v>
      </c>
      <c r="AD46" s="26" t="n">
        <f aca="false">MAX(AD45,0)*Assumptions!$B$5</f>
        <v>42941.4955102349</v>
      </c>
      <c r="AE46" s="26" t="n">
        <f aca="false">MAX(AE45,0)*Assumptions!$B$5</f>
        <v>47291.2598841919</v>
      </c>
      <c r="AF46" s="26" t="n">
        <f aca="false">MAX(AF45,0)*Assumptions!$B$5</f>
        <v>51882.6245369158</v>
      </c>
      <c r="AG46" s="26" t="n">
        <f aca="false">MAX(AG45,0)*Assumptions!$B$5</f>
        <v>56730.6206701341</v>
      </c>
      <c r="AH46" s="26" t="n">
        <f aca="false">MAX(AH45,0)*Assumptions!$B$5</f>
        <v>61851.1451572004</v>
      </c>
      <c r="AI46" s="26" t="n">
        <f aca="false">MAX(AI45,0)*Assumptions!$B$5</f>
        <v>67261.0133447208</v>
      </c>
      <c r="AJ46" s="26" t="n">
        <f aca="false">MAX(AJ45,0)*Assumptions!$B$5</f>
        <v>72978.0149500775</v>
      </c>
      <c r="AK46" s="26" t="n">
        <f aca="false">MAX(AK45,0)*Assumptions!$B$5</f>
        <v>79020.9732420666</v>
      </c>
    </row>
    <row r="47" customFormat="false" ht="15" hidden="false" customHeight="true" outlineLevel="0" collapsed="false">
      <c r="A47" s="7" t="s">
        <v>109</v>
      </c>
      <c r="B47" s="27" t="n">
        <f aca="false">B45-B46</f>
        <v>-29142.5</v>
      </c>
      <c r="C47" s="27" t="n">
        <f aca="false">C45-C46</f>
        <v>-34174.6</v>
      </c>
      <c r="D47" s="27" t="n">
        <f aca="false">D45-D46</f>
        <v>-27578.342</v>
      </c>
      <c r="E47" s="27" t="n">
        <f aca="false">E45-E46</f>
        <v>-30335.19509</v>
      </c>
      <c r="F47" s="27" t="n">
        <f aca="false">F45-F46</f>
        <v>-23425.99969605</v>
      </c>
      <c r="G47" s="27" t="n">
        <f aca="false">G45-G46</f>
        <v>-23330.9094830472</v>
      </c>
      <c r="H47" s="27" t="n">
        <f aca="false">H45-H46</f>
        <v>-16029.3307295816</v>
      </c>
      <c r="I47" s="27" t="n">
        <f aca="false">I45-I46</f>
        <v>-8499.85898123626</v>
      </c>
      <c r="J47" s="27" t="n">
        <f aca="false">J45-J46</f>
        <v>-12220.2127792216</v>
      </c>
      <c r="K47" s="27" t="n">
        <f aca="false">K45-K46</f>
        <v>-4167.16425102721</v>
      </c>
      <c r="L47" s="27" t="n">
        <f aca="false">L45-L46</f>
        <v>-4316.46633887528</v>
      </c>
      <c r="M47" s="27" t="n">
        <f aca="false">M45-M46</f>
        <v>3442.20662020004</v>
      </c>
      <c r="N47" s="27" t="n">
        <f aca="false">N45-N46</f>
        <v>10570.5348483189</v>
      </c>
      <c r="O47" s="27" t="n">
        <f aca="false">O45-O46</f>
        <v>16861.2962742013</v>
      </c>
      <c r="P47" s="27" t="n">
        <f aca="false">P45-P46</f>
        <v>15573.1264487277</v>
      </c>
      <c r="Q47" s="27" t="n">
        <f aca="false">Q45-Q46</f>
        <v>23715.1752472768</v>
      </c>
      <c r="R47" s="27" t="n">
        <f aca="false">R45-R46</f>
        <v>32227.8095756428</v>
      </c>
      <c r="S47" s="27" t="n">
        <f aca="false">S45-S46</f>
        <v>34817.6952663545</v>
      </c>
      <c r="T47" s="27" t="n">
        <f aca="false">T45-T46</f>
        <v>44152.8834353525</v>
      </c>
      <c r="U47" s="27" t="n">
        <f aca="false">U45-U46</f>
        <v>53942.9015841609</v>
      </c>
      <c r="V47" s="27" t="n">
        <f aca="false">V45-V46</f>
        <v>57503.849748835</v>
      </c>
      <c r="W47" s="27" t="n">
        <f aca="false">W45-W46</f>
        <v>68298.5020141097</v>
      </c>
      <c r="X47" s="27" t="n">
        <f aca="false">X45-X46</f>
        <v>79646.4137293882</v>
      </c>
      <c r="Y47" s="27" t="n">
        <f aca="false">Y45-Y46</f>
        <v>91584.0347825465</v>
      </c>
      <c r="Z47" s="27" t="n">
        <f aca="false">Z45-Z46</f>
        <v>104149.82930806</v>
      </c>
      <c r="AA47" s="27" t="n">
        <f aca="false">AA45-AA46</f>
        <v>117384.402227755</v>
      </c>
      <c r="AB47" s="27" t="n">
        <f aca="false">AB45-AB46</f>
        <v>131330.6330456</v>
      </c>
      <c r="AC47" s="27" t="n">
        <f aca="false">AC45-AC46</f>
        <v>146033.817342528</v>
      </c>
      <c r="AD47" s="27" t="n">
        <f aca="false">AD45-AD46</f>
        <v>161541.816443265</v>
      </c>
      <c r="AE47" s="27" t="n">
        <f aca="false">AE45-AE46</f>
        <v>177905.215754817</v>
      </c>
      <c r="AF47" s="27" t="n">
        <f aca="false">AF45-AF46</f>
        <v>195177.49230554</v>
      </c>
      <c r="AG47" s="27" t="n">
        <f aca="false">AG45-AG46</f>
        <v>213415.19204479</v>
      </c>
      <c r="AH47" s="27" t="n">
        <f aca="false">AH45-AH46</f>
        <v>232678.117496135</v>
      </c>
      <c r="AI47" s="27" t="n">
        <f aca="false">AI45-AI46</f>
        <v>253029.526392045</v>
      </c>
      <c r="AJ47" s="27" t="n">
        <f aca="false">AJ45-AJ46</f>
        <v>274536.341955054</v>
      </c>
      <c r="AK47" s="27" t="n">
        <f aca="false">AK45-AK46</f>
        <v>297269.375529679</v>
      </c>
    </row>
    <row r="49" customFormat="false" ht="18" hidden="false" customHeight="true" outlineLevel="0" collapsed="false">
      <c r="A49" s="4" t="s">
        <v>56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customFormat="false" ht="15" hidden="false" customHeight="true" outlineLevel="0" collapsed="false">
      <c r="A50" s="12" t="s">
        <v>110</v>
      </c>
      <c r="B50" s="26" t="n">
        <f aca="false">B15*Assumptions!$B$49/30</f>
        <v>11440</v>
      </c>
      <c r="C50" s="26" t="n">
        <f aca="false">C15*Assumptions!$B$49/30</f>
        <v>23072.8</v>
      </c>
      <c r="D50" s="26" t="n">
        <f aca="false">D15*Assumptions!$B$49/30</f>
        <v>34930.396</v>
      </c>
      <c r="E50" s="26" t="n">
        <f aca="false">E15*Assumptions!$B$49/30</f>
        <v>47045.78422</v>
      </c>
      <c r="F50" s="26" t="n">
        <f aca="false">F15*Assumptions!$B$49/30</f>
        <v>59453.0602879</v>
      </c>
      <c r="G50" s="26" t="n">
        <f aca="false">G15*Assumptions!$B$49/30</f>
        <v>72187.5225180655</v>
      </c>
      <c r="H50" s="26" t="n">
        <f aca="false">H15*Assumptions!$B$49/30</f>
        <v>85285.7796084719</v>
      </c>
      <c r="I50" s="26" t="n">
        <f aca="false">I15*Assumptions!$B$49/30</f>
        <v>98785.8630998694</v>
      </c>
      <c r="J50" s="26" t="n">
        <f aca="false">J15*Assumptions!$B$49/30</f>
        <v>112727.344957062</v>
      </c>
      <c r="K50" s="26" t="n">
        <f aca="false">K15*Assumptions!$B$49/30</f>
        <v>127151.460650227</v>
      </c>
      <c r="L50" s="26" t="n">
        <f aca="false">L15*Assumptions!$B$49/30</f>
        <v>142101.238133279</v>
      </c>
      <c r="M50" s="26" t="n">
        <f aca="false">M15*Assumptions!$B$49/30</f>
        <v>157621.633136666</v>
      </c>
      <c r="N50" s="26" t="n">
        <f aca="false">N15*Assumptions!$B$49/30</f>
        <v>173759.671213735</v>
      </c>
      <c r="O50" s="26" t="n">
        <f aca="false">O15*Assumptions!$B$49/30</f>
        <v>190564.597003046</v>
      </c>
      <c r="P50" s="26" t="n">
        <f aca="false">P15*Assumptions!$B$49/30</f>
        <v>208088.031193714</v>
      </c>
      <c r="Q50" s="26" t="n">
        <f aca="false">Q15*Assumptions!$B$49/30</f>
        <v>226384.135707268</v>
      </c>
      <c r="R50" s="26" t="n">
        <f aca="false">R15*Assumptions!$B$49/30</f>
        <v>245509.787637523</v>
      </c>
      <c r="S50" s="26" t="n">
        <f aca="false">S15*Assumptions!$B$49/30</f>
        <v>265524.762519892</v>
      </c>
      <c r="T50" s="26" t="n">
        <f aca="false">T15*Assumptions!$B$49/30</f>
        <v>286491.927533251</v>
      </c>
      <c r="U50" s="26" t="n">
        <f aca="false">U15*Assumptions!$B$49/30</f>
        <v>308477.445271334</v>
      </c>
      <c r="V50" s="26" t="n">
        <f aca="false">V15*Assumptions!$B$49/30</f>
        <v>331550.988756447</v>
      </c>
      <c r="W50" s="26" t="n">
        <f aca="false">W15*Assumptions!$B$49/30</f>
        <v>355785.968406509</v>
      </c>
      <c r="X50" s="26" t="n">
        <f aca="false">X15*Assumptions!$B$49/30</f>
        <v>381259.771706895</v>
      </c>
      <c r="Y50" s="26" t="n">
        <f aca="false">Y15*Assumptions!$B$49/30</f>
        <v>408054.016381616</v>
      </c>
      <c r="Z50" s="26" t="n">
        <f aca="false">Z15*Assumptions!$B$49/30</f>
        <v>436254.81790406</v>
      </c>
      <c r="AA50" s="26" t="n">
        <f aca="false">AA15*Assumptions!$B$49/30</f>
        <v>465953.072235995</v>
      </c>
      <c r="AB50" s="26" t="n">
        <f aca="false">AB15*Assumptions!$B$49/30</f>
        <v>497244.754735053</v>
      </c>
      <c r="AC50" s="26" t="n">
        <f aca="false">AC15*Assumptions!$B$49/30</f>
        <v>530231.236225506</v>
      </c>
      <c r="AD50" s="26" t="n">
        <f aca="false">AD15*Assumptions!$B$49/30</f>
        <v>565019.617285134</v>
      </c>
      <c r="AE50" s="26" t="n">
        <f aca="false">AE15*Assumptions!$B$49/30</f>
        <v>601723.081862462</v>
      </c>
      <c r="AF50" s="26" t="n">
        <f aca="false">AF15*Assumptions!$B$49/30</f>
        <v>640461.2714039</v>
      </c>
      <c r="AG50" s="26" t="n">
        <f aca="false">AG15*Assumptions!$B$49/30</f>
        <v>681360.680739474</v>
      </c>
      <c r="AH50" s="26" t="n">
        <f aca="false">AH15*Assumptions!$B$49/30</f>
        <v>724555.077049271</v>
      </c>
      <c r="AI50" s="26" t="n">
        <f aca="false">AI15*Assumptions!$B$49/30</f>
        <v>770185.94331051</v>
      </c>
      <c r="AJ50" s="26" t="n">
        <f aca="false">AJ15*Assumptions!$B$49/30</f>
        <v>818402.947707689</v>
      </c>
      <c r="AK50" s="26" t="n">
        <f aca="false">AK15*Assumptions!$B$49/30</f>
        <v>869364.440575784</v>
      </c>
    </row>
    <row r="51" customFormat="false" ht="15" hidden="false" customHeight="true" outlineLevel="0" collapsed="false">
      <c r="A51" s="12" t="s">
        <v>111</v>
      </c>
      <c r="B51" s="26" t="n">
        <f aca="false">B20*Assumptions!$B$50/30</f>
        <v>2160</v>
      </c>
      <c r="C51" s="26" t="n">
        <f aca="false">C20*Assumptions!$B$50/30</f>
        <v>4354.2</v>
      </c>
      <c r="D51" s="26" t="n">
        <f aca="false">D20*Assumptions!$B$50/30</f>
        <v>6588.639</v>
      </c>
      <c r="E51" s="26" t="n">
        <f aca="false">E20*Assumptions!$B$50/30</f>
        <v>8869.533255</v>
      </c>
      <c r="F51" s="26" t="n">
        <f aca="false">F20*Assumptions!$B$50/30</f>
        <v>11203.294911975</v>
      </c>
      <c r="G51" s="26" t="n">
        <f aca="false">G20*Assumptions!$B$50/30</f>
        <v>13596.5513715964</v>
      </c>
      <c r="H51" s="26" t="n">
        <f aca="false">H20*Assumptions!$B$50/30</f>
        <v>16056.1654359356</v>
      </c>
      <c r="I51" s="26" t="n">
        <f aca="false">I20*Assumptions!$B$50/30</f>
        <v>18589.2563061383</v>
      </c>
      <c r="J51" s="26" t="n">
        <f aca="false">J20*Assumptions!$B$50/30</f>
        <v>21203.2214970179</v>
      </c>
      <c r="K51" s="26" t="n">
        <f aca="false">K20*Assumptions!$B$50/30</f>
        <v>23905.7597386972</v>
      </c>
      <c r="L51" s="26" t="n">
        <f aca="false">L20*Assumptions!$B$50/30</f>
        <v>26704.8949388347</v>
      </c>
      <c r="M51" s="26" t="n">
        <f aca="false">M20*Assumptions!$B$50/30</f>
        <v>29609.001282626</v>
      </c>
      <c r="N51" s="26" t="n">
        <f aca="false">N20*Assumptions!$B$50/30</f>
        <v>32626.8295516701</v>
      </c>
      <c r="O51" s="26" t="n">
        <f aca="false">O20*Assumptions!$B$50/30</f>
        <v>35767.5347469663</v>
      </c>
      <c r="P51" s="26" t="n">
        <f aca="false">P20*Assumptions!$B$50/30</f>
        <v>39040.7051057571</v>
      </c>
      <c r="Q51" s="26" t="n">
        <f aca="false">Q20*Assumptions!$B$50/30</f>
        <v>42456.3926066825</v>
      </c>
      <c r="R51" s="26" t="n">
        <f aca="false">R20*Assumptions!$B$50/30</f>
        <v>46025.1450627718</v>
      </c>
      <c r="S51" s="26" t="n">
        <f aca="false">S20*Assumptions!$B$50/30</f>
        <v>49758.0399071915</v>
      </c>
      <c r="T51" s="26" t="n">
        <f aca="false">T20*Assumptions!$B$50/30</f>
        <v>53666.7197824037</v>
      </c>
      <c r="U51" s="26" t="n">
        <f aca="false">U20*Assumptions!$B$50/30</f>
        <v>57763.4300494995</v>
      </c>
      <c r="V51" s="26" t="n">
        <f aca="false">V20*Assumptions!$B$50/30</f>
        <v>62061.0583409622</v>
      </c>
      <c r="W51" s="26" t="n">
        <f aca="false">W20*Assumptions!$B$50/30</f>
        <v>66573.1762870217</v>
      </c>
      <c r="X51" s="26" t="n">
        <f aca="false">X20*Assumptions!$B$50/30</f>
        <v>71314.0835530975</v>
      </c>
      <c r="Y51" s="26" t="n">
        <f aca="false">Y20*Assumptions!$B$50/30</f>
        <v>76298.8543336217</v>
      </c>
      <c r="Z51" s="26" t="n">
        <f aca="false">Z20*Assumptions!$B$50/30</f>
        <v>81543.3864558168</v>
      </c>
      <c r="AA51" s="26" t="n">
        <f aca="false">AA20*Assumptions!$B$50/30</f>
        <v>87064.453255788</v>
      </c>
      <c r="AB51" s="26" t="n">
        <f aca="false">AB20*Assumptions!$B$50/30</f>
        <v>92879.7583986312</v>
      </c>
      <c r="AC51" s="26" t="n">
        <f aca="false">AC20*Assumptions!$B$50/30</f>
        <v>99007.993824157</v>
      </c>
      <c r="AD51" s="26" t="n">
        <f aca="false">AD20*Assumptions!$B$50/30</f>
        <v>105468.901010351</v>
      </c>
      <c r="AE51" s="26" t="n">
        <f aca="false">AE20*Assumptions!$B$50/30</f>
        <v>112283.335757838</v>
      </c>
      <c r="AF51" s="26" t="n">
        <f aca="false">AF20*Assumptions!$B$50/30</f>
        <v>119473.336710469</v>
      </c>
      <c r="AG51" s="26" t="n">
        <f aca="false">AG20*Assumptions!$B$50/30</f>
        <v>127062.197839681</v>
      </c>
      <c r="AH51" s="26" t="n">
        <f aca="false">AH20*Assumptions!$B$50/30</f>
        <v>135074.545133618</v>
      </c>
      <c r="AI51" s="26" t="n">
        <f aca="false">AI20*Assumptions!$B$50/30</f>
        <v>143536.417746117</v>
      </c>
      <c r="AJ51" s="26" t="n">
        <f aca="false">AJ20*Assumptions!$B$50/30</f>
        <v>152475.353875636</v>
      </c>
      <c r="AK51" s="26" t="n">
        <f aca="false">AK20*Assumptions!$B$50/30</f>
        <v>161920.481660092</v>
      </c>
    </row>
    <row r="52" customFormat="false" ht="15" hidden="false" customHeight="true" outlineLevel="0" collapsed="false">
      <c r="A52" s="12" t="s">
        <v>112</v>
      </c>
      <c r="B52" s="26" t="n">
        <f aca="false">B15*Assumptions!$B$51/30</f>
        <v>5720</v>
      </c>
      <c r="C52" s="26" t="n">
        <f aca="false">C15*Assumptions!$B$51/30</f>
        <v>11536.4</v>
      </c>
      <c r="D52" s="26" t="n">
        <f aca="false">D15*Assumptions!$B$51/30</f>
        <v>17465.198</v>
      </c>
      <c r="E52" s="26" t="n">
        <f aca="false">E15*Assumptions!$B$51/30</f>
        <v>23522.89211</v>
      </c>
      <c r="F52" s="26" t="n">
        <f aca="false">F15*Assumptions!$B$51/30</f>
        <v>29726.53014395</v>
      </c>
      <c r="G52" s="26" t="n">
        <f aca="false">G15*Assumptions!$B$51/30</f>
        <v>36093.7612590328</v>
      </c>
      <c r="H52" s="26" t="n">
        <f aca="false">H15*Assumptions!$B$51/30</f>
        <v>42642.889804236</v>
      </c>
      <c r="I52" s="26" t="n">
        <f aca="false">I15*Assumptions!$B$51/30</f>
        <v>49392.9315499347</v>
      </c>
      <c r="J52" s="26" t="n">
        <f aca="false">J15*Assumptions!$B$51/30</f>
        <v>56363.6724785309</v>
      </c>
      <c r="K52" s="26" t="n">
        <f aca="false">K15*Assumptions!$B$51/30</f>
        <v>63575.7303251133</v>
      </c>
      <c r="L52" s="26" t="n">
        <f aca="false">L15*Assumptions!$B$51/30</f>
        <v>71050.6190666396</v>
      </c>
      <c r="M52" s="26" t="n">
        <f aca="false">M15*Assumptions!$B$51/30</f>
        <v>78810.816568333</v>
      </c>
      <c r="N52" s="26" t="n">
        <f aca="false">N15*Assumptions!$B$51/30</f>
        <v>86879.8356068677</v>
      </c>
      <c r="O52" s="26" t="n">
        <f aca="false">O15*Assumptions!$B$51/30</f>
        <v>95282.298501523</v>
      </c>
      <c r="P52" s="26" t="n">
        <f aca="false">P15*Assumptions!$B$51/30</f>
        <v>104044.015596857</v>
      </c>
      <c r="Q52" s="26" t="n">
        <f aca="false">Q15*Assumptions!$B$51/30</f>
        <v>113192.067853634</v>
      </c>
      <c r="R52" s="26" t="n">
        <f aca="false">R15*Assumptions!$B$51/30</f>
        <v>122754.893818762</v>
      </c>
      <c r="S52" s="26" t="n">
        <f aca="false">S15*Assumptions!$B$51/30</f>
        <v>132762.381259946</v>
      </c>
      <c r="T52" s="26" t="n">
        <f aca="false">T15*Assumptions!$B$51/30</f>
        <v>143245.963766626</v>
      </c>
      <c r="U52" s="26" t="n">
        <f aca="false">U15*Assumptions!$B$51/30</f>
        <v>154238.722635667</v>
      </c>
      <c r="V52" s="26" t="n">
        <f aca="false">V15*Assumptions!$B$51/30</f>
        <v>165775.494378224</v>
      </c>
      <c r="W52" s="26" t="n">
        <f aca="false">W15*Assumptions!$B$51/30</f>
        <v>177892.984203255</v>
      </c>
      <c r="X52" s="26" t="n">
        <f aca="false">X15*Assumptions!$B$51/30</f>
        <v>190629.885853447</v>
      </c>
      <c r="Y52" s="26" t="n">
        <f aca="false">Y15*Assumptions!$B$51/30</f>
        <v>204027.008190808</v>
      </c>
      <c r="Z52" s="26" t="n">
        <f aca="false">Z15*Assumptions!$B$51/30</f>
        <v>218127.40895203</v>
      </c>
      <c r="AA52" s="26" t="n">
        <f aca="false">AA15*Assumptions!$B$51/30</f>
        <v>232976.536117998</v>
      </c>
      <c r="AB52" s="26" t="n">
        <f aca="false">AB15*Assumptions!$B$51/30</f>
        <v>248622.377367526</v>
      </c>
      <c r="AC52" s="26" t="n">
        <f aca="false">AC15*Assumptions!$B$51/30</f>
        <v>265115.618112753</v>
      </c>
      <c r="AD52" s="26" t="n">
        <f aca="false">AD15*Assumptions!$B$51/30</f>
        <v>282509.808642567</v>
      </c>
      <c r="AE52" s="26" t="n">
        <f aca="false">AE15*Assumptions!$B$51/30</f>
        <v>300861.540931231</v>
      </c>
      <c r="AF52" s="26" t="n">
        <f aca="false">AF15*Assumptions!$B$51/30</f>
        <v>320230.63570195</v>
      </c>
      <c r="AG52" s="26" t="n">
        <f aca="false">AG15*Assumptions!$B$51/30</f>
        <v>340680.340369737</v>
      </c>
      <c r="AH52" s="26" t="n">
        <f aca="false">AH15*Assumptions!$B$51/30</f>
        <v>362277.538524636</v>
      </c>
      <c r="AI52" s="26" t="n">
        <f aca="false">AI15*Assumptions!$B$51/30</f>
        <v>385092.971655255</v>
      </c>
      <c r="AJ52" s="26" t="n">
        <f aca="false">AJ15*Assumptions!$B$51/30</f>
        <v>409201.473853844</v>
      </c>
      <c r="AK52" s="26" t="n">
        <f aca="false">AK15*Assumptions!$B$51/30</f>
        <v>434682.220287892</v>
      </c>
    </row>
    <row r="53" customFormat="false" ht="15" hidden="false" customHeight="true" outlineLevel="0" collapsed="false">
      <c r="A53" s="12" t="s">
        <v>113</v>
      </c>
      <c r="B53" s="29" t="n">
        <f aca="false">-(B50-0)</f>
        <v>-11440</v>
      </c>
      <c r="C53" s="29" t="n">
        <f aca="false">-(C50-B50)</f>
        <v>-11632.8</v>
      </c>
      <c r="D53" s="29" t="n">
        <f aca="false">-(D50-C50)</f>
        <v>-11857.596</v>
      </c>
      <c r="E53" s="29" t="n">
        <f aca="false">-(E50-D50)</f>
        <v>-12115.38822</v>
      </c>
      <c r="F53" s="29" t="n">
        <f aca="false">-(F50-E50)</f>
        <v>-12407.2760679</v>
      </c>
      <c r="G53" s="29" t="n">
        <f aca="false">-(G50-F50)</f>
        <v>-12734.4622301655</v>
      </c>
      <c r="H53" s="29" t="n">
        <f aca="false">-(H50-G50)</f>
        <v>-13098.2570904064</v>
      </c>
      <c r="I53" s="29" t="n">
        <f aca="false">-(I50-H50)</f>
        <v>-13500.0834913974</v>
      </c>
      <c r="J53" s="29" t="n">
        <f aca="false">-(J50-I50)</f>
        <v>-13941.4818571924</v>
      </c>
      <c r="K53" s="29" t="n">
        <f aca="false">-(K50-J50)</f>
        <v>-14424.1156931649</v>
      </c>
      <c r="L53" s="29" t="n">
        <f aca="false">-(L50-K50)</f>
        <v>-14949.7774830526</v>
      </c>
      <c r="M53" s="29" t="n">
        <f aca="false">-(M50-L50)</f>
        <v>-15520.3950033867</v>
      </c>
      <c r="N53" s="29" t="n">
        <f aca="false">-(N50-M50)</f>
        <v>-16138.0380770694</v>
      </c>
      <c r="O53" s="29" t="n">
        <f aca="false">-(O50-N50)</f>
        <v>-16804.9257893105</v>
      </c>
      <c r="P53" s="29" t="n">
        <f aca="false">-(P50-O50)</f>
        <v>-17523.4341906685</v>
      </c>
      <c r="Q53" s="29" t="n">
        <f aca="false">-(Q50-P50)</f>
        <v>-18296.1045135531</v>
      </c>
      <c r="R53" s="29" t="n">
        <f aca="false">-(R50-Q50)</f>
        <v>-19125.6519302558</v>
      </c>
      <c r="S53" s="29" t="n">
        <f aca="false">-(S50-R50)</f>
        <v>-20014.9748823683</v>
      </c>
      <c r="T53" s="29" t="n">
        <f aca="false">-(T50-S50)</f>
        <v>-20967.1650133597</v>
      </c>
      <c r="U53" s="29" t="n">
        <f aca="false">-(U50-T50)</f>
        <v>-21985.5177380829</v>
      </c>
      <c r="V53" s="29" t="n">
        <f aca="false">-(V50-U50)</f>
        <v>-23073.5434851132</v>
      </c>
      <c r="W53" s="29" t="n">
        <f aca="false">-(W50-V50)</f>
        <v>-24234.979650062</v>
      </c>
      <c r="X53" s="29" t="n">
        <f aca="false">-(X50-W50)</f>
        <v>-25473.8033003855</v>
      </c>
      <c r="Y53" s="29" t="n">
        <f aca="false">-(Y50-X50)</f>
        <v>-26794.2446747214</v>
      </c>
      <c r="Z53" s="29" t="n">
        <f aca="false">-(Z50-Y50)</f>
        <v>-28200.8015224438</v>
      </c>
      <c r="AA53" s="29" t="n">
        <f aca="false">-(AA50-Z50)</f>
        <v>-29698.2543319349</v>
      </c>
      <c r="AB53" s="29" t="n">
        <f aca="false">-(AB50-AA50)</f>
        <v>-31291.6824990577</v>
      </c>
      <c r="AC53" s="29" t="n">
        <f aca="false">-(AC50-AB50)</f>
        <v>-32986.481490453</v>
      </c>
      <c r="AD53" s="29" t="n">
        <f aca="false">-(AD50-AC50)</f>
        <v>-34788.3810596278</v>
      </c>
      <c r="AE53" s="29" t="n">
        <f aca="false">-(AE50-AD50)</f>
        <v>-36703.4645773289</v>
      </c>
      <c r="AF53" s="29" t="n">
        <f aca="false">-(AF50-AE50)</f>
        <v>-38738.1895414379</v>
      </c>
      <c r="AG53" s="29" t="n">
        <f aca="false">-(AG50-AF50)</f>
        <v>-40899.4093355738</v>
      </c>
      <c r="AH53" s="29" t="n">
        <f aca="false">-(AH50-AG50)</f>
        <v>-43194.3963097973</v>
      </c>
      <c r="AI53" s="29" t="n">
        <f aca="false">-(AI50-AH50)</f>
        <v>-45630.8662612391</v>
      </c>
      <c r="AJ53" s="29" t="n">
        <f aca="false">-(AJ50-AI50)</f>
        <v>-48217.0043971785</v>
      </c>
      <c r="AK53" s="29" t="n">
        <f aca="false">-(AK50-AJ50)</f>
        <v>-50961.4928680948</v>
      </c>
    </row>
    <row r="54" customFormat="false" ht="15" hidden="false" customHeight="true" outlineLevel="0" collapsed="false">
      <c r="A54" s="12" t="s">
        <v>114</v>
      </c>
      <c r="B54" s="29" t="n">
        <f aca="false">(B51-0)</f>
        <v>2160</v>
      </c>
      <c r="C54" s="29" t="n">
        <f aca="false">(C51-B51)</f>
        <v>2194.2</v>
      </c>
      <c r="D54" s="29" t="n">
        <f aca="false">(D51-C51)</f>
        <v>2234.439</v>
      </c>
      <c r="E54" s="29" t="n">
        <f aca="false">(E51-D51)</f>
        <v>2280.894255</v>
      </c>
      <c r="F54" s="29" t="n">
        <f aca="false">(F51-E51)</f>
        <v>2333.761656975</v>
      </c>
      <c r="G54" s="29" t="n">
        <f aca="false">(G51-F51)</f>
        <v>2393.25645962138</v>
      </c>
      <c r="H54" s="29" t="n">
        <f aca="false">(H51-G51)</f>
        <v>2459.6140643392</v>
      </c>
      <c r="I54" s="29" t="n">
        <f aca="false">(I51-H51)</f>
        <v>2533.09087020271</v>
      </c>
      <c r="J54" s="29" t="n">
        <f aca="false">(J51-I51)</f>
        <v>2613.96519087966</v>
      </c>
      <c r="K54" s="29" t="n">
        <f aca="false">(K51-J51)</f>
        <v>2702.53824167925</v>
      </c>
      <c r="L54" s="29" t="n">
        <f aca="false">(L51-K51)</f>
        <v>2799.13520013753</v>
      </c>
      <c r="M54" s="29" t="n">
        <f aca="false">(M51-L51)</f>
        <v>2904.10634379129</v>
      </c>
      <c r="N54" s="29" t="n">
        <f aca="false">(N51-M51)</f>
        <v>3017.82826904409</v>
      </c>
      <c r="O54" s="29" t="n">
        <f aca="false">(O51-N51)</f>
        <v>3140.7051952962</v>
      </c>
      <c r="P54" s="29" t="n">
        <f aca="false">(P51-O51)</f>
        <v>3273.17035879081</v>
      </c>
      <c r="Q54" s="29" t="n">
        <f aca="false">(Q51-P51)</f>
        <v>3415.68750092536</v>
      </c>
      <c r="R54" s="29" t="n">
        <f aca="false">(R51-Q51)</f>
        <v>3568.75245608936</v>
      </c>
      <c r="S54" s="29" t="n">
        <f aca="false">(S51-R51)</f>
        <v>3732.89484441967</v>
      </c>
      <c r="T54" s="29" t="n">
        <f aca="false">(T51-S51)</f>
        <v>3908.6798752122</v>
      </c>
      <c r="U54" s="29" t="n">
        <f aca="false">(U51-T51)</f>
        <v>4096.71026709576</v>
      </c>
      <c r="V54" s="29" t="n">
        <f aca="false">(V51-U51)</f>
        <v>4297.62829146267</v>
      </c>
      <c r="W54" s="29" t="n">
        <f aca="false">(W51-V51)</f>
        <v>4512.11794605956</v>
      </c>
      <c r="X54" s="29" t="n">
        <f aca="false">(X51-W51)</f>
        <v>4740.90726607575</v>
      </c>
      <c r="Y54" s="29" t="n">
        <f aca="false">(Y51-X51)</f>
        <v>4984.77078052427</v>
      </c>
      <c r="Z54" s="29" t="n">
        <f aca="false">(Z51-Y51)</f>
        <v>5244.53212219503</v>
      </c>
      <c r="AA54" s="29" t="n">
        <f aca="false">(AA51-Z51)</f>
        <v>5521.06679997122</v>
      </c>
      <c r="AB54" s="29" t="n">
        <f aca="false">(AB51-AA51)</f>
        <v>5815.30514284319</v>
      </c>
      <c r="AC54" s="29" t="n">
        <f aca="false">(AC51-AB51)</f>
        <v>6128.23542552587</v>
      </c>
      <c r="AD54" s="29" t="n">
        <f aca="false">(AD51-AC51)</f>
        <v>6460.90718619348</v>
      </c>
      <c r="AE54" s="29" t="n">
        <f aca="false">(AE51-AD51)</f>
        <v>6814.43474748722</v>
      </c>
      <c r="AF54" s="29" t="n">
        <f aca="false">(AF51-AE51)</f>
        <v>7190.00095263132</v>
      </c>
      <c r="AG54" s="29" t="n">
        <f aca="false">(AG51-AF51)</f>
        <v>7588.86112921203</v>
      </c>
      <c r="AH54" s="29" t="n">
        <f aca="false">(AH51-AG51)</f>
        <v>8012.34729393708</v>
      </c>
      <c r="AI54" s="29" t="n">
        <f aca="false">(AI51-AH51)</f>
        <v>8461.87261249882</v>
      </c>
      <c r="AJ54" s="29" t="n">
        <f aca="false">(AJ51-AI51)</f>
        <v>8938.93612951861</v>
      </c>
      <c r="AK54" s="29" t="n">
        <f aca="false">(AK51-AJ51)</f>
        <v>9445.12778445653</v>
      </c>
    </row>
    <row r="55" customFormat="false" ht="15" hidden="false" customHeight="true" outlineLevel="0" collapsed="false">
      <c r="A55" s="12" t="s">
        <v>115</v>
      </c>
      <c r="B55" s="29" t="n">
        <f aca="false">(B52-0)</f>
        <v>5720</v>
      </c>
      <c r="C55" s="29" t="n">
        <f aca="false">(C52-B52)</f>
        <v>5816.4</v>
      </c>
      <c r="D55" s="29" t="n">
        <f aca="false">(D52-C52)</f>
        <v>5928.798</v>
      </c>
      <c r="E55" s="29" t="n">
        <f aca="false">(E52-D52)</f>
        <v>6057.69411</v>
      </c>
      <c r="F55" s="29" t="n">
        <f aca="false">(F52-E52)</f>
        <v>6203.63803395</v>
      </c>
      <c r="G55" s="29" t="n">
        <f aca="false">(G52-F52)</f>
        <v>6367.23111508275</v>
      </c>
      <c r="H55" s="29" t="n">
        <f aca="false">(H52-G52)</f>
        <v>6549.1285452032</v>
      </c>
      <c r="I55" s="29" t="n">
        <f aca="false">(I52-H52)</f>
        <v>6750.04174569872</v>
      </c>
      <c r="J55" s="29" t="n">
        <f aca="false">(J52-I52)</f>
        <v>6970.74092859618</v>
      </c>
      <c r="K55" s="29" t="n">
        <f aca="false">(K52-J52)</f>
        <v>7212.05784658247</v>
      </c>
      <c r="L55" s="29" t="n">
        <f aca="false">(L52-K52)</f>
        <v>7474.8887415263</v>
      </c>
      <c r="M55" s="29" t="n">
        <f aca="false">(M52-L52)</f>
        <v>7760.19750169337</v>
      </c>
      <c r="N55" s="29" t="n">
        <f aca="false">(N52-M52)</f>
        <v>8069.01903853472</v>
      </c>
      <c r="O55" s="29" t="n">
        <f aca="false">(O52-N52)</f>
        <v>8402.46289465526</v>
      </c>
      <c r="P55" s="29" t="n">
        <f aca="false">(P52-O52)</f>
        <v>8761.71709533423</v>
      </c>
      <c r="Q55" s="29" t="n">
        <f aca="false">(Q52-P52)</f>
        <v>9148.05225677656</v>
      </c>
      <c r="R55" s="29" t="n">
        <f aca="false">(R52-Q52)</f>
        <v>9562.82596512791</v>
      </c>
      <c r="S55" s="29" t="n">
        <f aca="false">(S52-R52)</f>
        <v>10007.4874411842</v>
      </c>
      <c r="T55" s="29" t="n">
        <f aca="false">(T52-S52)</f>
        <v>10483.5825066798</v>
      </c>
      <c r="U55" s="29" t="n">
        <f aca="false">(U52-T52)</f>
        <v>10992.7588690414</v>
      </c>
      <c r="V55" s="29" t="n">
        <f aca="false">(V52-U52)</f>
        <v>11536.7717425566</v>
      </c>
      <c r="W55" s="29" t="n">
        <f aca="false">(W52-V52)</f>
        <v>12117.489825031</v>
      </c>
      <c r="X55" s="29" t="n">
        <f aca="false">(X52-W52)</f>
        <v>12736.9016501927</v>
      </c>
      <c r="Y55" s="29" t="n">
        <f aca="false">(Y52-X52)</f>
        <v>13397.1223373607</v>
      </c>
      <c r="Z55" s="29" t="n">
        <f aca="false">(Z52-Y52)</f>
        <v>14100.4007612219</v>
      </c>
      <c r="AA55" s="29" t="n">
        <f aca="false">(AA52-Z52)</f>
        <v>14849.1271659675</v>
      </c>
      <c r="AB55" s="29" t="n">
        <f aca="false">(AB52-AA52)</f>
        <v>15645.8412495289</v>
      </c>
      <c r="AC55" s="29" t="n">
        <f aca="false">(AC52-AB52)</f>
        <v>16493.2407452265</v>
      </c>
      <c r="AD55" s="29" t="n">
        <f aca="false">(AD52-AC52)</f>
        <v>17394.1905298139</v>
      </c>
      <c r="AE55" s="29" t="n">
        <f aca="false">(AE52-AD52)</f>
        <v>18351.7322886644</v>
      </c>
      <c r="AF55" s="29" t="n">
        <f aca="false">(AF52-AE52)</f>
        <v>19369.0947707189</v>
      </c>
      <c r="AG55" s="29" t="n">
        <f aca="false">(AG52-AF52)</f>
        <v>20449.7046677869</v>
      </c>
      <c r="AH55" s="29" t="n">
        <f aca="false">(AH52-AG52)</f>
        <v>21597.1981548987</v>
      </c>
      <c r="AI55" s="29" t="n">
        <f aca="false">(AI52-AH52)</f>
        <v>22815.4331306195</v>
      </c>
      <c r="AJ55" s="29" t="n">
        <f aca="false">(AJ52-AI52)</f>
        <v>24108.5021985893</v>
      </c>
      <c r="AK55" s="29" t="n">
        <f aca="false">(AK52-AJ52)</f>
        <v>25480.7464340474</v>
      </c>
    </row>
    <row r="56" customFormat="false" ht="15" hidden="false" customHeight="true" outlineLevel="0" collapsed="false">
      <c r="A56" s="7" t="s">
        <v>116</v>
      </c>
      <c r="B56" s="27" t="n">
        <f aca="false">SUM(B53:B55)</f>
        <v>-3560</v>
      </c>
      <c r="C56" s="27" t="n">
        <f aca="false">SUM(C53:C55)</f>
        <v>-3622.2</v>
      </c>
      <c r="D56" s="27" t="n">
        <f aca="false">SUM(D53:D55)</f>
        <v>-3694.359</v>
      </c>
      <c r="E56" s="27" t="n">
        <f aca="false">SUM(E53:E55)</f>
        <v>-3776.799855</v>
      </c>
      <c r="F56" s="27" t="n">
        <f aca="false">SUM(F53:F55)</f>
        <v>-3869.876376975</v>
      </c>
      <c r="G56" s="27" t="n">
        <f aca="false">SUM(G53:G55)</f>
        <v>-3973.97465546138</v>
      </c>
      <c r="H56" s="27" t="n">
        <f aca="false">SUM(H53:H55)</f>
        <v>-4089.51448086401</v>
      </c>
      <c r="I56" s="27" t="n">
        <f aca="false">SUM(I53:I55)</f>
        <v>-4216.95087549601</v>
      </c>
      <c r="J56" s="27" t="n">
        <f aca="false">SUM(J53:J55)</f>
        <v>-4356.77573771652</v>
      </c>
      <c r="K56" s="27" t="n">
        <f aca="false">SUM(K53:K55)</f>
        <v>-4509.51960490322</v>
      </c>
      <c r="L56" s="27" t="n">
        <f aca="false">SUM(L53:L55)</f>
        <v>-4675.75354138877</v>
      </c>
      <c r="M56" s="27" t="n">
        <f aca="false">SUM(M53:M55)</f>
        <v>-4856.09115790208</v>
      </c>
      <c r="N56" s="27" t="n">
        <f aca="false">SUM(N53:N55)</f>
        <v>-5051.19076949063</v>
      </c>
      <c r="O56" s="27" t="n">
        <f aca="false">SUM(O53:O55)</f>
        <v>-5261.75769935906</v>
      </c>
      <c r="P56" s="27" t="n">
        <f aca="false">SUM(P53:P55)</f>
        <v>-5488.54673654342</v>
      </c>
      <c r="Q56" s="27" t="n">
        <f aca="false">SUM(Q53:Q55)</f>
        <v>-5732.3647558512</v>
      </c>
      <c r="R56" s="27" t="n">
        <f aca="false">SUM(R53:R55)</f>
        <v>-5994.07350903855</v>
      </c>
      <c r="S56" s="27" t="n">
        <f aca="false">SUM(S53:S55)</f>
        <v>-6274.59259676449</v>
      </c>
      <c r="T56" s="27" t="n">
        <f aca="false">SUM(T53:T55)</f>
        <v>-6574.90263146765</v>
      </c>
      <c r="U56" s="27" t="n">
        <f aca="false">SUM(U53:U55)</f>
        <v>-6896.04860194567</v>
      </c>
      <c r="V56" s="27" t="n">
        <f aca="false">SUM(V53:V55)</f>
        <v>-7239.14345109392</v>
      </c>
      <c r="W56" s="27" t="n">
        <f aca="false">SUM(W53:W55)</f>
        <v>-7605.37187897146</v>
      </c>
      <c r="X56" s="27" t="n">
        <f aca="false">SUM(X53:X55)</f>
        <v>-7995.99438411699</v>
      </c>
      <c r="Y56" s="27" t="n">
        <f aca="false">SUM(Y53:Y55)</f>
        <v>-8412.35155683645</v>
      </c>
      <c r="Z56" s="27" t="n">
        <f aca="false">SUM(Z53:Z55)</f>
        <v>-8855.86863902686</v>
      </c>
      <c r="AA56" s="27" t="n">
        <f aca="false">SUM(AA53:AA55)</f>
        <v>-9328.06036599624</v>
      </c>
      <c r="AB56" s="27" t="n">
        <f aca="false">SUM(AB53:AB55)</f>
        <v>-9830.53610668567</v>
      </c>
      <c r="AC56" s="27" t="n">
        <f aca="false">SUM(AC53:AC55)</f>
        <v>-10365.0053197006</v>
      </c>
      <c r="AD56" s="27" t="n">
        <f aca="false">SUM(AD53:AD55)</f>
        <v>-10933.2833436204</v>
      </c>
      <c r="AE56" s="27" t="n">
        <f aca="false">SUM(AE53:AE55)</f>
        <v>-11537.2975411772</v>
      </c>
      <c r="AF56" s="27" t="n">
        <f aca="false">SUM(AF53:AF55)</f>
        <v>-12179.0938180876</v>
      </c>
      <c r="AG56" s="27" t="n">
        <f aca="false">SUM(AG53:AG55)</f>
        <v>-12860.8435385749</v>
      </c>
      <c r="AH56" s="27" t="n">
        <f aca="false">SUM(AH53:AH55)</f>
        <v>-13584.8508609616</v>
      </c>
      <c r="AI56" s="27" t="n">
        <f aca="false">SUM(AI53:AI55)</f>
        <v>-14353.5605181207</v>
      </c>
      <c r="AJ56" s="27" t="n">
        <f aca="false">SUM(AJ53:AJ55)</f>
        <v>-15169.5660690707</v>
      </c>
      <c r="AK56" s="27" t="n">
        <f aca="false">SUM(AK53:AK55)</f>
        <v>-16035.6186495909</v>
      </c>
    </row>
    <row r="58" customFormat="false" ht="18" hidden="false" customHeight="true" outlineLevel="0" collapsed="false">
      <c r="A58" s="4" t="s">
        <v>117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customFormat="false" ht="15" hidden="false" customHeight="true" outlineLevel="0" collapsed="false">
      <c r="A59" s="12" t="s">
        <v>109</v>
      </c>
      <c r="B59" s="29" t="n">
        <f aca="false">B47</f>
        <v>-29142.5</v>
      </c>
      <c r="C59" s="29" t="n">
        <f aca="false">C47</f>
        <v>-34174.6</v>
      </c>
      <c r="D59" s="29" t="n">
        <f aca="false">D47</f>
        <v>-27578.342</v>
      </c>
      <c r="E59" s="29" t="n">
        <f aca="false">E47</f>
        <v>-30335.19509</v>
      </c>
      <c r="F59" s="29" t="n">
        <f aca="false">F47</f>
        <v>-23425.99969605</v>
      </c>
      <c r="G59" s="29" t="n">
        <f aca="false">G47</f>
        <v>-23330.9094830472</v>
      </c>
      <c r="H59" s="29" t="n">
        <f aca="false">H47</f>
        <v>-16029.3307295816</v>
      </c>
      <c r="I59" s="29" t="n">
        <f aca="false">I47</f>
        <v>-8499.85898123626</v>
      </c>
      <c r="J59" s="29" t="n">
        <f aca="false">J47</f>
        <v>-12220.2127792216</v>
      </c>
      <c r="K59" s="29" t="n">
        <f aca="false">K47</f>
        <v>-4167.16425102721</v>
      </c>
      <c r="L59" s="29" t="n">
        <f aca="false">L47</f>
        <v>-4316.46633887528</v>
      </c>
      <c r="M59" s="29" t="n">
        <f aca="false">M47</f>
        <v>3442.20662020004</v>
      </c>
      <c r="N59" s="29" t="n">
        <f aca="false">N47</f>
        <v>10570.5348483189</v>
      </c>
      <c r="O59" s="29" t="n">
        <f aca="false">O47</f>
        <v>16861.2962742013</v>
      </c>
      <c r="P59" s="29" t="n">
        <f aca="false">P47</f>
        <v>15573.1264487277</v>
      </c>
      <c r="Q59" s="29" t="n">
        <f aca="false">Q47</f>
        <v>23715.1752472768</v>
      </c>
      <c r="R59" s="29" t="n">
        <f aca="false">R47</f>
        <v>32227.8095756428</v>
      </c>
      <c r="S59" s="29" t="n">
        <f aca="false">S47</f>
        <v>34817.6952663545</v>
      </c>
      <c r="T59" s="29" t="n">
        <f aca="false">T47</f>
        <v>44152.8834353525</v>
      </c>
      <c r="U59" s="29" t="n">
        <f aca="false">U47</f>
        <v>53942.9015841609</v>
      </c>
      <c r="V59" s="29" t="n">
        <f aca="false">V47</f>
        <v>57503.849748835</v>
      </c>
      <c r="W59" s="29" t="n">
        <f aca="false">W47</f>
        <v>68298.5020141097</v>
      </c>
      <c r="X59" s="29" t="n">
        <f aca="false">X47</f>
        <v>79646.4137293882</v>
      </c>
      <c r="Y59" s="29" t="n">
        <f aca="false">Y47</f>
        <v>91584.0347825465</v>
      </c>
      <c r="Z59" s="29" t="n">
        <f aca="false">Z47</f>
        <v>104149.82930806</v>
      </c>
      <c r="AA59" s="29" t="n">
        <f aca="false">AA47</f>
        <v>117384.402227755</v>
      </c>
      <c r="AB59" s="29" t="n">
        <f aca="false">AB47</f>
        <v>131330.6330456</v>
      </c>
      <c r="AC59" s="29" t="n">
        <f aca="false">AC47</f>
        <v>146033.817342528</v>
      </c>
      <c r="AD59" s="29" t="n">
        <f aca="false">AD47</f>
        <v>161541.816443265</v>
      </c>
      <c r="AE59" s="29" t="n">
        <f aca="false">AE47</f>
        <v>177905.215754817</v>
      </c>
      <c r="AF59" s="29" t="n">
        <f aca="false">AF47</f>
        <v>195177.49230554</v>
      </c>
      <c r="AG59" s="29" t="n">
        <f aca="false">AG47</f>
        <v>213415.19204479</v>
      </c>
      <c r="AH59" s="29" t="n">
        <f aca="false">AH47</f>
        <v>232678.117496135</v>
      </c>
      <c r="AI59" s="29" t="n">
        <f aca="false">AI47</f>
        <v>253029.526392045</v>
      </c>
      <c r="AJ59" s="29" t="n">
        <f aca="false">AJ47</f>
        <v>274536.341955054</v>
      </c>
      <c r="AK59" s="29" t="n">
        <f aca="false">AK47</f>
        <v>297269.375529679</v>
      </c>
    </row>
    <row r="60" customFormat="false" ht="15" hidden="false" customHeight="true" outlineLevel="0" collapsed="false">
      <c r="A60" s="12" t="s">
        <v>118</v>
      </c>
      <c r="B60" s="29" t="n">
        <f aca="false">B37</f>
        <v>62.5</v>
      </c>
      <c r="C60" s="29" t="n">
        <f aca="false">C37</f>
        <v>125</v>
      </c>
      <c r="D60" s="29" t="n">
        <f aca="false">D37</f>
        <v>187.5</v>
      </c>
      <c r="E60" s="29" t="n">
        <f aca="false">E37</f>
        <v>250</v>
      </c>
      <c r="F60" s="29" t="n">
        <f aca="false">F37</f>
        <v>312.5</v>
      </c>
      <c r="G60" s="29" t="n">
        <f aca="false">G37</f>
        <v>375</v>
      </c>
      <c r="H60" s="29" t="n">
        <f aca="false">H37</f>
        <v>437.5</v>
      </c>
      <c r="I60" s="29" t="n">
        <f aca="false">I37</f>
        <v>500</v>
      </c>
      <c r="J60" s="29" t="n">
        <f aca="false">J37</f>
        <v>562.5</v>
      </c>
      <c r="K60" s="29" t="n">
        <f aca="false">K37</f>
        <v>625</v>
      </c>
      <c r="L60" s="29" t="n">
        <f aca="false">L37</f>
        <v>687.5</v>
      </c>
      <c r="M60" s="29" t="n">
        <f aca="false">M37</f>
        <v>750</v>
      </c>
      <c r="N60" s="29" t="n">
        <f aca="false">N37</f>
        <v>812.5</v>
      </c>
      <c r="O60" s="29" t="n">
        <f aca="false">O37</f>
        <v>875</v>
      </c>
      <c r="P60" s="29" t="n">
        <f aca="false">P37</f>
        <v>937.5</v>
      </c>
      <c r="Q60" s="29" t="n">
        <f aca="false">Q37</f>
        <v>1000</v>
      </c>
      <c r="R60" s="29" t="n">
        <f aca="false">R37</f>
        <v>1062.5</v>
      </c>
      <c r="S60" s="29" t="n">
        <f aca="false">S37</f>
        <v>1125</v>
      </c>
      <c r="T60" s="29" t="n">
        <f aca="false">T37</f>
        <v>1187.5</v>
      </c>
      <c r="U60" s="29" t="n">
        <f aca="false">U37</f>
        <v>1250</v>
      </c>
      <c r="V60" s="29" t="n">
        <f aca="false">V37</f>
        <v>1312.5</v>
      </c>
      <c r="W60" s="29" t="n">
        <f aca="false">W37</f>
        <v>1375</v>
      </c>
      <c r="X60" s="29" t="n">
        <f aca="false">X37</f>
        <v>1437.5</v>
      </c>
      <c r="Y60" s="29" t="n">
        <f aca="false">Y37</f>
        <v>1500</v>
      </c>
      <c r="Z60" s="29" t="n">
        <f aca="false">Z37</f>
        <v>1562.5</v>
      </c>
      <c r="AA60" s="29" t="n">
        <f aca="false">AA37</f>
        <v>1625</v>
      </c>
      <c r="AB60" s="29" t="n">
        <f aca="false">AB37</f>
        <v>1687.5</v>
      </c>
      <c r="AC60" s="29" t="n">
        <f aca="false">AC37</f>
        <v>1750</v>
      </c>
      <c r="AD60" s="29" t="n">
        <f aca="false">AD37</f>
        <v>1812.5</v>
      </c>
      <c r="AE60" s="29" t="n">
        <f aca="false">AE37</f>
        <v>1875</v>
      </c>
      <c r="AF60" s="29" t="n">
        <f aca="false">AF37</f>
        <v>1937.5</v>
      </c>
      <c r="AG60" s="29" t="n">
        <f aca="false">AG37</f>
        <v>2000</v>
      </c>
      <c r="AH60" s="29" t="n">
        <f aca="false">AH37</f>
        <v>2062.5</v>
      </c>
      <c r="AI60" s="29" t="n">
        <f aca="false">AI37</f>
        <v>2125</v>
      </c>
      <c r="AJ60" s="29" t="n">
        <f aca="false">AJ37</f>
        <v>2187.5</v>
      </c>
      <c r="AK60" s="29" t="n">
        <f aca="false">AK37</f>
        <v>2250</v>
      </c>
    </row>
    <row r="61" customFormat="false" ht="15" hidden="false" customHeight="true" outlineLevel="0" collapsed="false">
      <c r="A61" s="12" t="s">
        <v>119</v>
      </c>
      <c r="B61" s="29" t="n">
        <f aca="false">-B35</f>
        <v>-3000</v>
      </c>
      <c r="C61" s="29" t="n">
        <f aca="false">-C35</f>
        <v>-3000</v>
      </c>
      <c r="D61" s="29" t="n">
        <f aca="false">-D35</f>
        <v>-3000</v>
      </c>
      <c r="E61" s="29" t="n">
        <f aca="false">-E35</f>
        <v>-3000</v>
      </c>
      <c r="F61" s="29" t="n">
        <f aca="false">-F35</f>
        <v>-3000</v>
      </c>
      <c r="G61" s="29" t="n">
        <f aca="false">-G35</f>
        <v>-3000</v>
      </c>
      <c r="H61" s="29" t="n">
        <f aca="false">-H35</f>
        <v>-3000</v>
      </c>
      <c r="I61" s="29" t="n">
        <f aca="false">-I35</f>
        <v>-3000</v>
      </c>
      <c r="J61" s="29" t="n">
        <f aca="false">-J35</f>
        <v>-3000</v>
      </c>
      <c r="K61" s="29" t="n">
        <f aca="false">-K35</f>
        <v>-3000</v>
      </c>
      <c r="L61" s="29" t="n">
        <f aca="false">-L35</f>
        <v>-3000</v>
      </c>
      <c r="M61" s="29" t="n">
        <f aca="false">-M35</f>
        <v>-3000</v>
      </c>
      <c r="N61" s="29" t="n">
        <f aca="false">-N35</f>
        <v>-3000</v>
      </c>
      <c r="O61" s="29" t="n">
        <f aca="false">-O35</f>
        <v>-3000</v>
      </c>
      <c r="P61" s="29" t="n">
        <f aca="false">-P35</f>
        <v>-3000</v>
      </c>
      <c r="Q61" s="29" t="n">
        <f aca="false">-Q35</f>
        <v>-3000</v>
      </c>
      <c r="R61" s="29" t="n">
        <f aca="false">-R35</f>
        <v>-3000</v>
      </c>
      <c r="S61" s="29" t="n">
        <f aca="false">-S35</f>
        <v>-3000</v>
      </c>
      <c r="T61" s="29" t="n">
        <f aca="false">-T35</f>
        <v>-3000</v>
      </c>
      <c r="U61" s="29" t="n">
        <f aca="false">-U35</f>
        <v>-3000</v>
      </c>
      <c r="V61" s="29" t="n">
        <f aca="false">-V35</f>
        <v>-3000</v>
      </c>
      <c r="W61" s="29" t="n">
        <f aca="false">-W35</f>
        <v>-3000</v>
      </c>
      <c r="X61" s="29" t="n">
        <f aca="false">-X35</f>
        <v>-3000</v>
      </c>
      <c r="Y61" s="29" t="n">
        <f aca="false">-Y35</f>
        <v>-3000</v>
      </c>
      <c r="Z61" s="29" t="n">
        <f aca="false">-Z35</f>
        <v>-3000</v>
      </c>
      <c r="AA61" s="29" t="n">
        <f aca="false">-AA35</f>
        <v>-3000</v>
      </c>
      <c r="AB61" s="29" t="n">
        <f aca="false">-AB35</f>
        <v>-3000</v>
      </c>
      <c r="AC61" s="29" t="n">
        <f aca="false">-AC35</f>
        <v>-3000</v>
      </c>
      <c r="AD61" s="29" t="n">
        <f aca="false">-AD35</f>
        <v>-3000</v>
      </c>
      <c r="AE61" s="29" t="n">
        <f aca="false">-AE35</f>
        <v>-3000</v>
      </c>
      <c r="AF61" s="29" t="n">
        <f aca="false">-AF35</f>
        <v>-3000</v>
      </c>
      <c r="AG61" s="29" t="n">
        <f aca="false">-AG35</f>
        <v>-3000</v>
      </c>
      <c r="AH61" s="29" t="n">
        <f aca="false">-AH35</f>
        <v>-3000</v>
      </c>
      <c r="AI61" s="29" t="n">
        <f aca="false">-AI35</f>
        <v>-3000</v>
      </c>
      <c r="AJ61" s="29" t="n">
        <f aca="false">-AJ35</f>
        <v>-3000</v>
      </c>
      <c r="AK61" s="29" t="n">
        <f aca="false">-AK35</f>
        <v>-3000</v>
      </c>
    </row>
    <row r="62" customFormat="false" ht="15" hidden="false" customHeight="true" outlineLevel="0" collapsed="false">
      <c r="A62" s="12" t="s">
        <v>120</v>
      </c>
      <c r="B62" s="29" t="n">
        <f aca="false">B56</f>
        <v>-3560</v>
      </c>
      <c r="C62" s="29" t="n">
        <f aca="false">C56</f>
        <v>-3622.2</v>
      </c>
      <c r="D62" s="29" t="n">
        <f aca="false">D56</f>
        <v>-3694.359</v>
      </c>
      <c r="E62" s="29" t="n">
        <f aca="false">E56</f>
        <v>-3776.799855</v>
      </c>
      <c r="F62" s="29" t="n">
        <f aca="false">F56</f>
        <v>-3869.876376975</v>
      </c>
      <c r="G62" s="29" t="n">
        <f aca="false">G56</f>
        <v>-3973.97465546138</v>
      </c>
      <c r="H62" s="29" t="n">
        <f aca="false">H56</f>
        <v>-4089.51448086401</v>
      </c>
      <c r="I62" s="29" t="n">
        <f aca="false">I56</f>
        <v>-4216.95087549601</v>
      </c>
      <c r="J62" s="29" t="n">
        <f aca="false">J56</f>
        <v>-4356.77573771652</v>
      </c>
      <c r="K62" s="29" t="n">
        <f aca="false">K56</f>
        <v>-4509.51960490322</v>
      </c>
      <c r="L62" s="29" t="n">
        <f aca="false">L56</f>
        <v>-4675.75354138877</v>
      </c>
      <c r="M62" s="29" t="n">
        <f aca="false">M56</f>
        <v>-4856.09115790208</v>
      </c>
      <c r="N62" s="29" t="n">
        <f aca="false">N56</f>
        <v>-5051.19076949063</v>
      </c>
      <c r="O62" s="29" t="n">
        <f aca="false">O56</f>
        <v>-5261.75769935906</v>
      </c>
      <c r="P62" s="29" t="n">
        <f aca="false">P56</f>
        <v>-5488.54673654342</v>
      </c>
      <c r="Q62" s="29" t="n">
        <f aca="false">Q56</f>
        <v>-5732.3647558512</v>
      </c>
      <c r="R62" s="29" t="n">
        <f aca="false">R56</f>
        <v>-5994.07350903855</v>
      </c>
      <c r="S62" s="29" t="n">
        <f aca="false">S56</f>
        <v>-6274.59259676449</v>
      </c>
      <c r="T62" s="29" t="n">
        <f aca="false">T56</f>
        <v>-6574.90263146765</v>
      </c>
      <c r="U62" s="29" t="n">
        <f aca="false">U56</f>
        <v>-6896.04860194567</v>
      </c>
      <c r="V62" s="29" t="n">
        <f aca="false">V56</f>
        <v>-7239.14345109392</v>
      </c>
      <c r="W62" s="29" t="n">
        <f aca="false">W56</f>
        <v>-7605.37187897146</v>
      </c>
      <c r="X62" s="29" t="n">
        <f aca="false">X56</f>
        <v>-7995.99438411699</v>
      </c>
      <c r="Y62" s="29" t="n">
        <f aca="false">Y56</f>
        <v>-8412.35155683645</v>
      </c>
      <c r="Z62" s="29" t="n">
        <f aca="false">Z56</f>
        <v>-8855.86863902686</v>
      </c>
      <c r="AA62" s="29" t="n">
        <f aca="false">AA56</f>
        <v>-9328.06036599624</v>
      </c>
      <c r="AB62" s="29" t="n">
        <f aca="false">AB56</f>
        <v>-9830.53610668567</v>
      </c>
      <c r="AC62" s="29" t="n">
        <f aca="false">AC56</f>
        <v>-10365.0053197006</v>
      </c>
      <c r="AD62" s="29" t="n">
        <f aca="false">AD56</f>
        <v>-10933.2833436204</v>
      </c>
      <c r="AE62" s="29" t="n">
        <f aca="false">AE56</f>
        <v>-11537.2975411772</v>
      </c>
      <c r="AF62" s="29" t="n">
        <f aca="false">AF56</f>
        <v>-12179.0938180876</v>
      </c>
      <c r="AG62" s="29" t="n">
        <f aca="false">AG56</f>
        <v>-12860.8435385749</v>
      </c>
      <c r="AH62" s="29" t="n">
        <f aca="false">AH56</f>
        <v>-13584.8508609616</v>
      </c>
      <c r="AI62" s="29" t="n">
        <f aca="false">AI56</f>
        <v>-14353.5605181207</v>
      </c>
      <c r="AJ62" s="29" t="n">
        <f aca="false">AJ56</f>
        <v>-15169.5660690707</v>
      </c>
      <c r="AK62" s="29" t="n">
        <f aca="false">AK56</f>
        <v>-16035.6186495909</v>
      </c>
    </row>
    <row r="63" customFormat="false" ht="15" hidden="false" customHeight="true" outlineLevel="0" collapsed="false">
      <c r="A63" s="12" t="s">
        <v>121</v>
      </c>
      <c r="B63" s="26" t="n">
        <f aca="false">IF(B$3=Assumptions!$B$55,Assumptions!$B$54,0)</f>
        <v>2400000</v>
      </c>
      <c r="C63" s="26" t="n">
        <f aca="false">IF(C$3=Assumptions!$B$55,Assumptions!$B$54,0)</f>
        <v>0</v>
      </c>
      <c r="D63" s="26" t="n">
        <f aca="false">IF(D$3=Assumptions!$B$55,Assumptions!$B$54,0)</f>
        <v>0</v>
      </c>
      <c r="E63" s="26" t="n">
        <f aca="false">IF(E$3=Assumptions!$B$55,Assumptions!$B$54,0)</f>
        <v>0</v>
      </c>
      <c r="F63" s="26" t="n">
        <f aca="false">IF(F$3=Assumptions!$B$55,Assumptions!$B$54,0)</f>
        <v>0</v>
      </c>
      <c r="G63" s="26" t="n">
        <f aca="false">IF(G$3=Assumptions!$B$55,Assumptions!$B$54,0)</f>
        <v>0</v>
      </c>
      <c r="H63" s="26" t="n">
        <f aca="false">IF(H$3=Assumptions!$B$55,Assumptions!$B$54,0)</f>
        <v>0</v>
      </c>
      <c r="I63" s="26" t="n">
        <f aca="false">IF(I$3=Assumptions!$B$55,Assumptions!$B$54,0)</f>
        <v>0</v>
      </c>
      <c r="J63" s="26" t="n">
        <f aca="false">IF(J$3=Assumptions!$B$55,Assumptions!$B$54,0)</f>
        <v>0</v>
      </c>
      <c r="K63" s="26" t="n">
        <f aca="false">IF(K$3=Assumptions!$B$55,Assumptions!$B$54,0)</f>
        <v>0</v>
      </c>
      <c r="L63" s="26" t="n">
        <f aca="false">IF(L$3=Assumptions!$B$55,Assumptions!$B$54,0)</f>
        <v>0</v>
      </c>
      <c r="M63" s="26" t="n">
        <f aca="false">IF(M$3=Assumptions!$B$55,Assumptions!$B$54,0)</f>
        <v>0</v>
      </c>
      <c r="N63" s="26" t="n">
        <f aca="false">IF(N$3=Assumptions!$B$55,Assumptions!$B$54,0)</f>
        <v>0</v>
      </c>
      <c r="O63" s="26" t="n">
        <f aca="false">IF(O$3=Assumptions!$B$55,Assumptions!$B$54,0)</f>
        <v>0</v>
      </c>
      <c r="P63" s="26" t="n">
        <f aca="false">IF(P$3=Assumptions!$B$55,Assumptions!$B$54,0)</f>
        <v>0</v>
      </c>
      <c r="Q63" s="26" t="n">
        <f aca="false">IF(Q$3=Assumptions!$B$55,Assumptions!$B$54,0)</f>
        <v>0</v>
      </c>
      <c r="R63" s="26" t="n">
        <f aca="false">IF(R$3=Assumptions!$B$55,Assumptions!$B$54,0)</f>
        <v>0</v>
      </c>
      <c r="S63" s="26" t="n">
        <f aca="false">IF(S$3=Assumptions!$B$55,Assumptions!$B$54,0)</f>
        <v>0</v>
      </c>
      <c r="T63" s="26" t="n">
        <f aca="false">IF(T$3=Assumptions!$B$55,Assumptions!$B$54,0)</f>
        <v>0</v>
      </c>
      <c r="U63" s="26" t="n">
        <f aca="false">IF(U$3=Assumptions!$B$55,Assumptions!$B$54,0)</f>
        <v>0</v>
      </c>
      <c r="V63" s="26" t="n">
        <f aca="false">IF(V$3=Assumptions!$B$55,Assumptions!$B$54,0)</f>
        <v>0</v>
      </c>
      <c r="W63" s="26" t="n">
        <f aca="false">IF(W$3=Assumptions!$B$55,Assumptions!$B$54,0)</f>
        <v>0</v>
      </c>
      <c r="X63" s="26" t="n">
        <f aca="false">IF(X$3=Assumptions!$B$55,Assumptions!$B$54,0)</f>
        <v>0</v>
      </c>
      <c r="Y63" s="26" t="n">
        <f aca="false">IF(Y$3=Assumptions!$B$55,Assumptions!$B$54,0)</f>
        <v>0</v>
      </c>
      <c r="Z63" s="26" t="n">
        <f aca="false">IF(Z$3=Assumptions!$B$55,Assumptions!$B$54,0)</f>
        <v>0</v>
      </c>
      <c r="AA63" s="26" t="n">
        <f aca="false">IF(AA$3=Assumptions!$B$55,Assumptions!$B$54,0)</f>
        <v>0</v>
      </c>
      <c r="AB63" s="26" t="n">
        <f aca="false">IF(AB$3=Assumptions!$B$55,Assumptions!$B$54,0)</f>
        <v>0</v>
      </c>
      <c r="AC63" s="26" t="n">
        <f aca="false">IF(AC$3=Assumptions!$B$55,Assumptions!$B$54,0)</f>
        <v>0</v>
      </c>
      <c r="AD63" s="26" t="n">
        <f aca="false">IF(AD$3=Assumptions!$B$55,Assumptions!$B$54,0)</f>
        <v>0</v>
      </c>
      <c r="AE63" s="26" t="n">
        <f aca="false">IF(AE$3=Assumptions!$B$55,Assumptions!$B$54,0)</f>
        <v>0</v>
      </c>
      <c r="AF63" s="26" t="n">
        <f aca="false">IF(AF$3=Assumptions!$B$55,Assumptions!$B$54,0)</f>
        <v>0</v>
      </c>
      <c r="AG63" s="26" t="n">
        <f aca="false">IF(AG$3=Assumptions!$B$55,Assumptions!$B$54,0)</f>
        <v>0</v>
      </c>
      <c r="AH63" s="26" t="n">
        <f aca="false">IF(AH$3=Assumptions!$B$55,Assumptions!$B$54,0)</f>
        <v>0</v>
      </c>
      <c r="AI63" s="26" t="n">
        <f aca="false">IF(AI$3=Assumptions!$B$55,Assumptions!$B$54,0)</f>
        <v>0</v>
      </c>
      <c r="AJ63" s="26" t="n">
        <f aca="false">IF(AJ$3=Assumptions!$B$55,Assumptions!$B$54,0)</f>
        <v>0</v>
      </c>
      <c r="AK63" s="26" t="n">
        <f aca="false">IF(AK$3=Assumptions!$B$55,Assumptions!$B$54,0)</f>
        <v>0</v>
      </c>
    </row>
    <row r="64" customFormat="false" ht="15" hidden="false" customHeight="true" outlineLevel="0" collapsed="false">
      <c r="A64" s="12" t="s">
        <v>122</v>
      </c>
      <c r="B64" s="26" t="n">
        <f aca="false">IF(B$3=Assumptions!$B$57,Assumptions!$B$56,0)</f>
        <v>0</v>
      </c>
      <c r="C64" s="26" t="n">
        <f aca="false">IF(C$3=Assumptions!$B$57,Assumptions!$B$56,0)</f>
        <v>0</v>
      </c>
      <c r="D64" s="26" t="n">
        <f aca="false">IF(D$3=Assumptions!$B$57,Assumptions!$B$56,0)</f>
        <v>0</v>
      </c>
      <c r="E64" s="26" t="n">
        <f aca="false">IF(E$3=Assumptions!$B$57,Assumptions!$B$56,0)</f>
        <v>0</v>
      </c>
      <c r="F64" s="26" t="n">
        <f aca="false">IF(F$3=Assumptions!$B$57,Assumptions!$B$56,0)</f>
        <v>0</v>
      </c>
      <c r="G64" s="26" t="n">
        <f aca="false">IF(G$3=Assumptions!$B$57,Assumptions!$B$56,0)</f>
        <v>0</v>
      </c>
      <c r="H64" s="26" t="n">
        <f aca="false">IF(H$3=Assumptions!$B$57,Assumptions!$B$56,0)</f>
        <v>0</v>
      </c>
      <c r="I64" s="26" t="n">
        <f aca="false">IF(I$3=Assumptions!$B$57,Assumptions!$B$56,0)</f>
        <v>0</v>
      </c>
      <c r="J64" s="26" t="n">
        <f aca="false">IF(J$3=Assumptions!$B$57,Assumptions!$B$56,0)</f>
        <v>0</v>
      </c>
      <c r="K64" s="26" t="n">
        <f aca="false">IF(K$3=Assumptions!$B$57,Assumptions!$B$56,0)</f>
        <v>0</v>
      </c>
      <c r="L64" s="26" t="n">
        <f aca="false">IF(L$3=Assumptions!$B$57,Assumptions!$B$56,0)</f>
        <v>0</v>
      </c>
      <c r="M64" s="26" t="n">
        <f aca="false">IF(M$3=Assumptions!$B$57,Assumptions!$B$56,0)</f>
        <v>0</v>
      </c>
      <c r="N64" s="26" t="n">
        <f aca="false">IF(N$3=Assumptions!$B$57,Assumptions!$B$56,0)</f>
        <v>200000</v>
      </c>
      <c r="O64" s="26" t="n">
        <f aca="false">IF(O$3=Assumptions!$B$57,Assumptions!$B$56,0)</f>
        <v>0</v>
      </c>
      <c r="P64" s="26" t="n">
        <f aca="false">IF(P$3=Assumptions!$B$57,Assumptions!$B$56,0)</f>
        <v>0</v>
      </c>
      <c r="Q64" s="26" t="n">
        <f aca="false">IF(Q$3=Assumptions!$B$57,Assumptions!$B$56,0)</f>
        <v>0</v>
      </c>
      <c r="R64" s="26" t="n">
        <f aca="false">IF(R$3=Assumptions!$B$57,Assumptions!$B$56,0)</f>
        <v>0</v>
      </c>
      <c r="S64" s="26" t="n">
        <f aca="false">IF(S$3=Assumptions!$B$57,Assumptions!$B$56,0)</f>
        <v>0</v>
      </c>
      <c r="T64" s="26" t="n">
        <f aca="false">IF(T$3=Assumptions!$B$57,Assumptions!$B$56,0)</f>
        <v>0</v>
      </c>
      <c r="U64" s="26" t="n">
        <f aca="false">IF(U$3=Assumptions!$B$57,Assumptions!$B$56,0)</f>
        <v>0</v>
      </c>
      <c r="V64" s="26" t="n">
        <f aca="false">IF(V$3=Assumptions!$B$57,Assumptions!$B$56,0)</f>
        <v>0</v>
      </c>
      <c r="W64" s="26" t="n">
        <f aca="false">IF(W$3=Assumptions!$B$57,Assumptions!$B$56,0)</f>
        <v>0</v>
      </c>
      <c r="X64" s="26" t="n">
        <f aca="false">IF(X$3=Assumptions!$B$57,Assumptions!$B$56,0)</f>
        <v>0</v>
      </c>
      <c r="Y64" s="26" t="n">
        <f aca="false">IF(Y$3=Assumptions!$B$57,Assumptions!$B$56,0)</f>
        <v>0</v>
      </c>
      <c r="Z64" s="26" t="n">
        <f aca="false">IF(Z$3=Assumptions!$B$57,Assumptions!$B$56,0)</f>
        <v>0</v>
      </c>
      <c r="AA64" s="26" t="n">
        <f aca="false">IF(AA$3=Assumptions!$B$57,Assumptions!$B$56,0)</f>
        <v>0</v>
      </c>
      <c r="AB64" s="26" t="n">
        <f aca="false">IF(AB$3=Assumptions!$B$57,Assumptions!$B$56,0)</f>
        <v>0</v>
      </c>
      <c r="AC64" s="26" t="n">
        <f aca="false">IF(AC$3=Assumptions!$B$57,Assumptions!$B$56,0)</f>
        <v>0</v>
      </c>
      <c r="AD64" s="26" t="n">
        <f aca="false">IF(AD$3=Assumptions!$B$57,Assumptions!$B$56,0)</f>
        <v>0</v>
      </c>
      <c r="AE64" s="26" t="n">
        <f aca="false">IF(AE$3=Assumptions!$B$57,Assumptions!$B$56,0)</f>
        <v>0</v>
      </c>
      <c r="AF64" s="26" t="n">
        <f aca="false">IF(AF$3=Assumptions!$B$57,Assumptions!$B$56,0)</f>
        <v>0</v>
      </c>
      <c r="AG64" s="26" t="n">
        <f aca="false">IF(AG$3=Assumptions!$B$57,Assumptions!$B$56,0)</f>
        <v>0</v>
      </c>
      <c r="AH64" s="26" t="n">
        <f aca="false">IF(AH$3=Assumptions!$B$57,Assumptions!$B$56,0)</f>
        <v>0</v>
      </c>
      <c r="AI64" s="26" t="n">
        <f aca="false">IF(AI$3=Assumptions!$B$57,Assumptions!$B$56,0)</f>
        <v>0</v>
      </c>
      <c r="AJ64" s="26" t="n">
        <f aca="false">IF(AJ$3=Assumptions!$B$57,Assumptions!$B$56,0)</f>
        <v>0</v>
      </c>
      <c r="AK64" s="26" t="n">
        <f aca="false">IF(AK$3=Assumptions!$B$57,Assumptions!$B$56,0)</f>
        <v>0</v>
      </c>
    </row>
    <row r="65" customFormat="false" ht="15" hidden="false" customHeight="true" outlineLevel="0" collapsed="false">
      <c r="A65" s="12" t="s">
        <v>123</v>
      </c>
      <c r="B65" s="29" t="n">
        <f aca="false">-B43</f>
        <v>-0</v>
      </c>
      <c r="C65" s="29" t="n">
        <f aca="false">-C43</f>
        <v>-0</v>
      </c>
      <c r="D65" s="29" t="n">
        <f aca="false">-D43</f>
        <v>-0</v>
      </c>
      <c r="E65" s="29" t="n">
        <f aca="false">-E43</f>
        <v>-0</v>
      </c>
      <c r="F65" s="29" t="n">
        <f aca="false">-F43</f>
        <v>-0</v>
      </c>
      <c r="G65" s="29" t="n">
        <f aca="false">-G43</f>
        <v>-0</v>
      </c>
      <c r="H65" s="29" t="n">
        <f aca="false">-H43</f>
        <v>-0</v>
      </c>
      <c r="I65" s="29" t="n">
        <f aca="false">-I43</f>
        <v>-0</v>
      </c>
      <c r="J65" s="29" t="n">
        <f aca="false">-J43</f>
        <v>-0</v>
      </c>
      <c r="K65" s="29" t="n">
        <f aca="false">-K43</f>
        <v>-0</v>
      </c>
      <c r="L65" s="29" t="n">
        <f aca="false">-L43</f>
        <v>-0</v>
      </c>
      <c r="M65" s="29" t="n">
        <f aca="false">-M43</f>
        <v>-0</v>
      </c>
      <c r="N65" s="29" t="n">
        <f aca="false">-N43</f>
        <v>-8333.33333333333</v>
      </c>
      <c r="O65" s="29" t="n">
        <f aca="false">-O43</f>
        <v>-8333.33333333333</v>
      </c>
      <c r="P65" s="29" t="n">
        <f aca="false">-P43</f>
        <v>-8333.33333333333</v>
      </c>
      <c r="Q65" s="29" t="n">
        <f aca="false">-Q43</f>
        <v>-8333.33333333333</v>
      </c>
      <c r="R65" s="29" t="n">
        <f aca="false">-R43</f>
        <v>-8333.33333333333</v>
      </c>
      <c r="S65" s="29" t="n">
        <f aca="false">-S43</f>
        <v>-8333.33333333333</v>
      </c>
      <c r="T65" s="29" t="n">
        <f aca="false">-T43</f>
        <v>-8333.33333333333</v>
      </c>
      <c r="U65" s="29" t="n">
        <f aca="false">-U43</f>
        <v>-8333.33333333333</v>
      </c>
      <c r="V65" s="29" t="n">
        <f aca="false">-V43</f>
        <v>-8333.33333333333</v>
      </c>
      <c r="W65" s="29" t="n">
        <f aca="false">-W43</f>
        <v>-8333.33333333333</v>
      </c>
      <c r="X65" s="29" t="n">
        <f aca="false">-X43</f>
        <v>-8333.33333333333</v>
      </c>
      <c r="Y65" s="29" t="n">
        <f aca="false">-Y43</f>
        <v>-8333.33333333333</v>
      </c>
      <c r="Z65" s="29" t="n">
        <f aca="false">-Z43</f>
        <v>-8333.33333333333</v>
      </c>
      <c r="AA65" s="29" t="n">
        <f aca="false">-AA43</f>
        <v>-8333.33333333333</v>
      </c>
      <c r="AB65" s="29" t="n">
        <f aca="false">-AB43</f>
        <v>-8333.33333333333</v>
      </c>
      <c r="AC65" s="29" t="n">
        <f aca="false">-AC43</f>
        <v>-8333.33333333333</v>
      </c>
      <c r="AD65" s="29" t="n">
        <f aca="false">-AD43</f>
        <v>-8333.33333333333</v>
      </c>
      <c r="AE65" s="29" t="n">
        <f aca="false">-AE43</f>
        <v>-8333.33333333333</v>
      </c>
      <c r="AF65" s="29" t="n">
        <f aca="false">-AF43</f>
        <v>-8333.33333333333</v>
      </c>
      <c r="AG65" s="29" t="n">
        <f aca="false">-AG43</f>
        <v>-8333.33333333333</v>
      </c>
      <c r="AH65" s="29" t="n">
        <f aca="false">-AH43</f>
        <v>-8333.33333333333</v>
      </c>
      <c r="AI65" s="29" t="n">
        <f aca="false">-AI43</f>
        <v>-8333.33333333333</v>
      </c>
      <c r="AJ65" s="29" t="n">
        <f aca="false">-AJ43</f>
        <v>-8333.33333333333</v>
      </c>
      <c r="AK65" s="29" t="n">
        <f aca="false">-AK43</f>
        <v>-8333.33333333333</v>
      </c>
    </row>
    <row r="66" customFormat="false" ht="15" hidden="false" customHeight="true" outlineLevel="0" collapsed="false">
      <c r="A66" s="7" t="s">
        <v>124</v>
      </c>
      <c r="B66" s="27" t="n">
        <f aca="false">SUM(B59:B65)</f>
        <v>2364360</v>
      </c>
      <c r="C66" s="27" t="n">
        <f aca="false">SUM(C59:C65)</f>
        <v>-40671.8</v>
      </c>
      <c r="D66" s="27" t="n">
        <f aca="false">SUM(D59:D65)</f>
        <v>-34085.201</v>
      </c>
      <c r="E66" s="27" t="n">
        <f aca="false">SUM(E59:E65)</f>
        <v>-36861.994945</v>
      </c>
      <c r="F66" s="27" t="n">
        <f aca="false">SUM(F59:F65)</f>
        <v>-29983.376073025</v>
      </c>
      <c r="G66" s="27" t="n">
        <f aca="false">SUM(G59:G65)</f>
        <v>-29929.8841385086</v>
      </c>
      <c r="H66" s="27" t="n">
        <f aca="false">SUM(H59:H65)</f>
        <v>-22681.3452104457</v>
      </c>
      <c r="I66" s="27" t="n">
        <f aca="false">SUM(I59:I65)</f>
        <v>-15216.8098567323</v>
      </c>
      <c r="J66" s="27" t="n">
        <f aca="false">SUM(J59:J65)</f>
        <v>-19014.4885169382</v>
      </c>
      <c r="K66" s="27" t="n">
        <f aca="false">SUM(K59:K65)</f>
        <v>-11051.6838559304</v>
      </c>
      <c r="L66" s="27" t="n">
        <f aca="false">SUM(L59:L65)</f>
        <v>-11304.719880264</v>
      </c>
      <c r="M66" s="27" t="n">
        <f aca="false">SUM(M59:M65)</f>
        <v>-3663.88453770204</v>
      </c>
      <c r="N66" s="27" t="n">
        <f aca="false">SUM(N59:N65)</f>
        <v>194998.510745495</v>
      </c>
      <c r="O66" s="27" t="n">
        <f aca="false">SUM(O59:O65)</f>
        <v>1141.20524150894</v>
      </c>
      <c r="P66" s="27" t="n">
        <f aca="false">SUM(P59:P65)</f>
        <v>-311.253621149064</v>
      </c>
      <c r="Q66" s="27" t="n">
        <f aca="false">SUM(Q59:Q65)</f>
        <v>7649.47715809231</v>
      </c>
      <c r="R66" s="27" t="n">
        <f aca="false">SUM(R59:R65)</f>
        <v>15962.9027332709</v>
      </c>
      <c r="S66" s="27" t="n">
        <f aca="false">SUM(S59:S65)</f>
        <v>18334.7693362567</v>
      </c>
      <c r="T66" s="27" t="n">
        <f aca="false">SUM(T59:T65)</f>
        <v>27432.1474705515</v>
      </c>
      <c r="U66" s="27" t="n">
        <f aca="false">SUM(U59:U65)</f>
        <v>36963.5196488819</v>
      </c>
      <c r="V66" s="27" t="n">
        <f aca="false">SUM(V59:V65)</f>
        <v>40243.8729644077</v>
      </c>
      <c r="W66" s="27" t="n">
        <f aca="false">SUM(W59:W65)</f>
        <v>50734.7968018049</v>
      </c>
      <c r="X66" s="27" t="n">
        <f aca="false">SUM(X59:X65)</f>
        <v>61754.5860119379</v>
      </c>
      <c r="Y66" s="27" t="n">
        <f aca="false">SUM(Y59:Y65)</f>
        <v>73338.3498923767</v>
      </c>
      <c r="Z66" s="27" t="n">
        <f aca="false">SUM(Z59:Z65)</f>
        <v>85523.1273357002</v>
      </c>
      <c r="AA66" s="27" t="n">
        <f aca="false">SUM(AA59:AA65)</f>
        <v>98348.008528425</v>
      </c>
      <c r="AB66" s="27" t="n">
        <f aca="false">SUM(AB59:AB65)</f>
        <v>111854.263605581</v>
      </c>
      <c r="AC66" s="27" t="n">
        <f aca="false">SUM(AC59:AC65)</f>
        <v>126085.478689494</v>
      </c>
      <c r="AD66" s="27" t="n">
        <f aca="false">SUM(AD59:AD65)</f>
        <v>141087.699766311</v>
      </c>
      <c r="AE66" s="27" t="n">
        <f aca="false">SUM(AE59:AE65)</f>
        <v>156909.584880307</v>
      </c>
      <c r="AF66" s="27" t="n">
        <f aca="false">SUM(AF59:AF65)</f>
        <v>173602.565154119</v>
      </c>
      <c r="AG66" s="27" t="n">
        <f aca="false">SUM(AG59:AG65)</f>
        <v>191221.015172882</v>
      </c>
      <c r="AH66" s="27" t="n">
        <f aca="false">SUM(AH59:AH65)</f>
        <v>209822.43330184</v>
      </c>
      <c r="AI66" s="27" t="n">
        <f aca="false">SUM(AI59:AI65)</f>
        <v>229467.632540591</v>
      </c>
      <c r="AJ66" s="27" t="n">
        <f aca="false">SUM(AJ59:AJ65)</f>
        <v>250220.94255265</v>
      </c>
      <c r="AK66" s="27" t="n">
        <f aca="false">SUM(AK59:AK65)</f>
        <v>272150.423546755</v>
      </c>
    </row>
    <row r="67" customFormat="false" ht="15" hidden="false" customHeight="true" outlineLevel="0" collapsed="false">
      <c r="A67" s="12" t="s">
        <v>125</v>
      </c>
      <c r="B67" s="26" t="n">
        <f aca="false">Assumptions!$B$7</f>
        <v>0</v>
      </c>
      <c r="C67" s="29" t="n">
        <f aca="false">B68</f>
        <v>2364360</v>
      </c>
      <c r="D67" s="29" t="n">
        <f aca="false">C68</f>
        <v>2323688.2</v>
      </c>
      <c r="E67" s="29" t="n">
        <f aca="false">D68</f>
        <v>2289602.999</v>
      </c>
      <c r="F67" s="29" t="n">
        <f aca="false">E68</f>
        <v>2252741.004055</v>
      </c>
      <c r="G67" s="29" t="n">
        <f aca="false">F68</f>
        <v>2222757.62798198</v>
      </c>
      <c r="H67" s="29" t="n">
        <f aca="false">G68</f>
        <v>2192827.74384347</v>
      </c>
      <c r="I67" s="29" t="n">
        <f aca="false">H68</f>
        <v>2170146.39863302</v>
      </c>
      <c r="J67" s="29" t="n">
        <f aca="false">I68</f>
        <v>2154929.58877629</v>
      </c>
      <c r="K67" s="29" t="n">
        <f aca="false">J68</f>
        <v>2135915.10025935</v>
      </c>
      <c r="L67" s="29" t="n">
        <f aca="false">K68</f>
        <v>2124863.41640342</v>
      </c>
      <c r="M67" s="29" t="n">
        <f aca="false">L68</f>
        <v>2113558.69652316</v>
      </c>
      <c r="N67" s="29" t="n">
        <f aca="false">M68</f>
        <v>2109894.81198545</v>
      </c>
      <c r="O67" s="29" t="n">
        <f aca="false">N68</f>
        <v>2304893.32273095</v>
      </c>
      <c r="P67" s="29" t="n">
        <f aca="false">O68</f>
        <v>2306034.52797246</v>
      </c>
      <c r="Q67" s="29" t="n">
        <f aca="false">P68</f>
        <v>2305723.27435131</v>
      </c>
      <c r="R67" s="29" t="n">
        <f aca="false">Q68</f>
        <v>2313372.7515094</v>
      </c>
      <c r="S67" s="29" t="n">
        <f aca="false">R68</f>
        <v>2329335.65424267</v>
      </c>
      <c r="T67" s="29" t="n">
        <f aca="false">S68</f>
        <v>2347670.42357893</v>
      </c>
      <c r="U67" s="29" t="n">
        <f aca="false">T68</f>
        <v>2375102.57104948</v>
      </c>
      <c r="V67" s="29" t="n">
        <f aca="false">U68</f>
        <v>2412066.09069836</v>
      </c>
      <c r="W67" s="29" t="n">
        <f aca="false">V68</f>
        <v>2452309.96366277</v>
      </c>
      <c r="X67" s="29" t="n">
        <f aca="false">W68</f>
        <v>2503044.76046458</v>
      </c>
      <c r="Y67" s="29" t="n">
        <f aca="false">X68</f>
        <v>2564799.34647651</v>
      </c>
      <c r="Z67" s="29" t="n">
        <f aca="false">Y68</f>
        <v>2638137.69636889</v>
      </c>
      <c r="AA67" s="29" t="n">
        <f aca="false">Z68</f>
        <v>2723660.82370459</v>
      </c>
      <c r="AB67" s="29" t="n">
        <f aca="false">AA68</f>
        <v>2822008.83223302</v>
      </c>
      <c r="AC67" s="29" t="n">
        <f aca="false">AB68</f>
        <v>2933863.0958386</v>
      </c>
      <c r="AD67" s="29" t="n">
        <f aca="false">AC68</f>
        <v>3059948.57452809</v>
      </c>
      <c r="AE67" s="29" t="n">
        <f aca="false">AD68</f>
        <v>3201036.2742944</v>
      </c>
      <c r="AF67" s="29" t="n">
        <f aca="false">AE68</f>
        <v>3357945.85917471</v>
      </c>
      <c r="AG67" s="29" t="n">
        <f aca="false">AF68</f>
        <v>3531548.42432883</v>
      </c>
      <c r="AH67" s="29" t="n">
        <f aca="false">AG68</f>
        <v>3722769.43950171</v>
      </c>
      <c r="AI67" s="29" t="n">
        <f aca="false">AH68</f>
        <v>3932591.87280355</v>
      </c>
      <c r="AJ67" s="29" t="n">
        <f aca="false">AI68</f>
        <v>4162059.50534414</v>
      </c>
      <c r="AK67" s="29" t="n">
        <f aca="false">AJ68</f>
        <v>4412280.44789679</v>
      </c>
    </row>
    <row r="68" customFormat="false" ht="15" hidden="false" customHeight="true" outlineLevel="0" collapsed="false">
      <c r="A68" s="7" t="s">
        <v>126</v>
      </c>
      <c r="B68" s="27" t="n">
        <f aca="false">B67+B66</f>
        <v>2364360</v>
      </c>
      <c r="C68" s="27" t="n">
        <f aca="false">C67+C66</f>
        <v>2323688.2</v>
      </c>
      <c r="D68" s="27" t="n">
        <f aca="false">D67+D66</f>
        <v>2289602.999</v>
      </c>
      <c r="E68" s="27" t="n">
        <f aca="false">E67+E66</f>
        <v>2252741.004055</v>
      </c>
      <c r="F68" s="27" t="n">
        <f aca="false">F67+F66</f>
        <v>2222757.62798198</v>
      </c>
      <c r="G68" s="27" t="n">
        <f aca="false">G67+G66</f>
        <v>2192827.74384347</v>
      </c>
      <c r="H68" s="27" t="n">
        <f aca="false">H67+H66</f>
        <v>2170146.39863302</v>
      </c>
      <c r="I68" s="27" t="n">
        <f aca="false">I67+I66</f>
        <v>2154929.58877629</v>
      </c>
      <c r="J68" s="27" t="n">
        <f aca="false">J67+J66</f>
        <v>2135915.10025935</v>
      </c>
      <c r="K68" s="27" t="n">
        <f aca="false">K67+K66</f>
        <v>2124863.41640342</v>
      </c>
      <c r="L68" s="27" t="n">
        <f aca="false">L67+L66</f>
        <v>2113558.69652316</v>
      </c>
      <c r="M68" s="27" t="n">
        <f aca="false">M67+M66</f>
        <v>2109894.81198545</v>
      </c>
      <c r="N68" s="27" t="n">
        <f aca="false">N67+N66</f>
        <v>2304893.32273095</v>
      </c>
      <c r="O68" s="27" t="n">
        <f aca="false">O67+O66</f>
        <v>2306034.52797246</v>
      </c>
      <c r="P68" s="27" t="n">
        <f aca="false">P67+P66</f>
        <v>2305723.27435131</v>
      </c>
      <c r="Q68" s="27" t="n">
        <f aca="false">Q67+Q66</f>
        <v>2313372.7515094</v>
      </c>
      <c r="R68" s="27" t="n">
        <f aca="false">R67+R66</f>
        <v>2329335.65424267</v>
      </c>
      <c r="S68" s="27" t="n">
        <f aca="false">S67+S66</f>
        <v>2347670.42357893</v>
      </c>
      <c r="T68" s="27" t="n">
        <f aca="false">T67+T66</f>
        <v>2375102.57104948</v>
      </c>
      <c r="U68" s="27" t="n">
        <f aca="false">U67+U66</f>
        <v>2412066.09069836</v>
      </c>
      <c r="V68" s="27" t="n">
        <f aca="false">V67+V66</f>
        <v>2452309.96366277</v>
      </c>
      <c r="W68" s="27" t="n">
        <f aca="false">W67+W66</f>
        <v>2503044.76046458</v>
      </c>
      <c r="X68" s="27" t="n">
        <f aca="false">X67+X66</f>
        <v>2564799.34647651</v>
      </c>
      <c r="Y68" s="27" t="n">
        <f aca="false">Y67+Y66</f>
        <v>2638137.69636889</v>
      </c>
      <c r="Z68" s="27" t="n">
        <f aca="false">Z67+Z66</f>
        <v>2723660.82370459</v>
      </c>
      <c r="AA68" s="27" t="n">
        <f aca="false">AA67+AA66</f>
        <v>2822008.83223302</v>
      </c>
      <c r="AB68" s="27" t="n">
        <f aca="false">AB67+AB66</f>
        <v>2933863.0958386</v>
      </c>
      <c r="AC68" s="27" t="n">
        <f aca="false">AC67+AC66</f>
        <v>3059948.57452809</v>
      </c>
      <c r="AD68" s="27" t="n">
        <f aca="false">AD67+AD66</f>
        <v>3201036.2742944</v>
      </c>
      <c r="AE68" s="27" t="n">
        <f aca="false">AE67+AE66</f>
        <v>3357945.85917471</v>
      </c>
      <c r="AF68" s="27" t="n">
        <f aca="false">AF67+AF66</f>
        <v>3531548.42432883</v>
      </c>
      <c r="AG68" s="27" t="n">
        <f aca="false">AG67+AG66</f>
        <v>3722769.43950171</v>
      </c>
      <c r="AH68" s="27" t="n">
        <f aca="false">AH67+AH66</f>
        <v>3932591.87280355</v>
      </c>
      <c r="AI68" s="27" t="n">
        <f aca="false">AI67+AI66</f>
        <v>4162059.50534414</v>
      </c>
      <c r="AJ68" s="27" t="n">
        <f aca="false">AJ67+AJ66</f>
        <v>4412280.44789679</v>
      </c>
      <c r="AK68" s="27" t="n">
        <f aca="false">AK67+AK66</f>
        <v>4684430.87144354</v>
      </c>
    </row>
    <row r="69" customFormat="false" ht="15" hidden="false" customHeight="true" outlineLevel="0" collapsed="false">
      <c r="A69" s="7" t="s">
        <v>127</v>
      </c>
      <c r="B69" s="30" t="str">
        <f aca="false">IF(B68&lt;Assumptions!$B$6,"BELOW MIN","OK")</f>
        <v>OK</v>
      </c>
      <c r="C69" s="30" t="str">
        <f aca="false">IF(C68&lt;Assumptions!$B$6,"BELOW MIN","OK")</f>
        <v>OK</v>
      </c>
      <c r="D69" s="30" t="str">
        <f aca="false">IF(D68&lt;Assumptions!$B$6,"BELOW MIN","OK")</f>
        <v>OK</v>
      </c>
      <c r="E69" s="30" t="str">
        <f aca="false">IF(E68&lt;Assumptions!$B$6,"BELOW MIN","OK")</f>
        <v>OK</v>
      </c>
      <c r="F69" s="30" t="str">
        <f aca="false">IF(F68&lt;Assumptions!$B$6,"BELOW MIN","OK")</f>
        <v>OK</v>
      </c>
      <c r="G69" s="30" t="str">
        <f aca="false">IF(G68&lt;Assumptions!$B$6,"BELOW MIN","OK")</f>
        <v>OK</v>
      </c>
      <c r="H69" s="30" t="str">
        <f aca="false">IF(H68&lt;Assumptions!$B$6,"BELOW MIN","OK")</f>
        <v>OK</v>
      </c>
      <c r="I69" s="30" t="str">
        <f aca="false">IF(I68&lt;Assumptions!$B$6,"BELOW MIN","OK")</f>
        <v>OK</v>
      </c>
      <c r="J69" s="30" t="str">
        <f aca="false">IF(J68&lt;Assumptions!$B$6,"BELOW MIN","OK")</f>
        <v>OK</v>
      </c>
      <c r="K69" s="30" t="str">
        <f aca="false">IF(K68&lt;Assumptions!$B$6,"BELOW MIN","OK")</f>
        <v>OK</v>
      </c>
      <c r="L69" s="30" t="str">
        <f aca="false">IF(L68&lt;Assumptions!$B$6,"BELOW MIN","OK")</f>
        <v>OK</v>
      </c>
      <c r="M69" s="30" t="str">
        <f aca="false">IF(M68&lt;Assumptions!$B$6,"BELOW MIN","OK")</f>
        <v>OK</v>
      </c>
      <c r="N69" s="30" t="str">
        <f aca="false">IF(N68&lt;Assumptions!$B$6,"BELOW MIN","OK")</f>
        <v>OK</v>
      </c>
      <c r="O69" s="30" t="str">
        <f aca="false">IF(O68&lt;Assumptions!$B$6,"BELOW MIN","OK")</f>
        <v>OK</v>
      </c>
      <c r="P69" s="30" t="str">
        <f aca="false">IF(P68&lt;Assumptions!$B$6,"BELOW MIN","OK")</f>
        <v>OK</v>
      </c>
      <c r="Q69" s="30" t="str">
        <f aca="false">IF(Q68&lt;Assumptions!$B$6,"BELOW MIN","OK")</f>
        <v>OK</v>
      </c>
      <c r="R69" s="30" t="str">
        <f aca="false">IF(R68&lt;Assumptions!$B$6,"BELOW MIN","OK")</f>
        <v>OK</v>
      </c>
      <c r="S69" s="30" t="str">
        <f aca="false">IF(S68&lt;Assumptions!$B$6,"BELOW MIN","OK")</f>
        <v>OK</v>
      </c>
      <c r="T69" s="30" t="str">
        <f aca="false">IF(T68&lt;Assumptions!$B$6,"BELOW MIN","OK")</f>
        <v>OK</v>
      </c>
      <c r="U69" s="30" t="str">
        <f aca="false">IF(U68&lt;Assumptions!$B$6,"BELOW MIN","OK")</f>
        <v>OK</v>
      </c>
      <c r="V69" s="30" t="str">
        <f aca="false">IF(V68&lt;Assumptions!$B$6,"BELOW MIN","OK")</f>
        <v>OK</v>
      </c>
      <c r="W69" s="30" t="str">
        <f aca="false">IF(W68&lt;Assumptions!$B$6,"BELOW MIN","OK")</f>
        <v>OK</v>
      </c>
      <c r="X69" s="30" t="str">
        <f aca="false">IF(X68&lt;Assumptions!$B$6,"BELOW MIN","OK")</f>
        <v>OK</v>
      </c>
      <c r="Y69" s="30" t="str">
        <f aca="false">IF(Y68&lt;Assumptions!$B$6,"BELOW MIN","OK")</f>
        <v>OK</v>
      </c>
      <c r="Z69" s="30" t="str">
        <f aca="false">IF(Z68&lt;Assumptions!$B$6,"BELOW MIN","OK")</f>
        <v>OK</v>
      </c>
      <c r="AA69" s="30" t="str">
        <f aca="false">IF(AA68&lt;Assumptions!$B$6,"BELOW MIN","OK")</f>
        <v>OK</v>
      </c>
      <c r="AB69" s="30" t="str">
        <f aca="false">IF(AB68&lt;Assumptions!$B$6,"BELOW MIN","OK")</f>
        <v>OK</v>
      </c>
      <c r="AC69" s="30" t="str">
        <f aca="false">IF(AC68&lt;Assumptions!$B$6,"BELOW MIN","OK")</f>
        <v>OK</v>
      </c>
      <c r="AD69" s="30" t="str">
        <f aca="false">IF(AD68&lt;Assumptions!$B$6,"BELOW MIN","OK")</f>
        <v>OK</v>
      </c>
      <c r="AE69" s="30" t="str">
        <f aca="false">IF(AE68&lt;Assumptions!$B$6,"BELOW MIN","OK")</f>
        <v>OK</v>
      </c>
      <c r="AF69" s="30" t="str">
        <f aca="false">IF(AF68&lt;Assumptions!$B$6,"BELOW MIN","OK")</f>
        <v>OK</v>
      </c>
      <c r="AG69" s="30" t="str">
        <f aca="false">IF(AG68&lt;Assumptions!$B$6,"BELOW MIN","OK")</f>
        <v>OK</v>
      </c>
      <c r="AH69" s="30" t="str">
        <f aca="false">IF(AH68&lt;Assumptions!$B$6,"BELOW MIN","OK")</f>
        <v>OK</v>
      </c>
      <c r="AI69" s="30" t="str">
        <f aca="false">IF(AI68&lt;Assumptions!$B$6,"BELOW MIN","OK")</f>
        <v>OK</v>
      </c>
      <c r="AJ69" s="30" t="str">
        <f aca="false">IF(AJ68&lt;Assumptions!$B$6,"BELOW MIN","OK")</f>
        <v>OK</v>
      </c>
      <c r="AK69" s="30" t="str">
        <f aca="false">IF(AK68&lt;Assumptions!$B$6,"BELOW MIN","OK")</f>
        <v>OK</v>
      </c>
    </row>
  </sheetData>
  <mergeCells count="8">
    <mergeCell ref="A1:AK1"/>
    <mergeCell ref="A6:AK6"/>
    <mergeCell ref="A12:AK12"/>
    <mergeCell ref="A17:AK17"/>
    <mergeCell ref="A24:AK24"/>
    <mergeCell ref="A33:AK33"/>
    <mergeCell ref="A49:AK49"/>
    <mergeCell ref="A58:AK58"/>
  </mergeCells>
  <conditionalFormatting sqref="B69:AK69">
    <cfRule type="expression" priority="2" aboveAverage="0" equalAverage="0" bottom="0" percent="0" rank="0" text="" dxfId="0">
      <formula>B69="BELOW MIN"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5"/>
  </cols>
  <sheetData>
    <row r="1" customFormat="false" ht="17.25" hidden="false" customHeight="true" outlineLevel="0" collapsed="false">
      <c r="A1" s="20" t="s">
        <v>128</v>
      </c>
      <c r="B1" s="20"/>
      <c r="C1" s="20"/>
      <c r="D1" s="20"/>
      <c r="E1" s="20"/>
      <c r="F1" s="20"/>
    </row>
    <row r="2" customFormat="false" ht="25.5" hidden="false" customHeight="true" outlineLevel="0" collapsed="false">
      <c r="A2" s="11" t="s">
        <v>129</v>
      </c>
      <c r="B2" s="11"/>
      <c r="C2" s="11"/>
      <c r="D2" s="11"/>
      <c r="E2" s="11"/>
      <c r="F2" s="11"/>
    </row>
    <row r="3" customFormat="false" ht="15" hidden="false" customHeight="true" outlineLevel="0" collapsed="false">
      <c r="B3" s="22" t="s">
        <v>130</v>
      </c>
      <c r="C3" s="22" t="s">
        <v>131</v>
      </c>
      <c r="D3" s="22" t="s">
        <v>132</v>
      </c>
      <c r="E3" s="22" t="s">
        <v>133</v>
      </c>
      <c r="F3" s="22" t="s">
        <v>134</v>
      </c>
    </row>
    <row r="5" customFormat="false" ht="18" hidden="false" customHeight="true" outlineLevel="0" collapsed="false">
      <c r="A5" s="4" t="s">
        <v>135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7" t="s">
        <v>81</v>
      </c>
      <c r="B6" s="31" t="n">
        <f aca="false">SUM(Monthly!B15:M15)</f>
        <v>971802.88261154</v>
      </c>
      <c r="C6" s="31" t="n">
        <f aca="false">SUM(Monthly!N15:Y15)</f>
        <v>3381451.10333123</v>
      </c>
      <c r="D6" s="31" t="n">
        <f aca="false">SUM(Monthly!Z15:AK15)</f>
        <v>7600756.94103484</v>
      </c>
      <c r="E6" s="31" t="n">
        <f aca="false">D6*(1+Assumptions!$B$62)</f>
        <v>11781173.258604</v>
      </c>
      <c r="F6" s="31" t="n">
        <f aca="false">E6*(1+Assumptions!$B$63)</f>
        <v>16493642.5620456</v>
      </c>
    </row>
    <row r="7" customFormat="false" ht="15" hidden="false" customHeight="true" outlineLevel="0" collapsed="false">
      <c r="A7" s="12" t="s">
        <v>85</v>
      </c>
      <c r="B7" s="26" t="n">
        <f aca="false">SUM(Monthly!B20:M20)</f>
        <v>182840.517737821</v>
      </c>
      <c r="C7" s="26" t="n">
        <f aca="false">SUM(Monthly!N20:Y20)</f>
        <v>633351.969327646</v>
      </c>
      <c r="D7" s="26" t="n">
        <f aca="false">SUM(Monthly!Z20:AK20)</f>
        <v>1417790.16166819</v>
      </c>
      <c r="E7" s="29" t="n">
        <f aca="false">E6*($D$7/$D$6)</f>
        <v>2197574.7505857</v>
      </c>
      <c r="F7" s="29" t="n">
        <f aca="false">F6*($D$7/$D$6)</f>
        <v>3076604.65081998</v>
      </c>
    </row>
    <row r="8" customFormat="false" ht="15" hidden="false" customHeight="true" outlineLevel="0" collapsed="false">
      <c r="A8" s="7" t="s">
        <v>86</v>
      </c>
      <c r="B8" s="27" t="n">
        <f aca="false">B6-B7</f>
        <v>788962.364873719</v>
      </c>
      <c r="C8" s="27" t="n">
        <f aca="false">C6-C7</f>
        <v>2748099.13400359</v>
      </c>
      <c r="D8" s="27" t="n">
        <f aca="false">D6-D7</f>
        <v>6182966.77936664</v>
      </c>
      <c r="E8" s="27" t="n">
        <f aca="false">E6-E7</f>
        <v>9583598.5080183</v>
      </c>
      <c r="F8" s="27" t="n">
        <f aca="false">F6-F7</f>
        <v>13417037.9112256</v>
      </c>
    </row>
    <row r="9" customFormat="false" ht="15" hidden="false" customHeight="true" outlineLevel="0" collapsed="false">
      <c r="A9" s="12" t="s">
        <v>87</v>
      </c>
      <c r="B9" s="28" t="n">
        <f aca="false">IFERROR(B8/B6,0)</f>
        <v>0.811854316333709</v>
      </c>
      <c r="C9" s="28" t="n">
        <f aca="false">IFERROR(C8/C6,0)</f>
        <v>0.812698173070224</v>
      </c>
      <c r="D9" s="28" t="n">
        <f aca="false">IFERROR(D8/D6,0)</f>
        <v>0.813467241135702</v>
      </c>
      <c r="E9" s="28" t="n">
        <f aca="false">IFERROR(E8/E6,0)</f>
        <v>0.813467241135702</v>
      </c>
      <c r="F9" s="28" t="n">
        <f aca="false">IFERROR(F8/F6,0)</f>
        <v>0.813467241135702</v>
      </c>
    </row>
    <row r="10" customFormat="false" ht="15" hidden="false" customHeight="true" outlineLevel="0" collapsed="false">
      <c r="A10" s="12" t="s">
        <v>94</v>
      </c>
      <c r="B10" s="26" t="n">
        <f aca="false">SUM(Monthly!B31:M31)</f>
        <v>992950.720652885</v>
      </c>
      <c r="C10" s="26" t="n">
        <f aca="false">SUM(Monthly!N31:Y31)</f>
        <v>2052362.77583281</v>
      </c>
      <c r="D10" s="26" t="n">
        <f aca="false">SUM(Monthly!Z31:AK31)</f>
        <v>3238189.23525871</v>
      </c>
      <c r="E10" s="29" t="n">
        <f aca="false">E6*($D$10/$D$6)</f>
        <v>5019193.314651</v>
      </c>
      <c r="F10" s="29" t="n">
        <f aca="false">F6*($D$10/$D$6)</f>
        <v>7026870.6405114</v>
      </c>
    </row>
    <row r="11" customFormat="false" ht="15" hidden="false" customHeight="true" outlineLevel="0" collapsed="false">
      <c r="A11" s="7" t="s">
        <v>96</v>
      </c>
      <c r="B11" s="27" t="n">
        <f aca="false">B8-B10</f>
        <v>-203988.355779166</v>
      </c>
      <c r="C11" s="27" t="n">
        <f aca="false">C8-C10</f>
        <v>695736.358170778</v>
      </c>
      <c r="D11" s="27" t="n">
        <f aca="false">D8-D10</f>
        <v>2944777.54410793</v>
      </c>
      <c r="E11" s="27" t="n">
        <f aca="false">E8-E10</f>
        <v>4564405.1933673</v>
      </c>
      <c r="F11" s="27" t="n">
        <f aca="false">F8-F10</f>
        <v>6390167.27071422</v>
      </c>
    </row>
    <row r="12" customFormat="false" ht="15" hidden="false" customHeight="true" outlineLevel="0" collapsed="false">
      <c r="A12" s="12" t="s">
        <v>99</v>
      </c>
      <c r="B12" s="26" t="n">
        <f aca="false">SUM(Monthly!B37:M37)</f>
        <v>4875</v>
      </c>
      <c r="C12" s="26" t="n">
        <f aca="false">SUM(Monthly!N37:Y37)</f>
        <v>13875</v>
      </c>
      <c r="D12" s="26" t="n">
        <f aca="false">SUM(Monthly!Z37:AK37)</f>
        <v>22875</v>
      </c>
      <c r="E12" s="26" t="n">
        <f aca="false">D12*(1+Assumptions!$B$62)</f>
        <v>35456.25</v>
      </c>
      <c r="F12" s="26" t="n">
        <f aca="false">E12*(1+Assumptions!$B$63)</f>
        <v>49638.75</v>
      </c>
    </row>
    <row r="13" customFormat="false" ht="15" hidden="false" customHeight="true" outlineLevel="0" collapsed="false">
      <c r="A13" s="7" t="s">
        <v>102</v>
      </c>
      <c r="B13" s="27" t="n">
        <f aca="false">B11-B12</f>
        <v>-208863.355779166</v>
      </c>
      <c r="C13" s="27" t="n">
        <f aca="false">C11-C12</f>
        <v>681861.358170778</v>
      </c>
      <c r="D13" s="27" t="n">
        <f aca="false">D11-D12</f>
        <v>2921902.54410793</v>
      </c>
      <c r="E13" s="27" t="n">
        <f aca="false">E11-E12</f>
        <v>4528948.9433673</v>
      </c>
      <c r="F13" s="27" t="n">
        <f aca="false">F11-F12</f>
        <v>6340528.52071422</v>
      </c>
    </row>
    <row r="14" customFormat="false" ht="15" hidden="false" customHeight="true" outlineLevel="0" collapsed="false">
      <c r="A14" s="12" t="s">
        <v>104</v>
      </c>
      <c r="B14" s="26" t="n">
        <f aca="false">SUM(Monthly!B42:M42)</f>
        <v>0</v>
      </c>
      <c r="C14" s="26" t="n">
        <f aca="false">SUM(Monthly!N42:Y42)</f>
        <v>12375</v>
      </c>
      <c r="D14" s="26" t="n">
        <f aca="false">SUM(Monthly!Z42:AK42)</f>
        <v>4875</v>
      </c>
      <c r="E14" s="26" t="n">
        <f aca="false">D28*Assumptions!$B$58</f>
        <v>-4.91127138957381E-012</v>
      </c>
      <c r="F14" s="26" t="n">
        <f aca="false">E28*Assumptions!$B$58</f>
        <v>-4.91127138957381E-012</v>
      </c>
    </row>
    <row r="15" customFormat="false" ht="15" hidden="false" customHeight="true" outlineLevel="0" collapsed="false">
      <c r="A15" s="12" t="s">
        <v>107</v>
      </c>
      <c r="B15" s="27" t="n">
        <f aca="false">B13-B14</f>
        <v>-208863.355779166</v>
      </c>
      <c r="C15" s="27" t="n">
        <f aca="false">C13-C14</f>
        <v>669486.358170778</v>
      </c>
      <c r="D15" s="27" t="n">
        <f aca="false">D13-D14</f>
        <v>2917027.54410793</v>
      </c>
      <c r="E15" s="27" t="n">
        <f aca="false">E13-E14</f>
        <v>4528948.9433673</v>
      </c>
      <c r="F15" s="27" t="n">
        <f aca="false">F13-F14</f>
        <v>6340528.52071422</v>
      </c>
    </row>
    <row r="16" customFormat="false" ht="15" hidden="false" customHeight="true" outlineLevel="0" collapsed="false">
      <c r="A16" s="12" t="s">
        <v>108</v>
      </c>
      <c r="B16" s="26" t="n">
        <f aca="false">SUM(Monthly!B46:M46)</f>
        <v>915.016949673429</v>
      </c>
      <c r="C16" s="26" t="n">
        <f aca="false">SUM(Monthly!N46:Y46)</f>
        <v>140592.135215863</v>
      </c>
      <c r="D16" s="26" t="n">
        <f aca="false">SUM(Monthly!Z46:AK46)</f>
        <v>612575.784262666</v>
      </c>
      <c r="E16" s="26" t="n">
        <f aca="false">MAX(E15,0)*Assumptions!$B$5</f>
        <v>951079.278107133</v>
      </c>
      <c r="F16" s="26" t="n">
        <f aca="false">MAX(F15,0)*Assumptions!$B$5</f>
        <v>1331510.98934999</v>
      </c>
    </row>
    <row r="17" customFormat="false" ht="15" hidden="false" customHeight="true" outlineLevel="0" collapsed="false">
      <c r="A17" s="7" t="s">
        <v>109</v>
      </c>
      <c r="B17" s="27" t="n">
        <f aca="false">B15-B16</f>
        <v>-209778.372728839</v>
      </c>
      <c r="C17" s="27" t="n">
        <f aca="false">C15-C16</f>
        <v>528894.222954915</v>
      </c>
      <c r="D17" s="27" t="n">
        <f aca="false">D15-D16</f>
        <v>2304451.75984527</v>
      </c>
      <c r="E17" s="27" t="n">
        <f aca="false">E15-E16</f>
        <v>3577869.66526017</v>
      </c>
      <c r="F17" s="27" t="n">
        <f aca="false">F15-F16</f>
        <v>5009017.53136423</v>
      </c>
    </row>
    <row r="18" customFormat="false" ht="15" hidden="false" customHeight="true" outlineLevel="0" collapsed="false">
      <c r="A18" s="12" t="s">
        <v>136</v>
      </c>
      <c r="B18" s="28" t="n">
        <f aca="false">IFERROR(B17/B6,0)</f>
        <v>-0.215865147636832</v>
      </c>
      <c r="C18" s="28" t="n">
        <f aca="false">IFERROR(C17/C6,0)</f>
        <v>0.156410430549735</v>
      </c>
      <c r="D18" s="28" t="n">
        <f aca="false">IFERROR(D17/D6,0)</f>
        <v>0.303187140139166</v>
      </c>
      <c r="E18" s="28" t="n">
        <f aca="false">IFERROR(E17/E6,0)</f>
        <v>0.303693833094865</v>
      </c>
      <c r="F18" s="28" t="n">
        <f aca="false">IFERROR(F17/F6,0)</f>
        <v>0.303693833094865</v>
      </c>
    </row>
    <row r="20" customFormat="false" ht="18" hidden="false" customHeight="true" outlineLevel="0" collapsed="false">
      <c r="A20" s="4" t="s">
        <v>137</v>
      </c>
      <c r="B20" s="4"/>
      <c r="C20" s="4"/>
      <c r="D20" s="4"/>
      <c r="E20" s="4"/>
      <c r="F20" s="4"/>
    </row>
    <row r="21" customFormat="false" ht="15" hidden="false" customHeight="true" outlineLevel="0" collapsed="false">
      <c r="A21" s="12" t="s">
        <v>138</v>
      </c>
      <c r="B21" s="26" t="n">
        <f aca="false">Monthly!M68</f>
        <v>2109894.81198545</v>
      </c>
      <c r="C21" s="26" t="n">
        <f aca="false">Monthly!Y68</f>
        <v>2638137.69636889</v>
      </c>
      <c r="D21" s="26" t="n">
        <f aca="false">Monthly!AK68</f>
        <v>4684430.87144354</v>
      </c>
      <c r="E21" s="29" t="n">
        <f aca="false">E50</f>
        <v>8206967.53543848</v>
      </c>
      <c r="F21" s="29" t="n">
        <f aca="false">F50</f>
        <v>13064403.4208455</v>
      </c>
    </row>
    <row r="22" customFormat="false" ht="15" hidden="false" customHeight="true" outlineLevel="0" collapsed="false">
      <c r="A22" s="12" t="s">
        <v>139</v>
      </c>
      <c r="B22" s="26" t="n">
        <f aca="false">Monthly!M50</f>
        <v>157621.633136666</v>
      </c>
      <c r="C22" s="26" t="n">
        <f aca="false">Monthly!Y50</f>
        <v>408054.016381616</v>
      </c>
      <c r="D22" s="26" t="n">
        <f aca="false">Monthly!AK50</f>
        <v>869364.440575784</v>
      </c>
      <c r="E22" s="26" t="n">
        <f aca="false">(E6/12)*Assumptions!$B$49/30</f>
        <v>981764.438217</v>
      </c>
      <c r="F22" s="26" t="n">
        <f aca="false">(F6/12)*Assumptions!$B$49/30</f>
        <v>1374470.2135038</v>
      </c>
    </row>
    <row r="23" customFormat="false" ht="15" hidden="false" customHeight="true" outlineLevel="0" collapsed="false">
      <c r="A23" s="12" t="s">
        <v>101</v>
      </c>
      <c r="B23" s="26" t="n">
        <f aca="false">Monthly!M39</f>
        <v>31125</v>
      </c>
      <c r="C23" s="26" t="n">
        <f aca="false">Monthly!Y39</f>
        <v>53250</v>
      </c>
      <c r="D23" s="26" t="n">
        <f aca="false">Monthly!AK39</f>
        <v>66375</v>
      </c>
      <c r="E23" s="29" t="n">
        <f aca="false">D23-E41-E12</f>
        <v>86718.75</v>
      </c>
      <c r="F23" s="29" t="n">
        <f aca="false">E23-F41-F12</f>
        <v>115200</v>
      </c>
    </row>
    <row r="24" customFormat="false" ht="15" hidden="false" customHeight="true" outlineLevel="0" collapsed="false">
      <c r="A24" s="7" t="s">
        <v>140</v>
      </c>
      <c r="B24" s="27" t="n">
        <f aca="false">B21+B22+B23</f>
        <v>2298641.44512212</v>
      </c>
      <c r="C24" s="27" t="n">
        <f aca="false">C21+C22+C23</f>
        <v>3099441.71275051</v>
      </c>
      <c r="D24" s="27" t="n">
        <f aca="false">D21+D22+D23</f>
        <v>5620170.31201933</v>
      </c>
      <c r="E24" s="27" t="n">
        <f aca="false">E21+E22+E23</f>
        <v>9275450.72365549</v>
      </c>
      <c r="F24" s="27" t="n">
        <f aca="false">F21+F22+F23</f>
        <v>14554073.6343493</v>
      </c>
    </row>
    <row r="26" customFormat="false" ht="15" hidden="false" customHeight="true" outlineLevel="0" collapsed="false">
      <c r="A26" s="12" t="s">
        <v>141</v>
      </c>
      <c r="B26" s="26" t="n">
        <f aca="false">Monthly!M51</f>
        <v>29609.001282626</v>
      </c>
      <c r="C26" s="26" t="n">
        <f aca="false">Monthly!Y51</f>
        <v>76298.8543336217</v>
      </c>
      <c r="D26" s="26" t="n">
        <f aca="false">Monthly!AK51</f>
        <v>161920.481660092</v>
      </c>
      <c r="E26" s="26" t="n">
        <f aca="false">(E7/12)*Assumptions!$B$50/30</f>
        <v>183131.229215475</v>
      </c>
      <c r="F26" s="26" t="n">
        <f aca="false">(F7/12)*Assumptions!$B$50/30</f>
        <v>256383.720901665</v>
      </c>
    </row>
    <row r="27" customFormat="false" ht="15" hidden="false" customHeight="true" outlineLevel="0" collapsed="false">
      <c r="A27" s="12" t="s">
        <v>142</v>
      </c>
      <c r="B27" s="26" t="n">
        <f aca="false">Monthly!M52</f>
        <v>78810.816568333</v>
      </c>
      <c r="C27" s="26" t="n">
        <f aca="false">Monthly!Y52</f>
        <v>204027.008190808</v>
      </c>
      <c r="D27" s="26" t="n">
        <f aca="false">Monthly!AK52</f>
        <v>434682.220287892</v>
      </c>
      <c r="E27" s="26" t="n">
        <f aca="false">(E6/12)*Assumptions!$B$51/30</f>
        <v>490882.2191085</v>
      </c>
      <c r="F27" s="26" t="n">
        <f aca="false">(F6/12)*Assumptions!$B$51/30</f>
        <v>687235.1067519</v>
      </c>
    </row>
    <row r="28" customFormat="false" ht="15" hidden="false" customHeight="true" outlineLevel="0" collapsed="false">
      <c r="A28" s="12" t="s">
        <v>143</v>
      </c>
      <c r="B28" s="26" t="n">
        <f aca="false">Monthly!M44</f>
        <v>0</v>
      </c>
      <c r="C28" s="26" t="n">
        <f aca="false">Monthly!Y44</f>
        <v>99999.9999999999</v>
      </c>
      <c r="D28" s="26" t="n">
        <f aca="false">Monthly!AK44</f>
        <v>-5.45696821063757E-011</v>
      </c>
      <c r="E28" s="29" t="n">
        <f aca="false">D28+E46+E47</f>
        <v>-5.45696821063757E-011</v>
      </c>
      <c r="F28" s="29" t="n">
        <f aca="false">E28+F46+F47</f>
        <v>-5.45696821063757E-011</v>
      </c>
    </row>
    <row r="29" customFormat="false" ht="15" hidden="false" customHeight="true" outlineLevel="0" collapsed="false">
      <c r="A29" s="7" t="s">
        <v>144</v>
      </c>
      <c r="B29" s="27" t="n">
        <f aca="false">B26+B27+B28</f>
        <v>108419.817850959</v>
      </c>
      <c r="C29" s="27" t="n">
        <f aca="false">C26+C27+C28</f>
        <v>380325.86252443</v>
      </c>
      <c r="D29" s="27" t="n">
        <f aca="false">D26+D27+D28</f>
        <v>596602.701947984</v>
      </c>
      <c r="E29" s="27" t="n">
        <f aca="false">E26+E27+E28</f>
        <v>674013.448323975</v>
      </c>
      <c r="F29" s="27" t="n">
        <f aca="false">F26+F27+F28</f>
        <v>943618.827653565</v>
      </c>
    </row>
    <row r="31" customFormat="false" ht="15" hidden="false" customHeight="true" outlineLevel="0" collapsed="false">
      <c r="A31" s="12" t="s">
        <v>145</v>
      </c>
      <c r="B31" s="26" t="n">
        <f aca="false">IF(Assumptions!$B$55&lt;=12,Assumptions!$B$54,0)</f>
        <v>2400000</v>
      </c>
      <c r="C31" s="26" t="n">
        <f aca="false">IF(Assumptions!$B$55&lt;=24,Assumptions!$B$54,0)</f>
        <v>2400000</v>
      </c>
      <c r="D31" s="26" t="n">
        <f aca="false">IF(Assumptions!$B$55&lt;=36,Assumptions!$B$54,0)</f>
        <v>2400000</v>
      </c>
      <c r="E31" s="29" t="n">
        <f aca="false">D31</f>
        <v>2400000</v>
      </c>
      <c r="F31" s="29" t="n">
        <f aca="false">E31</f>
        <v>2400000</v>
      </c>
    </row>
    <row r="32" customFormat="false" ht="15" hidden="false" customHeight="true" outlineLevel="0" collapsed="false">
      <c r="A32" s="12" t="s">
        <v>146</v>
      </c>
      <c r="B32" s="29" t="n">
        <f aca="false">B17</f>
        <v>-209778.372728839</v>
      </c>
      <c r="C32" s="29" t="n">
        <f aca="false">B32+C17</f>
        <v>319115.850226076</v>
      </c>
      <c r="D32" s="29" t="n">
        <f aca="false">C32+D17</f>
        <v>2623567.61007134</v>
      </c>
      <c r="E32" s="29" t="n">
        <f aca="false">D32+E17</f>
        <v>6201437.27533151</v>
      </c>
      <c r="F32" s="29" t="n">
        <f aca="false">E32+F17</f>
        <v>11210454.8066957</v>
      </c>
    </row>
    <row r="33" customFormat="false" ht="15" hidden="false" customHeight="true" outlineLevel="0" collapsed="false">
      <c r="A33" s="7" t="s">
        <v>147</v>
      </c>
      <c r="B33" s="27" t="n">
        <f aca="false">B31+B32</f>
        <v>2190221.62727116</v>
      </c>
      <c r="C33" s="27" t="n">
        <f aca="false">C31+C32</f>
        <v>2719115.85022608</v>
      </c>
      <c r="D33" s="27" t="n">
        <f aca="false">D31+D32</f>
        <v>5023567.61007134</v>
      </c>
      <c r="E33" s="27" t="n">
        <f aca="false">E31+E32</f>
        <v>8601437.27533151</v>
      </c>
      <c r="F33" s="27" t="n">
        <f aca="false">F31+F32</f>
        <v>13610454.8066957</v>
      </c>
    </row>
    <row r="35" customFormat="false" ht="15" hidden="false" customHeight="true" outlineLevel="0" collapsed="false">
      <c r="A35" s="7" t="s">
        <v>148</v>
      </c>
      <c r="B35" s="27" t="n">
        <f aca="false">B29+B33</f>
        <v>2298641.44512212</v>
      </c>
      <c r="C35" s="27" t="n">
        <f aca="false">C29+C33</f>
        <v>3099441.71275051</v>
      </c>
      <c r="D35" s="27" t="n">
        <f aca="false">D29+D33</f>
        <v>5620170.31201933</v>
      </c>
      <c r="E35" s="27" t="n">
        <f aca="false">E29+E33</f>
        <v>9275450.72365548</v>
      </c>
      <c r="F35" s="27" t="n">
        <f aca="false">F29+F33</f>
        <v>14554073.6343493</v>
      </c>
    </row>
    <row r="36" customFormat="false" ht="15" hidden="false" customHeight="true" outlineLevel="0" collapsed="false">
      <c r="A36" s="7" t="s">
        <v>149</v>
      </c>
      <c r="B36" s="32" t="n">
        <f aca="false">B24-B35</f>
        <v>0</v>
      </c>
      <c r="C36" s="32" t="n">
        <f aca="false">C24-C35</f>
        <v>0</v>
      </c>
      <c r="D36" s="32" t="n">
        <f aca="false">D24-D35</f>
        <v>0</v>
      </c>
      <c r="E36" s="32" t="n">
        <f aca="false">E24-E35</f>
        <v>0</v>
      </c>
      <c r="F36" s="32" t="n">
        <f aca="false">F24-F35</f>
        <v>0</v>
      </c>
    </row>
    <row r="38" customFormat="false" ht="18" hidden="false" customHeight="true" outlineLevel="0" collapsed="false">
      <c r="A38" s="4" t="s">
        <v>150</v>
      </c>
      <c r="B38" s="4"/>
      <c r="C38" s="4"/>
      <c r="D38" s="4"/>
      <c r="E38" s="4"/>
      <c r="F38" s="4"/>
    </row>
    <row r="39" customFormat="false" ht="15" hidden="false" customHeight="true" outlineLevel="0" collapsed="false">
      <c r="A39" s="12" t="s">
        <v>109</v>
      </c>
      <c r="B39" s="29" t="n">
        <f aca="false">B17</f>
        <v>-209778.372728839</v>
      </c>
      <c r="C39" s="29" t="n">
        <f aca="false">C17</f>
        <v>528894.222954915</v>
      </c>
      <c r="D39" s="29" t="n">
        <f aca="false">D17</f>
        <v>2304451.75984527</v>
      </c>
      <c r="E39" s="29" t="n">
        <f aca="false">E17</f>
        <v>3577869.66526017</v>
      </c>
      <c r="F39" s="29" t="n">
        <f aca="false">F17</f>
        <v>5009017.53136423</v>
      </c>
    </row>
    <row r="40" customFormat="false" ht="15" hidden="false" customHeight="true" outlineLevel="0" collapsed="false">
      <c r="A40" s="12" t="s">
        <v>118</v>
      </c>
      <c r="B40" s="29" t="n">
        <f aca="false">B12</f>
        <v>4875</v>
      </c>
      <c r="C40" s="29" t="n">
        <f aca="false">C12</f>
        <v>13875</v>
      </c>
      <c r="D40" s="29" t="n">
        <f aca="false">D12</f>
        <v>22875</v>
      </c>
      <c r="E40" s="29" t="n">
        <f aca="false">E12</f>
        <v>35456.25</v>
      </c>
      <c r="F40" s="29" t="n">
        <f aca="false">F12</f>
        <v>49638.75</v>
      </c>
    </row>
    <row r="41" customFormat="false" ht="15" hidden="false" customHeight="true" outlineLevel="0" collapsed="false">
      <c r="A41" s="12" t="s">
        <v>119</v>
      </c>
      <c r="B41" s="26" t="n">
        <f aca="false">-SUM(Monthly!B35:M35)</f>
        <v>-36000</v>
      </c>
      <c r="C41" s="26" t="n">
        <f aca="false">-SUM(Monthly!N35:Y35)</f>
        <v>-36000</v>
      </c>
      <c r="D41" s="26" t="n">
        <f aca="false">-SUM(Monthly!Z35:AK35)</f>
        <v>-36000</v>
      </c>
      <c r="E41" s="26" t="n">
        <f aca="false">D41*(1+Assumptions!$B$62)</f>
        <v>-55800</v>
      </c>
      <c r="F41" s="26" t="n">
        <f aca="false">E41*(1+Assumptions!$B$63)</f>
        <v>-78120</v>
      </c>
    </row>
    <row r="42" customFormat="false" ht="15" hidden="false" customHeight="true" outlineLevel="0" collapsed="false">
      <c r="A42" s="12" t="s">
        <v>151</v>
      </c>
      <c r="B42" s="29" t="n">
        <f aca="false">-(B22-0)</f>
        <v>-157621.633136666</v>
      </c>
      <c r="C42" s="29" t="n">
        <f aca="false">-(C22-B22)</f>
        <v>-250432.38324495</v>
      </c>
      <c r="D42" s="29" t="n">
        <f aca="false">-(D22-C22)</f>
        <v>-461310.424194167</v>
      </c>
      <c r="E42" s="29" t="n">
        <f aca="false">-(E22-D22)</f>
        <v>-112399.997641216</v>
      </c>
      <c r="F42" s="29" t="n">
        <f aca="false">-(F22-E22)</f>
        <v>-392705.7752868</v>
      </c>
    </row>
    <row r="43" customFormat="false" ht="15" hidden="false" customHeight="true" outlineLevel="0" collapsed="false">
      <c r="A43" s="12" t="s">
        <v>152</v>
      </c>
      <c r="B43" s="29" t="n">
        <f aca="false">(B26-0)</f>
        <v>29609.001282626</v>
      </c>
      <c r="C43" s="29" t="n">
        <f aca="false">(C26-B26)</f>
        <v>46689.8530509957</v>
      </c>
      <c r="D43" s="29" t="n">
        <f aca="false">(D26-C26)</f>
        <v>85621.6273264704</v>
      </c>
      <c r="E43" s="29" t="n">
        <f aca="false">(E26-D26)</f>
        <v>21210.747555383</v>
      </c>
      <c r="F43" s="29" t="n">
        <f aca="false">(F26-E26)</f>
        <v>73252.49168619</v>
      </c>
    </row>
    <row r="44" customFormat="false" ht="15" hidden="false" customHeight="true" outlineLevel="0" collapsed="false">
      <c r="A44" s="12" t="s">
        <v>153</v>
      </c>
      <c r="B44" s="29" t="n">
        <f aca="false">(B27-0)</f>
        <v>78810.816568333</v>
      </c>
      <c r="C44" s="29" t="n">
        <f aca="false">(C27-B27)</f>
        <v>125216.191622475</v>
      </c>
      <c r="D44" s="29" t="n">
        <f aca="false">(D27-C27)</f>
        <v>230655.212097084</v>
      </c>
      <c r="E44" s="29" t="n">
        <f aca="false">(E27-D27)</f>
        <v>56199.9988206081</v>
      </c>
      <c r="F44" s="29" t="n">
        <f aca="false">(F27-E27)</f>
        <v>196352.8876434</v>
      </c>
    </row>
    <row r="45" customFormat="false" ht="15" hidden="false" customHeight="true" outlineLevel="0" collapsed="false">
      <c r="A45" s="12" t="s">
        <v>121</v>
      </c>
      <c r="B45" s="29" t="n">
        <f aca="false">B31-0</f>
        <v>2400000</v>
      </c>
      <c r="C45" s="29" t="n">
        <f aca="false">C31-B31</f>
        <v>0</v>
      </c>
      <c r="D45" s="29" t="n">
        <f aca="false">D31-C31</f>
        <v>0</v>
      </c>
      <c r="E45" s="29" t="n">
        <f aca="false">E31-D31</f>
        <v>0</v>
      </c>
      <c r="F45" s="29" t="n">
        <f aca="false">F31-E31</f>
        <v>0</v>
      </c>
    </row>
    <row r="46" customFormat="false" ht="15" hidden="false" customHeight="true" outlineLevel="0" collapsed="false">
      <c r="A46" s="12" t="s">
        <v>122</v>
      </c>
      <c r="B46" s="26" t="n">
        <f aca="false">SUM(Monthly!B64:M64)</f>
        <v>0</v>
      </c>
      <c r="C46" s="26" t="n">
        <f aca="false">SUM(Monthly!N64:Y64)</f>
        <v>200000</v>
      </c>
      <c r="D46" s="26" t="n">
        <f aca="false">SUM(Monthly!Z64:AK64)</f>
        <v>0</v>
      </c>
      <c r="E46" s="26" t="n">
        <f aca="false">IF(AND(Assumptions!$B$57+Assumptions!$B$59-1&gt;=37,Assumptions!$B$57&lt;=48),Assumptions!$B$56,0)</f>
        <v>0</v>
      </c>
      <c r="F46" s="26" t="n">
        <f aca="false">IF(AND(Assumptions!$B$57+Assumptions!$B$59-1&gt;=49,Assumptions!$B$57&lt;=60),Assumptions!$B$56,0)</f>
        <v>0</v>
      </c>
    </row>
    <row r="47" customFormat="false" ht="15" hidden="false" customHeight="true" outlineLevel="0" collapsed="false">
      <c r="A47" s="12" t="s">
        <v>123</v>
      </c>
      <c r="B47" s="26" t="n">
        <f aca="false">SUM(Monthly!B65:M65)</f>
        <v>0</v>
      </c>
      <c r="C47" s="26" t="n">
        <f aca="false">SUM(Monthly!N65:Y65)</f>
        <v>-100000</v>
      </c>
      <c r="D47" s="26" t="n">
        <f aca="false">SUM(Monthly!Z65:AK65)</f>
        <v>-100000</v>
      </c>
      <c r="E47" s="26" t="n">
        <f aca="false">-IF(AND(Assumptions!$B$57+Assumptions!$B$59-1&gt;=37,Assumptions!$B$57&lt;=48),Assumptions!$B$56/Assumptions!$B$59*12,0)</f>
        <v>-0</v>
      </c>
      <c r="F47" s="26" t="n">
        <f aca="false">-IF(AND(Assumptions!$B$57+Assumptions!$B$59-1&gt;=49,Assumptions!$B$57&lt;=60),Assumptions!$B$56/Assumptions!$B$59*12,0)</f>
        <v>-0</v>
      </c>
    </row>
    <row r="48" customFormat="false" ht="15" hidden="false" customHeight="true" outlineLevel="0" collapsed="false">
      <c r="A48" s="7" t="s">
        <v>124</v>
      </c>
      <c r="B48" s="27" t="n">
        <f aca="false">SUM(B39:B47)</f>
        <v>2109894.81198545</v>
      </c>
      <c r="C48" s="27" t="n">
        <f aca="false">SUM(C39:C47)</f>
        <v>528242.884383435</v>
      </c>
      <c r="D48" s="27" t="n">
        <f aca="false">SUM(D39:D47)</f>
        <v>2046293.17507465</v>
      </c>
      <c r="E48" s="27" t="n">
        <f aca="false">SUM(E39:E47)</f>
        <v>3522536.66399494</v>
      </c>
      <c r="F48" s="27" t="n">
        <f aca="false">SUM(F39:F47)</f>
        <v>4857435.88540702</v>
      </c>
    </row>
    <row r="49" customFormat="false" ht="15" hidden="false" customHeight="true" outlineLevel="0" collapsed="false">
      <c r="A49" s="12" t="s">
        <v>125</v>
      </c>
      <c r="B49" s="26" t="n">
        <f aca="false">Assumptions!$B$7</f>
        <v>0</v>
      </c>
      <c r="C49" s="29" t="n">
        <f aca="false">B21</f>
        <v>2109894.81198545</v>
      </c>
      <c r="D49" s="29" t="n">
        <f aca="false">C21</f>
        <v>2638137.69636889</v>
      </c>
      <c r="E49" s="29" t="n">
        <f aca="false">D21</f>
        <v>4684430.87144354</v>
      </c>
      <c r="F49" s="29" t="n">
        <f aca="false">E21</f>
        <v>8206967.53543848</v>
      </c>
    </row>
    <row r="50" customFormat="false" ht="15" hidden="false" customHeight="true" outlineLevel="0" collapsed="false">
      <c r="A50" s="7" t="s">
        <v>126</v>
      </c>
      <c r="B50" s="27" t="n">
        <f aca="false">B49+B48</f>
        <v>2109894.81198545</v>
      </c>
      <c r="C50" s="27" t="n">
        <f aca="false">C49+C48</f>
        <v>2638137.69636889</v>
      </c>
      <c r="D50" s="27" t="n">
        <f aca="false">D49+D48</f>
        <v>4684430.87144354</v>
      </c>
      <c r="E50" s="27" t="n">
        <f aca="false">E49+E48</f>
        <v>8206967.53543848</v>
      </c>
      <c r="F50" s="27" t="n">
        <f aca="false">F49+F48</f>
        <v>13064403.4208455</v>
      </c>
    </row>
  </sheetData>
  <mergeCells count="5">
    <mergeCell ref="A1:F1"/>
    <mergeCell ref="A2:F2"/>
    <mergeCell ref="A5:F5"/>
    <mergeCell ref="A20:F20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</cols>
  <sheetData>
    <row r="1" customFormat="false" ht="17.25" hidden="false" customHeight="true" outlineLevel="0" collapsed="false">
      <c r="A1" s="20" t="s">
        <v>154</v>
      </c>
      <c r="B1" s="20"/>
      <c r="C1" s="20"/>
      <c r="D1" s="20"/>
    </row>
    <row r="2" customFormat="false" ht="25.5" hidden="false" customHeight="true" outlineLevel="0" collapsed="false">
      <c r="A2" s="11" t="s">
        <v>155</v>
      </c>
      <c r="B2" s="11"/>
      <c r="C2" s="11"/>
      <c r="D2" s="11"/>
    </row>
    <row r="3" customFormat="false" ht="15" hidden="false" customHeight="true" outlineLevel="0" collapsed="false">
      <c r="B3" s="22" t="s">
        <v>130</v>
      </c>
      <c r="C3" s="22" t="s">
        <v>131</v>
      </c>
      <c r="D3" s="22" t="s">
        <v>132</v>
      </c>
    </row>
    <row r="5" customFormat="false" ht="18" hidden="false" customHeight="true" outlineLevel="0" collapsed="false">
      <c r="A5" s="4" t="s">
        <v>156</v>
      </c>
      <c r="B5" s="4"/>
      <c r="C5" s="4"/>
      <c r="D5" s="4"/>
    </row>
    <row r="6" customFormat="false" ht="15" hidden="false" customHeight="true" outlineLevel="0" collapsed="false">
      <c r="A6" s="12" t="s">
        <v>157</v>
      </c>
      <c r="B6" s="26" t="n">
        <f aca="false">SUM(Monthly!B29:M29)</f>
        <v>242950.720652885</v>
      </c>
      <c r="C6" s="26" t="n">
        <f aca="false">SUM(Monthly!N29:Y29)</f>
        <v>845362.775832808</v>
      </c>
      <c r="D6" s="26" t="n">
        <f aca="false">SUM(Monthly!Z29:AK29)</f>
        <v>1900189.23525871</v>
      </c>
    </row>
    <row r="7" customFormat="false" ht="15" hidden="false" customHeight="true" outlineLevel="0" collapsed="false">
      <c r="A7" s="12" t="s">
        <v>158</v>
      </c>
      <c r="B7" s="25" t="n">
        <f aca="false">SUM(Monthly!B7:M7)+SUM(Monthly!B9:M9)</f>
        <v>464.735836108724</v>
      </c>
      <c r="C7" s="25" t="n">
        <f aca="false">SUM(Monthly!N7:Y7)+SUM(Monthly!N9:Y9)</f>
        <v>907.591701974615</v>
      </c>
      <c r="D7" s="25" t="n">
        <f aca="false">SUM(Monthly!Z7:AK7)+SUM(Monthly!Z9:AK9)</f>
        <v>1776.78037695586</v>
      </c>
    </row>
    <row r="8" customFormat="false" ht="15" hidden="false" customHeight="true" outlineLevel="0" collapsed="false">
      <c r="A8" s="7" t="s">
        <v>159</v>
      </c>
      <c r="B8" s="32" t="n">
        <f aca="false">IFERROR(B6/B7,0)</f>
        <v>522.771651713226</v>
      </c>
      <c r="C8" s="32" t="n">
        <f aca="false">IFERROR(C6/C7,0)</f>
        <v>931.435108974204</v>
      </c>
      <c r="D8" s="32" t="n">
        <f aca="false">IFERROR(D6/D7,0)</f>
        <v>1069.45645050082</v>
      </c>
    </row>
    <row r="10" customFormat="false" ht="18" hidden="false" customHeight="true" outlineLevel="0" collapsed="false">
      <c r="A10" s="4" t="s">
        <v>160</v>
      </c>
      <c r="B10" s="4"/>
      <c r="C10" s="4"/>
      <c r="D10" s="4"/>
    </row>
    <row r="11" customFormat="false" ht="15" hidden="false" customHeight="true" outlineLevel="0" collapsed="false">
      <c r="A11" s="12" t="s">
        <v>161</v>
      </c>
      <c r="B11" s="33" t="n">
        <f aca="false">AVERAGE(Monthly!B8:M8)+AVERAGE(Monthly!B10:M10)</f>
        <v>195.474020616183</v>
      </c>
      <c r="C11" s="33" t="n">
        <f aca="false">AVERAGE(Monthly!N8:Y8)+AVERAGE(Monthly!N10:Y10)</f>
        <v>668.086382737317</v>
      </c>
      <c r="D11" s="33" t="n">
        <f aca="false">AVERAGE(Monthly!Z8:AK8)+AVERAGE(Monthly!Z10:AK10)</f>
        <v>1476.96811358802</v>
      </c>
    </row>
    <row r="12" customFormat="false" ht="15" hidden="false" customHeight="true" outlineLevel="0" collapsed="false">
      <c r="A12" s="12" t="s">
        <v>162</v>
      </c>
      <c r="B12" s="34" t="n">
        <f aca="false">(Annual!B6/12)/B11</f>
        <v>414.293282021218</v>
      </c>
      <c r="C12" s="34" t="n">
        <f aca="false">(Annual!C6/12)/C11</f>
        <v>421.783169400512</v>
      </c>
      <c r="D12" s="34" t="n">
        <f aca="false">(Annual!D6/12)/D11</f>
        <v>428.84907664945</v>
      </c>
    </row>
    <row r="13" customFormat="false" ht="15" hidden="false" customHeight="true" outlineLevel="0" collapsed="false">
      <c r="A13" s="12" t="s">
        <v>163</v>
      </c>
      <c r="B13" s="35" t="n">
        <f aca="false">Annual!B9</f>
        <v>0.811854316333709</v>
      </c>
      <c r="C13" s="35" t="n">
        <f aca="false">Annual!C9</f>
        <v>0.812698173070224</v>
      </c>
      <c r="D13" s="35" t="n">
        <f aca="false">Annual!D9</f>
        <v>0.813467241135702</v>
      </c>
    </row>
    <row r="14" customFormat="false" ht="15" hidden="false" customHeight="true" outlineLevel="0" collapsed="false">
      <c r="A14" s="12" t="s">
        <v>164</v>
      </c>
      <c r="B14" s="35" t="n">
        <f aca="false">(Monthly!M8*Assumptions!$B$13+Monthly!M10*Assumptions!$B$21)/(Monthly!M8+Monthly!M10)</f>
        <v>0.0438953263916628</v>
      </c>
      <c r="C14" s="35" t="n">
        <f aca="false">(Monthly!Y8*Assumptions!$B$13+Monthly!Y10*Assumptions!$B$21)/(Monthly!Y8+Monthly!Y10)</f>
        <v>0.0435301123428342</v>
      </c>
      <c r="D14" s="35" t="n">
        <f aca="false">(Monthly!AK8*Assumptions!$B$13+Monthly!AK10*Assumptions!$B$21)/(Monthly!AK8+Monthly!AK10)</f>
        <v>0.043211307189128</v>
      </c>
    </row>
    <row r="15" customFormat="false" ht="15" hidden="false" customHeight="true" outlineLevel="0" collapsed="false">
      <c r="A15" s="7" t="s">
        <v>165</v>
      </c>
      <c r="B15" s="32" t="n">
        <f aca="false">B12*B13/B14</f>
        <v>7662.45103717619</v>
      </c>
      <c r="C15" s="32" t="n">
        <f aca="false">C12*C13/C14</f>
        <v>7874.60433145409</v>
      </c>
      <c r="D15" s="32" t="n">
        <f aca="false">D12*D13/D14</f>
        <v>8073.22661447726</v>
      </c>
    </row>
    <row r="17" customFormat="false" ht="18" hidden="false" customHeight="true" outlineLevel="0" collapsed="false">
      <c r="A17" s="4" t="s">
        <v>166</v>
      </c>
      <c r="B17" s="4"/>
      <c r="C17" s="4"/>
      <c r="D17" s="4"/>
    </row>
    <row r="18" customFormat="false" ht="15" hidden="false" customHeight="true" outlineLevel="0" collapsed="false">
      <c r="A18" s="7" t="s">
        <v>167</v>
      </c>
      <c r="B18" s="36" t="n">
        <f aca="false">IFERROR(B15/B8,0)</f>
        <v>14.6573575901922</v>
      </c>
      <c r="C18" s="36" t="n">
        <f aca="false">IFERROR(C15/C8,0)</f>
        <v>8.4542704645592</v>
      </c>
      <c r="D18" s="36" t="n">
        <f aca="false">IFERROR(D15/D8,0)</f>
        <v>7.54890637266871</v>
      </c>
    </row>
    <row r="19" customFormat="false" ht="15" hidden="false" customHeight="true" outlineLevel="0" collapsed="false">
      <c r="A19" s="7" t="s">
        <v>168</v>
      </c>
      <c r="B19" s="37" t="n">
        <f aca="false">IFERROR(B8/(B12*B13),0)</f>
        <v>1.5542684595492</v>
      </c>
      <c r="C19" s="37" t="n">
        <f aca="false">IFERROR(C8/(C12*C13),0)</f>
        <v>2.71727801232211</v>
      </c>
      <c r="D19" s="37" t="n">
        <f aca="false">IFERROR(D8/(D12*D13),0)</f>
        <v>3.06562166537638</v>
      </c>
    </row>
  </sheetData>
  <mergeCells count="5">
    <mergeCell ref="A1:D1"/>
    <mergeCell ref="A2:D2"/>
    <mergeCell ref="A5:D5"/>
    <mergeCell ref="A10:D10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A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4"/>
  </cols>
  <sheetData>
    <row r="1" customFormat="false" ht="17.25" hidden="false" customHeight="true" outlineLevel="0" collapsed="false">
      <c r="A1" s="20" t="s">
        <v>169</v>
      </c>
      <c r="B1" s="20"/>
      <c r="C1" s="20"/>
      <c r="D1" s="20"/>
      <c r="E1" s="20"/>
      <c r="F1" s="20"/>
      <c r="G1" s="20"/>
    </row>
    <row r="3" customFormat="false" ht="18" hidden="false" customHeight="true" outlineLevel="0" collapsed="false">
      <c r="A3" s="4" t="s">
        <v>170</v>
      </c>
      <c r="B3" s="4"/>
      <c r="C3" s="4"/>
    </row>
    <row r="4" customFormat="false" ht="15" hidden="false" customHeight="true" outlineLevel="0" collapsed="false">
      <c r="A4" s="12" t="s">
        <v>171</v>
      </c>
      <c r="B4" s="26" t="n">
        <f aca="false">Monthly!AK68</f>
        <v>4684430.87144354</v>
      </c>
    </row>
    <row r="5" customFormat="false" ht="15" hidden="false" customHeight="true" outlineLevel="0" collapsed="false">
      <c r="A5" s="12" t="s">
        <v>172</v>
      </c>
      <c r="B5" s="26" t="n">
        <f aca="false">-AVERAGE(Monthly!AI66:AK66)</f>
        <v>-250612.999546665</v>
      </c>
    </row>
    <row r="6" customFormat="false" ht="15" hidden="false" customHeight="true" outlineLevel="0" collapsed="false">
      <c r="A6" s="12" t="s">
        <v>173</v>
      </c>
      <c r="B6" s="38" t="str">
        <f aca="false">IF(B5&lt;=0,"Cash-flow positive",B4/B5)</f>
        <v>Cash-flow positive</v>
      </c>
    </row>
    <row r="7" customFormat="false" ht="15" hidden="false" customHeight="true" outlineLevel="0" collapsed="false">
      <c r="A7" s="12" t="s">
        <v>174</v>
      </c>
      <c r="B7" s="12" t="str">
        <f aca="false">IF(MIN(B47:AK47)=0,"Never within 36 months",MIN(B47:AK47))</f>
        <v>Never within 36 months</v>
      </c>
    </row>
    <row r="9" customFormat="false" ht="18" hidden="false" customHeight="true" outlineLevel="0" collapsed="false">
      <c r="A9" s="4" t="s">
        <v>175</v>
      </c>
      <c r="B9" s="4"/>
      <c r="C9" s="4"/>
    </row>
    <row r="10" customFormat="false" ht="15" hidden="false" customHeight="true" outlineLevel="0" collapsed="false">
      <c r="A10" s="12" t="s">
        <v>176</v>
      </c>
      <c r="B10" s="16" t="n">
        <v>18</v>
      </c>
    </row>
    <row r="11" customFormat="false" ht="15" hidden="false" customHeight="true" outlineLevel="0" collapsed="false">
      <c r="A11" s="7" t="s">
        <v>177</v>
      </c>
      <c r="B11" s="27" t="n">
        <f aca="false">MAX(0,B10*B5-B4)</f>
        <v>0</v>
      </c>
    </row>
    <row r="13" customFormat="false" ht="18" hidden="false" customHeight="true" outlineLevel="0" collapsed="false">
      <c r="A13" s="4" t="s">
        <v>178</v>
      </c>
      <c r="B13" s="4"/>
      <c r="C13" s="4"/>
      <c r="D13" s="4"/>
      <c r="E13" s="4"/>
      <c r="F13" s="4"/>
      <c r="G13" s="4"/>
    </row>
    <row r="14" customFormat="false" ht="61.5" hidden="false" customHeight="true" outlineLevel="0" collapsed="false">
      <c r="A14" s="39" t="s">
        <v>179</v>
      </c>
      <c r="B14" s="39"/>
      <c r="C14" s="39"/>
      <c r="D14" s="39"/>
      <c r="E14" s="39"/>
      <c r="F14" s="39"/>
      <c r="G14" s="39"/>
    </row>
    <row r="15" customFormat="false" ht="15" hidden="false" customHeight="true" outlineLevel="0" collapsed="false">
      <c r="B15" s="40" t="s">
        <v>180</v>
      </c>
      <c r="C15" s="40"/>
      <c r="D15" s="40"/>
      <c r="E15" s="40"/>
      <c r="F15" s="40"/>
      <c r="G15" s="40"/>
    </row>
    <row r="16" customFormat="false" ht="15" hidden="false" customHeight="true" outlineLevel="0" collapsed="false">
      <c r="C16" s="41" t="n">
        <v>0.02</v>
      </c>
      <c r="D16" s="41" t="n">
        <v>0.04</v>
      </c>
      <c r="E16" s="41" t="n">
        <v>0.06</v>
      </c>
      <c r="F16" s="41" t="n">
        <v>0.08</v>
      </c>
      <c r="G16" s="41" t="n">
        <v>0.1</v>
      </c>
    </row>
    <row r="17" customFormat="false" ht="15" hidden="false" customHeight="true" outlineLevel="0" collapsed="false">
      <c r="B17" s="42" t="n">
        <v>0.02</v>
      </c>
      <c r="C17" s="26" t="n">
        <f aca="false">12*(Assumptions!$B$11*(1-$B17)^35*IF(((1+C$16)/(1-$B17))=1,36,(((1+C$16)/(1-$B17))^36-1)/(((1+C$16)/(1-$B17))-1))*Assumptions!$B$14+Assumptions!$B$19*(1-$B17)^35*IF(((1+C$16)/(1-$B17))=1,36,(((1+C$16)/(1-$B17))^36-1)/(((1+C$16)/(1-$B17))-1))*Assumptions!$B$22)</f>
        <v>5342505.90763028</v>
      </c>
      <c r="D17" s="26" t="n">
        <f aca="false">12*(Assumptions!$B$11*(1-$B17)^35*IF(((1+D$16)/(1-$B17))=1,36,(((1+D$16)/(1-$B17))^36-1)/(((1+D$16)/(1-$B17))-1))*Assumptions!$B$14+Assumptions!$B$19*(1-$B17)^35*IF(((1+D$16)/(1-$B17))=1,36,(((1+D$16)/(1-$B17))^36-1)/(((1+D$16)/(1-$B17))-1))*Assumptions!$B$22)</f>
        <v>8284206.04617252</v>
      </c>
      <c r="E17" s="26" t="n">
        <f aca="false">12*(Assumptions!$B$11*(1-$B17)^35*IF(((1+E$16)/(1-$B17))=1,36,(((1+E$16)/(1-$B17))^36-1)/(((1+E$16)/(1-$B17))-1))*Assumptions!$B$14+Assumptions!$B$19*(1-$B17)^35*IF(((1+E$16)/(1-$B17))=1,36,(((1+E$16)/(1-$B17))^36-1)/(((1+E$16)/(1-$B17))-1))*Assumptions!$B$22)</f>
        <v>13151490.7037435</v>
      </c>
      <c r="F17" s="26" t="n">
        <f aca="false">12*(Assumptions!$B$11*(1-$B17)^35*IF(((1+F$16)/(1-$B17))=1,36,(((1+F$16)/(1-$B17))^36-1)/(((1+F$16)/(1-$B17))-1))*Assumptions!$B$14+Assumptions!$B$19*(1-$B17)^35*IF(((1+F$16)/(1-$B17))=1,36,(((1+F$16)/(1-$B17))^36-1)/(((1+F$16)/(1-$B17))-1))*Assumptions!$B$22)</f>
        <v>21257751.3166219</v>
      </c>
      <c r="G17" s="26" t="n">
        <f aca="false">12*(Assumptions!$B$11*(1-$B17)^35*IF(((1+G$16)/(1-$B17))=1,36,(((1+G$16)/(1-$B17))^36-1)/(((1+G$16)/(1-$B17))-1))*Assumptions!$B$14+Assumptions!$B$19*(1-$B17)^35*IF(((1+G$16)/(1-$B17))=1,36,(((1+G$16)/(1-$B17))^36-1)/(((1+G$16)/(1-$B17))-1))*Assumptions!$B$22)</f>
        <v>34811310.7109368</v>
      </c>
    </row>
    <row r="18" customFormat="false" ht="15" hidden="false" customHeight="true" outlineLevel="0" collapsed="false">
      <c r="B18" s="42" t="n">
        <v>0.035</v>
      </c>
      <c r="C18" s="26" t="n">
        <f aca="false">12*(Assumptions!$B$11*(1-$B18)^35*IF(((1+C$16)/(1-$B18))=1,36,(((1+C$16)/(1-$B18))^36-1)/(((1+C$16)/(1-$B18))-1))*Assumptions!$B$14+Assumptions!$B$19*(1-$B18)^35*IF(((1+C$16)/(1-$B18))=1,36,(((1+C$16)/(1-$B18))^36-1)/(((1+C$16)/(1-$B18))-1))*Assumptions!$B$22)</f>
        <v>4399364.76063902</v>
      </c>
      <c r="D18" s="26" t="n">
        <f aca="false">12*(Assumptions!$B$11*(1-$B18)^35*IF(((1+D$16)/(1-$B18))=1,36,(((1+D$16)/(1-$B18))^36-1)/(((1+D$16)/(1-$B18))-1))*Assumptions!$B$14+Assumptions!$B$19*(1-$B18)^35*IF(((1+D$16)/(1-$B18))=1,36,(((1+D$16)/(1-$B18))^36-1)/(((1+D$16)/(1-$B18))-1))*Assumptions!$B$22)</f>
        <v>7004229.17733715</v>
      </c>
      <c r="E18" s="26" t="n">
        <f aca="false">12*(Assumptions!$B$11*(1-$B18)^35*IF(((1+E$16)/(1-$B18))=1,36,(((1+E$16)/(1-$B18))^36-1)/(((1+E$16)/(1-$B18))-1))*Assumptions!$B$14+Assumptions!$B$19*(1-$B18)^35*IF(((1+E$16)/(1-$B18))=1,36,(((1+E$16)/(1-$B18))^36-1)/(((1+E$16)/(1-$B18))-1))*Assumptions!$B$22)</f>
        <v>11372464.019257</v>
      </c>
      <c r="F18" s="26" t="n">
        <f aca="false">12*(Assumptions!$B$11*(1-$B18)^35*IF(((1+F$16)/(1-$B18))=1,36,(((1+F$16)/(1-$B18))^36-1)/(((1+F$16)/(1-$B18))-1))*Assumptions!$B$14+Assumptions!$B$19*(1-$B18)^35*IF(((1+F$16)/(1-$B18))=1,36,(((1+F$16)/(1-$B18))^36-1)/(((1+F$16)/(1-$B18))-1))*Assumptions!$B$22)</f>
        <v>18730782.2364533</v>
      </c>
      <c r="G18" s="26" t="n">
        <f aca="false">12*(Assumptions!$B$11*(1-$B18)^35*IF(((1+G$16)/(1-$B18))=1,36,(((1+G$16)/(1-$B18))^36-1)/(((1+G$16)/(1-$B18))-1))*Assumptions!$B$14+Assumptions!$B$19*(1-$B18)^35*IF(((1+G$16)/(1-$B18))=1,36,(((1+G$16)/(1-$B18))^36-1)/(((1+G$16)/(1-$B18))-1))*Assumptions!$B$22)</f>
        <v>31152756.3766099</v>
      </c>
    </row>
    <row r="19" customFormat="false" ht="15" hidden="false" customHeight="true" outlineLevel="0" collapsed="false">
      <c r="B19" s="42" t="n">
        <v>0.05</v>
      </c>
      <c r="C19" s="26" t="n">
        <f aca="false">12*(Assumptions!$B$11*(1-$B19)^35*IF(((1+C$16)/(1-$B19))=1,36,(((1+C$16)/(1-$B19))^36-1)/(((1+C$16)/(1-$B19))-1))*Assumptions!$B$14+Assumptions!$B$19*(1-$B19)^35*IF(((1+C$16)/(1-$B19))=1,36,(((1+C$16)/(1-$B19))^36-1)/(((1+C$16)/(1-$B19))-1))*Assumptions!$B$22)</f>
        <v>3691082.91341662</v>
      </c>
      <c r="D19" s="26" t="n">
        <f aca="false">12*(Assumptions!$B$11*(1-$B19)^35*IF(((1+D$16)/(1-$B19))=1,36,(((1+D$16)/(1-$B19))^36-1)/(((1+D$16)/(1-$B19))-1))*Assumptions!$B$14+Assumptions!$B$19*(1-$B19)^35*IF(((1+D$16)/(1-$B19))=1,36,(((1+D$16)/(1-$B19))^36-1)/(((1+D$16)/(1-$B19))-1))*Assumptions!$B$22)</f>
        <v>6019199.22671448</v>
      </c>
      <c r="E19" s="26" t="n">
        <f aca="false">12*(Assumptions!$B$11*(1-$B19)^35*IF(((1+E$16)/(1-$B19))=1,36,(((1+E$16)/(1-$B19))^36-1)/(((1+E$16)/(1-$B19))-1))*Assumptions!$B$14+Assumptions!$B$19*(1-$B19)^35*IF(((1+E$16)/(1-$B19))=1,36,(((1+E$16)/(1-$B19))^36-1)/(((1+E$16)/(1-$B19))-1))*Assumptions!$B$22)</f>
        <v>9970862.03575845</v>
      </c>
      <c r="F19" s="26" t="n">
        <f aca="false">12*(Assumptions!$B$11*(1-$B19)^35*IF(((1+F$16)/(1-$B19))=1,36,(((1+F$16)/(1-$B19))^36-1)/(((1+F$16)/(1-$B19))-1))*Assumptions!$B$14+Assumptions!$B$19*(1-$B19)^35*IF(((1+F$16)/(1-$B19))=1,36,(((1+F$16)/(1-$B19))^36-1)/(((1+F$16)/(1-$B19))-1))*Assumptions!$B$22)</f>
        <v>16695774.6099704</v>
      </c>
      <c r="G19" s="26" t="n">
        <f aca="false">12*(Assumptions!$B$11*(1-$B19)^35*IF(((1+G$16)/(1-$B19))=1,36,(((1+G$16)/(1-$B19))^36-1)/(((1+G$16)/(1-$B19))-1))*Assumptions!$B$14+Assumptions!$B$19*(1-$B19)^35*IF(((1+G$16)/(1-$B19))=1,36,(((1+G$16)/(1-$B19))^36-1)/(((1+G$16)/(1-$B19))-1))*Assumptions!$B$22)</f>
        <v>28146885.686309</v>
      </c>
    </row>
    <row r="20" customFormat="false" ht="15" hidden="false" customHeight="true" outlineLevel="0" collapsed="false">
      <c r="B20" s="42" t="n">
        <v>0.065</v>
      </c>
      <c r="C20" s="26" t="n">
        <f aca="false">12*(Assumptions!$B$11*(1-$B20)^35*IF(((1+C$16)/(1-$B20))=1,36,(((1+C$16)/(1-$B20))^36-1)/(((1+C$16)/(1-$B20))-1))*Assumptions!$B$14+Assumptions!$B$19*(1-$B20)^35*IF(((1+C$16)/(1-$B20))=1,36,(((1+C$16)/(1-$B20))^36-1)/(((1+C$16)/(1-$B20))-1))*Assumptions!$B$22)</f>
        <v>3150854.73949779</v>
      </c>
      <c r="D20" s="26" t="n">
        <f aca="false">12*(Assumptions!$B$11*(1-$B20)^35*IF(((1+D$16)/(1-$B20))=1,36,(((1+D$16)/(1-$B20))^36-1)/(((1+D$16)/(1-$B20))-1))*Assumptions!$B$14+Assumptions!$B$19*(1-$B20)^35*IF(((1+D$16)/(1-$B20))=1,36,(((1+D$16)/(1-$B20))^36-1)/(((1+D$16)/(1-$B20))-1))*Assumptions!$B$22)</f>
        <v>5249283.61259479</v>
      </c>
      <c r="E20" s="26" t="n">
        <f aca="false">12*(Assumptions!$B$11*(1-$B20)^35*IF(((1+E$16)/(1-$B20))=1,36,(((1+E$16)/(1-$B20))^36-1)/(((1+E$16)/(1-$B20))-1))*Assumptions!$B$14+Assumptions!$B$19*(1-$B20)^35*IF(((1+E$16)/(1-$B20))=1,36,(((1+E$16)/(1-$B20))^36-1)/(((1+E$16)/(1-$B20))-1))*Assumptions!$B$22)</f>
        <v>8849933.38281264</v>
      </c>
      <c r="F20" s="26" t="n">
        <f aca="false">12*(Assumptions!$B$11*(1-$B20)^35*IF(((1+F$16)/(1-$B20))=1,36,(((1+F$16)/(1-$B20))^36-1)/(((1+F$16)/(1-$B20))-1))*Assumptions!$B$14+Assumptions!$B$19*(1-$B20)^35*IF(((1+F$16)/(1-$B20))=1,36,(((1+F$16)/(1-$B20))^36-1)/(((1+F$16)/(1-$B20))-1))*Assumptions!$B$22)</f>
        <v>15033776.1945813</v>
      </c>
      <c r="G20" s="26" t="n">
        <f aca="false">12*(Assumptions!$B$11*(1-$B20)^35*IF(((1+G$16)/(1-$B20))=1,36,(((1+G$16)/(1-$B20))^36-1)/(((1+G$16)/(1-$B20))-1))*Assumptions!$B$14+Assumptions!$B$19*(1-$B20)^35*IF(((1+G$16)/(1-$B20))=1,36,(((1+G$16)/(1-$B20))^36-1)/(((1+G$16)/(1-$B20))-1))*Assumptions!$B$22)</f>
        <v>25645331.5264516</v>
      </c>
    </row>
    <row r="21" customFormat="false" ht="15" hidden="false" customHeight="true" outlineLevel="0" collapsed="false">
      <c r="B21" s="42" t="n">
        <v>0.08</v>
      </c>
      <c r="C21" s="26" t="n">
        <f aca="false">12*(Assumptions!$B$11*(1-$B21)^35*IF(((1+C$16)/(1-$B21))=1,36,(((1+C$16)/(1-$B21))^36-1)/(((1+C$16)/(1-$B21))-1))*Assumptions!$B$14+Assumptions!$B$19*(1-$B21)^35*IF(((1+C$16)/(1-$B21))=1,36,(((1+C$16)/(1-$B21))^36-1)/(((1+C$16)/(1-$B21))-1))*Assumptions!$B$22)</f>
        <v>2732128.33777597</v>
      </c>
      <c r="D21" s="26" t="n">
        <f aca="false">12*(Assumptions!$B$11*(1-$B21)^35*IF(((1+D$16)/(1-$B21))=1,36,(((1+D$16)/(1-$B21))^36-1)/(((1+D$16)/(1-$B21))-1))*Assumptions!$B$14+Assumptions!$B$19*(1-$B21)^35*IF(((1+D$16)/(1-$B21))=1,36,(((1+D$16)/(1-$B21))^36-1)/(((1+D$16)/(1-$B21))-1))*Assumptions!$B$22)</f>
        <v>4638041.33535613</v>
      </c>
      <c r="E21" s="26" t="n">
        <f aca="false">12*(Assumptions!$B$11*(1-$B21)^35*IF(((1+E$16)/(1-$B21))=1,36,(((1+E$16)/(1-$B21))^36-1)/(((1+E$16)/(1-$B21))-1))*Assumptions!$B$14+Assumptions!$B$19*(1-$B21)^35*IF(((1+E$16)/(1-$B21))=1,36,(((1+E$16)/(1-$B21))^36-1)/(((1+E$16)/(1-$B21))-1))*Assumptions!$B$22)</f>
        <v>7940227.52694187</v>
      </c>
      <c r="F21" s="26" t="n">
        <f aca="false">12*(Assumptions!$B$11*(1-$B21)^35*IF(((1+F$16)/(1-$B21))=1,36,(((1+F$16)/(1-$B21))^36-1)/(((1+F$16)/(1-$B21))-1))*Assumptions!$B$14+Assumptions!$B$19*(1-$B21)^35*IF(((1+F$16)/(1-$B21))=1,36,(((1+F$16)/(1-$B21))^36-1)/(((1+F$16)/(1-$B21))-1))*Assumptions!$B$22)</f>
        <v>13658048.3070911</v>
      </c>
      <c r="G21" s="26" t="n">
        <f aca="false">12*(Assumptions!$B$11*(1-$B21)^35*IF(((1+G$16)/(1-$B21))=1,36,(((1+G$16)/(1-$B21))^36-1)/(((1+G$16)/(1-$B21))-1))*Assumptions!$B$14+Assumptions!$B$19*(1-$B21)^35*IF(((1+G$16)/(1-$B21))=1,36,(((1+G$16)/(1-$B21))^36-1)/(((1+G$16)/(1-$B21))-1))*Assumptions!$B$22)</f>
        <v>23538166.0154711</v>
      </c>
    </row>
    <row r="23" customFormat="false" ht="15" hidden="false" customHeight="true" outlineLevel="0" collapsed="false">
      <c r="A23" s="12" t="s">
        <v>181</v>
      </c>
      <c r="B23" s="26" t="n">
        <f aca="false">Annual!D6</f>
        <v>7600756.94103484</v>
      </c>
    </row>
    <row r="45" customFormat="false" ht="18" hidden="false" customHeight="true" outlineLevel="0" collapsed="false">
      <c r="A45" s="4" t="s">
        <v>182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customFormat="false" ht="15" hidden="false" customHeight="true" outlineLevel="0" collapsed="false">
      <c r="A46" s="43" t="s">
        <v>71</v>
      </c>
      <c r="B46" s="44" t="n">
        <f aca="false">Monthly!B3</f>
        <v>1</v>
      </c>
      <c r="C46" s="44" t="n">
        <f aca="false">Monthly!C3</f>
        <v>2</v>
      </c>
      <c r="D46" s="44" t="n">
        <f aca="false">Monthly!D3</f>
        <v>3</v>
      </c>
      <c r="E46" s="44" t="n">
        <f aca="false">Monthly!E3</f>
        <v>4</v>
      </c>
      <c r="F46" s="44" t="n">
        <f aca="false">Monthly!F3</f>
        <v>5</v>
      </c>
      <c r="G46" s="44" t="n">
        <f aca="false">Monthly!G3</f>
        <v>6</v>
      </c>
      <c r="H46" s="44" t="n">
        <f aca="false">Monthly!H3</f>
        <v>7</v>
      </c>
      <c r="I46" s="44" t="n">
        <f aca="false">Monthly!I3</f>
        <v>8</v>
      </c>
      <c r="J46" s="44" t="n">
        <f aca="false">Monthly!J3</f>
        <v>9</v>
      </c>
      <c r="K46" s="44" t="n">
        <f aca="false">Monthly!K3</f>
        <v>10</v>
      </c>
      <c r="L46" s="44" t="n">
        <f aca="false">Monthly!L3</f>
        <v>11</v>
      </c>
      <c r="M46" s="44" t="n">
        <f aca="false">Monthly!M3</f>
        <v>12</v>
      </c>
      <c r="N46" s="44" t="n">
        <f aca="false">Monthly!N3</f>
        <v>13</v>
      </c>
      <c r="O46" s="44" t="n">
        <f aca="false">Monthly!O3</f>
        <v>14</v>
      </c>
      <c r="P46" s="44" t="n">
        <f aca="false">Monthly!P3</f>
        <v>15</v>
      </c>
      <c r="Q46" s="44" t="n">
        <f aca="false">Monthly!Q3</f>
        <v>16</v>
      </c>
      <c r="R46" s="44" t="n">
        <f aca="false">Monthly!R3</f>
        <v>17</v>
      </c>
      <c r="S46" s="44" t="n">
        <f aca="false">Monthly!S3</f>
        <v>18</v>
      </c>
      <c r="T46" s="44" t="n">
        <f aca="false">Monthly!T3</f>
        <v>19</v>
      </c>
      <c r="U46" s="44" t="n">
        <f aca="false">Monthly!U3</f>
        <v>20</v>
      </c>
      <c r="V46" s="44" t="n">
        <f aca="false">Monthly!V3</f>
        <v>21</v>
      </c>
      <c r="W46" s="44" t="n">
        <f aca="false">Monthly!W3</f>
        <v>22</v>
      </c>
      <c r="X46" s="44" t="n">
        <f aca="false">Monthly!X3</f>
        <v>23</v>
      </c>
      <c r="Y46" s="44" t="n">
        <f aca="false">Monthly!Y3</f>
        <v>24</v>
      </c>
      <c r="Z46" s="44" t="n">
        <f aca="false">Monthly!Z3</f>
        <v>25</v>
      </c>
      <c r="AA46" s="44" t="n">
        <f aca="false">Monthly!AA3</f>
        <v>26</v>
      </c>
      <c r="AB46" s="44" t="n">
        <f aca="false">Monthly!AB3</f>
        <v>27</v>
      </c>
      <c r="AC46" s="44" t="n">
        <f aca="false">Monthly!AC3</f>
        <v>28</v>
      </c>
      <c r="AD46" s="44" t="n">
        <f aca="false">Monthly!AD3</f>
        <v>29</v>
      </c>
      <c r="AE46" s="44" t="n">
        <f aca="false">Monthly!AE3</f>
        <v>30</v>
      </c>
      <c r="AF46" s="44" t="n">
        <f aca="false">Monthly!AF3</f>
        <v>31</v>
      </c>
      <c r="AG46" s="44" t="n">
        <f aca="false">Monthly!AG3</f>
        <v>32</v>
      </c>
      <c r="AH46" s="44" t="n">
        <f aca="false">Monthly!AH3</f>
        <v>33</v>
      </c>
      <c r="AI46" s="44" t="n">
        <f aca="false">Monthly!AI3</f>
        <v>34</v>
      </c>
      <c r="AJ46" s="44" t="n">
        <f aca="false">Monthly!AJ3</f>
        <v>35</v>
      </c>
      <c r="AK46" s="44" t="n">
        <f aca="false">Monthly!AK3</f>
        <v>36</v>
      </c>
    </row>
    <row r="47" customFormat="false" ht="15" hidden="false" customHeight="true" outlineLevel="0" collapsed="false">
      <c r="A47" s="43" t="s">
        <v>183</v>
      </c>
      <c r="B47" s="44" t="str">
        <f aca="false">IF(Monthly!B68&lt;0,Monthly!B3,"")</f>
        <v/>
      </c>
      <c r="C47" s="44" t="str">
        <f aca="false">IF(Monthly!C68&lt;0,Monthly!C3,"")</f>
        <v/>
      </c>
      <c r="D47" s="44" t="str">
        <f aca="false">IF(Monthly!D68&lt;0,Monthly!D3,"")</f>
        <v/>
      </c>
      <c r="E47" s="44" t="str">
        <f aca="false">IF(Monthly!E68&lt;0,Monthly!E3,"")</f>
        <v/>
      </c>
      <c r="F47" s="44" t="str">
        <f aca="false">IF(Monthly!F68&lt;0,Monthly!F3,"")</f>
        <v/>
      </c>
      <c r="G47" s="44" t="str">
        <f aca="false">IF(Monthly!G68&lt;0,Monthly!G3,"")</f>
        <v/>
      </c>
      <c r="H47" s="44" t="str">
        <f aca="false">IF(Monthly!H68&lt;0,Monthly!H3,"")</f>
        <v/>
      </c>
      <c r="I47" s="44" t="str">
        <f aca="false">IF(Monthly!I68&lt;0,Monthly!I3,"")</f>
        <v/>
      </c>
      <c r="J47" s="44" t="str">
        <f aca="false">IF(Monthly!J68&lt;0,Monthly!J3,"")</f>
        <v/>
      </c>
      <c r="K47" s="44" t="str">
        <f aca="false">IF(Monthly!K68&lt;0,Monthly!K3,"")</f>
        <v/>
      </c>
      <c r="L47" s="44" t="str">
        <f aca="false">IF(Monthly!L68&lt;0,Monthly!L3,"")</f>
        <v/>
      </c>
      <c r="M47" s="44" t="str">
        <f aca="false">IF(Monthly!M68&lt;0,Monthly!M3,"")</f>
        <v/>
      </c>
      <c r="N47" s="44" t="str">
        <f aca="false">IF(Monthly!N68&lt;0,Monthly!N3,"")</f>
        <v/>
      </c>
      <c r="O47" s="44" t="str">
        <f aca="false">IF(Monthly!O68&lt;0,Monthly!O3,"")</f>
        <v/>
      </c>
      <c r="P47" s="44" t="str">
        <f aca="false">IF(Monthly!P68&lt;0,Monthly!P3,"")</f>
        <v/>
      </c>
      <c r="Q47" s="44" t="str">
        <f aca="false">IF(Monthly!Q68&lt;0,Monthly!Q3,"")</f>
        <v/>
      </c>
      <c r="R47" s="44" t="str">
        <f aca="false">IF(Monthly!R68&lt;0,Monthly!R3,"")</f>
        <v/>
      </c>
      <c r="S47" s="44" t="str">
        <f aca="false">IF(Monthly!S68&lt;0,Monthly!S3,"")</f>
        <v/>
      </c>
      <c r="T47" s="44" t="str">
        <f aca="false">IF(Monthly!T68&lt;0,Monthly!T3,"")</f>
        <v/>
      </c>
      <c r="U47" s="44" t="str">
        <f aca="false">IF(Monthly!U68&lt;0,Monthly!U3,"")</f>
        <v/>
      </c>
      <c r="V47" s="44" t="str">
        <f aca="false">IF(Monthly!V68&lt;0,Monthly!V3,"")</f>
        <v/>
      </c>
      <c r="W47" s="44" t="str">
        <f aca="false">IF(Monthly!W68&lt;0,Monthly!W3,"")</f>
        <v/>
      </c>
      <c r="X47" s="44" t="str">
        <f aca="false">IF(Monthly!X68&lt;0,Monthly!X3,"")</f>
        <v/>
      </c>
      <c r="Y47" s="44" t="str">
        <f aca="false">IF(Monthly!Y68&lt;0,Monthly!Y3,"")</f>
        <v/>
      </c>
      <c r="Z47" s="44" t="str">
        <f aca="false">IF(Monthly!Z68&lt;0,Monthly!Z3,"")</f>
        <v/>
      </c>
      <c r="AA47" s="44" t="str">
        <f aca="false">IF(Monthly!AA68&lt;0,Monthly!AA3,"")</f>
        <v/>
      </c>
      <c r="AB47" s="44" t="str">
        <f aca="false">IF(Monthly!AB68&lt;0,Monthly!AB3,"")</f>
        <v/>
      </c>
      <c r="AC47" s="44" t="str">
        <f aca="false">IF(Monthly!AC68&lt;0,Monthly!AC3,"")</f>
        <v/>
      </c>
      <c r="AD47" s="44" t="str">
        <f aca="false">IF(Monthly!AD68&lt;0,Monthly!AD3,"")</f>
        <v/>
      </c>
      <c r="AE47" s="44" t="str">
        <f aca="false">IF(Monthly!AE68&lt;0,Monthly!AE3,"")</f>
        <v/>
      </c>
      <c r="AF47" s="44" t="str">
        <f aca="false">IF(Monthly!AF68&lt;0,Monthly!AF3,"")</f>
        <v/>
      </c>
      <c r="AG47" s="44" t="str">
        <f aca="false">IF(Monthly!AG68&lt;0,Monthly!AG3,"")</f>
        <v/>
      </c>
      <c r="AH47" s="44" t="str">
        <f aca="false">IF(Monthly!AH68&lt;0,Monthly!AH3,"")</f>
        <v/>
      </c>
      <c r="AI47" s="44" t="str">
        <f aca="false">IF(Monthly!AI68&lt;0,Monthly!AI3,"")</f>
        <v/>
      </c>
      <c r="AJ47" s="44" t="str">
        <f aca="false">IF(Monthly!AJ68&lt;0,Monthly!AJ3,"")</f>
        <v/>
      </c>
      <c r="AK47" s="44" t="str">
        <f aca="false">IF(Monthly!AK68&lt;0,Monthly!AK3,"")</f>
        <v/>
      </c>
    </row>
  </sheetData>
  <mergeCells count="7">
    <mergeCell ref="A1:G1"/>
    <mergeCell ref="A3:C3"/>
    <mergeCell ref="A9:C9"/>
    <mergeCell ref="A13:G13"/>
    <mergeCell ref="A14:G14"/>
    <mergeCell ref="B15:G15"/>
    <mergeCell ref="A45:AK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A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</cols>
  <sheetData>
    <row r="1" customFormat="false" ht="17.25" hidden="false" customHeight="true" outlineLevel="0" collapsed="false">
      <c r="A1" s="10" t="s">
        <v>184</v>
      </c>
    </row>
    <row r="3" customFormat="false" ht="15" hidden="false" customHeight="true" outlineLevel="0" collapsed="false">
      <c r="A3" s="7" t="s">
        <v>185</v>
      </c>
    </row>
    <row r="21" customFormat="false" ht="15" hidden="false" customHeight="true" outlineLevel="0" collapsed="false">
      <c r="A21" s="7" t="s">
        <v>186</v>
      </c>
    </row>
    <row r="39" customFormat="false" ht="15" hidden="false" customHeight="true" outlineLevel="0" collapsed="false">
      <c r="A39" s="7" t="s">
        <v>187</v>
      </c>
    </row>
    <row r="57" customFormat="false" ht="15" hidden="false" customHeight="true" outlineLevel="0" collapsed="false">
      <c r="A57" s="7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2026-09-17T08:44:42Z</dcterms:created>
  <dc:creator>Numbersmith</dc:creator>
  <dc:description/>
  <dc:language>en-US</dc:language>
  <cp:lastModifiedBy/>
  <dcterms:modified xsi:type="dcterms:W3CDTF">2026-09-18T13:07:43Z</dcterms:modified>
  <cp:revision>1</cp:revision>
  <dc:subject>3-statement, driver-based startup financial model</dc:subject>
  <dc:title>Numbersmith Startup Financial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