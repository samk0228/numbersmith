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olors2.xml" ContentType="application/vnd.ms-office.chartcolorstyle+xml"/>
  <Override PartName="/xl/charts/style1.xml" ContentType="application/vnd.ms-office.chartstyle+xml"/>
  <Override PartName="/xl/charts/style4.xml" ContentType="application/vnd.ms-office.chartstyle+xml"/>
  <Override PartName="/xl/charts/colors3.xml" ContentType="application/vnd.ms-office.chartcolor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up" sheetId="2" state="visible" r:id="rId4"/>
    <sheet name="Transactions" sheetId="3" state="visible" r:id="rId5"/>
    <sheet name="Monthly Budget" sheetId="4" state="visible" r:id="rId6"/>
    <sheet name="Net Worth" sheetId="5" state="visible" r:id="rId7"/>
    <sheet name="Debt Payoff" sheetId="6" state="visible" r:id="rId8"/>
    <sheet name="Dashboard" sheetId="7" state="visible" r:id="rId9"/>
    <sheet name="Payoff Schedule" sheetId="8" state="visible" r:id="rId10"/>
  </sheets>
  <definedNames>
    <definedName function="false" hidden="false" localSheetId="7" name="_xlnm.Print_Area" vbProcedure="false">'Payoff Schedule'!$A$1:$V$62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Numbersmith</author>
  </authors>
  <commentList>
    <comment ref="A22" authorId="0">
      <text>
        <r>
          <rPr>
            <sz val="10"/>
            <rFont val="Arial"/>
            <family val="2"/>
          </rPr>
          <t xml:space="preserve">This row feeds Total Income into Monthly Budget and into the Transactions category dropdown. Keep the category name as Income.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<sst xmlns="http://schemas.openxmlformats.org/spreadsheetml/2006/main" count="537" uniqueCount="252">
  <si>
    <t xml:space="preserve">Numbersmith - Annual Budget and Net Worth Tracker</t>
  </si>
  <si>
    <t xml:space="preserve">A friendly, formula-open workbook for planning a household budget, tracking spending, and watching net worth grow over a year.</t>
  </si>
  <si>
    <t xml:space="preserve">HOW TO USE THIS WORKBOOK, 5 STEPS</t>
  </si>
  <si>
    <t xml:space="preserve">1.</t>
  </si>
  <si>
    <t xml:space="preserve">Open Setup and enter your income sources, expense budgets by category, savings rate target, and starting cash and month.</t>
  </si>
  <si>
    <t xml:space="preserve">2.</t>
  </si>
  <si>
    <t xml:space="preserve">Log every purchase on Transactions. Pick a category from the dropdown, and the date fills in the Month and Year helper columns on its own.</t>
  </si>
  <si>
    <t xml:space="preserve">3.</t>
  </si>
  <si>
    <t xml:space="preserve">Open Monthly Budget to see Budget versus Actual for every category, filled in automatically from your Transactions log. A red cell means that category went over budget that month.</t>
  </si>
  <si>
    <t xml:space="preserve">4.</t>
  </si>
  <si>
    <t xml:space="preserve">Update Net Worth once a month with your account balances: cash, savings, investments, retirement, home, vehicles, and loans. Net worth and the month-over-month change calculate on their own.</t>
  </si>
  <si>
    <t xml:space="preserve">5.</t>
  </si>
  <si>
    <t xml:space="preserve">Use Debt Payoff to compare the avalanche and snowball payoff order (Payoff Schedule has the month-by-month rollover), then check Dashboard for a one-page view of income versus expenses, spending by category, net worth, and savings rate.</t>
  </si>
  <si>
    <t xml:space="preserve">COLOR LEGEND</t>
  </si>
  <si>
    <t xml:space="preserve">Blue text = you type this (an input).</t>
  </si>
  <si>
    <t xml:space="preserve">Black text = calculated automatically. Do not overwrite it, or the formula is lost.</t>
  </si>
  <si>
    <t xml:space="preserve">WHAT IS INSIDE</t>
  </si>
  <si>
    <t xml:space="preserve">• Setup - income sources, expense budgets by grouped category, savings rate target, and starting cash and month.</t>
  </si>
  <si>
    <t xml:space="preserve">• Monthly Budget - Budget, Actual, and Difference for every category across all 12 months, plus income, expenses, net, savings rate, and a year-to-date column.</t>
  </si>
  <si>
    <t xml:space="preserve">• Transactions - a 500-row log with a category dropdown. This is the only place you type your spending; Monthly Budget reads from it automatically.</t>
  </si>
  <si>
    <t xml:space="preserve">• Net Worth - assets and liabilities by month, with net worth and month-over-month change calculated for you.</t>
  </si>
  <si>
    <t xml:space="preserve">• Debt Payoff and Payoff Schedule - up to 6 debts compared under the avalanche and snowball strategies, with a month-by-month rollover plan showing when you are debt-free and the total interest under each.</t>
  </si>
  <si>
    <t xml:space="preserve">• Dashboard - one page of charts: income versus expenses, spending by category, net worth over the year, and savings rate versus your target.</t>
  </si>
  <si>
    <t xml:space="preserve">This workbook is for personal planning only. It is not tax, legal, or investment advice.</t>
  </si>
  <si>
    <t xml:space="preserve">Built by Numbersmith with AI assistance. Formulas are open, nothing is hidden or locked.</t>
  </si>
  <si>
    <t xml:space="preserve">For education and planning only, not financial advice.</t>
  </si>
  <si>
    <t xml:space="preserve">Setup</t>
  </si>
  <si>
    <t xml:space="preserve">Type your numbers here. Every other tab reads from this one.</t>
  </si>
  <si>
    <t xml:space="preserve">INCOME SOURCES (up to 6)</t>
  </si>
  <si>
    <t xml:space="preserve">Source Name</t>
  </si>
  <si>
    <t xml:space="preserve">Expected Monthly Amount</t>
  </si>
  <si>
    <t xml:space="preserve">Primary Job Salary</t>
  </si>
  <si>
    <t xml:space="preserve">Side Freelance Income</t>
  </si>
  <si>
    <t xml:space="preserve">Total Monthly Income</t>
  </si>
  <si>
    <t xml:space="preserve">SAVINGS TARGET AND STARTING BALANCES</t>
  </si>
  <si>
    <t xml:space="preserve">Savings rate target (percent of income)</t>
  </si>
  <si>
    <t xml:space="preserve">Starting cash</t>
  </si>
  <si>
    <t xml:space="preserve">Starting month</t>
  </si>
  <si>
    <t xml:space="preserve">EXPENSE CATEGORIES, GROUPED (up to 25, plus Income)</t>
  </si>
  <si>
    <t xml:space="preserve">Category</t>
  </si>
  <si>
    <t xml:space="preserve">Group</t>
  </si>
  <si>
    <t xml:space="preserve">Monthly Budget</t>
  </si>
  <si>
    <t xml:space="preserve">Income</t>
  </si>
  <si>
    <t xml:space="preserve">Rent or Mortgage</t>
  </si>
  <si>
    <t xml:space="preserve">Housing</t>
  </si>
  <si>
    <t xml:space="preserve">Electric and Gas</t>
  </si>
  <si>
    <t xml:space="preserve">Internet and Phone</t>
  </si>
  <si>
    <t xml:space="preserve">Car Payment</t>
  </si>
  <si>
    <t xml:space="preserve">Transport</t>
  </si>
  <si>
    <t xml:space="preserve">Fuel</t>
  </si>
  <si>
    <t xml:space="preserve">Public Transit and Rideshare</t>
  </si>
  <si>
    <t xml:space="preserve">Groceries</t>
  </si>
  <si>
    <t xml:space="preserve">Food</t>
  </si>
  <si>
    <t xml:space="preserve">Dining Out</t>
  </si>
  <si>
    <t xml:space="preserve">Health Insurance</t>
  </si>
  <si>
    <t xml:space="preserve">Insurance</t>
  </si>
  <si>
    <t xml:space="preserve">Auto Insurance</t>
  </si>
  <si>
    <t xml:space="preserve">Life Insurance</t>
  </si>
  <si>
    <t xml:space="preserve">Credit Card Payment</t>
  </si>
  <si>
    <t xml:space="preserve">Debt</t>
  </si>
  <si>
    <t xml:space="preserve">Student Loan Payment</t>
  </si>
  <si>
    <t xml:space="preserve">Emergency Fund</t>
  </si>
  <si>
    <t xml:space="preserve">Savings and Investing</t>
  </si>
  <si>
    <t xml:space="preserve">Retirement 401k or IRA</t>
  </si>
  <si>
    <t xml:space="preserve">Brokerage Investing</t>
  </si>
  <si>
    <t xml:space="preserve">Entertainment</t>
  </si>
  <si>
    <t xml:space="preserve">Personal</t>
  </si>
  <si>
    <t xml:space="preserve">Subscriptions</t>
  </si>
  <si>
    <t xml:space="preserve">Personal Care</t>
  </si>
  <si>
    <t xml:space="preserve">Clothing</t>
  </si>
  <si>
    <t xml:space="preserve">Gifts and Donations</t>
  </si>
  <si>
    <t xml:space="preserve">Other</t>
  </si>
  <si>
    <t xml:space="preserve">Miscellaneous</t>
  </si>
  <si>
    <t xml:space="preserve">Total Monthly Expense Budget</t>
  </si>
  <si>
    <t xml:space="preserve">Sample data describes a fictional household earning about $7,800 a month. Replace every blue cell with your own numbers.</t>
  </si>
  <si>
    <t xml:space="preserve">Transactions</t>
  </si>
  <si>
    <t xml:space="preserve">Log every purchase and deposit here. Category comes from a dropdown; Month and Year fill in on their own. Monthly Budget reads Actual figures straight from this log.</t>
  </si>
  <si>
    <t xml:space="preserve">Date</t>
  </si>
  <si>
    <t xml:space="preserve">Description</t>
  </si>
  <si>
    <t xml:space="preserve">Amount</t>
  </si>
  <si>
    <t xml:space="preserve">Notes</t>
  </si>
  <si>
    <t xml:space="preserve">Month (auto)</t>
  </si>
  <si>
    <t xml:space="preserve">Year (auto)</t>
  </si>
  <si>
    <t xml:space="preserve">Primary job paycheck</t>
  </si>
  <si>
    <t xml:space="preserve">Direct deposit</t>
  </si>
  <si>
    <t xml:space="preserve">Rent payment</t>
  </si>
  <si>
    <t xml:space="preserve">Autopay</t>
  </si>
  <si>
    <t xml:space="preserve">401k contribution</t>
  </si>
  <si>
    <t xml:space="preserve">Payroll deferral</t>
  </si>
  <si>
    <t xml:space="preserve">Health insurance premium</t>
  </si>
  <si>
    <t xml:space="preserve">Payroll deduction</t>
  </si>
  <si>
    <t xml:space="preserve">Transfer to emergency savings</t>
  </si>
  <si>
    <t xml:space="preserve">Automatic transfer</t>
  </si>
  <si>
    <t xml:space="preserve">Auto loan payment</t>
  </si>
  <si>
    <t xml:space="preserve">Internet and phone bill</t>
  </si>
  <si>
    <t xml:space="preserve">Electric and gas bill</t>
  </si>
  <si>
    <t xml:space="preserve">Streaming and software subscriptions</t>
  </si>
  <si>
    <t xml:space="preserve">Debit card</t>
  </si>
  <si>
    <t xml:space="preserve">Grocery shopping</t>
  </si>
  <si>
    <t xml:space="preserve">Student loan payment</t>
  </si>
  <si>
    <t xml:space="preserve">Gas station fill-up</t>
  </si>
  <si>
    <t xml:space="preserve">Freelance client payment</t>
  </si>
  <si>
    <t xml:space="preserve">Credit card statement balance</t>
  </si>
  <si>
    <t xml:space="preserve">Life insurance premium</t>
  </si>
  <si>
    <t xml:space="preserve">Haircut and personal care</t>
  </si>
  <si>
    <t xml:space="preserve">Charitable donation</t>
  </si>
  <si>
    <t xml:space="preserve">Credit card</t>
  </si>
  <si>
    <t xml:space="preserve">Freelance client payment plus bonus project</t>
  </si>
  <si>
    <t xml:space="preserve">Movie night</t>
  </si>
  <si>
    <t xml:space="preserve">Auto insurance premium</t>
  </si>
  <si>
    <t xml:space="preserve">Restaurant</t>
  </si>
  <si>
    <t xml:space="preserve">Rideshare and transit passes</t>
  </si>
  <si>
    <t xml:space="preserve">Miscellaneous purchase</t>
  </si>
  <si>
    <t xml:space="preserve">New work clothes</t>
  </si>
  <si>
    <t xml:space="preserve">Brokerage account transfer</t>
  </si>
  <si>
    <t xml:space="preserve">Budget pulls straight from Setup. Actual pulls straight from Transactions. Nothing on this tab needs to be typed.</t>
  </si>
  <si>
    <t xml:space="preserve">Line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</si>
  <si>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</si>
  <si>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</si>
  <si>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</si>
  <si>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</si>
  <si>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</si>
  <si>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</si>
  <si>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</si>
  <si>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</si>
  <si>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</si>
  <si>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</si>
  <si>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</si>
  <si>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</si>
  <si>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YTD</t>
  </si>
  <si>
    <t xml:space="preserve">Budget</t>
  </si>
  <si>
    <t xml:space="preserve">Actual</t>
  </si>
  <si>
    <t xml:space="preserve">Difference</t>
  </si>
  <si>
    <t xml:space="preserve">HOUSING</t>
  </si>
  <si>
    <t xml:space="preserve">Housing Total</t>
  </si>
  <si>
    <t xml:space="preserve">TRANSPORT</t>
  </si>
  <si>
    <t xml:space="preserve">Transport Total</t>
  </si>
  <si>
    <t xml:space="preserve">FOOD</t>
  </si>
  <si>
    <t xml:space="preserve">Food Total</t>
  </si>
  <si>
    <t xml:space="preserve">INSURANCE</t>
  </si>
  <si>
    <t xml:space="preserve">Insurance Total</t>
  </si>
  <si>
    <t xml:space="preserve">DEBT</t>
  </si>
  <si>
    <t xml:space="preserve">Debt Total</t>
  </si>
  <si>
    <t xml:space="preserve">SAVINGS AND INVESTING</t>
  </si>
  <si>
    <t xml:space="preserve">Savings and Investing Total</t>
  </si>
  <si>
    <t xml:space="preserve">PERSONAL</t>
  </si>
  <si>
    <t xml:space="preserve">Personal Total</t>
  </si>
  <si>
    <t xml:space="preserve">OTHER</t>
  </si>
  <si>
    <t xml:space="preserve">Other Total</t>
  </si>
  <si>
    <t xml:space="preserve">SUMMARY</t>
  </si>
  <si>
    <t xml:space="preserve">Total Expenses</t>
  </si>
  <si>
    <t xml:space="preserve">Net (Income minus Expenses), Budget</t>
  </si>
  <si>
    <t xml:space="preserve">Net (Income minus Expenses), Actual</t>
  </si>
  <si>
    <t xml:space="preserve">Savings Rate, Budget</t>
  </si>
  <si>
    <t xml:space="preserve">Savings Rate, Actual</t>
  </si>
  <si>
    <t xml:space="preserve">Savings Rate Target</t>
  </si>
  <si>
    <t xml:space="preserve">Red Actual cells mean that category went over budget for the month. Budget and Actual figures for Income do not trigger the red highlight.</t>
  </si>
  <si>
    <t xml:space="preserve">Net Worth</t>
  </si>
  <si>
    <t xml:space="preserve">Type each account balance at month end. Totals, net worth, and month-over-month change calculate on their own.</t>
  </si>
  <si>
    <t xml:space="preserve">ASSETS</t>
  </si>
  <si>
    <t xml:space="preserve">Cash</t>
  </si>
  <si>
    <t xml:space="preserve">Savings</t>
  </si>
  <si>
    <t xml:space="preserve">Investments (brokerage)</t>
  </si>
  <si>
    <t xml:space="preserve">Retirement (401k or IRA)</t>
  </si>
  <si>
    <t xml:space="preserve">Home Value</t>
  </si>
  <si>
    <t xml:space="preserve">Vehicles</t>
  </si>
  <si>
    <t xml:space="preserve">Other Assets</t>
  </si>
  <si>
    <t xml:space="preserve">Total Assets</t>
  </si>
  <si>
    <t xml:space="preserve">LIABILITIES</t>
  </si>
  <si>
    <t xml:space="preserve">Mortgage Balance</t>
  </si>
  <si>
    <t xml:space="preserve">Auto Loan Balance</t>
  </si>
  <si>
    <t xml:space="preserve">Student Loan Balance</t>
  </si>
  <si>
    <t xml:space="preserve">Credit Card Balance</t>
  </si>
  <si>
    <t xml:space="preserve">Other Liabilities</t>
  </si>
  <si>
    <t xml:space="preserve">Total Liabilities</t>
  </si>
  <si>
    <t xml:space="preserve">Month-over-Month Change</t>
  </si>
  <si>
    <t xml:space="preserve">Sample balances describe the same fictional household earning about $7,800 a month. Replace every blue cell with your own account balances.</t>
  </si>
  <si>
    <t xml:space="preserve">Debt Payoff</t>
  </si>
  <si>
    <t xml:space="preserve">Compare paying debts fastest by highest interest rate (avalanche) against smallest balance first (snowball).</t>
  </si>
  <si>
    <t xml:space="preserve">DEBTS (up to 6)</t>
  </si>
  <si>
    <t xml:space="preserve">Debt Name</t>
  </si>
  <si>
    <t xml:space="preserve">Balance</t>
  </si>
  <si>
    <t xml:space="preserve">Annual Rate %</t>
  </si>
  <si>
    <t xml:space="preserve">Minimum Payment</t>
  </si>
  <si>
    <t xml:space="preserve">Avalanche Rank</t>
  </si>
  <si>
    <t xml:space="preserve">Snowball Rank</t>
  </si>
  <si>
    <t xml:space="preserve">Credit Card A</t>
  </si>
  <si>
    <t xml:space="preserve">Credit Card B</t>
  </si>
  <si>
    <t xml:space="preserve">Auto Loan</t>
  </si>
  <si>
    <t xml:space="preserve">Student Loan</t>
  </si>
  <si>
    <t xml:space="preserve">Personal Loan</t>
  </si>
  <si>
    <t xml:space="preserve">Extra Monthly Payment (goes to the top-ranked debt in each strategy)</t>
  </si>
  <si>
    <t xml:space="preserve">Avalanche Strategy (highest interest rate first)</t>
  </si>
  <si>
    <t xml:space="preserve">Payment Used</t>
  </si>
  <si>
    <t xml:space="preserve">Months to Payoff</t>
  </si>
  <si>
    <t xml:space="preserve">Total Interest Paid</t>
  </si>
  <si>
    <t xml:space="preserve">Rollover Payoff Month</t>
  </si>
  <si>
    <t xml:space="preserve">Avalanche Strategy (highest interest rate first) Totals</t>
  </si>
  <si>
    <t xml:space="preserve">Snowball Strategy (smallest balance first)</t>
  </si>
  <si>
    <t xml:space="preserve">Snowball Strategy (smallest balance first) Totals</t>
  </si>
  <si>
    <t xml:space="preserve">Interest Saved by Using Avalanche Instead of Snowball</t>
  </si>
  <si>
    <t xml:space="preserve">The two tables above treat each debt on its own: its minimum, plus the extra on the top-ranked debt, so they are a quick comparison and their totals do not include rollover.</t>
  </si>
  <si>
    <t xml:space="preserve">The Rollover Plan below and the Payoff Schedule tab run the full month-by-month plan, where a paid-off debt's payment rolls into the next debt in line. Use those numbers for your real timeline.</t>
  </si>
  <si>
    <t xml:space="preserve">Rollover Plan (from the Payoff Schedule tab)</t>
  </si>
  <si>
    <t xml:space="preserve">Avalanche</t>
  </si>
  <si>
    <t xml:space="preserve">Snowball</t>
  </si>
  <si>
    <t xml:space="preserve">Avalanche minus Snowball</t>
  </si>
  <si>
    <t xml:space="preserve">Total paid each month</t>
  </si>
  <si>
    <t xml:space="preserve">Debt-free in month</t>
  </si>
  <si>
    <t xml:space="preserve">Total interest paid</t>
  </si>
  <si>
    <t xml:space="preserve">Total paid</t>
  </si>
  <si>
    <t xml:space="preserve">Balance left after 30 years (0 = paid off)</t>
  </si>
  <si>
    <t xml:space="preserve">Dashboard</t>
  </si>
  <si>
    <t xml:space="preserve">A one-page view, built from the Monthly Budget and Net Worth tabs. Nothing here needs to be typed.</t>
  </si>
  <si>
    <t xml:space="preserve">Category Group</t>
  </si>
  <si>
    <t xml:space="preserve">YTD Actual Spending</t>
  </si>
  <si>
    <t xml:space="preserve">Chart data above is calculated automatically. Leave it as is.</t>
  </si>
  <si>
    <t xml:space="preserve">Payoff Schedule</t>
  </si>
  <si>
    <t xml:space="preserve">Month-by-month rollover for both strategies. Every debt gets its minimum, the extra plus each freed-up minimum goes to the top-ranked open debt, and any overflow cascades down the order.</t>
  </si>
  <si>
    <t xml:space="preserve">PAYOFF ORDER (ties broken by input order)</t>
  </si>
  <si>
    <t xml:space="preserve">Avalanche Order</t>
  </si>
  <si>
    <t xml:space="preserve">Snowball Order</t>
  </si>
  <si>
    <t xml:space="preserve">AVALANCHE ROLLOVER (highest interest rate first)</t>
  </si>
  <si>
    <t xml:space="preserve">SNOWBALL ROLLOVER (smallest balance first)</t>
  </si>
  <si>
    <t xml:space="preserve">Debt (in payoff order)</t>
  </si>
  <si>
    <t xml:space="preserve">Monthly rate</t>
  </si>
  <si>
    <t xml:space="preserve">Minimum payment</t>
  </si>
  <si>
    <t xml:space="preserve">Starting balance</t>
  </si>
  <si>
    <t xml:space="preserve">Paid off in month</t>
  </si>
  <si>
    <t xml:space="preserve">Total paid each month (all minimums + extra)</t>
  </si>
  <si>
    <t xml:space="preserve">Left after month 360 (0 = paid off)</t>
  </si>
  <si>
    <t xml:space="preserve">Month</t>
  </si>
  <si>
    <t xml:space="preserve">Balance 1</t>
  </si>
  <si>
    <t xml:space="preserve">Balance 2</t>
  </si>
  <si>
    <t xml:space="preserve">Balance 3</t>
  </si>
  <si>
    <t xml:space="preserve">Balance 4</t>
  </si>
  <si>
    <t xml:space="preserve">Balance 5</t>
  </si>
  <si>
    <t xml:space="preserve">Balance 6</t>
  </si>
  <si>
    <t xml:space="preserve">Minimum 1</t>
  </si>
  <si>
    <t xml:space="preserve">Minimum 2</t>
  </si>
  <si>
    <t xml:space="preserve">Minimum 3</t>
  </si>
  <si>
    <t xml:space="preserve">Minimum 4</t>
  </si>
  <si>
    <t xml:space="preserve">Minimum 5</t>
  </si>
  <si>
    <t xml:space="preserve">Minimum 6</t>
  </si>
  <si>
    <t xml:space="preserve">Extra pool</t>
  </si>
  <si>
    <t xml:space="preserve">Payment 1</t>
  </si>
  <si>
    <t xml:space="preserve">Payment 2</t>
  </si>
  <si>
    <t xml:space="preserve">Payment 3</t>
  </si>
  <si>
    <t xml:space="preserve">Payment 4</t>
  </si>
  <si>
    <t xml:space="preserve">Payment 5</t>
  </si>
  <si>
    <t xml:space="preserve">Payment 6</t>
  </si>
  <si>
    <t xml:space="preserve">Total balance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</si>
</sst>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"/>
    <numFmt numFmtId="166" formatCode="0.0%"/>
    <numFmt numFmtId="167" formatCode="mmm\ yyyy"/>
    <numFmt numFmtId="168" formatCode="mm/dd/yyyy"/>
    <numFmt numFmtId="169" formatCode="\$#,##0.00;&quot;($&quot;#,##0.00\)"/>
    <numFmt numFmtId="170" formatCode="0.00%"/>
    <numFmt numFmtId="171" formatCode="0.00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.5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.5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2"/>
    </font>
    <font>
      <i val="true"/>
      <sz val="8.5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C6494"/>
      </patternFill>
    </fill>
    <fill>
      <patternFill patternType="solid">
        <fgColor rgb="FFDCE6FF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</dxfs>
  <colors>
    <indexedColors>
      <rgbColor rgb="FF000000"/>
      <rgbColor rgb="FFFFFFFF"/>
      <rgbColor rgb="FFC07332"/>
      <rgbColor rgb="FF89A54E"/>
      <rgbColor rgb="FF0000FF"/>
      <rgbColor rgb="FFF6C4AE"/>
      <rgbColor rgb="FFCC8F8E"/>
      <rgbColor rgb="FF7C9AC6"/>
      <rgbColor rgb="FF9C0006"/>
      <rgbColor rgb="FF006100"/>
      <rgbColor rgb="FFF5A574"/>
      <rgbColor rgb="FF799245"/>
      <rgbColor rgb="FFC77978"/>
      <rgbColor rgb="FF4571A7"/>
      <rgbColor rgb="FFC1B8CE"/>
      <rgbColor rgb="FF878787"/>
      <rgbColor rgb="FF91A8CD"/>
      <rgbColor rgb="FF963D3A"/>
      <rgbColor rgb="FFF2F2F2"/>
      <rgbColor rgb="FFDCE6FF"/>
      <rgbColor rgb="FFDC853E"/>
      <rgbColor rgb="FFE78C41"/>
      <rgbColor rgb="FF3C6494"/>
      <rgbColor rgb="FFD9D9D9"/>
      <rgbColor rgb="FFF5B089"/>
      <rgbColor rgb="FFD09493"/>
      <rgbColor rgb="FFAEC785"/>
      <rgbColor rgb="FFB3C2DA"/>
      <rgbColor rgb="FFCA7E7D"/>
      <rgbColor rgb="FFC27637"/>
      <rgbColor rgb="FF4098B0"/>
      <rgbColor rgb="FFFFC7CE"/>
      <rgbColor rgb="FF7FBBD0"/>
      <rgbColor rgb="FFCCDAB7"/>
      <rgbColor rgb="FFC6EFCE"/>
      <rgbColor rgb="FFC7D6B1"/>
      <rgbColor rgb="FFB3D3DF"/>
      <rgbColor rgb="FFD9B0B0"/>
      <rgbColor rgb="FFDDB5B5"/>
      <rgbColor rgb="FFFACAB4"/>
      <rgbColor rgb="FF4777B1"/>
      <rgbColor rgb="FF44A0B8"/>
      <rgbColor rgb="FF90AE52"/>
      <rgbColor rgb="FFF8AA7A"/>
      <rgbColor rgb="FFE5883B"/>
      <rgbColor rgb="FFDB8238"/>
      <rgbColor rgb="FF775D97"/>
      <rgbColor rgb="FF9C8BB3"/>
      <rgbColor rgb="FF1F3864"/>
      <rgbColor rgb="FF39869B"/>
      <rgbColor rgb="FF4F81BD"/>
      <rgbColor rgb="FF725890"/>
      <rgbColor rgb="FFB34A48"/>
      <rgbColor rgb="FFAD4642"/>
      <rgbColor rgb="FF644D7E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Income vs Expenses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"Income (Actual)"</c:f>
              <c:strCache>
                <c:ptCount val="1"/>
                <c:pt idx="0">
                  <c:v>Income (Actual)</c:v>
                </c:pt>
              </c:strCache>
            </c:strRef>
          </c:tx>
          <c:spPr>
            <a:solidFill>
              <a:srgbClr val="3E6595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Budget'!$C$6</c:f>
              <c:numCache>
                <c:formatCode>\$#,##0;"($"#,##0\)</c:formatCode>
                <c:ptCount val="1"/>
                <c:pt idx="0">
                  <c:v>7800</c:v>
                </c:pt>
              </c:numCache>
            </c:numRef>
          </c:val>
        </c:ser>
        <c:ser>
          <c:idx val="1"/>
          <c:order val="1"/>
          <c:tx>
            <c:strRef>
              <c:f>"Expenses (Actual)"</c:f>
              <c:strCache>
                <c:ptCount val="1"/>
                <c:pt idx="0">
                  <c:v>Expenses (Actual)</c:v>
                </c:pt>
              </c:strCache>
            </c:strRef>
          </c:tx>
          <c:spPr>
            <a:solidFill>
              <a:srgbClr val="973F3C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Budget'!$D$6</c:f>
              <c:numCache>
                <c:formatCode>\$#,##0;"($"#,##0\)</c:formatCode>
                <c:ptCount val="1"/>
                <c:pt idx="0">
                  <c:v>7950</c:v>
                </c:pt>
              </c:numCache>
            </c:numRef>
          </c:val>
        </c:ser>
        <c:ser>
          <c:idx val="2"/>
          <c:order val="2"/>
          <c:spPr>
            <a:solidFill>
              <a:srgbClr val="7A9346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Budget'!$E$6</c:f>
              <c:numCache>
                <c:formatCode>\$#,##0;"($"#,##0\)</c:formatCode>
                <c:ptCount val="1"/>
                <c:pt idx="0">
                  <c:v>7600</c:v>
                </c:pt>
              </c:numCache>
            </c:numRef>
          </c:val>
        </c:ser>
        <c:ser>
          <c:idx val="3"/>
          <c:order val="3"/>
          <c:spPr>
            <a:solidFill>
              <a:srgbClr val="654E7F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Budget'!$F$6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ser>
          <c:idx val="4"/>
          <c:order val="4"/>
          <c:spPr>
            <a:solidFill>
              <a:srgbClr val="3B879C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Budget'!$G$6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ser>
          <c:idx val="5"/>
          <c:order val="5"/>
          <c:spPr>
            <a:solidFill>
              <a:srgbClr val="C27637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Budget'!$H$6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ser>
          <c:idx val="6"/>
          <c:order val="6"/>
          <c:spPr>
            <a:solidFill>
              <a:srgbClr val="4978B1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Budget'!$I$6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ser>
          <c:idx val="7"/>
          <c:order val="7"/>
          <c:spPr>
            <a:solidFill>
              <a:srgbClr val="B34A48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Budget'!$J$6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ser>
          <c:idx val="8"/>
          <c:order val="8"/>
          <c:spPr>
            <a:solidFill>
              <a:srgbClr val="91AF53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Budget'!$K$6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ser>
          <c:idx val="9"/>
          <c:order val="9"/>
          <c:spPr>
            <a:solidFill>
              <a:srgbClr val="775D97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Budget'!$L$6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ser>
          <c:idx val="10"/>
          <c:order val="10"/>
          <c:spPr>
            <a:solidFill>
              <a:srgbClr val="46A1B9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Budget'!$M$6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ser>
          <c:idx val="11"/>
          <c:order val="11"/>
          <c:spPr>
            <a:solidFill>
              <a:srgbClr val="E78C41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Budget'!$N$6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ser>
          <c:idx val="12"/>
          <c:order val="12"/>
          <c:spPr>
            <a:solidFill>
              <a:srgbClr val="7E9BC7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Budget'!$C$117</c:f>
              <c:numCache>
                <c:formatCode>\$#,##0;"($"#,##0\)</c:formatCode>
                <c:ptCount val="1"/>
                <c:pt idx="0">
                  <c:v>4472</c:v>
                </c:pt>
              </c:numCache>
            </c:numRef>
          </c:val>
        </c:ser>
        <c:ser>
          <c:idx val="13"/>
          <c:order val="13"/>
          <c:spPr>
            <a:solidFill>
              <a:srgbClr val="CA7E7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Budget'!$D$117</c:f>
              <c:numCache>
                <c:formatCode>\$#,##0;"($"#,##0\)</c:formatCode>
                <c:ptCount val="1"/>
                <c:pt idx="0">
                  <c:v>3872</c:v>
                </c:pt>
              </c:numCache>
            </c:numRef>
          </c:val>
        </c:ser>
        <c:ser>
          <c:idx val="14"/>
          <c:order val="14"/>
          <c:spPr>
            <a:solidFill>
              <a:srgbClr val="ADC683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Budget'!$E$117</c:f>
              <c:numCache>
                <c:formatCode>\$#,##0;"($"#,##0\)</c:formatCode>
                <c:ptCount val="1"/>
                <c:pt idx="0">
                  <c:v>4561</c:v>
                </c:pt>
              </c:numCache>
            </c:numRef>
          </c:val>
        </c:ser>
        <c:ser>
          <c:idx val="15"/>
          <c:order val="15"/>
          <c:spPr>
            <a:solidFill>
              <a:srgbClr val="9A89B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Budget'!$F$117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ser>
          <c:idx val="16"/>
          <c:order val="16"/>
          <c:spPr>
            <a:solidFill>
              <a:srgbClr val="7CBACF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Budget'!$G$117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ser>
          <c:idx val="17"/>
          <c:order val="17"/>
          <c:spPr>
            <a:solidFill>
              <a:srgbClr val="F8AA7A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Budget'!$H$117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ser>
          <c:idx val="18"/>
          <c:order val="18"/>
          <c:spPr>
            <a:solidFill>
              <a:srgbClr val="B5C3DB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Budget'!$I$117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ser>
          <c:idx val="19"/>
          <c:order val="19"/>
          <c:spPr>
            <a:solidFill>
              <a:srgbClr val="DDB5B5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Budget'!$J$117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ser>
          <c:idx val="20"/>
          <c:order val="20"/>
          <c:spPr>
            <a:solidFill>
              <a:srgbClr val="CCDAB7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Budget'!$K$117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ser>
          <c:idx val="21"/>
          <c:order val="21"/>
          <c:spPr>
            <a:solidFill>
              <a:srgbClr val="C2BACF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Budget'!$L$117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ser>
          <c:idx val="22"/>
          <c:order val="22"/>
          <c:spPr>
            <a:solidFill>
              <a:srgbClr val="B5D4E0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Budget'!$M$117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ser>
          <c:idx val="23"/>
          <c:order val="23"/>
          <c:spPr>
            <a:solidFill>
              <a:srgbClr val="FACAB4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Budget'!$N$117</c:f>
              <c:numCache>
                <c:formatCode>\$#,##0;"($"#,##0\)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45860755"/>
        <c:axId val="97208480"/>
      </c:barChart>
      <c:catAx>
        <c:axId val="458607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208480"/>
        <c:crosses val="autoZero"/>
        <c:auto val="1"/>
        <c:lblAlgn val="ctr"/>
        <c:lblOffset val="100"/>
        <c:noMultiLvlLbl val="0"/>
      </c:catAx>
      <c:valAx>
        <c:axId val="972084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8607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Spending by Category Group (Year to Date)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Dashboard!B44</c:f>
              <c:strCache>
                <c:ptCount val="1"/>
                <c:pt idx="0">
                  <c:v>YTD Actual Spending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1260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1260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12600">
                <a:noFill/>
              </a:ln>
            </c:spPr>
          </c:dPt>
          <c:dLbls>
            <c:dLbl>
              <c:idx val="0"/>
              <c:numFmt formatCode="\$#,##0;&quot;($&quot;#,##0\)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\$#,##0;&quot;($&quot;#,##0\)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\$#,##0;&quot;($&quot;#,##0\)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numFmt formatCode="\$#,##0;&quot;($&quot;#,##0\)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numFmt formatCode="\$#,##0;&quot;($&quot;#,##0\)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numFmt formatCode="\$#,##0;&quot;($&quot;#,##0\)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numFmt formatCode="\$#,##0;&quot;($&quot;#,##0\)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numFmt formatCode="\$#,##0;&quot;($&quot;#,##0\)" sourceLinked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numFmt formatCode="\$#,##0;&quot;($&quot;#,##0\)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Dashboard!$A$45:$A$52</c:f>
              <c:strCache>
                <c:ptCount val="8"/>
                <c:pt idx="0">
                  <c:v>Housing</c:v>
                </c:pt>
                <c:pt idx="1">
                  <c:v>Transport</c:v>
                </c:pt>
                <c:pt idx="2">
                  <c:v>Food</c:v>
                </c:pt>
                <c:pt idx="3">
                  <c:v>Insurance</c:v>
                </c:pt>
                <c:pt idx="4">
                  <c:v>Debt</c:v>
                </c:pt>
                <c:pt idx="5">
                  <c:v>Savings and Investing</c:v>
                </c:pt>
                <c:pt idx="6">
                  <c:v>Personal</c:v>
                </c:pt>
                <c:pt idx="7">
                  <c:v>Other</c:v>
                </c:pt>
              </c:strCache>
            </c:strRef>
          </c:cat>
          <c:val>
            <c:numRef>
              <c:f>Dashboard!$B$45:$B$52</c:f>
              <c:numCache>
                <c:formatCode>\$#,##0;"($"#,##0\)</c:formatCode>
                <c:ptCount val="8"/>
                <c:pt idx="0">
                  <c:v>6029</c:v>
                </c:pt>
                <c:pt idx="1">
                  <c:v>1293</c:v>
                </c:pt>
                <c:pt idx="2">
                  <c:v>1190</c:v>
                </c:pt>
                <c:pt idx="3">
                  <c:v>1305</c:v>
                </c:pt>
                <c:pt idx="4">
                  <c:v>1125</c:v>
                </c:pt>
                <c:pt idx="5">
                  <c:v>1500</c:v>
                </c:pt>
                <c:pt idx="6">
                  <c:v>308</c:v>
                </c:pt>
                <c:pt idx="7">
                  <c:v>155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Net Worth Over 12 Months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"Net Worth"</c:f>
              <c:strCache>
                <c:ptCount val="1"/>
                <c:pt idx="0">
                  <c:v>Net Worth</c:v>
                </c:pt>
              </c:strCache>
            </c:strRef>
          </c:tx>
          <c:spPr>
            <a:solidFill>
              <a:srgbClr val="426FA6"/>
            </a:solidFill>
            <a:ln w="1260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'Net Worth'!$B$4:$M$4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'Net Worth'!$B$23</c:f>
              <c:numCache>
                <c:formatCode>\$#,##0;"($"#,##0\)</c:formatCode>
                <c:ptCount val="1"/>
                <c:pt idx="0">
                  <c:v>162800</c:v>
                </c:pt>
              </c:numCache>
            </c:numRef>
          </c:val>
          <c:smooth val="1"/>
        </c:ser>
        <c:ser>
          <c:idx val="1"/>
          <c:order val="1"/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'Net Worth'!$B$4:$M$4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'Net Worth'!$C$23</c:f>
              <c:numCache>
                <c:formatCode>\$#,##0;"($"#,##0\)</c:formatCode>
                <c:ptCount val="1"/>
                <c:pt idx="0">
                  <c:v>165400</c:v>
                </c:pt>
              </c:numCache>
            </c:numRef>
          </c:val>
          <c:smooth val="1"/>
        </c:ser>
        <c:ser>
          <c:idx val="2"/>
          <c:order val="2"/>
          <c:spPr>
            <a:solidFill>
              <a:srgbClr val="87A44B"/>
            </a:solidFill>
            <a:ln w="1260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'Net Worth'!$B$4:$M$4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'Net Worth'!$D$23</c:f>
              <c:numCache>
                <c:formatCode>\$#,##0;"($"#,##0\)</c:formatCode>
                <c:ptCount val="1"/>
                <c:pt idx="0">
                  <c:v>167414</c:v>
                </c:pt>
              </c:numCache>
            </c:numRef>
          </c:val>
          <c:smooth val="1"/>
        </c:ser>
        <c:ser>
          <c:idx val="3"/>
          <c:order val="3"/>
          <c:spPr>
            <a:solidFill>
              <a:srgbClr val="6F568D"/>
            </a:solidFill>
            <a:ln w="1260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'Net Worth'!$B$4:$M$4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'Net Worth'!$E$23</c:f>
              <c:numCache>
                <c:formatCode>\$#,##0;"($"#,##0\)</c:formatCode>
                <c:ptCount val="1"/>
                <c:pt idx="0">
                  <c:v>169602</c:v>
                </c:pt>
              </c:numCache>
            </c:numRef>
          </c:val>
          <c:smooth val="1"/>
        </c:ser>
        <c:ser>
          <c:idx val="4"/>
          <c:order val="4"/>
          <c:spPr>
            <a:solidFill>
              <a:srgbClr val="3D97AF"/>
            </a:solidFill>
            <a:ln w="1260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'Net Worth'!$B$4:$M$4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'Net Worth'!$F$23</c:f>
              <c:numCache>
                <c:formatCode>\$#,##0;"($"#,##0\)</c:formatCode>
                <c:ptCount val="1"/>
                <c:pt idx="0">
                  <c:v>172844</c:v>
                </c:pt>
              </c:numCache>
            </c:numRef>
          </c:val>
          <c:smooth val="1"/>
        </c:ser>
        <c:ser>
          <c:idx val="5"/>
          <c:order val="5"/>
          <c:spPr>
            <a:solidFill>
              <a:srgbClr val="DB8238"/>
            </a:solidFill>
            <a:ln w="1260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'Net Worth'!$B$4:$M$4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'Net Worth'!$G$23</c:f>
              <c:numCache>
                <c:formatCode>\$#,##0;"($"#,##0\)</c:formatCode>
                <c:ptCount val="1"/>
                <c:pt idx="0">
                  <c:v>174890</c:v>
                </c:pt>
              </c:numCache>
            </c:numRef>
          </c:val>
          <c:smooth val="1"/>
        </c:ser>
        <c:ser>
          <c:idx val="6"/>
          <c:order val="6"/>
          <c:spPr>
            <a:solidFill>
              <a:srgbClr val="8EA5CA"/>
            </a:solidFill>
            <a:ln w="1260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'Net Worth'!$B$4:$M$4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'Net Worth'!$H$23</c:f>
              <c:numCache>
                <c:formatCode>\$#,##0;"($"#,##0\)</c:formatCode>
                <c:ptCount val="1"/>
                <c:pt idx="0">
                  <c:v>177740</c:v>
                </c:pt>
              </c:numCache>
            </c:numRef>
          </c:val>
          <c:smooth val="1"/>
        </c:ser>
        <c:ser>
          <c:idx val="7"/>
          <c:order val="7"/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'Net Worth'!$B$4:$M$4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'Net Worth'!$I$23</c:f>
              <c:numCache>
                <c:formatCode>\$#,##0;"($"#,##0\)</c:formatCode>
                <c:ptCount val="1"/>
                <c:pt idx="0">
                  <c:v>179844</c:v>
                </c:pt>
              </c:numCache>
            </c:numRef>
          </c:val>
          <c:smooth val="1"/>
        </c:ser>
        <c:ser>
          <c:idx val="8"/>
          <c:order val="8"/>
          <c:spPr>
            <a:solidFill>
              <a:srgbClr val="B3C992"/>
            </a:solidFill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'Net Worth'!$B$4:$M$4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'Net Worth'!$J$23</c:f>
              <c:numCache>
                <c:formatCode>\$#,##0;"($"#,##0\)</c:formatCode>
                <c:ptCount val="1"/>
                <c:pt idx="0">
                  <c:v>182752</c:v>
                </c:pt>
              </c:numCache>
            </c:numRef>
          </c:val>
          <c:smooth val="1"/>
        </c:ser>
        <c:ser>
          <c:idx val="9"/>
          <c:order val="9"/>
          <c:spPr>
            <a:solidFill>
              <a:srgbClr val="A596B9"/>
            </a:solidFill>
            <a:ln w="1260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'Net Worth'!$B$4:$M$4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'Net Worth'!$K$23</c:f>
              <c:numCache>
                <c:formatCode>\$#,##0;"($"#,##0\)</c:formatCode>
                <c:ptCount val="1"/>
                <c:pt idx="0">
                  <c:v>185164</c:v>
                </c:pt>
              </c:numCache>
            </c:numRef>
          </c:val>
          <c:smooth val="1"/>
        </c:ser>
        <c:ser>
          <c:idx val="10"/>
          <c:order val="10"/>
          <c:spPr>
            <a:solidFill>
              <a:srgbClr val="8CBFD2"/>
            </a:solidFill>
            <a:ln w="1260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'Net Worth'!$B$4:$M$4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'Net Worth'!$L$23</c:f>
              <c:numCache>
                <c:formatCode>\$#,##0;"($"#,##0\)</c:formatCode>
                <c:ptCount val="1"/>
                <c:pt idx="0">
                  <c:v>188330</c:v>
                </c:pt>
              </c:numCache>
            </c:numRef>
          </c:val>
          <c:smooth val="1"/>
        </c:ser>
        <c:ser>
          <c:idx val="11"/>
          <c:order val="11"/>
          <c:spPr>
            <a:solidFill>
              <a:srgbClr val="F5B089"/>
            </a:solidFill>
            <a:ln w="12600">
              <a:solidFill>
                <a:srgbClr val="F5B089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'Net Worth'!$B$4:$M$4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'Net Worth'!$M$23</c:f>
              <c:numCache>
                <c:formatCode>\$#,##0;"($"#,##0\)</c:formatCode>
                <c:ptCount val="1"/>
                <c:pt idx="0">
                  <c:v>191800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2159602"/>
        <c:axId val="75478862"/>
      </c:lineChart>
      <c:catAx>
        <c:axId val="621596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478862"/>
        <c:crosses val="autoZero"/>
        <c:auto val="1"/>
        <c:lblAlgn val="ctr"/>
        <c:lblOffset val="100"/>
        <c:noMultiLvlLbl val="0"/>
      </c:catAx>
      <c:valAx>
        <c:axId val="754788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Net Worth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15960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Savings Rate by Month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"Savings Rate (Actual)"</c:f>
              <c:strCache>
                <c:ptCount val="1"/>
                <c:pt idx="0">
                  <c:v>Savings Rate (Actual)</c:v>
                </c:pt>
              </c:strCache>
            </c:strRef>
          </c:tx>
          <c:spPr>
            <a:solidFill>
              <a:srgbClr val="3A6293"/>
            </a:solidFill>
            <a:ln w="12600">
              <a:solidFill>
                <a:srgbClr val="3A6293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Budget'!$C$122</c:f>
              <c:numCache>
                <c:formatCode>0.0%</c:formatCode>
                <c:ptCount val="1"/>
                <c:pt idx="0">
                  <c:v>0.426666666666667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"Savings Rate Target"</c:f>
              <c:strCache>
                <c:ptCount val="1"/>
                <c:pt idx="0">
                  <c:v>Savings Rate Target</c:v>
                </c:pt>
              </c:strCache>
            </c:strRef>
          </c:tx>
          <c:spPr>
            <a:solidFill>
              <a:srgbClr val="953B38"/>
            </a:solidFill>
            <a:ln w="12600">
              <a:solidFill>
                <a:srgbClr val="953B3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Budget'!$D$122</c:f>
              <c:numCache>
                <c:formatCode>0.0%</c:formatCode>
                <c:ptCount val="1"/>
                <c:pt idx="0">
                  <c:v>0.512955974842767</c:v>
                </c:pt>
              </c:numCache>
            </c:numRef>
          </c:val>
          <c:smooth val="1"/>
        </c:ser>
        <c:ser>
          <c:idx val="2"/>
          <c:order val="2"/>
          <c:spPr>
            <a:solidFill>
              <a:srgbClr val="789142"/>
            </a:solidFill>
            <a:ln w="12600">
              <a:solidFill>
                <a:srgbClr val="78914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Budget'!$E$122</c:f>
              <c:numCache>
                <c:formatCode>0.0%</c:formatCode>
                <c:ptCount val="1"/>
                <c:pt idx="0">
                  <c:v>0.399868421052632</c:v>
                </c:pt>
              </c:numCache>
            </c:numRef>
          </c:val>
          <c:smooth val="1"/>
        </c:ser>
        <c:ser>
          <c:idx val="3"/>
          <c:order val="3"/>
          <c:spPr>
            <a:solidFill>
              <a:srgbClr val="624B7D"/>
            </a:solidFill>
            <a:ln w="12600">
              <a:solidFill>
                <a:srgbClr val="624B7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Budget'!$F$122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smooth val="1"/>
        </c:ser>
        <c:ser>
          <c:idx val="4"/>
          <c:order val="4"/>
          <c:spPr>
            <a:solidFill>
              <a:srgbClr val="37859A"/>
            </a:solidFill>
            <a:ln w="12600">
              <a:solidFill>
                <a:srgbClr val="37859A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Budget'!$G$122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smooth val="1"/>
        </c:ser>
        <c:ser>
          <c:idx val="5"/>
          <c:order val="5"/>
          <c:spPr>
            <a:solidFill>
              <a:srgbClr val="C07332"/>
            </a:solidFill>
            <a:ln w="12600">
              <a:solidFill>
                <a:srgbClr val="C073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Budget'!$H$122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smooth val="1"/>
        </c:ser>
        <c:ser>
          <c:idx val="6"/>
          <c:order val="6"/>
          <c:spPr>
            <a:solidFill>
              <a:srgbClr val="4475B0"/>
            </a:solidFill>
            <a:ln w="12600">
              <a:solidFill>
                <a:srgbClr val="4475B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Budget'!$I$122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smooth val="1"/>
        </c:ser>
        <c:ser>
          <c:idx val="7"/>
          <c:order val="7"/>
          <c:spPr>
            <a:solidFill>
              <a:srgbClr val="B24543"/>
            </a:solidFill>
            <a:ln w="12600">
              <a:solidFill>
                <a:srgbClr val="B24543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Budget'!$J$122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smooth val="1"/>
        </c:ser>
        <c:ser>
          <c:idx val="8"/>
          <c:order val="8"/>
          <c:spPr>
            <a:solidFill>
              <a:srgbClr val="8EAD4F"/>
            </a:solidFill>
            <a:ln w="12600">
              <a:solidFill>
                <a:srgbClr val="8EAD4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Budget'!$K$122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smooth val="1"/>
        </c:ser>
        <c:ser>
          <c:idx val="9"/>
          <c:order val="9"/>
          <c:spPr>
            <a:solidFill>
              <a:srgbClr val="745994"/>
            </a:solidFill>
            <a:ln w="12600">
              <a:solidFill>
                <a:srgbClr val="74599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Budget'!$L$122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smooth val="1"/>
        </c:ser>
        <c:ser>
          <c:idx val="10"/>
          <c:order val="10"/>
          <c:spPr>
            <a:solidFill>
              <a:srgbClr val="419FB7"/>
            </a:solidFill>
            <a:ln w="12600">
              <a:solidFill>
                <a:srgbClr val="419FB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Budget'!$M$122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smooth val="1"/>
        </c:ser>
        <c:ser>
          <c:idx val="11"/>
          <c:order val="11"/>
          <c:spPr>
            <a:solidFill>
              <a:srgbClr val="E5883B"/>
            </a:solidFill>
            <a:ln w="12600">
              <a:solidFill>
                <a:srgbClr val="E5883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Budget'!$N$122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smooth val="1"/>
        </c:ser>
        <c:ser>
          <c:idx val="12"/>
          <c:order val="12"/>
          <c:spPr>
            <a:solidFill>
              <a:srgbClr val="7997C4"/>
            </a:solidFill>
            <a:ln w="12600">
              <a:solidFill>
                <a:srgbClr val="7997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Budget'!$C$123</c:f>
              <c:numCache>
                <c:formatCode>0.0%</c:formatCode>
                <c:ptCount val="1"/>
                <c:pt idx="0">
                  <c:v>0.2</c:v>
                </c:pt>
              </c:numCache>
            </c:numRef>
          </c:val>
          <c:smooth val="1"/>
        </c:ser>
        <c:ser>
          <c:idx val="13"/>
          <c:order val="13"/>
          <c:spPr>
            <a:solidFill>
              <a:srgbClr val="C77978"/>
            </a:solidFill>
            <a:ln w="12600">
              <a:solidFill>
                <a:srgbClr val="C7797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Budget'!$D$123</c:f>
              <c:numCache>
                <c:formatCode>0.0%</c:formatCode>
                <c:ptCount val="1"/>
                <c:pt idx="0">
                  <c:v>0.2</c:v>
                </c:pt>
              </c:numCache>
            </c:numRef>
          </c:val>
          <c:smooth val="1"/>
        </c:ser>
        <c:ser>
          <c:idx val="14"/>
          <c:order val="14"/>
          <c:spPr>
            <a:solidFill>
              <a:srgbClr val="A9C37E"/>
            </a:solidFill>
            <a:ln w="12600">
              <a:solidFill>
                <a:srgbClr val="A9C37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Budget'!$E$123</c:f>
              <c:numCache>
                <c:formatCode>0.0%</c:formatCode>
                <c:ptCount val="1"/>
                <c:pt idx="0">
                  <c:v>0.2</c:v>
                </c:pt>
              </c:numCache>
            </c:numRef>
          </c:val>
          <c:smooth val="1"/>
        </c:ser>
        <c:ser>
          <c:idx val="15"/>
          <c:order val="15"/>
          <c:spPr>
            <a:solidFill>
              <a:srgbClr val="9684AF"/>
            </a:solidFill>
            <a:ln w="12600">
              <a:solidFill>
                <a:srgbClr val="9684A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Budget'!$F$123</c:f>
              <c:numCache>
                <c:formatCode>0.0%</c:formatCode>
                <c:ptCount val="1"/>
                <c:pt idx="0">
                  <c:v>0.2</c:v>
                </c:pt>
              </c:numCache>
            </c:numRef>
          </c:val>
          <c:smooth val="1"/>
        </c:ser>
        <c:ser>
          <c:idx val="16"/>
          <c:order val="16"/>
          <c:spPr>
            <a:solidFill>
              <a:srgbClr val="77B6CC"/>
            </a:solidFill>
            <a:ln w="12600">
              <a:solidFill>
                <a:srgbClr val="77B6CC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Budget'!$G$123</c:f>
              <c:numCache>
                <c:formatCode>0.0%</c:formatCode>
                <c:ptCount val="1"/>
                <c:pt idx="0">
                  <c:v>0.2</c:v>
                </c:pt>
              </c:numCache>
            </c:numRef>
          </c:val>
          <c:smooth val="1"/>
        </c:ser>
        <c:ser>
          <c:idx val="17"/>
          <c:order val="17"/>
          <c:spPr>
            <a:solidFill>
              <a:srgbClr val="F5A574"/>
            </a:solidFill>
            <a:ln w="12600">
              <a:solidFill>
                <a:srgbClr val="F5A57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Budget'!$H$123</c:f>
              <c:numCache>
                <c:formatCode>0.0%</c:formatCode>
                <c:ptCount val="1"/>
                <c:pt idx="0">
                  <c:v>0.2</c:v>
                </c:pt>
              </c:numCache>
            </c:numRef>
          </c:val>
          <c:smooth val="1"/>
        </c:ser>
        <c:ser>
          <c:idx val="18"/>
          <c:order val="18"/>
          <c:spPr>
            <a:solidFill>
              <a:srgbClr val="B0BED7"/>
            </a:solidFill>
            <a:ln w="12600">
              <a:solidFill>
                <a:srgbClr val="B0BED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Budget'!$I$123</c:f>
              <c:numCache>
                <c:formatCode>0.0%</c:formatCode>
                <c:ptCount val="1"/>
                <c:pt idx="0">
                  <c:v>0.2</c:v>
                </c:pt>
              </c:numCache>
            </c:numRef>
          </c:val>
          <c:smooth val="1"/>
        </c:ser>
        <c:ser>
          <c:idx val="19"/>
          <c:order val="19"/>
          <c:spPr>
            <a:solidFill>
              <a:srgbClr val="D9B0B0"/>
            </a:solidFill>
            <a:ln w="12600">
              <a:solidFill>
                <a:srgbClr val="D9B0B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Budget'!$J$123</c:f>
              <c:numCache>
                <c:formatCode>0.0%</c:formatCode>
                <c:ptCount val="1"/>
                <c:pt idx="0">
                  <c:v>0.2</c:v>
                </c:pt>
              </c:numCache>
            </c:numRef>
          </c:val>
          <c:smooth val="1"/>
        </c:ser>
        <c:ser>
          <c:idx val="20"/>
          <c:order val="20"/>
          <c:spPr>
            <a:solidFill>
              <a:srgbClr val="C7D6B1"/>
            </a:solidFill>
            <a:ln w="12600">
              <a:solidFill>
                <a:srgbClr val="C7D6B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Budget'!$K$123</c:f>
              <c:numCache>
                <c:formatCode>0.0%</c:formatCode>
                <c:ptCount val="1"/>
                <c:pt idx="0">
                  <c:v>0.2</c:v>
                </c:pt>
              </c:numCache>
            </c:numRef>
          </c:val>
          <c:smooth val="1"/>
        </c:ser>
        <c:ser>
          <c:idx val="21"/>
          <c:order val="21"/>
          <c:spPr>
            <a:solidFill>
              <a:srgbClr val="BDB4CB"/>
            </a:solidFill>
            <a:ln w="12600">
              <a:solidFill>
                <a:srgbClr val="BDB4C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Budget'!$L$123</c:f>
              <c:numCache>
                <c:formatCode>0.0%</c:formatCode>
                <c:ptCount val="1"/>
                <c:pt idx="0">
                  <c:v>0.2</c:v>
                </c:pt>
              </c:numCache>
            </c:numRef>
          </c:val>
          <c:smooth val="1"/>
        </c:ser>
        <c:ser>
          <c:idx val="22"/>
          <c:order val="22"/>
          <c:spPr>
            <a:solidFill>
              <a:srgbClr val="B0CFDC"/>
            </a:solidFill>
            <a:ln w="12600">
              <a:solidFill>
                <a:srgbClr val="B0CFDC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Budget'!$M$123</c:f>
              <c:numCache>
                <c:formatCode>0.0%</c:formatCode>
                <c:ptCount val="1"/>
                <c:pt idx="0">
                  <c:v>0.2</c:v>
                </c:pt>
              </c:numCache>
            </c:numRef>
          </c:val>
          <c:smooth val="1"/>
        </c:ser>
        <c:ser>
          <c:idx val="23"/>
          <c:order val="23"/>
          <c:spPr>
            <a:solidFill>
              <a:srgbClr val="F6C4AE"/>
            </a:solidFill>
            <a:ln w="12600">
              <a:solidFill>
                <a:srgbClr val="F6C4A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'Monthly Budget'!$C$4:$N$4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</c:multiLvlStrCache>
            </c:multiLvlStrRef>
          </c:cat>
          <c:val>
            <c:numRef>
              <c:f>'Monthly Budget'!$N$123</c:f>
              <c:numCache>
                <c:formatCode>0.0%</c:formatCode>
                <c:ptCount val="1"/>
                <c:pt idx="0">
                  <c:v>0.2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301518"/>
        <c:axId val="98062353"/>
      </c:lineChart>
      <c:catAx>
        <c:axId val="8130151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062353"/>
        <c:crosses val="autoZero"/>
        <c:auto val="1"/>
        <c:lblAlgn val="ctr"/>
        <c:lblOffset val="100"/>
        <c:noMultiLvlLbl val="0"/>
      </c:catAx>
      <c:valAx>
        <c:axId val="980623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Savings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30151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0</xdr:rowOff>
    </xdr:from>
    <xdr:to>
      <xdr:col>9</xdr:col>
      <xdr:colOff>480240</xdr:colOff>
      <xdr:row>20</xdr:row>
      <xdr:rowOff>720</xdr:rowOff>
    </xdr:to>
    <xdr:graphicFrame>
      <xdr:nvGraphicFramePr>
        <xdr:cNvPr id="1" name="Chart 1"/>
        <xdr:cNvGraphicFramePr/>
      </xdr:nvGraphicFramePr>
      <xdr:xfrm>
        <a:off x="704880" y="657360"/>
        <a:ext cx="611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</xdr:row>
      <xdr:rowOff>0</xdr:rowOff>
    </xdr:from>
    <xdr:to>
      <xdr:col>17</xdr:col>
      <xdr:colOff>479880</xdr:colOff>
      <xdr:row>20</xdr:row>
      <xdr:rowOff>720</xdr:rowOff>
    </xdr:to>
    <xdr:graphicFrame>
      <xdr:nvGraphicFramePr>
        <xdr:cNvPr id="2" name="Chart 2"/>
        <xdr:cNvGraphicFramePr/>
      </xdr:nvGraphicFramePr>
      <xdr:xfrm>
        <a:off x="6343560" y="657360"/>
        <a:ext cx="611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23</xdr:row>
      <xdr:rowOff>0</xdr:rowOff>
    </xdr:from>
    <xdr:to>
      <xdr:col>9</xdr:col>
      <xdr:colOff>480240</xdr:colOff>
      <xdr:row>40</xdr:row>
      <xdr:rowOff>360</xdr:rowOff>
    </xdr:to>
    <xdr:graphicFrame>
      <xdr:nvGraphicFramePr>
        <xdr:cNvPr id="3" name="Chart 3"/>
        <xdr:cNvGraphicFramePr/>
      </xdr:nvGraphicFramePr>
      <xdr:xfrm>
        <a:off x="704880" y="4467240"/>
        <a:ext cx="611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23</xdr:row>
      <xdr:rowOff>0</xdr:rowOff>
    </xdr:from>
    <xdr:to>
      <xdr:col>17</xdr:col>
      <xdr:colOff>479880</xdr:colOff>
      <xdr:row>40</xdr:row>
      <xdr:rowOff>360</xdr:rowOff>
    </xdr:to>
    <xdr:graphicFrame>
      <xdr:nvGraphicFramePr>
        <xdr:cNvPr id="4" name="Chart 4"/>
        <xdr:cNvGraphicFramePr/>
      </xdr:nvGraphicFramePr>
      <xdr:xfrm>
        <a:off x="6343560" y="4467240"/>
        <a:ext cx="611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"/>
    <col collapsed="false" customWidth="true" hidden="false" outlineLevel="0" max="3" min="3" style="1" width="66"/>
    <col collapsed="false" customWidth="true" hidden="false" outlineLevel="0" max="8" min="4" style="1" width="3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5" customFormat="false" ht="15" hidden="false" customHeight="true" outlineLevel="0" collapsed="false">
      <c r="B5" s="4" t="s">
        <v>2</v>
      </c>
    </row>
    <row r="7" customFormat="false" ht="31.5" hidden="false" customHeight="true" outlineLevel="0" collapsed="false">
      <c r="B7" s="5" t="s">
        <v>3</v>
      </c>
      <c r="C7" s="6" t="s">
        <v>4</v>
      </c>
    </row>
    <row r="8" customFormat="false" ht="31.5" hidden="false" customHeight="true" outlineLevel="0" collapsed="false">
      <c r="B8" s="5" t="s">
        <v>5</v>
      </c>
      <c r="C8" s="6" t="s">
        <v>6</v>
      </c>
    </row>
    <row r="9" customFormat="false" ht="31.5" hidden="false" customHeight="true" outlineLevel="0" collapsed="false">
      <c r="B9" s="5" t="s">
        <v>7</v>
      </c>
      <c r="C9" s="6" t="s">
        <v>8</v>
      </c>
    </row>
    <row r="10" customFormat="false" ht="31.5" hidden="false" customHeight="true" outlineLevel="0" collapsed="false">
      <c r="B10" s="5" t="s">
        <v>9</v>
      </c>
      <c r="C10" s="6" t="s">
        <v>10</v>
      </c>
    </row>
    <row r="11" customFormat="false" ht="31.5" hidden="false" customHeight="true" outlineLevel="0" collapsed="false">
      <c r="B11" s="5" t="s">
        <v>11</v>
      </c>
      <c r="C11" s="6" t="s">
        <v>12</v>
      </c>
    </row>
    <row r="13" customFormat="false" ht="15" hidden="false" customHeight="true" outlineLevel="0" collapsed="false">
      <c r="B13" s="4" t="s">
        <v>13</v>
      </c>
    </row>
    <row r="15" customFormat="false" ht="15" hidden="false" customHeight="true" outlineLevel="0" collapsed="false">
      <c r="B15" s="7"/>
      <c r="C15" s="8" t="s">
        <v>14</v>
      </c>
    </row>
    <row r="16" customFormat="false" ht="15" hidden="false" customHeight="true" outlineLevel="0" collapsed="false">
      <c r="B16" s="9"/>
      <c r="C16" s="10" t="s">
        <v>15</v>
      </c>
    </row>
    <row r="18" customFormat="false" ht="15" hidden="false" customHeight="true" outlineLevel="0" collapsed="false">
      <c r="B18" s="4" t="s">
        <v>16</v>
      </c>
    </row>
    <row r="19" customFormat="false" ht="25.5" hidden="false" customHeight="true" outlineLevel="0" collapsed="false">
      <c r="B19" s="11" t="s">
        <v>17</v>
      </c>
    </row>
    <row r="20" customFormat="false" ht="25.5" hidden="false" customHeight="true" outlineLevel="0" collapsed="false">
      <c r="B20" s="11" t="s">
        <v>18</v>
      </c>
    </row>
    <row r="21" customFormat="false" ht="25.5" hidden="false" customHeight="true" outlineLevel="0" collapsed="false">
      <c r="B21" s="11" t="s">
        <v>19</v>
      </c>
    </row>
    <row r="22" customFormat="false" ht="25.5" hidden="false" customHeight="true" outlineLevel="0" collapsed="false">
      <c r="B22" s="11" t="s">
        <v>20</v>
      </c>
    </row>
    <row r="23" customFormat="false" ht="25.5" hidden="false" customHeight="true" outlineLevel="0" collapsed="false">
      <c r="B23" s="11" t="s">
        <v>21</v>
      </c>
    </row>
    <row r="24" customFormat="false" ht="25.5" hidden="false" customHeight="true" outlineLevel="0" collapsed="false">
      <c r="B24" s="11" t="s">
        <v>22</v>
      </c>
    </row>
    <row r="26" customFormat="false" ht="15" hidden="false" customHeight="true" outlineLevel="0" collapsed="false">
      <c r="B26" s="12" t="s">
        <v>23</v>
      </c>
    </row>
    <row r="28" customFormat="false" ht="15" hidden="false" customHeight="true" outlineLevel="0" collapsed="false">
      <c r="B28" s="4" t="s">
        <v>24</v>
      </c>
    </row>
    <row r="30" customFormat="false" ht="15" hidden="false" customHeight="true" outlineLevel="0" collapsed="false">
      <c r="B30" s="4" t="s">
        <v>25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C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20"/>
    <col collapsed="false" customWidth="true" hidden="false" outlineLevel="0" max="4" min="4" style="1" width="3"/>
  </cols>
  <sheetData>
    <row r="1" customFormat="false" ht="21.75" hidden="false" customHeight="true" outlineLevel="0" collapsed="false">
      <c r="A1" s="2" t="s">
        <v>26</v>
      </c>
      <c r="B1" s="2"/>
      <c r="C1" s="2"/>
    </row>
    <row r="2" customFormat="false" ht="15" hidden="false" customHeight="true" outlineLevel="0" collapsed="false">
      <c r="A2" s="3" t="s">
        <v>27</v>
      </c>
      <c r="B2" s="3"/>
      <c r="C2" s="3"/>
    </row>
    <row r="4" customFormat="false" ht="15" hidden="false" customHeight="true" outlineLevel="0" collapsed="false">
      <c r="A4" s="13" t="s">
        <v>28</v>
      </c>
      <c r="B4" s="13"/>
    </row>
    <row r="5" customFormat="false" ht="27.75" hidden="false" customHeight="true" outlineLevel="0" collapsed="false">
      <c r="A5" s="14" t="s">
        <v>29</v>
      </c>
      <c r="B5" s="15" t="s">
        <v>30</v>
      </c>
    </row>
    <row r="6" customFormat="false" ht="15" hidden="false" customHeight="true" outlineLevel="0" collapsed="false">
      <c r="A6" s="8" t="s">
        <v>31</v>
      </c>
      <c r="B6" s="16" t="n">
        <v>6500</v>
      </c>
    </row>
    <row r="7" customFormat="false" ht="15" hidden="false" customHeight="true" outlineLevel="0" collapsed="false">
      <c r="A7" s="8" t="s">
        <v>32</v>
      </c>
      <c r="B7" s="16" t="n">
        <v>1300</v>
      </c>
    </row>
    <row r="8" customFormat="false" ht="15" hidden="false" customHeight="true" outlineLevel="0" collapsed="false">
      <c r="A8" s="8"/>
      <c r="B8" s="16"/>
    </row>
    <row r="9" customFormat="false" ht="15" hidden="false" customHeight="true" outlineLevel="0" collapsed="false">
      <c r="A9" s="8"/>
      <c r="B9" s="16"/>
    </row>
    <row r="10" customFormat="false" ht="15" hidden="false" customHeight="true" outlineLevel="0" collapsed="false">
      <c r="A10" s="8"/>
      <c r="B10" s="16"/>
    </row>
    <row r="11" customFormat="false" ht="15" hidden="false" customHeight="true" outlineLevel="0" collapsed="false">
      <c r="A11" s="8"/>
      <c r="B11" s="16"/>
    </row>
    <row r="13" customFormat="false" ht="15" hidden="false" customHeight="true" outlineLevel="0" collapsed="false">
      <c r="A13" s="17" t="s">
        <v>33</v>
      </c>
      <c r="B13" s="18" t="n">
        <f aca="false">SUM(B6:B11)</f>
        <v>7800</v>
      </c>
    </row>
    <row r="15" customFormat="false" ht="15" hidden="false" customHeight="true" outlineLevel="0" collapsed="false">
      <c r="A15" s="13" t="s">
        <v>34</v>
      </c>
      <c r="B15" s="13"/>
    </row>
    <row r="16" customFormat="false" ht="15" hidden="false" customHeight="true" outlineLevel="0" collapsed="false">
      <c r="A16" s="10" t="s">
        <v>35</v>
      </c>
      <c r="B16" s="19" t="n">
        <v>0.2</v>
      </c>
    </row>
    <row r="17" customFormat="false" ht="15" hidden="false" customHeight="true" outlineLevel="0" collapsed="false">
      <c r="A17" s="10" t="s">
        <v>36</v>
      </c>
      <c r="B17" s="16" t="n">
        <v>8500</v>
      </c>
    </row>
    <row r="18" customFormat="false" ht="15" hidden="false" customHeight="true" outlineLevel="0" collapsed="false">
      <c r="A18" s="10" t="s">
        <v>37</v>
      </c>
      <c r="B18" s="20" t="n">
        <v>46023</v>
      </c>
    </row>
    <row r="20" customFormat="false" ht="15" hidden="false" customHeight="true" outlineLevel="0" collapsed="false">
      <c r="A20" s="13" t="s">
        <v>38</v>
      </c>
      <c r="B20" s="13"/>
      <c r="C20" s="13"/>
    </row>
    <row r="21" customFormat="false" ht="27.75" hidden="false" customHeight="true" outlineLevel="0" collapsed="false">
      <c r="A21" s="14" t="s">
        <v>39</v>
      </c>
      <c r="B21" s="15" t="s">
        <v>40</v>
      </c>
      <c r="C21" s="15" t="s">
        <v>41</v>
      </c>
    </row>
    <row r="22" customFormat="false" ht="15" hidden="false" customHeight="true" outlineLevel="0" collapsed="false">
      <c r="A22" s="17" t="s">
        <v>42</v>
      </c>
      <c r="B22" s="10" t="s">
        <v>42</v>
      </c>
      <c r="C22" s="21" t="n">
        <f aca="false">B13</f>
        <v>7800</v>
      </c>
    </row>
    <row r="23" customFormat="false" ht="15" hidden="false" customHeight="true" outlineLevel="0" collapsed="false">
      <c r="A23" s="8" t="s">
        <v>43</v>
      </c>
      <c r="B23" s="8" t="s">
        <v>44</v>
      </c>
      <c r="C23" s="16" t="n">
        <v>1800</v>
      </c>
    </row>
    <row r="24" customFormat="false" ht="15" hidden="false" customHeight="true" outlineLevel="0" collapsed="false">
      <c r="A24" s="8" t="s">
        <v>45</v>
      </c>
      <c r="B24" s="8" t="s">
        <v>44</v>
      </c>
      <c r="C24" s="16" t="n">
        <v>150</v>
      </c>
    </row>
    <row r="25" customFormat="false" ht="15" hidden="false" customHeight="true" outlineLevel="0" collapsed="false">
      <c r="A25" s="8" t="s">
        <v>46</v>
      </c>
      <c r="B25" s="8" t="s">
        <v>44</v>
      </c>
      <c r="C25" s="16" t="n">
        <v>90</v>
      </c>
    </row>
    <row r="26" customFormat="false" ht="15" hidden="false" customHeight="true" outlineLevel="0" collapsed="false">
      <c r="A26" s="8" t="s">
        <v>47</v>
      </c>
      <c r="B26" s="8" t="s">
        <v>48</v>
      </c>
      <c r="C26" s="16" t="n">
        <v>350</v>
      </c>
    </row>
    <row r="27" customFormat="false" ht="15" hidden="false" customHeight="true" outlineLevel="0" collapsed="false">
      <c r="A27" s="8" t="s">
        <v>49</v>
      </c>
      <c r="B27" s="8" t="s">
        <v>48</v>
      </c>
      <c r="C27" s="16" t="n">
        <v>160</v>
      </c>
    </row>
    <row r="28" customFormat="false" ht="15" hidden="false" customHeight="true" outlineLevel="0" collapsed="false">
      <c r="A28" s="8" t="s">
        <v>50</v>
      </c>
      <c r="B28" s="8" t="s">
        <v>48</v>
      </c>
      <c r="C28" s="16" t="n">
        <v>60</v>
      </c>
    </row>
    <row r="29" customFormat="false" ht="15" hidden="false" customHeight="true" outlineLevel="0" collapsed="false">
      <c r="A29" s="8" t="s">
        <v>51</v>
      </c>
      <c r="B29" s="8" t="s">
        <v>52</v>
      </c>
      <c r="C29" s="16" t="n">
        <v>650</v>
      </c>
    </row>
    <row r="30" customFormat="false" ht="15" hidden="false" customHeight="true" outlineLevel="0" collapsed="false">
      <c r="A30" s="8" t="s">
        <v>53</v>
      </c>
      <c r="B30" s="8" t="s">
        <v>52</v>
      </c>
      <c r="C30" s="16" t="n">
        <v>220</v>
      </c>
    </row>
    <row r="31" customFormat="false" ht="15" hidden="false" customHeight="true" outlineLevel="0" collapsed="false">
      <c r="A31" s="8" t="s">
        <v>54</v>
      </c>
      <c r="B31" s="8" t="s">
        <v>55</v>
      </c>
      <c r="C31" s="16" t="n">
        <v>340</v>
      </c>
    </row>
    <row r="32" customFormat="false" ht="15" hidden="false" customHeight="true" outlineLevel="0" collapsed="false">
      <c r="A32" s="8" t="s">
        <v>56</v>
      </c>
      <c r="B32" s="8" t="s">
        <v>55</v>
      </c>
      <c r="C32" s="16" t="n">
        <v>120</v>
      </c>
    </row>
    <row r="33" customFormat="false" ht="15" hidden="false" customHeight="true" outlineLevel="0" collapsed="false">
      <c r="A33" s="8" t="s">
        <v>57</v>
      </c>
      <c r="B33" s="8" t="s">
        <v>55</v>
      </c>
      <c r="C33" s="16" t="n">
        <v>45</v>
      </c>
    </row>
    <row r="34" customFormat="false" ht="15" hidden="false" customHeight="true" outlineLevel="0" collapsed="false">
      <c r="A34" s="8" t="s">
        <v>58</v>
      </c>
      <c r="B34" s="8" t="s">
        <v>59</v>
      </c>
      <c r="C34" s="16" t="n">
        <v>150</v>
      </c>
    </row>
    <row r="35" customFormat="false" ht="15" hidden="false" customHeight="true" outlineLevel="0" collapsed="false">
      <c r="A35" s="8" t="s">
        <v>60</v>
      </c>
      <c r="B35" s="8" t="s">
        <v>59</v>
      </c>
      <c r="C35" s="16" t="n">
        <v>220</v>
      </c>
    </row>
    <row r="36" customFormat="false" ht="15" hidden="false" customHeight="true" outlineLevel="0" collapsed="false">
      <c r="A36" s="8" t="s">
        <v>61</v>
      </c>
      <c r="B36" s="8" t="s">
        <v>62</v>
      </c>
      <c r="C36" s="16" t="n">
        <v>200</v>
      </c>
    </row>
    <row r="37" customFormat="false" ht="15" hidden="false" customHeight="true" outlineLevel="0" collapsed="false">
      <c r="A37" s="8" t="s">
        <v>63</v>
      </c>
      <c r="B37" s="8" t="s">
        <v>62</v>
      </c>
      <c r="C37" s="16" t="n">
        <v>500</v>
      </c>
    </row>
    <row r="38" customFormat="false" ht="15" hidden="false" customHeight="true" outlineLevel="0" collapsed="false">
      <c r="A38" s="8" t="s">
        <v>64</v>
      </c>
      <c r="B38" s="8" t="s">
        <v>62</v>
      </c>
      <c r="C38" s="16" t="n">
        <v>300</v>
      </c>
    </row>
    <row r="39" customFormat="false" ht="15" hidden="false" customHeight="true" outlineLevel="0" collapsed="false">
      <c r="A39" s="8" t="s">
        <v>65</v>
      </c>
      <c r="B39" s="8" t="s">
        <v>66</v>
      </c>
      <c r="C39" s="16" t="n">
        <v>120</v>
      </c>
    </row>
    <row r="40" customFormat="false" ht="15" hidden="false" customHeight="true" outlineLevel="0" collapsed="false">
      <c r="A40" s="8" t="s">
        <v>67</v>
      </c>
      <c r="B40" s="8" t="s">
        <v>66</v>
      </c>
      <c r="C40" s="16" t="n">
        <v>60</v>
      </c>
    </row>
    <row r="41" customFormat="false" ht="15" hidden="false" customHeight="true" outlineLevel="0" collapsed="false">
      <c r="A41" s="8" t="s">
        <v>68</v>
      </c>
      <c r="B41" s="8" t="s">
        <v>66</v>
      </c>
      <c r="C41" s="16" t="n">
        <v>80</v>
      </c>
    </row>
    <row r="42" customFormat="false" ht="15" hidden="false" customHeight="true" outlineLevel="0" collapsed="false">
      <c r="A42" s="8" t="s">
        <v>69</v>
      </c>
      <c r="B42" s="8" t="s">
        <v>66</v>
      </c>
      <c r="C42" s="16" t="n">
        <v>100</v>
      </c>
    </row>
    <row r="43" customFormat="false" ht="15" hidden="false" customHeight="true" outlineLevel="0" collapsed="false">
      <c r="A43" s="8" t="s">
        <v>70</v>
      </c>
      <c r="B43" s="8" t="s">
        <v>71</v>
      </c>
      <c r="C43" s="16" t="n">
        <v>100</v>
      </c>
    </row>
    <row r="44" customFormat="false" ht="15" hidden="false" customHeight="true" outlineLevel="0" collapsed="false">
      <c r="A44" s="8" t="s">
        <v>72</v>
      </c>
      <c r="B44" s="8" t="s">
        <v>71</v>
      </c>
      <c r="C44" s="16" t="n">
        <v>80</v>
      </c>
    </row>
    <row r="45" customFormat="false" ht="15" hidden="false" customHeight="true" outlineLevel="0" collapsed="false">
      <c r="A45" s="8"/>
      <c r="B45" s="8"/>
      <c r="C45" s="16"/>
    </row>
    <row r="46" customFormat="false" ht="15" hidden="false" customHeight="true" outlineLevel="0" collapsed="false">
      <c r="A46" s="8"/>
      <c r="B46" s="8"/>
      <c r="C46" s="16"/>
    </row>
    <row r="47" customFormat="false" ht="15" hidden="false" customHeight="true" outlineLevel="0" collapsed="false">
      <c r="A47" s="8"/>
      <c r="B47" s="8"/>
      <c r="C47" s="16"/>
    </row>
    <row r="49" customFormat="false" ht="15" hidden="false" customHeight="true" outlineLevel="0" collapsed="false">
      <c r="A49" s="17" t="s">
        <v>73</v>
      </c>
      <c r="C49" s="18" t="n">
        <f aca="false">SUM(C23:C47)</f>
        <v>5895</v>
      </c>
    </row>
    <row r="51" customFormat="false" ht="15" hidden="false" customHeight="true" outlineLevel="0" collapsed="false">
      <c r="A51" s="22" t="s">
        <v>74</v>
      </c>
      <c r="B51" s="22"/>
      <c r="C51" s="22"/>
    </row>
  </sheetData>
  <mergeCells count="6">
    <mergeCell ref="A1:C1"/>
    <mergeCell ref="A2:C2"/>
    <mergeCell ref="A4:B4"/>
    <mergeCell ref="A15:B15"/>
    <mergeCell ref="A20:C20"/>
    <mergeCell ref="A51:C51"/>
  </mergeCells>
  <dataValidations count="1">
    <dataValidation allowBlank="true" errorStyle="stop" operator="between" showDropDown="false" showErrorMessage="false" showInputMessage="false" sqref="B23:B47" type="list">
      <formula1>"Housing,Transport,Food,Insurance,Debt,Savings and Investing,Personal,Other"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G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24"/>
    <col collapsed="false" customWidth="true" hidden="false" outlineLevel="0" max="4" min="4" style="1" width="13"/>
    <col collapsed="false" customWidth="true" hidden="false" outlineLevel="0" max="5" min="5" style="1" width="26"/>
    <col collapsed="false" customWidth="true" hidden="false" outlineLevel="0" max="6" min="6" style="1" width="11"/>
    <col collapsed="false" customWidth="true" hidden="false" outlineLevel="0" max="7" min="7" style="1" width="9"/>
  </cols>
  <sheetData>
    <row r="1" customFormat="false" ht="21.75" hidden="false" customHeight="true" outlineLevel="0" collapsed="false">
      <c r="A1" s="2" t="s">
        <v>75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76</v>
      </c>
      <c r="B2" s="3"/>
      <c r="C2" s="3"/>
      <c r="D2" s="3"/>
      <c r="E2" s="3"/>
      <c r="F2" s="3"/>
      <c r="G2" s="3"/>
    </row>
    <row r="4" customFormat="false" ht="27.75" hidden="false" customHeight="true" outlineLevel="0" collapsed="false">
      <c r="A4" s="14" t="s">
        <v>77</v>
      </c>
      <c r="B4" s="15" t="s">
        <v>78</v>
      </c>
      <c r="C4" s="15" t="s">
        <v>39</v>
      </c>
      <c r="D4" s="15" t="s">
        <v>79</v>
      </c>
      <c r="E4" s="15" t="s">
        <v>80</v>
      </c>
      <c r="F4" s="15" t="s">
        <v>81</v>
      </c>
      <c r="G4" s="15" t="s">
        <v>82</v>
      </c>
    </row>
    <row r="5" customFormat="false" ht="15" hidden="false" customHeight="true" outlineLevel="0" collapsed="false">
      <c r="A5" s="23" t="n">
        <v>46023</v>
      </c>
      <c r="B5" s="8" t="s">
        <v>83</v>
      </c>
      <c r="C5" s="8" t="s">
        <v>42</v>
      </c>
      <c r="D5" s="24" t="n">
        <v>6500</v>
      </c>
      <c r="E5" s="8" t="s">
        <v>84</v>
      </c>
      <c r="F5" s="25" t="n">
        <f aca="false">IF($A5="","",MONTH($A5))</f>
        <v>1</v>
      </c>
      <c r="G5" s="25" t="n">
        <f aca="false">IF($A5="","",YEAR($A5))</f>
        <v>2026</v>
      </c>
    </row>
    <row r="6" customFormat="false" ht="15" hidden="false" customHeight="true" outlineLevel="0" collapsed="false">
      <c r="A6" s="23" t="n">
        <v>46023</v>
      </c>
      <c r="B6" s="8" t="s">
        <v>85</v>
      </c>
      <c r="C6" s="8" t="s">
        <v>43</v>
      </c>
      <c r="D6" s="24" t="n">
        <v>1800</v>
      </c>
      <c r="E6" s="8" t="s">
        <v>86</v>
      </c>
      <c r="F6" s="25" t="n">
        <f aca="false">IF($A6="","",MONTH($A6))</f>
        <v>1</v>
      </c>
      <c r="G6" s="25" t="n">
        <f aca="false">IF($A6="","",YEAR($A6))</f>
        <v>2026</v>
      </c>
    </row>
    <row r="7" customFormat="false" ht="15" hidden="false" customHeight="true" outlineLevel="0" collapsed="false">
      <c r="A7" s="23" t="n">
        <v>46024</v>
      </c>
      <c r="B7" s="8" t="s">
        <v>87</v>
      </c>
      <c r="C7" s="8" t="s">
        <v>63</v>
      </c>
      <c r="D7" s="24" t="n">
        <v>500</v>
      </c>
      <c r="E7" s="8" t="s">
        <v>88</v>
      </c>
      <c r="F7" s="25" t="n">
        <f aca="false">IF($A7="","",MONTH($A7))</f>
        <v>1</v>
      </c>
      <c r="G7" s="25" t="n">
        <f aca="false">IF($A7="","",YEAR($A7))</f>
        <v>2026</v>
      </c>
    </row>
    <row r="8" customFormat="false" ht="15" hidden="false" customHeight="true" outlineLevel="0" collapsed="false">
      <c r="A8" s="23" t="n">
        <v>46025</v>
      </c>
      <c r="B8" s="8" t="s">
        <v>89</v>
      </c>
      <c r="C8" s="8" t="s">
        <v>54</v>
      </c>
      <c r="D8" s="24" t="n">
        <v>340</v>
      </c>
      <c r="E8" s="8" t="s">
        <v>90</v>
      </c>
      <c r="F8" s="25" t="n">
        <f aca="false">IF($A8="","",MONTH($A8))</f>
        <v>1</v>
      </c>
      <c r="G8" s="25" t="n">
        <f aca="false">IF($A8="","",YEAR($A8))</f>
        <v>2026</v>
      </c>
    </row>
    <row r="9" customFormat="false" ht="15" hidden="false" customHeight="true" outlineLevel="0" collapsed="false">
      <c r="A9" s="23" t="n">
        <v>46026</v>
      </c>
      <c r="B9" s="8" t="s">
        <v>91</v>
      </c>
      <c r="C9" s="8" t="s">
        <v>61</v>
      </c>
      <c r="D9" s="24" t="n">
        <v>200</v>
      </c>
      <c r="E9" s="8" t="s">
        <v>92</v>
      </c>
      <c r="F9" s="25" t="n">
        <f aca="false">IF($A9="","",MONTH($A9))</f>
        <v>1</v>
      </c>
      <c r="G9" s="25" t="n">
        <f aca="false">IF($A9="","",YEAR($A9))</f>
        <v>2026</v>
      </c>
    </row>
    <row r="10" customFormat="false" ht="15" hidden="false" customHeight="true" outlineLevel="0" collapsed="false">
      <c r="A10" s="23" t="n">
        <v>46027</v>
      </c>
      <c r="B10" s="8" t="s">
        <v>93</v>
      </c>
      <c r="C10" s="8" t="s">
        <v>47</v>
      </c>
      <c r="D10" s="24" t="n">
        <v>350</v>
      </c>
      <c r="E10" s="8" t="s">
        <v>86</v>
      </c>
      <c r="F10" s="25" t="n">
        <f aca="false">IF($A10="","",MONTH($A10))</f>
        <v>1</v>
      </c>
      <c r="G10" s="25" t="n">
        <f aca="false">IF($A10="","",YEAR($A10))</f>
        <v>2026</v>
      </c>
    </row>
    <row r="11" customFormat="false" ht="15" hidden="false" customHeight="true" outlineLevel="0" collapsed="false">
      <c r="A11" s="23" t="n">
        <v>46028</v>
      </c>
      <c r="B11" s="8" t="s">
        <v>94</v>
      </c>
      <c r="C11" s="8" t="s">
        <v>46</v>
      </c>
      <c r="D11" s="24" t="n">
        <v>89</v>
      </c>
      <c r="E11" s="8" t="s">
        <v>86</v>
      </c>
      <c r="F11" s="25" t="n">
        <f aca="false">IF($A11="","",MONTH($A11))</f>
        <v>1</v>
      </c>
      <c r="G11" s="25" t="n">
        <f aca="false">IF($A11="","",YEAR($A11))</f>
        <v>2026</v>
      </c>
    </row>
    <row r="12" customFormat="false" ht="15" hidden="false" customHeight="true" outlineLevel="0" collapsed="false">
      <c r="A12" s="23" t="n">
        <v>46030</v>
      </c>
      <c r="B12" s="8" t="s">
        <v>95</v>
      </c>
      <c r="C12" s="8" t="s">
        <v>45</v>
      </c>
      <c r="D12" s="24" t="n">
        <v>145</v>
      </c>
      <c r="E12" s="8" t="s">
        <v>86</v>
      </c>
      <c r="F12" s="25" t="n">
        <f aca="false">IF($A12="","",MONTH($A12))</f>
        <v>1</v>
      </c>
      <c r="G12" s="25" t="n">
        <f aca="false">IF($A12="","",YEAR($A12))</f>
        <v>2026</v>
      </c>
    </row>
    <row r="13" customFormat="false" ht="15" hidden="false" customHeight="true" outlineLevel="0" collapsed="false">
      <c r="A13" s="23" t="n">
        <v>46031</v>
      </c>
      <c r="B13" s="8" t="s">
        <v>96</v>
      </c>
      <c r="C13" s="8" t="s">
        <v>67</v>
      </c>
      <c r="D13" s="24" t="n">
        <v>58</v>
      </c>
      <c r="E13" s="8" t="s">
        <v>97</v>
      </c>
      <c r="F13" s="25" t="n">
        <f aca="false">IF($A13="","",MONTH($A13))</f>
        <v>1</v>
      </c>
      <c r="G13" s="25" t="n">
        <f aca="false">IF($A13="","",YEAR($A13))</f>
        <v>2026</v>
      </c>
    </row>
    <row r="14" customFormat="false" ht="15" hidden="false" customHeight="true" outlineLevel="0" collapsed="false">
      <c r="A14" s="23" t="n">
        <v>46032</v>
      </c>
      <c r="B14" s="8" t="s">
        <v>98</v>
      </c>
      <c r="C14" s="8" t="s">
        <v>51</v>
      </c>
      <c r="D14" s="24" t="n">
        <v>315</v>
      </c>
      <c r="E14" s="8" t="s">
        <v>97</v>
      </c>
      <c r="F14" s="25" t="n">
        <f aca="false">IF($A14="","",MONTH($A14))</f>
        <v>1</v>
      </c>
      <c r="G14" s="25" t="n">
        <f aca="false">IF($A14="","",YEAR($A14))</f>
        <v>2026</v>
      </c>
    </row>
    <row r="15" customFormat="false" ht="15" hidden="false" customHeight="true" outlineLevel="0" collapsed="false">
      <c r="A15" s="23" t="n">
        <v>46034</v>
      </c>
      <c r="B15" s="8" t="s">
        <v>99</v>
      </c>
      <c r="C15" s="8" t="s">
        <v>60</v>
      </c>
      <c r="D15" s="24" t="n">
        <v>220</v>
      </c>
      <c r="E15" s="8" t="s">
        <v>86</v>
      </c>
      <c r="F15" s="25" t="n">
        <f aca="false">IF($A15="","",MONTH($A15))</f>
        <v>1</v>
      </c>
      <c r="G15" s="25" t="n">
        <f aca="false">IF($A15="","",YEAR($A15))</f>
        <v>2026</v>
      </c>
    </row>
    <row r="16" customFormat="false" ht="15" hidden="false" customHeight="true" outlineLevel="0" collapsed="false">
      <c r="A16" s="23" t="n">
        <v>46036</v>
      </c>
      <c r="B16" s="8" t="s">
        <v>100</v>
      </c>
      <c r="C16" s="8" t="s">
        <v>49</v>
      </c>
      <c r="D16" s="24" t="n">
        <v>85</v>
      </c>
      <c r="E16" s="8" t="s">
        <v>97</v>
      </c>
      <c r="F16" s="25" t="n">
        <f aca="false">IF($A16="","",MONTH($A16))</f>
        <v>1</v>
      </c>
      <c r="G16" s="25" t="n">
        <f aca="false">IF($A16="","",YEAR($A16))</f>
        <v>2026</v>
      </c>
    </row>
    <row r="17" customFormat="false" ht="15" hidden="false" customHeight="true" outlineLevel="0" collapsed="false">
      <c r="A17" s="23" t="n">
        <v>46037</v>
      </c>
      <c r="B17" s="8" t="s">
        <v>101</v>
      </c>
      <c r="C17" s="8" t="s">
        <v>42</v>
      </c>
      <c r="D17" s="24" t="n">
        <v>1300</v>
      </c>
      <c r="E17" s="8" t="s">
        <v>84</v>
      </c>
      <c r="F17" s="25" t="n">
        <f aca="false">IF($A17="","",MONTH($A17))</f>
        <v>1</v>
      </c>
      <c r="G17" s="25" t="n">
        <f aca="false">IF($A17="","",YEAR($A17))</f>
        <v>2026</v>
      </c>
    </row>
    <row r="18" customFormat="false" ht="15" hidden="false" customHeight="true" outlineLevel="0" collapsed="false">
      <c r="A18" s="23" t="n">
        <v>46042</v>
      </c>
      <c r="B18" s="8" t="s">
        <v>102</v>
      </c>
      <c r="C18" s="8" t="s">
        <v>58</v>
      </c>
      <c r="D18" s="24" t="n">
        <v>150</v>
      </c>
      <c r="E18" s="8" t="s">
        <v>86</v>
      </c>
      <c r="F18" s="25" t="n">
        <f aca="false">IF($A18="","",MONTH($A18))</f>
        <v>1</v>
      </c>
      <c r="G18" s="25" t="n">
        <f aca="false">IF($A18="","",YEAR($A18))</f>
        <v>2026</v>
      </c>
    </row>
    <row r="19" customFormat="false" ht="15" hidden="false" customHeight="true" outlineLevel="0" collapsed="false">
      <c r="A19" s="23" t="n">
        <v>46047</v>
      </c>
      <c r="B19" s="8" t="s">
        <v>103</v>
      </c>
      <c r="C19" s="8" t="s">
        <v>57</v>
      </c>
      <c r="D19" s="24" t="n">
        <v>45</v>
      </c>
      <c r="E19" s="8" t="s">
        <v>86</v>
      </c>
      <c r="F19" s="25" t="n">
        <f aca="false">IF($A19="","",MONTH($A19))</f>
        <v>1</v>
      </c>
      <c r="G19" s="25" t="n">
        <f aca="false">IF($A19="","",YEAR($A19))</f>
        <v>2026</v>
      </c>
    </row>
    <row r="20" customFormat="false" ht="15" hidden="false" customHeight="true" outlineLevel="0" collapsed="false">
      <c r="A20" s="23" t="n">
        <v>46050</v>
      </c>
      <c r="B20" s="8" t="s">
        <v>104</v>
      </c>
      <c r="C20" s="8" t="s">
        <v>68</v>
      </c>
      <c r="D20" s="24" t="n">
        <v>75</v>
      </c>
      <c r="E20" s="8" t="s">
        <v>97</v>
      </c>
      <c r="F20" s="25" t="n">
        <f aca="false">IF($A20="","",MONTH($A20))</f>
        <v>1</v>
      </c>
      <c r="G20" s="25" t="n">
        <f aca="false">IF($A20="","",YEAR($A20))</f>
        <v>2026</v>
      </c>
    </row>
    <row r="21" customFormat="false" ht="15" hidden="false" customHeight="true" outlineLevel="0" collapsed="false">
      <c r="A21" s="23" t="n">
        <v>46052</v>
      </c>
      <c r="B21" s="8" t="s">
        <v>105</v>
      </c>
      <c r="C21" s="8" t="s">
        <v>70</v>
      </c>
      <c r="D21" s="24" t="n">
        <v>100</v>
      </c>
      <c r="E21" s="8" t="s">
        <v>106</v>
      </c>
      <c r="F21" s="25" t="n">
        <f aca="false">IF($A21="","",MONTH($A21))</f>
        <v>1</v>
      </c>
      <c r="G21" s="25" t="n">
        <f aca="false">IF($A21="","",YEAR($A21))</f>
        <v>2026</v>
      </c>
    </row>
    <row r="22" customFormat="false" ht="15" hidden="false" customHeight="true" outlineLevel="0" collapsed="false">
      <c r="A22" s="23" t="n">
        <v>46054</v>
      </c>
      <c r="B22" s="8" t="s">
        <v>83</v>
      </c>
      <c r="C22" s="8" t="s">
        <v>42</v>
      </c>
      <c r="D22" s="24" t="n">
        <v>6500</v>
      </c>
      <c r="E22" s="8" t="s">
        <v>84</v>
      </c>
      <c r="F22" s="25" t="n">
        <f aca="false">IF($A22="","",MONTH($A22))</f>
        <v>2</v>
      </c>
      <c r="G22" s="25" t="n">
        <f aca="false">IF($A22="","",YEAR($A22))</f>
        <v>2026</v>
      </c>
    </row>
    <row r="23" customFormat="false" ht="15" hidden="false" customHeight="true" outlineLevel="0" collapsed="false">
      <c r="A23" s="23" t="n">
        <v>46054</v>
      </c>
      <c r="B23" s="8" t="s">
        <v>85</v>
      </c>
      <c r="C23" s="8" t="s">
        <v>43</v>
      </c>
      <c r="D23" s="24" t="n">
        <v>1800</v>
      </c>
      <c r="E23" s="8" t="s">
        <v>86</v>
      </c>
      <c r="F23" s="25" t="n">
        <f aca="false">IF($A23="","",MONTH($A23))</f>
        <v>2</v>
      </c>
      <c r="G23" s="25" t="n">
        <f aca="false">IF($A23="","",YEAR($A23))</f>
        <v>2026</v>
      </c>
    </row>
    <row r="24" customFormat="false" ht="15" hidden="false" customHeight="true" outlineLevel="0" collapsed="false">
      <c r="A24" s="23" t="n">
        <v>46056</v>
      </c>
      <c r="B24" s="8" t="s">
        <v>89</v>
      </c>
      <c r="C24" s="8" t="s">
        <v>54</v>
      </c>
      <c r="D24" s="24" t="n">
        <v>340</v>
      </c>
      <c r="E24" s="8" t="s">
        <v>90</v>
      </c>
      <c r="F24" s="25" t="n">
        <f aca="false">IF($A24="","",MONTH($A24))</f>
        <v>2</v>
      </c>
      <c r="G24" s="25" t="n">
        <f aca="false">IF($A24="","",YEAR($A24))</f>
        <v>2026</v>
      </c>
    </row>
    <row r="25" customFormat="false" ht="15" hidden="false" customHeight="true" outlineLevel="0" collapsed="false">
      <c r="A25" s="23" t="n">
        <v>46058</v>
      </c>
      <c r="B25" s="8" t="s">
        <v>93</v>
      </c>
      <c r="C25" s="8" t="s">
        <v>47</v>
      </c>
      <c r="D25" s="24" t="n">
        <v>350</v>
      </c>
      <c r="E25" s="8" t="s">
        <v>86</v>
      </c>
      <c r="F25" s="25" t="n">
        <f aca="false">IF($A25="","",MONTH($A25))</f>
        <v>2</v>
      </c>
      <c r="G25" s="25" t="n">
        <f aca="false">IF($A25="","",YEAR($A25))</f>
        <v>2026</v>
      </c>
    </row>
    <row r="26" customFormat="false" ht="15" hidden="false" customHeight="true" outlineLevel="0" collapsed="false">
      <c r="A26" s="23" t="n">
        <v>46062</v>
      </c>
      <c r="B26" s="8" t="s">
        <v>95</v>
      </c>
      <c r="C26" s="8" t="s">
        <v>45</v>
      </c>
      <c r="D26" s="24" t="n">
        <v>162</v>
      </c>
      <c r="E26" s="8" t="s">
        <v>86</v>
      </c>
      <c r="F26" s="25" t="n">
        <f aca="false">IF($A26="","",MONTH($A26))</f>
        <v>2</v>
      </c>
      <c r="G26" s="25" t="n">
        <f aca="false">IF($A26="","",YEAR($A26))</f>
        <v>2026</v>
      </c>
    </row>
    <row r="27" customFormat="false" ht="15" hidden="false" customHeight="true" outlineLevel="0" collapsed="false">
      <c r="A27" s="23" t="n">
        <v>46064</v>
      </c>
      <c r="B27" s="8" t="s">
        <v>98</v>
      </c>
      <c r="C27" s="8" t="s">
        <v>51</v>
      </c>
      <c r="D27" s="24" t="n">
        <v>342</v>
      </c>
      <c r="E27" s="8" t="s">
        <v>97</v>
      </c>
      <c r="F27" s="25" t="n">
        <f aca="false">IF($A27="","",MONTH($A27))</f>
        <v>2</v>
      </c>
      <c r="G27" s="25" t="n">
        <f aca="false">IF($A27="","",YEAR($A27))</f>
        <v>2026</v>
      </c>
    </row>
    <row r="28" customFormat="false" ht="15" hidden="false" customHeight="true" outlineLevel="0" collapsed="false">
      <c r="A28" s="23" t="n">
        <v>46065</v>
      </c>
      <c r="B28" s="8" t="s">
        <v>99</v>
      </c>
      <c r="C28" s="8" t="s">
        <v>60</v>
      </c>
      <c r="D28" s="24" t="n">
        <v>220</v>
      </c>
      <c r="E28" s="8" t="s">
        <v>86</v>
      </c>
      <c r="F28" s="25" t="n">
        <f aca="false">IF($A28="","",MONTH($A28))</f>
        <v>2</v>
      </c>
      <c r="G28" s="25" t="n">
        <f aca="false">IF($A28="","",YEAR($A28))</f>
        <v>2026</v>
      </c>
    </row>
    <row r="29" customFormat="false" ht="15" hidden="false" customHeight="true" outlineLevel="0" collapsed="false">
      <c r="A29" s="23" t="n">
        <v>46067</v>
      </c>
      <c r="B29" s="8" t="s">
        <v>107</v>
      </c>
      <c r="C29" s="8" t="s">
        <v>42</v>
      </c>
      <c r="D29" s="24" t="n">
        <v>1450</v>
      </c>
      <c r="E29" s="8" t="s">
        <v>84</v>
      </c>
      <c r="F29" s="25" t="n">
        <f aca="false">IF($A29="","",MONTH($A29))</f>
        <v>2</v>
      </c>
      <c r="G29" s="25" t="n">
        <f aca="false">IF($A29="","",YEAR($A29))</f>
        <v>2026</v>
      </c>
    </row>
    <row r="30" customFormat="false" ht="15" hidden="false" customHeight="true" outlineLevel="0" collapsed="false">
      <c r="A30" s="23" t="n">
        <v>46067</v>
      </c>
      <c r="B30" s="8" t="s">
        <v>108</v>
      </c>
      <c r="C30" s="8" t="s">
        <v>65</v>
      </c>
      <c r="D30" s="24" t="n">
        <v>65</v>
      </c>
      <c r="E30" s="8" t="s">
        <v>106</v>
      </c>
      <c r="F30" s="25" t="n">
        <f aca="false">IF($A30="","",MONTH($A30))</f>
        <v>2</v>
      </c>
      <c r="G30" s="25" t="n">
        <f aca="false">IF($A30="","",YEAR($A30))</f>
        <v>2026</v>
      </c>
    </row>
    <row r="31" customFormat="false" ht="15" hidden="false" customHeight="true" outlineLevel="0" collapsed="false">
      <c r="A31" s="23" t="n">
        <v>46069</v>
      </c>
      <c r="B31" s="8" t="s">
        <v>100</v>
      </c>
      <c r="C31" s="8" t="s">
        <v>49</v>
      </c>
      <c r="D31" s="24" t="n">
        <v>98</v>
      </c>
      <c r="E31" s="8" t="s">
        <v>97</v>
      </c>
      <c r="F31" s="25" t="n">
        <f aca="false">IF($A31="","",MONTH($A31))</f>
        <v>2</v>
      </c>
      <c r="G31" s="25" t="n">
        <f aca="false">IF($A31="","",YEAR($A31))</f>
        <v>2026</v>
      </c>
    </row>
    <row r="32" customFormat="false" ht="15" hidden="false" customHeight="true" outlineLevel="0" collapsed="false">
      <c r="A32" s="23" t="n">
        <v>46071</v>
      </c>
      <c r="B32" s="8" t="s">
        <v>109</v>
      </c>
      <c r="C32" s="8" t="s">
        <v>56</v>
      </c>
      <c r="D32" s="24" t="n">
        <v>120</v>
      </c>
      <c r="E32" s="8" t="s">
        <v>86</v>
      </c>
      <c r="F32" s="25" t="n">
        <f aca="false">IF($A32="","",MONTH($A32))</f>
        <v>2</v>
      </c>
      <c r="G32" s="25" t="n">
        <f aca="false">IF($A32="","",YEAR($A32))</f>
        <v>2026</v>
      </c>
    </row>
    <row r="33" customFormat="false" ht="15" hidden="false" customHeight="true" outlineLevel="0" collapsed="false">
      <c r="A33" s="23" t="n">
        <v>46073</v>
      </c>
      <c r="B33" s="8" t="s">
        <v>102</v>
      </c>
      <c r="C33" s="8" t="s">
        <v>58</v>
      </c>
      <c r="D33" s="24" t="n">
        <v>165</v>
      </c>
      <c r="E33" s="8" t="s">
        <v>86</v>
      </c>
      <c r="F33" s="25" t="n">
        <f aca="false">IF($A33="","",MONTH($A33))</f>
        <v>2</v>
      </c>
      <c r="G33" s="25" t="n">
        <f aca="false">IF($A33="","",YEAR($A33))</f>
        <v>2026</v>
      </c>
    </row>
    <row r="34" customFormat="false" ht="15" hidden="false" customHeight="true" outlineLevel="0" collapsed="false">
      <c r="A34" s="23" t="n">
        <v>46075</v>
      </c>
      <c r="B34" s="8" t="s">
        <v>110</v>
      </c>
      <c r="C34" s="8" t="s">
        <v>53</v>
      </c>
      <c r="D34" s="24" t="n">
        <v>95</v>
      </c>
      <c r="E34" s="8" t="s">
        <v>106</v>
      </c>
      <c r="F34" s="25" t="n">
        <f aca="false">IF($A34="","",MONTH($A34))</f>
        <v>2</v>
      </c>
      <c r="G34" s="25" t="n">
        <f aca="false">IF($A34="","",YEAR($A34))</f>
        <v>2026</v>
      </c>
    </row>
    <row r="35" customFormat="false" ht="15" hidden="false" customHeight="true" outlineLevel="0" collapsed="false">
      <c r="A35" s="23" t="n">
        <v>46078</v>
      </c>
      <c r="B35" s="8" t="s">
        <v>111</v>
      </c>
      <c r="C35" s="8" t="s">
        <v>50</v>
      </c>
      <c r="D35" s="24" t="n">
        <v>60</v>
      </c>
      <c r="E35" s="8" t="s">
        <v>97</v>
      </c>
      <c r="F35" s="25" t="n">
        <f aca="false">IF($A35="","",MONTH($A35))</f>
        <v>2</v>
      </c>
      <c r="G35" s="25" t="n">
        <f aca="false">IF($A35="","",YEAR($A35))</f>
        <v>2026</v>
      </c>
    </row>
    <row r="36" customFormat="false" ht="15" hidden="false" customHeight="true" outlineLevel="0" collapsed="false">
      <c r="A36" s="23" t="n">
        <v>46080</v>
      </c>
      <c r="B36" s="8" t="s">
        <v>112</v>
      </c>
      <c r="C36" s="8" t="s">
        <v>72</v>
      </c>
      <c r="D36" s="24" t="n">
        <v>55</v>
      </c>
      <c r="E36" s="8" t="s">
        <v>97</v>
      </c>
      <c r="F36" s="25" t="n">
        <f aca="false">IF($A36="","",MONTH($A36))</f>
        <v>2</v>
      </c>
      <c r="G36" s="25" t="n">
        <f aca="false">IF($A36="","",YEAR($A36))</f>
        <v>2026</v>
      </c>
    </row>
    <row r="37" customFormat="false" ht="15" hidden="false" customHeight="true" outlineLevel="0" collapsed="false">
      <c r="A37" s="23" t="n">
        <v>46082</v>
      </c>
      <c r="B37" s="8" t="s">
        <v>83</v>
      </c>
      <c r="C37" s="8" t="s">
        <v>42</v>
      </c>
      <c r="D37" s="24" t="n">
        <v>6500</v>
      </c>
      <c r="E37" s="8" t="s">
        <v>84</v>
      </c>
      <c r="F37" s="25" t="n">
        <f aca="false">IF($A37="","",MONTH($A37))</f>
        <v>3</v>
      </c>
      <c r="G37" s="25" t="n">
        <f aca="false">IF($A37="","",YEAR($A37))</f>
        <v>2026</v>
      </c>
    </row>
    <row r="38" customFormat="false" ht="15" hidden="false" customHeight="true" outlineLevel="0" collapsed="false">
      <c r="A38" s="23" t="n">
        <v>46082</v>
      </c>
      <c r="B38" s="8" t="s">
        <v>85</v>
      </c>
      <c r="C38" s="8" t="s">
        <v>43</v>
      </c>
      <c r="D38" s="24" t="n">
        <v>1800</v>
      </c>
      <c r="E38" s="8" t="s">
        <v>86</v>
      </c>
      <c r="F38" s="25" t="n">
        <f aca="false">IF($A38="","",MONTH($A38))</f>
        <v>3</v>
      </c>
      <c r="G38" s="25" t="n">
        <f aca="false">IF($A38="","",YEAR($A38))</f>
        <v>2026</v>
      </c>
    </row>
    <row r="39" customFormat="false" ht="15" hidden="false" customHeight="true" outlineLevel="0" collapsed="false">
      <c r="A39" s="23" t="n">
        <v>46083</v>
      </c>
      <c r="B39" s="8" t="s">
        <v>87</v>
      </c>
      <c r="C39" s="8" t="s">
        <v>63</v>
      </c>
      <c r="D39" s="24" t="n">
        <v>500</v>
      </c>
      <c r="E39" s="8" t="s">
        <v>88</v>
      </c>
      <c r="F39" s="25" t="n">
        <f aca="false">IF($A39="","",MONTH($A39))</f>
        <v>3</v>
      </c>
      <c r="G39" s="25" t="n">
        <f aca="false">IF($A39="","",YEAR($A39))</f>
        <v>2026</v>
      </c>
    </row>
    <row r="40" customFormat="false" ht="15" hidden="false" customHeight="true" outlineLevel="0" collapsed="false">
      <c r="A40" s="23" t="n">
        <v>46084</v>
      </c>
      <c r="B40" s="8" t="s">
        <v>89</v>
      </c>
      <c r="C40" s="8" t="s">
        <v>54</v>
      </c>
      <c r="D40" s="24" t="n">
        <v>340</v>
      </c>
      <c r="E40" s="8" t="s">
        <v>90</v>
      </c>
      <c r="F40" s="25" t="n">
        <f aca="false">IF($A40="","",MONTH($A40))</f>
        <v>3</v>
      </c>
      <c r="G40" s="25" t="n">
        <f aca="false">IF($A40="","",YEAR($A40))</f>
        <v>2026</v>
      </c>
    </row>
    <row r="41" customFormat="false" ht="15" hidden="false" customHeight="true" outlineLevel="0" collapsed="false">
      <c r="A41" s="23" t="n">
        <v>46086</v>
      </c>
      <c r="B41" s="8" t="s">
        <v>93</v>
      </c>
      <c r="C41" s="8" t="s">
        <v>47</v>
      </c>
      <c r="D41" s="24" t="n">
        <v>350</v>
      </c>
      <c r="E41" s="8" t="s">
        <v>86</v>
      </c>
      <c r="F41" s="25" t="n">
        <f aca="false">IF($A41="","",MONTH($A41))</f>
        <v>3</v>
      </c>
      <c r="G41" s="25" t="n">
        <f aca="false">IF($A41="","",YEAR($A41))</f>
        <v>2026</v>
      </c>
    </row>
    <row r="42" customFormat="false" ht="15" hidden="false" customHeight="true" outlineLevel="0" collapsed="false">
      <c r="A42" s="23" t="n">
        <v>46087</v>
      </c>
      <c r="B42" s="8" t="s">
        <v>94</v>
      </c>
      <c r="C42" s="8" t="s">
        <v>46</v>
      </c>
      <c r="D42" s="24" t="n">
        <v>95</v>
      </c>
      <c r="E42" s="8" t="s">
        <v>86</v>
      </c>
      <c r="F42" s="25" t="n">
        <f aca="false">IF($A42="","",MONTH($A42))</f>
        <v>3</v>
      </c>
      <c r="G42" s="25" t="n">
        <f aca="false">IF($A42="","",YEAR($A42))</f>
        <v>2026</v>
      </c>
    </row>
    <row r="43" customFormat="false" ht="15" hidden="false" customHeight="true" outlineLevel="0" collapsed="false">
      <c r="A43" s="23" t="n">
        <v>46088</v>
      </c>
      <c r="B43" s="8" t="s">
        <v>95</v>
      </c>
      <c r="C43" s="8" t="s">
        <v>45</v>
      </c>
      <c r="D43" s="24" t="n">
        <v>138</v>
      </c>
      <c r="E43" s="8" t="s">
        <v>86</v>
      </c>
      <c r="F43" s="25" t="n">
        <f aca="false">IF($A43="","",MONTH($A43))</f>
        <v>3</v>
      </c>
      <c r="G43" s="25" t="n">
        <f aca="false">IF($A43="","",YEAR($A43))</f>
        <v>2026</v>
      </c>
    </row>
    <row r="44" customFormat="false" ht="15" hidden="false" customHeight="true" outlineLevel="0" collapsed="false">
      <c r="A44" s="23" t="n">
        <v>46089</v>
      </c>
      <c r="B44" s="8" t="s">
        <v>110</v>
      </c>
      <c r="C44" s="8" t="s">
        <v>53</v>
      </c>
      <c r="D44" s="24" t="n">
        <v>140</v>
      </c>
      <c r="E44" s="8" t="s">
        <v>106</v>
      </c>
      <c r="F44" s="25" t="n">
        <f aca="false">IF($A44="","",MONTH($A44))</f>
        <v>3</v>
      </c>
      <c r="G44" s="25" t="n">
        <f aca="false">IF($A44="","",YEAR($A44))</f>
        <v>2026</v>
      </c>
    </row>
    <row r="45" customFormat="false" ht="15" hidden="false" customHeight="true" outlineLevel="0" collapsed="false">
      <c r="A45" s="23" t="n">
        <v>46090</v>
      </c>
      <c r="B45" s="8" t="s">
        <v>98</v>
      </c>
      <c r="C45" s="8" t="s">
        <v>51</v>
      </c>
      <c r="D45" s="24" t="n">
        <v>298</v>
      </c>
      <c r="E45" s="8" t="s">
        <v>97</v>
      </c>
      <c r="F45" s="25" t="n">
        <f aca="false">IF($A45="","",MONTH($A45))</f>
        <v>3</v>
      </c>
      <c r="G45" s="25" t="n">
        <f aca="false">IF($A45="","",YEAR($A45))</f>
        <v>2026</v>
      </c>
    </row>
    <row r="46" customFormat="false" ht="15" hidden="false" customHeight="true" outlineLevel="0" collapsed="false">
      <c r="A46" s="23" t="n">
        <v>46093</v>
      </c>
      <c r="B46" s="8" t="s">
        <v>99</v>
      </c>
      <c r="C46" s="8" t="s">
        <v>60</v>
      </c>
      <c r="D46" s="24" t="n">
        <v>220</v>
      </c>
      <c r="E46" s="8" t="s">
        <v>86</v>
      </c>
      <c r="F46" s="25" t="n">
        <f aca="false">IF($A46="","",MONTH($A46))</f>
        <v>3</v>
      </c>
      <c r="G46" s="25" t="n">
        <f aca="false">IF($A46="","",YEAR($A46))</f>
        <v>2026</v>
      </c>
    </row>
    <row r="47" customFormat="false" ht="15" hidden="false" customHeight="true" outlineLevel="0" collapsed="false">
      <c r="A47" s="23" t="n">
        <v>46096</v>
      </c>
      <c r="B47" s="8" t="s">
        <v>113</v>
      </c>
      <c r="C47" s="8" t="s">
        <v>69</v>
      </c>
      <c r="D47" s="24" t="n">
        <v>110</v>
      </c>
      <c r="E47" s="8" t="s">
        <v>106</v>
      </c>
      <c r="F47" s="25" t="n">
        <f aca="false">IF($A47="","",MONTH($A47))</f>
        <v>3</v>
      </c>
      <c r="G47" s="25" t="n">
        <f aca="false">IF($A47="","",YEAR($A47))</f>
        <v>2026</v>
      </c>
    </row>
    <row r="48" customFormat="false" ht="15" hidden="false" customHeight="true" outlineLevel="0" collapsed="false">
      <c r="A48" s="23" t="n">
        <v>46097</v>
      </c>
      <c r="B48" s="8" t="s">
        <v>101</v>
      </c>
      <c r="C48" s="8" t="s">
        <v>42</v>
      </c>
      <c r="D48" s="24" t="n">
        <v>1100</v>
      </c>
      <c r="E48" s="8" t="s">
        <v>84</v>
      </c>
      <c r="F48" s="25" t="n">
        <f aca="false">IF($A48="","",MONTH($A48))</f>
        <v>3</v>
      </c>
      <c r="G48" s="25" t="n">
        <f aca="false">IF($A48="","",YEAR($A48))</f>
        <v>2026</v>
      </c>
    </row>
    <row r="49" customFormat="false" ht="15" hidden="false" customHeight="true" outlineLevel="0" collapsed="false">
      <c r="A49" s="23" t="n">
        <v>46099</v>
      </c>
      <c r="B49" s="8" t="s">
        <v>109</v>
      </c>
      <c r="C49" s="8" t="s">
        <v>56</v>
      </c>
      <c r="D49" s="24" t="n">
        <v>120</v>
      </c>
      <c r="E49" s="8" t="s">
        <v>86</v>
      </c>
      <c r="F49" s="25" t="n">
        <f aca="false">IF($A49="","",MONTH($A49))</f>
        <v>3</v>
      </c>
      <c r="G49" s="25" t="n">
        <f aca="false">IF($A49="","",YEAR($A49))</f>
        <v>2026</v>
      </c>
    </row>
    <row r="50" customFormat="false" ht="15" hidden="false" customHeight="true" outlineLevel="0" collapsed="false">
      <c r="A50" s="23" t="n">
        <v>46101</v>
      </c>
      <c r="B50" s="8" t="s">
        <v>102</v>
      </c>
      <c r="C50" s="8" t="s">
        <v>58</v>
      </c>
      <c r="D50" s="24" t="n">
        <v>150</v>
      </c>
      <c r="E50" s="8" t="s">
        <v>86</v>
      </c>
      <c r="F50" s="25" t="n">
        <f aca="false">IF($A50="","",MONTH($A50))</f>
        <v>3</v>
      </c>
      <c r="G50" s="25" t="n">
        <f aca="false">IF($A50="","",YEAR($A50))</f>
        <v>2026</v>
      </c>
    </row>
    <row r="51" customFormat="false" ht="15" hidden="false" customHeight="true" outlineLevel="0" collapsed="false">
      <c r="A51" s="23" t="n">
        <v>46109</v>
      </c>
      <c r="B51" s="8" t="s">
        <v>114</v>
      </c>
      <c r="C51" s="8" t="s">
        <v>64</v>
      </c>
      <c r="D51" s="24" t="n">
        <v>300</v>
      </c>
      <c r="E51" s="8" t="s">
        <v>92</v>
      </c>
      <c r="F51" s="25" t="n">
        <f aca="false">IF($A51="","",MONTH($A51))</f>
        <v>3</v>
      </c>
      <c r="G51" s="25" t="n">
        <f aca="false">IF($A51="","",YEAR($A51))</f>
        <v>2026</v>
      </c>
    </row>
    <row r="52" customFormat="false" ht="15" hidden="false" customHeight="true" outlineLevel="0" collapsed="false">
      <c r="A52" s="23"/>
      <c r="B52" s="8"/>
      <c r="C52" s="8"/>
      <c r="D52" s="24"/>
      <c r="E52" s="8"/>
      <c r="F52" s="25" t="str">
        <f aca="false">IF($A52="","",MONTH($A52))</f>
        <v/>
      </c>
      <c r="G52" s="25" t="str">
        <f aca="false">IF($A52="","",YEAR($A52))</f>
        <v/>
      </c>
    </row>
    <row r="53" customFormat="false" ht="15" hidden="false" customHeight="true" outlineLevel="0" collapsed="false">
      <c r="A53" s="23"/>
      <c r="B53" s="8"/>
      <c r="C53" s="8"/>
      <c r="D53" s="24"/>
      <c r="E53" s="8"/>
      <c r="F53" s="25" t="str">
        <f aca="false">IF($A53="","",MONTH($A53))</f>
        <v/>
      </c>
      <c r="G53" s="25" t="str">
        <f aca="false">IF($A53="","",YEAR($A53))</f>
        <v/>
      </c>
    </row>
    <row r="54" customFormat="false" ht="15" hidden="false" customHeight="true" outlineLevel="0" collapsed="false">
      <c r="A54" s="23"/>
      <c r="B54" s="8"/>
      <c r="C54" s="8"/>
      <c r="D54" s="24"/>
      <c r="E54" s="8"/>
      <c r="F54" s="25" t="str">
        <f aca="false">IF($A54="","",MONTH($A54))</f>
        <v/>
      </c>
      <c r="G54" s="25" t="str">
        <f aca="false">IF($A54="","",YEAR($A54))</f>
        <v/>
      </c>
    </row>
    <row r="55" customFormat="false" ht="15" hidden="false" customHeight="true" outlineLevel="0" collapsed="false">
      <c r="A55" s="23"/>
      <c r="B55" s="8"/>
      <c r="C55" s="8"/>
      <c r="D55" s="24"/>
      <c r="E55" s="8"/>
      <c r="F55" s="25" t="str">
        <f aca="false">IF($A55="","",MONTH($A55))</f>
        <v/>
      </c>
      <c r="G55" s="25" t="str">
        <f aca="false">IF($A55="","",YEAR($A55))</f>
        <v/>
      </c>
    </row>
    <row r="56" customFormat="false" ht="15" hidden="false" customHeight="true" outlineLevel="0" collapsed="false">
      <c r="A56" s="23"/>
      <c r="B56" s="8"/>
      <c r="C56" s="8"/>
      <c r="D56" s="24"/>
      <c r="E56" s="8"/>
      <c r="F56" s="25" t="str">
        <f aca="false">IF($A56="","",MONTH($A56))</f>
        <v/>
      </c>
      <c r="G56" s="25" t="str">
        <f aca="false">IF($A56="","",YEAR($A56))</f>
        <v/>
      </c>
    </row>
    <row r="57" customFormat="false" ht="15" hidden="false" customHeight="true" outlineLevel="0" collapsed="false">
      <c r="A57" s="23"/>
      <c r="B57" s="8"/>
      <c r="C57" s="8"/>
      <c r="D57" s="24"/>
      <c r="E57" s="8"/>
      <c r="F57" s="25" t="str">
        <f aca="false">IF($A57="","",MONTH($A57))</f>
        <v/>
      </c>
      <c r="G57" s="25" t="str">
        <f aca="false">IF($A57="","",YEAR($A57))</f>
        <v/>
      </c>
    </row>
    <row r="58" customFormat="false" ht="15" hidden="false" customHeight="true" outlineLevel="0" collapsed="false">
      <c r="A58" s="23"/>
      <c r="B58" s="8"/>
      <c r="C58" s="8"/>
      <c r="D58" s="24"/>
      <c r="E58" s="8"/>
      <c r="F58" s="25" t="str">
        <f aca="false">IF($A58="","",MONTH($A58))</f>
        <v/>
      </c>
      <c r="G58" s="25" t="str">
        <f aca="false">IF($A58="","",YEAR($A58))</f>
        <v/>
      </c>
    </row>
    <row r="59" customFormat="false" ht="15" hidden="false" customHeight="true" outlineLevel="0" collapsed="false">
      <c r="A59" s="23"/>
      <c r="B59" s="8"/>
      <c r="C59" s="8"/>
      <c r="D59" s="24"/>
      <c r="E59" s="8"/>
      <c r="F59" s="25" t="str">
        <f aca="false">IF($A59="","",MONTH($A59))</f>
        <v/>
      </c>
      <c r="G59" s="25" t="str">
        <f aca="false">IF($A59="","",YEAR($A59))</f>
        <v/>
      </c>
    </row>
    <row r="60" customFormat="false" ht="15" hidden="false" customHeight="true" outlineLevel="0" collapsed="false">
      <c r="A60" s="23"/>
      <c r="B60" s="8"/>
      <c r="C60" s="8"/>
      <c r="D60" s="24"/>
      <c r="E60" s="8"/>
      <c r="F60" s="25" t="str">
        <f aca="false">IF($A60="","",MONTH($A60))</f>
        <v/>
      </c>
      <c r="G60" s="25" t="str">
        <f aca="false">IF($A60="","",YEAR($A60))</f>
        <v/>
      </c>
    </row>
    <row r="61" customFormat="false" ht="15" hidden="false" customHeight="true" outlineLevel="0" collapsed="false">
      <c r="A61" s="23"/>
      <c r="B61" s="8"/>
      <c r="C61" s="8"/>
      <c r="D61" s="24"/>
      <c r="E61" s="8"/>
      <c r="F61" s="25" t="str">
        <f aca="false">IF($A61="","",MONTH($A61))</f>
        <v/>
      </c>
      <c r="G61" s="25" t="str">
        <f aca="false">IF($A61="","",YEAR($A61))</f>
        <v/>
      </c>
    </row>
    <row r="62" customFormat="false" ht="15" hidden="false" customHeight="true" outlineLevel="0" collapsed="false">
      <c r="A62" s="23"/>
      <c r="B62" s="8"/>
      <c r="C62" s="8"/>
      <c r="D62" s="24"/>
      <c r="E62" s="8"/>
      <c r="F62" s="25" t="str">
        <f aca="false">IF($A62="","",MONTH($A62))</f>
        <v/>
      </c>
      <c r="G62" s="25" t="str">
        <f aca="false">IF($A62="","",YEAR($A62))</f>
        <v/>
      </c>
    </row>
    <row r="63" customFormat="false" ht="15" hidden="false" customHeight="true" outlineLevel="0" collapsed="false">
      <c r="A63" s="23"/>
      <c r="B63" s="8"/>
      <c r="C63" s="8"/>
      <c r="D63" s="24"/>
      <c r="E63" s="8"/>
      <c r="F63" s="25" t="str">
        <f aca="false">IF($A63="","",MONTH($A63))</f>
        <v/>
      </c>
      <c r="G63" s="25" t="str">
        <f aca="false">IF($A63="","",YEAR($A63))</f>
        <v/>
      </c>
    </row>
    <row r="64" customFormat="false" ht="15" hidden="false" customHeight="true" outlineLevel="0" collapsed="false">
      <c r="A64" s="23"/>
      <c r="B64" s="8"/>
      <c r="C64" s="8"/>
      <c r="D64" s="24"/>
      <c r="E64" s="8"/>
      <c r="F64" s="25" t="str">
        <f aca="false">IF($A64="","",MONTH($A64))</f>
        <v/>
      </c>
      <c r="G64" s="25" t="str">
        <f aca="false">IF($A64="","",YEAR($A64))</f>
        <v/>
      </c>
    </row>
    <row r="65" customFormat="false" ht="15" hidden="false" customHeight="true" outlineLevel="0" collapsed="false">
      <c r="A65" s="23"/>
      <c r="B65" s="8"/>
      <c r="C65" s="8"/>
      <c r="D65" s="24"/>
      <c r="E65" s="8"/>
      <c r="F65" s="25" t="str">
        <f aca="false">IF($A65="","",MONTH($A65))</f>
        <v/>
      </c>
      <c r="G65" s="25" t="str">
        <f aca="false">IF($A65="","",YEAR($A65))</f>
        <v/>
      </c>
    </row>
    <row r="66" customFormat="false" ht="15" hidden="false" customHeight="true" outlineLevel="0" collapsed="false">
      <c r="A66" s="23"/>
      <c r="B66" s="8"/>
      <c r="C66" s="8"/>
      <c r="D66" s="24"/>
      <c r="E66" s="8"/>
      <c r="F66" s="25" t="str">
        <f aca="false">IF($A66="","",MONTH($A66))</f>
        <v/>
      </c>
      <c r="G66" s="25" t="str">
        <f aca="false">IF($A66="","",YEAR($A66))</f>
        <v/>
      </c>
    </row>
    <row r="67" customFormat="false" ht="15" hidden="false" customHeight="true" outlineLevel="0" collapsed="false">
      <c r="A67" s="23"/>
      <c r="B67" s="8"/>
      <c r="C67" s="8"/>
      <c r="D67" s="24"/>
      <c r="E67" s="8"/>
      <c r="F67" s="25" t="str">
        <f aca="false">IF($A67="","",MONTH($A67))</f>
        <v/>
      </c>
      <c r="G67" s="25" t="str">
        <f aca="false">IF($A67="","",YEAR($A67))</f>
        <v/>
      </c>
    </row>
    <row r="68" customFormat="false" ht="15" hidden="false" customHeight="true" outlineLevel="0" collapsed="false">
      <c r="A68" s="23"/>
      <c r="B68" s="8"/>
      <c r="C68" s="8"/>
      <c r="D68" s="24"/>
      <c r="E68" s="8"/>
      <c r="F68" s="25" t="str">
        <f aca="false">IF($A68="","",MONTH($A68))</f>
        <v/>
      </c>
      <c r="G68" s="25" t="str">
        <f aca="false">IF($A68="","",YEAR($A68))</f>
        <v/>
      </c>
    </row>
    <row r="69" customFormat="false" ht="15" hidden="false" customHeight="true" outlineLevel="0" collapsed="false">
      <c r="A69" s="23"/>
      <c r="B69" s="8"/>
      <c r="C69" s="8"/>
      <c r="D69" s="24"/>
      <c r="E69" s="8"/>
      <c r="F69" s="25" t="str">
        <f aca="false">IF($A69="","",MONTH($A69))</f>
        <v/>
      </c>
      <c r="G69" s="25" t="str">
        <f aca="false">IF($A69="","",YEAR($A69))</f>
        <v/>
      </c>
    </row>
    <row r="70" customFormat="false" ht="15" hidden="false" customHeight="true" outlineLevel="0" collapsed="false">
      <c r="A70" s="23"/>
      <c r="B70" s="8"/>
      <c r="C70" s="8"/>
      <c r="D70" s="24"/>
      <c r="E70" s="8"/>
      <c r="F70" s="25" t="str">
        <f aca="false">IF($A70="","",MONTH($A70))</f>
        <v/>
      </c>
      <c r="G70" s="25" t="str">
        <f aca="false">IF($A70="","",YEAR($A70))</f>
        <v/>
      </c>
    </row>
    <row r="71" customFormat="false" ht="15" hidden="false" customHeight="true" outlineLevel="0" collapsed="false">
      <c r="A71" s="23"/>
      <c r="B71" s="8"/>
      <c r="C71" s="8"/>
      <c r="D71" s="24"/>
      <c r="E71" s="8"/>
      <c r="F71" s="25" t="str">
        <f aca="false">IF($A71="","",MONTH($A71))</f>
        <v/>
      </c>
      <c r="G71" s="25" t="str">
        <f aca="false">IF($A71="","",YEAR($A71))</f>
        <v/>
      </c>
    </row>
    <row r="72" customFormat="false" ht="15" hidden="false" customHeight="true" outlineLevel="0" collapsed="false">
      <c r="A72" s="23"/>
      <c r="B72" s="8"/>
      <c r="C72" s="8"/>
      <c r="D72" s="24"/>
      <c r="E72" s="8"/>
      <c r="F72" s="25" t="str">
        <f aca="false">IF($A72="","",MONTH($A72))</f>
        <v/>
      </c>
      <c r="G72" s="25" t="str">
        <f aca="false">IF($A72="","",YEAR($A72))</f>
        <v/>
      </c>
    </row>
    <row r="73" customFormat="false" ht="15" hidden="false" customHeight="true" outlineLevel="0" collapsed="false">
      <c r="A73" s="23"/>
      <c r="B73" s="8"/>
      <c r="C73" s="8"/>
      <c r="D73" s="24"/>
      <c r="E73" s="8"/>
      <c r="F73" s="25" t="str">
        <f aca="false">IF($A73="","",MONTH($A73))</f>
        <v/>
      </c>
      <c r="G73" s="25" t="str">
        <f aca="false">IF($A73="","",YEAR($A73))</f>
        <v/>
      </c>
    </row>
    <row r="74" customFormat="false" ht="15" hidden="false" customHeight="true" outlineLevel="0" collapsed="false">
      <c r="A74" s="23"/>
      <c r="B74" s="8"/>
      <c r="C74" s="8"/>
      <c r="D74" s="24"/>
      <c r="E74" s="8"/>
      <c r="F74" s="25" t="str">
        <f aca="false">IF($A74="","",MONTH($A74))</f>
        <v/>
      </c>
      <c r="G74" s="25" t="str">
        <f aca="false">IF($A74="","",YEAR($A74))</f>
        <v/>
      </c>
    </row>
    <row r="75" customFormat="false" ht="15" hidden="false" customHeight="true" outlineLevel="0" collapsed="false">
      <c r="A75" s="23"/>
      <c r="B75" s="8"/>
      <c r="C75" s="8"/>
      <c r="D75" s="24"/>
      <c r="E75" s="8"/>
      <c r="F75" s="25" t="str">
        <f aca="false">IF($A75="","",MONTH($A75))</f>
        <v/>
      </c>
      <c r="G75" s="25" t="str">
        <f aca="false">IF($A75="","",YEAR($A75))</f>
        <v/>
      </c>
    </row>
    <row r="76" customFormat="false" ht="15" hidden="false" customHeight="true" outlineLevel="0" collapsed="false">
      <c r="A76" s="23"/>
      <c r="B76" s="8"/>
      <c r="C76" s="8"/>
      <c r="D76" s="24"/>
      <c r="E76" s="8"/>
      <c r="F76" s="25" t="str">
        <f aca="false">IF($A76="","",MONTH($A76))</f>
        <v/>
      </c>
      <c r="G76" s="25" t="str">
        <f aca="false">IF($A76="","",YEAR($A76))</f>
        <v/>
      </c>
    </row>
    <row r="77" customFormat="false" ht="15" hidden="false" customHeight="true" outlineLevel="0" collapsed="false">
      <c r="A77" s="23"/>
      <c r="B77" s="8"/>
      <c r="C77" s="8"/>
      <c r="D77" s="24"/>
      <c r="E77" s="8"/>
      <c r="F77" s="25" t="str">
        <f aca="false">IF($A77="","",MONTH($A77))</f>
        <v/>
      </c>
      <c r="G77" s="25" t="str">
        <f aca="false">IF($A77="","",YEAR($A77))</f>
        <v/>
      </c>
    </row>
    <row r="78" customFormat="false" ht="15" hidden="false" customHeight="true" outlineLevel="0" collapsed="false">
      <c r="A78" s="23"/>
      <c r="B78" s="8"/>
      <c r="C78" s="8"/>
      <c r="D78" s="24"/>
      <c r="E78" s="8"/>
      <c r="F78" s="25" t="str">
        <f aca="false">IF($A78="","",MONTH($A78))</f>
        <v/>
      </c>
      <c r="G78" s="25" t="str">
        <f aca="false">IF($A78="","",YEAR($A78))</f>
        <v/>
      </c>
    </row>
    <row r="79" customFormat="false" ht="15" hidden="false" customHeight="true" outlineLevel="0" collapsed="false">
      <c r="A79" s="23"/>
      <c r="B79" s="8"/>
      <c r="C79" s="8"/>
      <c r="D79" s="24"/>
      <c r="E79" s="8"/>
      <c r="F79" s="25" t="str">
        <f aca="false">IF($A79="","",MONTH($A79))</f>
        <v/>
      </c>
      <c r="G79" s="25" t="str">
        <f aca="false">IF($A79="","",YEAR($A79))</f>
        <v/>
      </c>
    </row>
    <row r="80" customFormat="false" ht="15" hidden="false" customHeight="true" outlineLevel="0" collapsed="false">
      <c r="A80" s="23"/>
      <c r="B80" s="8"/>
      <c r="C80" s="8"/>
      <c r="D80" s="24"/>
      <c r="E80" s="8"/>
      <c r="F80" s="25" t="str">
        <f aca="false">IF($A80="","",MONTH($A80))</f>
        <v/>
      </c>
      <c r="G80" s="25" t="str">
        <f aca="false">IF($A80="","",YEAR($A80))</f>
        <v/>
      </c>
    </row>
    <row r="81" customFormat="false" ht="15" hidden="false" customHeight="true" outlineLevel="0" collapsed="false">
      <c r="A81" s="23"/>
      <c r="B81" s="8"/>
      <c r="C81" s="8"/>
      <c r="D81" s="24"/>
      <c r="E81" s="8"/>
      <c r="F81" s="25" t="str">
        <f aca="false">IF($A81="","",MONTH($A81))</f>
        <v/>
      </c>
      <c r="G81" s="25" t="str">
        <f aca="false">IF($A81="","",YEAR($A81))</f>
        <v/>
      </c>
    </row>
    <row r="82" customFormat="false" ht="15" hidden="false" customHeight="true" outlineLevel="0" collapsed="false">
      <c r="A82" s="23"/>
      <c r="B82" s="8"/>
      <c r="C82" s="8"/>
      <c r="D82" s="24"/>
      <c r="E82" s="8"/>
      <c r="F82" s="25" t="str">
        <f aca="false">IF($A82="","",MONTH($A82))</f>
        <v/>
      </c>
      <c r="G82" s="25" t="str">
        <f aca="false">IF($A82="","",YEAR($A82))</f>
        <v/>
      </c>
    </row>
    <row r="83" customFormat="false" ht="15" hidden="false" customHeight="true" outlineLevel="0" collapsed="false">
      <c r="A83" s="23"/>
      <c r="B83" s="8"/>
      <c r="C83" s="8"/>
      <c r="D83" s="24"/>
      <c r="E83" s="8"/>
      <c r="F83" s="25" t="str">
        <f aca="false">IF($A83="","",MONTH($A83))</f>
        <v/>
      </c>
      <c r="G83" s="25" t="str">
        <f aca="false">IF($A83="","",YEAR($A83))</f>
        <v/>
      </c>
    </row>
    <row r="84" customFormat="false" ht="15" hidden="false" customHeight="true" outlineLevel="0" collapsed="false">
      <c r="A84" s="23"/>
      <c r="B84" s="8"/>
      <c r="C84" s="8"/>
      <c r="D84" s="24"/>
      <c r="E84" s="8"/>
      <c r="F84" s="25" t="str">
        <f aca="false">IF($A84="","",MONTH($A84))</f>
        <v/>
      </c>
      <c r="G84" s="25" t="str">
        <f aca="false">IF($A84="","",YEAR($A84))</f>
        <v/>
      </c>
    </row>
    <row r="85" customFormat="false" ht="15" hidden="false" customHeight="true" outlineLevel="0" collapsed="false">
      <c r="A85" s="23"/>
      <c r="B85" s="8"/>
      <c r="C85" s="8"/>
      <c r="D85" s="24"/>
      <c r="E85" s="8"/>
      <c r="F85" s="25" t="str">
        <f aca="false">IF($A85="","",MONTH($A85))</f>
        <v/>
      </c>
      <c r="G85" s="25" t="str">
        <f aca="false">IF($A85="","",YEAR($A85))</f>
        <v/>
      </c>
    </row>
    <row r="86" customFormat="false" ht="15" hidden="false" customHeight="true" outlineLevel="0" collapsed="false">
      <c r="A86" s="23"/>
      <c r="B86" s="8"/>
      <c r="C86" s="8"/>
      <c r="D86" s="24"/>
      <c r="E86" s="8"/>
      <c r="F86" s="25" t="str">
        <f aca="false">IF($A86="","",MONTH($A86))</f>
        <v/>
      </c>
      <c r="G86" s="25" t="str">
        <f aca="false">IF($A86="","",YEAR($A86))</f>
        <v/>
      </c>
    </row>
    <row r="87" customFormat="false" ht="15" hidden="false" customHeight="true" outlineLevel="0" collapsed="false">
      <c r="A87" s="23"/>
      <c r="B87" s="8"/>
      <c r="C87" s="8"/>
      <c r="D87" s="24"/>
      <c r="E87" s="8"/>
      <c r="F87" s="25" t="str">
        <f aca="false">IF($A87="","",MONTH($A87))</f>
        <v/>
      </c>
      <c r="G87" s="25" t="str">
        <f aca="false">IF($A87="","",YEAR($A87))</f>
        <v/>
      </c>
    </row>
    <row r="88" customFormat="false" ht="15" hidden="false" customHeight="true" outlineLevel="0" collapsed="false">
      <c r="A88" s="23"/>
      <c r="B88" s="8"/>
      <c r="C88" s="8"/>
      <c r="D88" s="24"/>
      <c r="E88" s="8"/>
      <c r="F88" s="25" t="str">
        <f aca="false">IF($A88="","",MONTH($A88))</f>
        <v/>
      </c>
      <c r="G88" s="25" t="str">
        <f aca="false">IF($A88="","",YEAR($A88))</f>
        <v/>
      </c>
    </row>
    <row r="89" customFormat="false" ht="15" hidden="false" customHeight="true" outlineLevel="0" collapsed="false">
      <c r="A89" s="23"/>
      <c r="B89" s="8"/>
      <c r="C89" s="8"/>
      <c r="D89" s="24"/>
      <c r="E89" s="8"/>
      <c r="F89" s="25" t="str">
        <f aca="false">IF($A89="","",MONTH($A89))</f>
        <v/>
      </c>
      <c r="G89" s="25" t="str">
        <f aca="false">IF($A89="","",YEAR($A89))</f>
        <v/>
      </c>
    </row>
    <row r="90" customFormat="false" ht="15" hidden="false" customHeight="true" outlineLevel="0" collapsed="false">
      <c r="A90" s="23"/>
      <c r="B90" s="8"/>
      <c r="C90" s="8"/>
      <c r="D90" s="24"/>
      <c r="E90" s="8"/>
      <c r="F90" s="25" t="str">
        <f aca="false">IF($A90="","",MONTH($A90))</f>
        <v/>
      </c>
      <c r="G90" s="25" t="str">
        <f aca="false">IF($A90="","",YEAR($A90))</f>
        <v/>
      </c>
    </row>
    <row r="91" customFormat="false" ht="15" hidden="false" customHeight="true" outlineLevel="0" collapsed="false">
      <c r="A91" s="23"/>
      <c r="B91" s="8"/>
      <c r="C91" s="8"/>
      <c r="D91" s="24"/>
      <c r="E91" s="8"/>
      <c r="F91" s="25" t="str">
        <f aca="false">IF($A91="","",MONTH($A91))</f>
        <v/>
      </c>
      <c r="G91" s="25" t="str">
        <f aca="false">IF($A91="","",YEAR($A91))</f>
        <v/>
      </c>
    </row>
    <row r="92" customFormat="false" ht="15" hidden="false" customHeight="true" outlineLevel="0" collapsed="false">
      <c r="A92" s="23"/>
      <c r="B92" s="8"/>
      <c r="C92" s="8"/>
      <c r="D92" s="24"/>
      <c r="E92" s="8"/>
      <c r="F92" s="25" t="str">
        <f aca="false">IF($A92="","",MONTH($A92))</f>
        <v/>
      </c>
      <c r="G92" s="25" t="str">
        <f aca="false">IF($A92="","",YEAR($A92))</f>
        <v/>
      </c>
    </row>
    <row r="93" customFormat="false" ht="15" hidden="false" customHeight="true" outlineLevel="0" collapsed="false">
      <c r="A93" s="23"/>
      <c r="B93" s="8"/>
      <c r="C93" s="8"/>
      <c r="D93" s="24"/>
      <c r="E93" s="8"/>
      <c r="F93" s="25" t="str">
        <f aca="false">IF($A93="","",MONTH($A93))</f>
        <v/>
      </c>
      <c r="G93" s="25" t="str">
        <f aca="false">IF($A93="","",YEAR($A93))</f>
        <v/>
      </c>
    </row>
    <row r="94" customFormat="false" ht="15" hidden="false" customHeight="true" outlineLevel="0" collapsed="false">
      <c r="A94" s="23"/>
      <c r="B94" s="8"/>
      <c r="C94" s="8"/>
      <c r="D94" s="24"/>
      <c r="E94" s="8"/>
      <c r="F94" s="25" t="str">
        <f aca="false">IF($A94="","",MONTH($A94))</f>
        <v/>
      </c>
      <c r="G94" s="25" t="str">
        <f aca="false">IF($A94="","",YEAR($A94))</f>
        <v/>
      </c>
    </row>
    <row r="95" customFormat="false" ht="15" hidden="false" customHeight="true" outlineLevel="0" collapsed="false">
      <c r="A95" s="23"/>
      <c r="B95" s="8"/>
      <c r="C95" s="8"/>
      <c r="D95" s="24"/>
      <c r="E95" s="8"/>
      <c r="F95" s="25" t="str">
        <f aca="false">IF($A95="","",MONTH($A95))</f>
        <v/>
      </c>
      <c r="G95" s="25" t="str">
        <f aca="false">IF($A95="","",YEAR($A95))</f>
        <v/>
      </c>
    </row>
    <row r="96" customFormat="false" ht="15" hidden="false" customHeight="true" outlineLevel="0" collapsed="false">
      <c r="A96" s="23"/>
      <c r="B96" s="8"/>
      <c r="C96" s="8"/>
      <c r="D96" s="24"/>
      <c r="E96" s="8"/>
      <c r="F96" s="25" t="str">
        <f aca="false">IF($A96="","",MONTH($A96))</f>
        <v/>
      </c>
      <c r="G96" s="25" t="str">
        <f aca="false">IF($A96="","",YEAR($A96))</f>
        <v/>
      </c>
    </row>
    <row r="97" customFormat="false" ht="15" hidden="false" customHeight="true" outlineLevel="0" collapsed="false">
      <c r="A97" s="23"/>
      <c r="B97" s="8"/>
      <c r="C97" s="8"/>
      <c r="D97" s="24"/>
      <c r="E97" s="8"/>
      <c r="F97" s="25" t="str">
        <f aca="false">IF($A97="","",MONTH($A97))</f>
        <v/>
      </c>
      <c r="G97" s="25" t="str">
        <f aca="false">IF($A97="","",YEAR($A97))</f>
        <v/>
      </c>
    </row>
    <row r="98" customFormat="false" ht="15" hidden="false" customHeight="true" outlineLevel="0" collapsed="false">
      <c r="A98" s="23"/>
      <c r="B98" s="8"/>
      <c r="C98" s="8"/>
      <c r="D98" s="24"/>
      <c r="E98" s="8"/>
      <c r="F98" s="25" t="str">
        <f aca="false">IF($A98="","",MONTH($A98))</f>
        <v/>
      </c>
      <c r="G98" s="25" t="str">
        <f aca="false">IF($A98="","",YEAR($A98))</f>
        <v/>
      </c>
    </row>
    <row r="99" customFormat="false" ht="15" hidden="false" customHeight="true" outlineLevel="0" collapsed="false">
      <c r="A99" s="23"/>
      <c r="B99" s="8"/>
      <c r="C99" s="8"/>
      <c r="D99" s="24"/>
      <c r="E99" s="8"/>
      <c r="F99" s="25" t="str">
        <f aca="false">IF($A99="","",MONTH($A99))</f>
        <v/>
      </c>
      <c r="G99" s="25" t="str">
        <f aca="false">IF($A99="","",YEAR($A99))</f>
        <v/>
      </c>
    </row>
    <row r="100" customFormat="false" ht="15" hidden="false" customHeight="true" outlineLevel="0" collapsed="false">
      <c r="A100" s="23"/>
      <c r="B100" s="8"/>
      <c r="C100" s="8"/>
      <c r="D100" s="24"/>
      <c r="E100" s="8"/>
      <c r="F100" s="25" t="str">
        <f aca="false">IF($A100="","",MONTH($A100))</f>
        <v/>
      </c>
      <c r="G100" s="25" t="str">
        <f aca="false">IF($A100="","",YEAR($A100))</f>
        <v/>
      </c>
    </row>
    <row r="101" customFormat="false" ht="15" hidden="false" customHeight="true" outlineLevel="0" collapsed="false">
      <c r="A101" s="23"/>
      <c r="B101" s="8"/>
      <c r="C101" s="8"/>
      <c r="D101" s="24"/>
      <c r="E101" s="8"/>
      <c r="F101" s="25" t="str">
        <f aca="false">IF($A101="","",MONTH($A101))</f>
        <v/>
      </c>
      <c r="G101" s="25" t="str">
        <f aca="false">IF($A101="","",YEAR($A101))</f>
        <v/>
      </c>
    </row>
    <row r="102" customFormat="false" ht="15" hidden="false" customHeight="true" outlineLevel="0" collapsed="false">
      <c r="A102" s="23"/>
      <c r="B102" s="8"/>
      <c r="C102" s="8"/>
      <c r="D102" s="24"/>
      <c r="E102" s="8"/>
      <c r="F102" s="25" t="str">
        <f aca="false">IF($A102="","",MONTH($A102))</f>
        <v/>
      </c>
      <c r="G102" s="25" t="str">
        <f aca="false">IF($A102="","",YEAR($A102))</f>
        <v/>
      </c>
    </row>
    <row r="103" customFormat="false" ht="15" hidden="false" customHeight="true" outlineLevel="0" collapsed="false">
      <c r="A103" s="23"/>
      <c r="B103" s="8"/>
      <c r="C103" s="8"/>
      <c r="D103" s="24"/>
      <c r="E103" s="8"/>
      <c r="F103" s="25" t="str">
        <f aca="false">IF($A103="","",MONTH($A103))</f>
        <v/>
      </c>
      <c r="G103" s="25" t="str">
        <f aca="false">IF($A103="","",YEAR($A103))</f>
        <v/>
      </c>
    </row>
    <row r="104" customFormat="false" ht="15" hidden="false" customHeight="true" outlineLevel="0" collapsed="false">
      <c r="A104" s="23"/>
      <c r="B104" s="8"/>
      <c r="C104" s="8"/>
      <c r="D104" s="24"/>
      <c r="E104" s="8"/>
      <c r="F104" s="25" t="str">
        <f aca="false">IF($A104="","",MONTH($A104))</f>
        <v/>
      </c>
      <c r="G104" s="25" t="str">
        <f aca="false">IF($A104="","",YEAR($A104))</f>
        <v/>
      </c>
    </row>
    <row r="105" customFormat="false" ht="15" hidden="false" customHeight="true" outlineLevel="0" collapsed="false">
      <c r="A105" s="23"/>
      <c r="B105" s="8"/>
      <c r="C105" s="8"/>
      <c r="D105" s="24"/>
      <c r="E105" s="8"/>
      <c r="F105" s="25" t="str">
        <f aca="false">IF($A105="","",MONTH($A105))</f>
        <v/>
      </c>
      <c r="G105" s="25" t="str">
        <f aca="false">IF($A105="","",YEAR($A105))</f>
        <v/>
      </c>
    </row>
    <row r="106" customFormat="false" ht="15" hidden="false" customHeight="true" outlineLevel="0" collapsed="false">
      <c r="A106" s="23"/>
      <c r="B106" s="8"/>
      <c r="C106" s="8"/>
      <c r="D106" s="24"/>
      <c r="E106" s="8"/>
      <c r="F106" s="25" t="str">
        <f aca="false">IF($A106="","",MONTH($A106))</f>
        <v/>
      </c>
      <c r="G106" s="25" t="str">
        <f aca="false">IF($A106="","",YEAR($A106))</f>
        <v/>
      </c>
    </row>
    <row r="107" customFormat="false" ht="15" hidden="false" customHeight="true" outlineLevel="0" collapsed="false">
      <c r="A107" s="23"/>
      <c r="B107" s="8"/>
      <c r="C107" s="8"/>
      <c r="D107" s="24"/>
      <c r="E107" s="8"/>
      <c r="F107" s="25" t="str">
        <f aca="false">IF($A107="","",MONTH($A107))</f>
        <v/>
      </c>
      <c r="G107" s="25" t="str">
        <f aca="false">IF($A107="","",YEAR($A107))</f>
        <v/>
      </c>
    </row>
    <row r="108" customFormat="false" ht="15" hidden="false" customHeight="true" outlineLevel="0" collapsed="false">
      <c r="A108" s="23"/>
      <c r="B108" s="8"/>
      <c r="C108" s="8"/>
      <c r="D108" s="24"/>
      <c r="E108" s="8"/>
      <c r="F108" s="25" t="str">
        <f aca="false">IF($A108="","",MONTH($A108))</f>
        <v/>
      </c>
      <c r="G108" s="25" t="str">
        <f aca="false">IF($A108="","",YEAR($A108))</f>
        <v/>
      </c>
    </row>
    <row r="109" customFormat="false" ht="15" hidden="false" customHeight="true" outlineLevel="0" collapsed="false">
      <c r="A109" s="23"/>
      <c r="B109" s="8"/>
      <c r="C109" s="8"/>
      <c r="D109" s="24"/>
      <c r="E109" s="8"/>
      <c r="F109" s="25" t="str">
        <f aca="false">IF($A109="","",MONTH($A109))</f>
        <v/>
      </c>
      <c r="G109" s="25" t="str">
        <f aca="false">IF($A109="","",YEAR($A109))</f>
        <v/>
      </c>
    </row>
    <row r="110" customFormat="false" ht="15" hidden="false" customHeight="true" outlineLevel="0" collapsed="false">
      <c r="A110" s="23"/>
      <c r="B110" s="8"/>
      <c r="C110" s="8"/>
      <c r="D110" s="24"/>
      <c r="E110" s="8"/>
      <c r="F110" s="25" t="str">
        <f aca="false">IF($A110="","",MONTH($A110))</f>
        <v/>
      </c>
      <c r="G110" s="25" t="str">
        <f aca="false">IF($A110="","",YEAR($A110))</f>
        <v/>
      </c>
    </row>
    <row r="111" customFormat="false" ht="15" hidden="false" customHeight="true" outlineLevel="0" collapsed="false">
      <c r="A111" s="23"/>
      <c r="B111" s="8"/>
      <c r="C111" s="8"/>
      <c r="D111" s="24"/>
      <c r="E111" s="8"/>
      <c r="F111" s="25" t="str">
        <f aca="false">IF($A111="","",MONTH($A111))</f>
        <v/>
      </c>
      <c r="G111" s="25" t="str">
        <f aca="false">IF($A111="","",YEAR($A111))</f>
        <v/>
      </c>
    </row>
    <row r="112" customFormat="false" ht="15" hidden="false" customHeight="true" outlineLevel="0" collapsed="false">
      <c r="A112" s="23"/>
      <c r="B112" s="8"/>
      <c r="C112" s="8"/>
      <c r="D112" s="24"/>
      <c r="E112" s="8"/>
      <c r="F112" s="25" t="str">
        <f aca="false">IF($A112="","",MONTH($A112))</f>
        <v/>
      </c>
      <c r="G112" s="25" t="str">
        <f aca="false">IF($A112="","",YEAR($A112))</f>
        <v/>
      </c>
    </row>
    <row r="113" customFormat="false" ht="15" hidden="false" customHeight="true" outlineLevel="0" collapsed="false">
      <c r="A113" s="23"/>
      <c r="B113" s="8"/>
      <c r="C113" s="8"/>
      <c r="D113" s="24"/>
      <c r="E113" s="8"/>
      <c r="F113" s="25" t="str">
        <f aca="false">IF($A113="","",MONTH($A113))</f>
        <v/>
      </c>
      <c r="G113" s="25" t="str">
        <f aca="false">IF($A113="","",YEAR($A113))</f>
        <v/>
      </c>
    </row>
    <row r="114" customFormat="false" ht="15" hidden="false" customHeight="true" outlineLevel="0" collapsed="false">
      <c r="A114" s="23"/>
      <c r="B114" s="8"/>
      <c r="C114" s="8"/>
      <c r="D114" s="24"/>
      <c r="E114" s="8"/>
      <c r="F114" s="25" t="str">
        <f aca="false">IF($A114="","",MONTH($A114))</f>
        <v/>
      </c>
      <c r="G114" s="25" t="str">
        <f aca="false">IF($A114="","",YEAR($A114))</f>
        <v/>
      </c>
    </row>
    <row r="115" customFormat="false" ht="15" hidden="false" customHeight="true" outlineLevel="0" collapsed="false">
      <c r="A115" s="23"/>
      <c r="B115" s="8"/>
      <c r="C115" s="8"/>
      <c r="D115" s="24"/>
      <c r="E115" s="8"/>
      <c r="F115" s="25" t="str">
        <f aca="false">IF($A115="","",MONTH($A115))</f>
        <v/>
      </c>
      <c r="G115" s="25" t="str">
        <f aca="false">IF($A115="","",YEAR($A115))</f>
        <v/>
      </c>
    </row>
    <row r="116" customFormat="false" ht="15" hidden="false" customHeight="true" outlineLevel="0" collapsed="false">
      <c r="A116" s="23"/>
      <c r="B116" s="8"/>
      <c r="C116" s="8"/>
      <c r="D116" s="24"/>
      <c r="E116" s="8"/>
      <c r="F116" s="25" t="str">
        <f aca="false">IF($A116="","",MONTH($A116))</f>
        <v/>
      </c>
      <c r="G116" s="25" t="str">
        <f aca="false">IF($A116="","",YEAR($A116))</f>
        <v/>
      </c>
    </row>
    <row r="117" customFormat="false" ht="15" hidden="false" customHeight="true" outlineLevel="0" collapsed="false">
      <c r="A117" s="23"/>
      <c r="B117" s="8"/>
      <c r="C117" s="8"/>
      <c r="D117" s="24"/>
      <c r="E117" s="8"/>
      <c r="F117" s="25" t="str">
        <f aca="false">IF($A117="","",MONTH($A117))</f>
        <v/>
      </c>
      <c r="G117" s="25" t="str">
        <f aca="false">IF($A117="","",YEAR($A117))</f>
        <v/>
      </c>
    </row>
    <row r="118" customFormat="false" ht="15" hidden="false" customHeight="true" outlineLevel="0" collapsed="false">
      <c r="A118" s="23"/>
      <c r="B118" s="8"/>
      <c r="C118" s="8"/>
      <c r="D118" s="24"/>
      <c r="E118" s="8"/>
      <c r="F118" s="25" t="str">
        <f aca="false">IF($A118="","",MONTH($A118))</f>
        <v/>
      </c>
      <c r="G118" s="25" t="str">
        <f aca="false">IF($A118="","",YEAR($A118))</f>
        <v/>
      </c>
    </row>
    <row r="119" customFormat="false" ht="15" hidden="false" customHeight="true" outlineLevel="0" collapsed="false">
      <c r="A119" s="23"/>
      <c r="B119" s="8"/>
      <c r="C119" s="8"/>
      <c r="D119" s="24"/>
      <c r="E119" s="8"/>
      <c r="F119" s="25" t="str">
        <f aca="false">IF($A119="","",MONTH($A119))</f>
        <v/>
      </c>
      <c r="G119" s="25" t="str">
        <f aca="false">IF($A119="","",YEAR($A119))</f>
        <v/>
      </c>
    </row>
    <row r="120" customFormat="false" ht="15" hidden="false" customHeight="true" outlineLevel="0" collapsed="false">
      <c r="A120" s="23"/>
      <c r="B120" s="8"/>
      <c r="C120" s="8"/>
      <c r="D120" s="24"/>
      <c r="E120" s="8"/>
      <c r="F120" s="25" t="str">
        <f aca="false">IF($A120="","",MONTH($A120))</f>
        <v/>
      </c>
      <c r="G120" s="25" t="str">
        <f aca="false">IF($A120="","",YEAR($A120))</f>
        <v/>
      </c>
    </row>
    <row r="121" customFormat="false" ht="15" hidden="false" customHeight="true" outlineLevel="0" collapsed="false">
      <c r="A121" s="23"/>
      <c r="B121" s="8"/>
      <c r="C121" s="8"/>
      <c r="D121" s="24"/>
      <c r="E121" s="8"/>
      <c r="F121" s="25" t="str">
        <f aca="false">IF($A121="","",MONTH($A121))</f>
        <v/>
      </c>
      <c r="G121" s="25" t="str">
        <f aca="false">IF($A121="","",YEAR($A121))</f>
        <v/>
      </c>
    </row>
    <row r="122" customFormat="false" ht="15" hidden="false" customHeight="true" outlineLevel="0" collapsed="false">
      <c r="A122" s="23"/>
      <c r="B122" s="8"/>
      <c r="C122" s="8"/>
      <c r="D122" s="24"/>
      <c r="E122" s="8"/>
      <c r="F122" s="25" t="str">
        <f aca="false">IF($A122="","",MONTH($A122))</f>
        <v/>
      </c>
      <c r="G122" s="25" t="str">
        <f aca="false">IF($A122="","",YEAR($A122))</f>
        <v/>
      </c>
    </row>
    <row r="123" customFormat="false" ht="15" hidden="false" customHeight="true" outlineLevel="0" collapsed="false">
      <c r="A123" s="23"/>
      <c r="B123" s="8"/>
      <c r="C123" s="8"/>
      <c r="D123" s="24"/>
      <c r="E123" s="8"/>
      <c r="F123" s="25" t="str">
        <f aca="false">IF($A123="","",MONTH($A123))</f>
        <v/>
      </c>
      <c r="G123" s="25" t="str">
        <f aca="false">IF($A123="","",YEAR($A123))</f>
        <v/>
      </c>
    </row>
    <row r="124" customFormat="false" ht="15" hidden="false" customHeight="true" outlineLevel="0" collapsed="false">
      <c r="A124" s="23"/>
      <c r="B124" s="8"/>
      <c r="C124" s="8"/>
      <c r="D124" s="24"/>
      <c r="E124" s="8"/>
      <c r="F124" s="25" t="str">
        <f aca="false">IF($A124="","",MONTH($A124))</f>
        <v/>
      </c>
      <c r="G124" s="25" t="str">
        <f aca="false">IF($A124="","",YEAR($A124))</f>
        <v/>
      </c>
    </row>
    <row r="125" customFormat="false" ht="15" hidden="false" customHeight="true" outlineLevel="0" collapsed="false">
      <c r="A125" s="23"/>
      <c r="B125" s="8"/>
      <c r="C125" s="8"/>
      <c r="D125" s="24"/>
      <c r="E125" s="8"/>
      <c r="F125" s="25" t="str">
        <f aca="false">IF($A125="","",MONTH($A125))</f>
        <v/>
      </c>
      <c r="G125" s="25" t="str">
        <f aca="false">IF($A125="","",YEAR($A125))</f>
        <v/>
      </c>
    </row>
    <row r="126" customFormat="false" ht="15" hidden="false" customHeight="true" outlineLevel="0" collapsed="false">
      <c r="A126" s="23"/>
      <c r="B126" s="8"/>
      <c r="C126" s="8"/>
      <c r="D126" s="24"/>
      <c r="E126" s="8"/>
      <c r="F126" s="25" t="str">
        <f aca="false">IF($A126="","",MONTH($A126))</f>
        <v/>
      </c>
      <c r="G126" s="25" t="str">
        <f aca="false">IF($A126="","",YEAR($A126))</f>
        <v/>
      </c>
    </row>
    <row r="127" customFormat="false" ht="15" hidden="false" customHeight="true" outlineLevel="0" collapsed="false">
      <c r="A127" s="23"/>
      <c r="B127" s="8"/>
      <c r="C127" s="8"/>
      <c r="D127" s="24"/>
      <c r="E127" s="8"/>
      <c r="F127" s="25" t="str">
        <f aca="false">IF($A127="","",MONTH($A127))</f>
        <v/>
      </c>
      <c r="G127" s="25" t="str">
        <f aca="false">IF($A127="","",YEAR($A127))</f>
        <v/>
      </c>
    </row>
    <row r="128" customFormat="false" ht="15" hidden="false" customHeight="true" outlineLevel="0" collapsed="false">
      <c r="A128" s="23"/>
      <c r="B128" s="8"/>
      <c r="C128" s="8"/>
      <c r="D128" s="24"/>
      <c r="E128" s="8"/>
      <c r="F128" s="25" t="str">
        <f aca="false">IF($A128="","",MONTH($A128))</f>
        <v/>
      </c>
      <c r="G128" s="25" t="str">
        <f aca="false">IF($A128="","",YEAR($A128))</f>
        <v/>
      </c>
    </row>
    <row r="129" customFormat="false" ht="15" hidden="false" customHeight="true" outlineLevel="0" collapsed="false">
      <c r="A129" s="23"/>
      <c r="B129" s="8"/>
      <c r="C129" s="8"/>
      <c r="D129" s="24"/>
      <c r="E129" s="8"/>
      <c r="F129" s="25" t="str">
        <f aca="false">IF($A129="","",MONTH($A129))</f>
        <v/>
      </c>
      <c r="G129" s="25" t="str">
        <f aca="false">IF($A129="","",YEAR($A129))</f>
        <v/>
      </c>
    </row>
    <row r="130" customFormat="false" ht="15" hidden="false" customHeight="true" outlineLevel="0" collapsed="false">
      <c r="A130" s="23"/>
      <c r="B130" s="8"/>
      <c r="C130" s="8"/>
      <c r="D130" s="24"/>
      <c r="E130" s="8"/>
      <c r="F130" s="25" t="str">
        <f aca="false">IF($A130="","",MONTH($A130))</f>
        <v/>
      </c>
      <c r="G130" s="25" t="str">
        <f aca="false">IF($A130="","",YEAR($A130))</f>
        <v/>
      </c>
    </row>
    <row r="131" customFormat="false" ht="15" hidden="false" customHeight="true" outlineLevel="0" collapsed="false">
      <c r="A131" s="23"/>
      <c r="B131" s="8"/>
      <c r="C131" s="8"/>
      <c r="D131" s="24"/>
      <c r="E131" s="8"/>
      <c r="F131" s="25" t="str">
        <f aca="false">IF($A131="","",MONTH($A131))</f>
        <v/>
      </c>
      <c r="G131" s="25" t="str">
        <f aca="false">IF($A131="","",YEAR($A131))</f>
        <v/>
      </c>
    </row>
    <row r="132" customFormat="false" ht="15" hidden="false" customHeight="true" outlineLevel="0" collapsed="false">
      <c r="A132" s="23"/>
      <c r="B132" s="8"/>
      <c r="C132" s="8"/>
      <c r="D132" s="24"/>
      <c r="E132" s="8"/>
      <c r="F132" s="25" t="str">
        <f aca="false">IF($A132="","",MONTH($A132))</f>
        <v/>
      </c>
      <c r="G132" s="25" t="str">
        <f aca="false">IF($A132="","",YEAR($A132))</f>
        <v/>
      </c>
    </row>
    <row r="133" customFormat="false" ht="15" hidden="false" customHeight="true" outlineLevel="0" collapsed="false">
      <c r="A133" s="23"/>
      <c r="B133" s="8"/>
      <c r="C133" s="8"/>
      <c r="D133" s="24"/>
      <c r="E133" s="8"/>
      <c r="F133" s="25" t="str">
        <f aca="false">IF($A133="","",MONTH($A133))</f>
        <v/>
      </c>
      <c r="G133" s="25" t="str">
        <f aca="false">IF($A133="","",YEAR($A133))</f>
        <v/>
      </c>
    </row>
    <row r="134" customFormat="false" ht="15" hidden="false" customHeight="true" outlineLevel="0" collapsed="false">
      <c r="A134" s="23"/>
      <c r="B134" s="8"/>
      <c r="C134" s="8"/>
      <c r="D134" s="24"/>
      <c r="E134" s="8"/>
      <c r="F134" s="25" t="str">
        <f aca="false">IF($A134="","",MONTH($A134))</f>
        <v/>
      </c>
      <c r="G134" s="25" t="str">
        <f aca="false">IF($A134="","",YEAR($A134))</f>
        <v/>
      </c>
    </row>
    <row r="135" customFormat="false" ht="15" hidden="false" customHeight="true" outlineLevel="0" collapsed="false">
      <c r="A135" s="23"/>
      <c r="B135" s="8"/>
      <c r="C135" s="8"/>
      <c r="D135" s="24"/>
      <c r="E135" s="8"/>
      <c r="F135" s="25" t="str">
        <f aca="false">IF($A135="","",MONTH($A135))</f>
        <v/>
      </c>
      <c r="G135" s="25" t="str">
        <f aca="false">IF($A135="","",YEAR($A135))</f>
        <v/>
      </c>
    </row>
    <row r="136" customFormat="false" ht="15" hidden="false" customHeight="true" outlineLevel="0" collapsed="false">
      <c r="A136" s="23"/>
      <c r="B136" s="8"/>
      <c r="C136" s="8"/>
      <c r="D136" s="24"/>
      <c r="E136" s="8"/>
      <c r="F136" s="25" t="str">
        <f aca="false">IF($A136="","",MONTH($A136))</f>
        <v/>
      </c>
      <c r="G136" s="25" t="str">
        <f aca="false">IF($A136="","",YEAR($A136))</f>
        <v/>
      </c>
    </row>
    <row r="137" customFormat="false" ht="15" hidden="false" customHeight="true" outlineLevel="0" collapsed="false">
      <c r="A137" s="23"/>
      <c r="B137" s="8"/>
      <c r="C137" s="8"/>
      <c r="D137" s="24"/>
      <c r="E137" s="8"/>
      <c r="F137" s="25" t="str">
        <f aca="false">IF($A137="","",MONTH($A137))</f>
        <v/>
      </c>
      <c r="G137" s="25" t="str">
        <f aca="false">IF($A137="","",YEAR($A137))</f>
        <v/>
      </c>
    </row>
    <row r="138" customFormat="false" ht="15" hidden="false" customHeight="true" outlineLevel="0" collapsed="false">
      <c r="A138" s="23"/>
      <c r="B138" s="8"/>
      <c r="C138" s="8"/>
      <c r="D138" s="24"/>
      <c r="E138" s="8"/>
      <c r="F138" s="25" t="str">
        <f aca="false">IF($A138="","",MONTH($A138))</f>
        <v/>
      </c>
      <c r="G138" s="25" t="str">
        <f aca="false">IF($A138="","",YEAR($A138))</f>
        <v/>
      </c>
    </row>
    <row r="139" customFormat="false" ht="15" hidden="false" customHeight="true" outlineLevel="0" collapsed="false">
      <c r="A139" s="23"/>
      <c r="B139" s="8"/>
      <c r="C139" s="8"/>
      <c r="D139" s="24"/>
      <c r="E139" s="8"/>
      <c r="F139" s="25" t="str">
        <f aca="false">IF($A139="","",MONTH($A139))</f>
        <v/>
      </c>
      <c r="G139" s="25" t="str">
        <f aca="false">IF($A139="","",YEAR($A139))</f>
        <v/>
      </c>
    </row>
    <row r="140" customFormat="false" ht="15" hidden="false" customHeight="true" outlineLevel="0" collapsed="false">
      <c r="A140" s="23"/>
      <c r="B140" s="8"/>
      <c r="C140" s="8"/>
      <c r="D140" s="24"/>
      <c r="E140" s="8"/>
      <c r="F140" s="25" t="str">
        <f aca="false">IF($A140="","",MONTH($A140))</f>
        <v/>
      </c>
      <c r="G140" s="25" t="str">
        <f aca="false">IF($A140="","",YEAR($A140))</f>
        <v/>
      </c>
    </row>
    <row r="141" customFormat="false" ht="15" hidden="false" customHeight="true" outlineLevel="0" collapsed="false">
      <c r="A141" s="23"/>
      <c r="B141" s="8"/>
      <c r="C141" s="8"/>
      <c r="D141" s="24"/>
      <c r="E141" s="8"/>
      <c r="F141" s="25" t="str">
        <f aca="false">IF($A141="","",MONTH($A141))</f>
        <v/>
      </c>
      <c r="G141" s="25" t="str">
        <f aca="false">IF($A141="","",YEAR($A141))</f>
        <v/>
      </c>
    </row>
    <row r="142" customFormat="false" ht="15" hidden="false" customHeight="true" outlineLevel="0" collapsed="false">
      <c r="A142" s="23"/>
      <c r="B142" s="8"/>
      <c r="C142" s="8"/>
      <c r="D142" s="24"/>
      <c r="E142" s="8"/>
      <c r="F142" s="25" t="str">
        <f aca="false">IF($A142="","",MONTH($A142))</f>
        <v/>
      </c>
      <c r="G142" s="25" t="str">
        <f aca="false">IF($A142="","",YEAR($A142))</f>
        <v/>
      </c>
    </row>
    <row r="143" customFormat="false" ht="15" hidden="false" customHeight="true" outlineLevel="0" collapsed="false">
      <c r="A143" s="23"/>
      <c r="B143" s="8"/>
      <c r="C143" s="8"/>
      <c r="D143" s="24"/>
      <c r="E143" s="8"/>
      <c r="F143" s="25" t="str">
        <f aca="false">IF($A143="","",MONTH($A143))</f>
        <v/>
      </c>
      <c r="G143" s="25" t="str">
        <f aca="false">IF($A143="","",YEAR($A143))</f>
        <v/>
      </c>
    </row>
    <row r="144" customFormat="false" ht="15" hidden="false" customHeight="true" outlineLevel="0" collapsed="false">
      <c r="A144" s="23"/>
      <c r="B144" s="8"/>
      <c r="C144" s="8"/>
      <c r="D144" s="24"/>
      <c r="E144" s="8"/>
      <c r="F144" s="25" t="str">
        <f aca="false">IF($A144="","",MONTH($A144))</f>
        <v/>
      </c>
      <c r="G144" s="25" t="str">
        <f aca="false">IF($A144="","",YEAR($A144))</f>
        <v/>
      </c>
    </row>
    <row r="145" customFormat="false" ht="15" hidden="false" customHeight="true" outlineLevel="0" collapsed="false">
      <c r="A145" s="23"/>
      <c r="B145" s="8"/>
      <c r="C145" s="8"/>
      <c r="D145" s="24"/>
      <c r="E145" s="8"/>
      <c r="F145" s="25" t="str">
        <f aca="false">IF($A145="","",MONTH($A145))</f>
        <v/>
      </c>
      <c r="G145" s="25" t="str">
        <f aca="false">IF($A145="","",YEAR($A145))</f>
        <v/>
      </c>
    </row>
    <row r="146" customFormat="false" ht="15" hidden="false" customHeight="true" outlineLevel="0" collapsed="false">
      <c r="A146" s="23"/>
      <c r="B146" s="8"/>
      <c r="C146" s="8"/>
      <c r="D146" s="24"/>
      <c r="E146" s="8"/>
      <c r="F146" s="25" t="str">
        <f aca="false">IF($A146="","",MONTH($A146))</f>
        <v/>
      </c>
      <c r="G146" s="25" t="str">
        <f aca="false">IF($A146="","",YEAR($A146))</f>
        <v/>
      </c>
    </row>
    <row r="147" customFormat="false" ht="15" hidden="false" customHeight="true" outlineLevel="0" collapsed="false">
      <c r="A147" s="23"/>
      <c r="B147" s="8"/>
      <c r="C147" s="8"/>
      <c r="D147" s="24"/>
      <c r="E147" s="8"/>
      <c r="F147" s="25" t="str">
        <f aca="false">IF($A147="","",MONTH($A147))</f>
        <v/>
      </c>
      <c r="G147" s="25" t="str">
        <f aca="false">IF($A147="","",YEAR($A147))</f>
        <v/>
      </c>
    </row>
    <row r="148" customFormat="false" ht="15" hidden="false" customHeight="true" outlineLevel="0" collapsed="false">
      <c r="A148" s="23"/>
      <c r="B148" s="8"/>
      <c r="C148" s="8"/>
      <c r="D148" s="24"/>
      <c r="E148" s="8"/>
      <c r="F148" s="25" t="str">
        <f aca="false">IF($A148="","",MONTH($A148))</f>
        <v/>
      </c>
      <c r="G148" s="25" t="str">
        <f aca="false">IF($A148="","",YEAR($A148))</f>
        <v/>
      </c>
    </row>
    <row r="149" customFormat="false" ht="15" hidden="false" customHeight="true" outlineLevel="0" collapsed="false">
      <c r="A149" s="23"/>
      <c r="B149" s="8"/>
      <c r="C149" s="8"/>
      <c r="D149" s="24"/>
      <c r="E149" s="8"/>
      <c r="F149" s="25" t="str">
        <f aca="false">IF($A149="","",MONTH($A149))</f>
        <v/>
      </c>
      <c r="G149" s="25" t="str">
        <f aca="false">IF($A149="","",YEAR($A149))</f>
        <v/>
      </c>
    </row>
    <row r="150" customFormat="false" ht="15" hidden="false" customHeight="true" outlineLevel="0" collapsed="false">
      <c r="A150" s="23"/>
      <c r="B150" s="8"/>
      <c r="C150" s="8"/>
      <c r="D150" s="24"/>
      <c r="E150" s="8"/>
      <c r="F150" s="25" t="str">
        <f aca="false">IF($A150="","",MONTH($A150))</f>
        <v/>
      </c>
      <c r="G150" s="25" t="str">
        <f aca="false">IF($A150="","",YEAR($A150))</f>
        <v/>
      </c>
    </row>
    <row r="151" customFormat="false" ht="15" hidden="false" customHeight="true" outlineLevel="0" collapsed="false">
      <c r="A151" s="23"/>
      <c r="B151" s="8"/>
      <c r="C151" s="8"/>
      <c r="D151" s="24"/>
      <c r="E151" s="8"/>
      <c r="F151" s="25" t="str">
        <f aca="false">IF($A151="","",MONTH($A151))</f>
        <v/>
      </c>
      <c r="G151" s="25" t="str">
        <f aca="false">IF($A151="","",YEAR($A151))</f>
        <v/>
      </c>
    </row>
    <row r="152" customFormat="false" ht="15" hidden="false" customHeight="true" outlineLevel="0" collapsed="false">
      <c r="A152" s="23"/>
      <c r="B152" s="8"/>
      <c r="C152" s="8"/>
      <c r="D152" s="24"/>
      <c r="E152" s="8"/>
      <c r="F152" s="25" t="str">
        <f aca="false">IF($A152="","",MONTH($A152))</f>
        <v/>
      </c>
      <c r="G152" s="25" t="str">
        <f aca="false">IF($A152="","",YEAR($A152))</f>
        <v/>
      </c>
    </row>
    <row r="153" customFormat="false" ht="15" hidden="false" customHeight="true" outlineLevel="0" collapsed="false">
      <c r="A153" s="23"/>
      <c r="B153" s="8"/>
      <c r="C153" s="8"/>
      <c r="D153" s="24"/>
      <c r="E153" s="8"/>
      <c r="F153" s="25" t="str">
        <f aca="false">IF($A153="","",MONTH($A153))</f>
        <v/>
      </c>
      <c r="G153" s="25" t="str">
        <f aca="false">IF($A153="","",YEAR($A153))</f>
        <v/>
      </c>
    </row>
    <row r="154" customFormat="false" ht="15" hidden="false" customHeight="true" outlineLevel="0" collapsed="false">
      <c r="A154" s="23"/>
      <c r="B154" s="8"/>
      <c r="C154" s="8"/>
      <c r="D154" s="24"/>
      <c r="E154" s="8"/>
      <c r="F154" s="25" t="str">
        <f aca="false">IF($A154="","",MONTH($A154))</f>
        <v/>
      </c>
      <c r="G154" s="25" t="str">
        <f aca="false">IF($A154="","",YEAR($A154))</f>
        <v/>
      </c>
    </row>
    <row r="155" customFormat="false" ht="15" hidden="false" customHeight="true" outlineLevel="0" collapsed="false">
      <c r="A155" s="23"/>
      <c r="B155" s="8"/>
      <c r="C155" s="8"/>
      <c r="D155" s="24"/>
      <c r="E155" s="8"/>
      <c r="F155" s="25" t="str">
        <f aca="false">IF($A155="","",MONTH($A155))</f>
        <v/>
      </c>
      <c r="G155" s="25" t="str">
        <f aca="false">IF($A155="","",YEAR($A155))</f>
        <v/>
      </c>
    </row>
    <row r="156" customFormat="false" ht="15" hidden="false" customHeight="true" outlineLevel="0" collapsed="false">
      <c r="A156" s="23"/>
      <c r="B156" s="8"/>
      <c r="C156" s="8"/>
      <c r="D156" s="24"/>
      <c r="E156" s="8"/>
      <c r="F156" s="25" t="str">
        <f aca="false">IF($A156="","",MONTH($A156))</f>
        <v/>
      </c>
      <c r="G156" s="25" t="str">
        <f aca="false">IF($A156="","",YEAR($A156))</f>
        <v/>
      </c>
    </row>
    <row r="157" customFormat="false" ht="15" hidden="false" customHeight="true" outlineLevel="0" collapsed="false">
      <c r="A157" s="23"/>
      <c r="B157" s="8"/>
      <c r="C157" s="8"/>
      <c r="D157" s="24"/>
      <c r="E157" s="8"/>
      <c r="F157" s="25" t="str">
        <f aca="false">IF($A157="","",MONTH($A157))</f>
        <v/>
      </c>
      <c r="G157" s="25" t="str">
        <f aca="false">IF($A157="","",YEAR($A157))</f>
        <v/>
      </c>
    </row>
    <row r="158" customFormat="false" ht="15" hidden="false" customHeight="true" outlineLevel="0" collapsed="false">
      <c r="A158" s="23"/>
      <c r="B158" s="8"/>
      <c r="C158" s="8"/>
      <c r="D158" s="24"/>
      <c r="E158" s="8"/>
      <c r="F158" s="25" t="str">
        <f aca="false">IF($A158="","",MONTH($A158))</f>
        <v/>
      </c>
      <c r="G158" s="25" t="str">
        <f aca="false">IF($A158="","",YEAR($A158))</f>
        <v/>
      </c>
    </row>
    <row r="159" customFormat="false" ht="15" hidden="false" customHeight="true" outlineLevel="0" collapsed="false">
      <c r="A159" s="23"/>
      <c r="B159" s="8"/>
      <c r="C159" s="8"/>
      <c r="D159" s="24"/>
      <c r="E159" s="8"/>
      <c r="F159" s="25" t="str">
        <f aca="false">IF($A159="","",MONTH($A159))</f>
        <v/>
      </c>
      <c r="G159" s="25" t="str">
        <f aca="false">IF($A159="","",YEAR($A159))</f>
        <v/>
      </c>
    </row>
    <row r="160" customFormat="false" ht="15" hidden="false" customHeight="true" outlineLevel="0" collapsed="false">
      <c r="A160" s="23"/>
      <c r="B160" s="8"/>
      <c r="C160" s="8"/>
      <c r="D160" s="24"/>
      <c r="E160" s="8"/>
      <c r="F160" s="25" t="str">
        <f aca="false">IF($A160="","",MONTH($A160))</f>
        <v/>
      </c>
      <c r="G160" s="25" t="str">
        <f aca="false">IF($A160="","",YEAR($A160))</f>
        <v/>
      </c>
    </row>
    <row r="161" customFormat="false" ht="15" hidden="false" customHeight="true" outlineLevel="0" collapsed="false">
      <c r="A161" s="23"/>
      <c r="B161" s="8"/>
      <c r="C161" s="8"/>
      <c r="D161" s="24"/>
      <c r="E161" s="8"/>
      <c r="F161" s="25" t="str">
        <f aca="false">IF($A161="","",MONTH($A161))</f>
        <v/>
      </c>
      <c r="G161" s="25" t="str">
        <f aca="false">IF($A161="","",YEAR($A161))</f>
        <v/>
      </c>
    </row>
    <row r="162" customFormat="false" ht="15" hidden="false" customHeight="true" outlineLevel="0" collapsed="false">
      <c r="A162" s="23"/>
      <c r="B162" s="8"/>
      <c r="C162" s="8"/>
      <c r="D162" s="24"/>
      <c r="E162" s="8"/>
      <c r="F162" s="25" t="str">
        <f aca="false">IF($A162="","",MONTH($A162))</f>
        <v/>
      </c>
      <c r="G162" s="25" t="str">
        <f aca="false">IF($A162="","",YEAR($A162))</f>
        <v/>
      </c>
    </row>
    <row r="163" customFormat="false" ht="15" hidden="false" customHeight="true" outlineLevel="0" collapsed="false">
      <c r="A163" s="23"/>
      <c r="B163" s="8"/>
      <c r="C163" s="8"/>
      <c r="D163" s="24"/>
      <c r="E163" s="8"/>
      <c r="F163" s="25" t="str">
        <f aca="false">IF($A163="","",MONTH($A163))</f>
        <v/>
      </c>
      <c r="G163" s="25" t="str">
        <f aca="false">IF($A163="","",YEAR($A163))</f>
        <v/>
      </c>
    </row>
    <row r="164" customFormat="false" ht="15" hidden="false" customHeight="true" outlineLevel="0" collapsed="false">
      <c r="A164" s="23"/>
      <c r="B164" s="8"/>
      <c r="C164" s="8"/>
      <c r="D164" s="24"/>
      <c r="E164" s="8"/>
      <c r="F164" s="25" t="str">
        <f aca="false">IF($A164="","",MONTH($A164))</f>
        <v/>
      </c>
      <c r="G164" s="25" t="str">
        <f aca="false">IF($A164="","",YEAR($A164))</f>
        <v/>
      </c>
    </row>
    <row r="165" customFormat="false" ht="15" hidden="false" customHeight="true" outlineLevel="0" collapsed="false">
      <c r="A165" s="23"/>
      <c r="B165" s="8"/>
      <c r="C165" s="8"/>
      <c r="D165" s="24"/>
      <c r="E165" s="8"/>
      <c r="F165" s="25" t="str">
        <f aca="false">IF($A165="","",MONTH($A165))</f>
        <v/>
      </c>
      <c r="G165" s="25" t="str">
        <f aca="false">IF($A165="","",YEAR($A165))</f>
        <v/>
      </c>
    </row>
    <row r="166" customFormat="false" ht="15" hidden="false" customHeight="true" outlineLevel="0" collapsed="false">
      <c r="A166" s="23"/>
      <c r="B166" s="8"/>
      <c r="C166" s="8"/>
      <c r="D166" s="24"/>
      <c r="E166" s="8"/>
      <c r="F166" s="25" t="str">
        <f aca="false">IF($A166="","",MONTH($A166))</f>
        <v/>
      </c>
      <c r="G166" s="25" t="str">
        <f aca="false">IF($A166="","",YEAR($A166))</f>
        <v/>
      </c>
    </row>
    <row r="167" customFormat="false" ht="15" hidden="false" customHeight="true" outlineLevel="0" collapsed="false">
      <c r="A167" s="23"/>
      <c r="B167" s="8"/>
      <c r="C167" s="8"/>
      <c r="D167" s="24"/>
      <c r="E167" s="8"/>
      <c r="F167" s="25" t="str">
        <f aca="false">IF($A167="","",MONTH($A167))</f>
        <v/>
      </c>
      <c r="G167" s="25" t="str">
        <f aca="false">IF($A167="","",YEAR($A167))</f>
        <v/>
      </c>
    </row>
    <row r="168" customFormat="false" ht="15" hidden="false" customHeight="true" outlineLevel="0" collapsed="false">
      <c r="A168" s="23"/>
      <c r="B168" s="8"/>
      <c r="C168" s="8"/>
      <c r="D168" s="24"/>
      <c r="E168" s="8"/>
      <c r="F168" s="25" t="str">
        <f aca="false">IF($A168="","",MONTH($A168))</f>
        <v/>
      </c>
      <c r="G168" s="25" t="str">
        <f aca="false">IF($A168="","",YEAR($A168))</f>
        <v/>
      </c>
    </row>
    <row r="169" customFormat="false" ht="15" hidden="false" customHeight="true" outlineLevel="0" collapsed="false">
      <c r="A169" s="23"/>
      <c r="B169" s="8"/>
      <c r="C169" s="8"/>
      <c r="D169" s="24"/>
      <c r="E169" s="8"/>
      <c r="F169" s="25" t="str">
        <f aca="false">IF($A169="","",MONTH($A169))</f>
        <v/>
      </c>
      <c r="G169" s="25" t="str">
        <f aca="false">IF($A169="","",YEAR($A169))</f>
        <v/>
      </c>
    </row>
    <row r="170" customFormat="false" ht="15" hidden="false" customHeight="true" outlineLevel="0" collapsed="false">
      <c r="A170" s="23"/>
      <c r="B170" s="8"/>
      <c r="C170" s="8"/>
      <c r="D170" s="24"/>
      <c r="E170" s="8"/>
      <c r="F170" s="25" t="str">
        <f aca="false">IF($A170="","",MONTH($A170))</f>
        <v/>
      </c>
      <c r="G170" s="25" t="str">
        <f aca="false">IF($A170="","",YEAR($A170))</f>
        <v/>
      </c>
    </row>
    <row r="171" customFormat="false" ht="15" hidden="false" customHeight="true" outlineLevel="0" collapsed="false">
      <c r="A171" s="23"/>
      <c r="B171" s="8"/>
      <c r="C171" s="8"/>
      <c r="D171" s="24"/>
      <c r="E171" s="8"/>
      <c r="F171" s="25" t="str">
        <f aca="false">IF($A171="","",MONTH($A171))</f>
        <v/>
      </c>
      <c r="G171" s="25" t="str">
        <f aca="false">IF($A171="","",YEAR($A171))</f>
        <v/>
      </c>
    </row>
    <row r="172" customFormat="false" ht="15" hidden="false" customHeight="true" outlineLevel="0" collapsed="false">
      <c r="A172" s="23"/>
      <c r="B172" s="8"/>
      <c r="C172" s="8"/>
      <c r="D172" s="24"/>
      <c r="E172" s="8"/>
      <c r="F172" s="25" t="str">
        <f aca="false">IF($A172="","",MONTH($A172))</f>
        <v/>
      </c>
      <c r="G172" s="25" t="str">
        <f aca="false">IF($A172="","",YEAR($A172))</f>
        <v/>
      </c>
    </row>
    <row r="173" customFormat="false" ht="15" hidden="false" customHeight="true" outlineLevel="0" collapsed="false">
      <c r="A173" s="23"/>
      <c r="B173" s="8"/>
      <c r="C173" s="8"/>
      <c r="D173" s="24"/>
      <c r="E173" s="8"/>
      <c r="F173" s="25" t="str">
        <f aca="false">IF($A173="","",MONTH($A173))</f>
        <v/>
      </c>
      <c r="G173" s="25" t="str">
        <f aca="false">IF($A173="","",YEAR($A173))</f>
        <v/>
      </c>
    </row>
    <row r="174" customFormat="false" ht="15" hidden="false" customHeight="true" outlineLevel="0" collapsed="false">
      <c r="A174" s="23"/>
      <c r="B174" s="8"/>
      <c r="C174" s="8"/>
      <c r="D174" s="24"/>
      <c r="E174" s="8"/>
      <c r="F174" s="25" t="str">
        <f aca="false">IF($A174="","",MONTH($A174))</f>
        <v/>
      </c>
      <c r="G174" s="25" t="str">
        <f aca="false">IF($A174="","",YEAR($A174))</f>
        <v/>
      </c>
    </row>
    <row r="175" customFormat="false" ht="15" hidden="false" customHeight="true" outlineLevel="0" collapsed="false">
      <c r="A175" s="23"/>
      <c r="B175" s="8"/>
      <c r="C175" s="8"/>
      <c r="D175" s="24"/>
      <c r="E175" s="8"/>
      <c r="F175" s="25" t="str">
        <f aca="false">IF($A175="","",MONTH($A175))</f>
        <v/>
      </c>
      <c r="G175" s="25" t="str">
        <f aca="false">IF($A175="","",YEAR($A175))</f>
        <v/>
      </c>
    </row>
    <row r="176" customFormat="false" ht="15" hidden="false" customHeight="true" outlineLevel="0" collapsed="false">
      <c r="A176" s="23"/>
      <c r="B176" s="8"/>
      <c r="C176" s="8"/>
      <c r="D176" s="24"/>
      <c r="E176" s="8"/>
      <c r="F176" s="25" t="str">
        <f aca="false">IF($A176="","",MONTH($A176))</f>
        <v/>
      </c>
      <c r="G176" s="25" t="str">
        <f aca="false">IF($A176="","",YEAR($A176))</f>
        <v/>
      </c>
    </row>
    <row r="177" customFormat="false" ht="15" hidden="false" customHeight="true" outlineLevel="0" collapsed="false">
      <c r="A177" s="23"/>
      <c r="B177" s="8"/>
      <c r="C177" s="8"/>
      <c r="D177" s="24"/>
      <c r="E177" s="8"/>
      <c r="F177" s="25" t="str">
        <f aca="false">IF($A177="","",MONTH($A177))</f>
        <v/>
      </c>
      <c r="G177" s="25" t="str">
        <f aca="false">IF($A177="","",YEAR($A177))</f>
        <v/>
      </c>
    </row>
    <row r="178" customFormat="false" ht="15" hidden="false" customHeight="true" outlineLevel="0" collapsed="false">
      <c r="A178" s="23"/>
      <c r="B178" s="8"/>
      <c r="C178" s="8"/>
      <c r="D178" s="24"/>
      <c r="E178" s="8"/>
      <c r="F178" s="25" t="str">
        <f aca="false">IF($A178="","",MONTH($A178))</f>
        <v/>
      </c>
      <c r="G178" s="25" t="str">
        <f aca="false">IF($A178="","",YEAR($A178))</f>
        <v/>
      </c>
    </row>
    <row r="179" customFormat="false" ht="15" hidden="false" customHeight="true" outlineLevel="0" collapsed="false">
      <c r="A179" s="23"/>
      <c r="B179" s="8"/>
      <c r="C179" s="8"/>
      <c r="D179" s="24"/>
      <c r="E179" s="8"/>
      <c r="F179" s="25" t="str">
        <f aca="false">IF($A179="","",MONTH($A179))</f>
        <v/>
      </c>
      <c r="G179" s="25" t="str">
        <f aca="false">IF($A179="","",YEAR($A179))</f>
        <v/>
      </c>
    </row>
    <row r="180" customFormat="false" ht="15" hidden="false" customHeight="true" outlineLevel="0" collapsed="false">
      <c r="A180" s="23"/>
      <c r="B180" s="8"/>
      <c r="C180" s="8"/>
      <c r="D180" s="24"/>
      <c r="E180" s="8"/>
      <c r="F180" s="25" t="str">
        <f aca="false">IF($A180="","",MONTH($A180))</f>
        <v/>
      </c>
      <c r="G180" s="25" t="str">
        <f aca="false">IF($A180="","",YEAR($A180))</f>
        <v/>
      </c>
    </row>
    <row r="181" customFormat="false" ht="15" hidden="false" customHeight="true" outlineLevel="0" collapsed="false">
      <c r="A181" s="23"/>
      <c r="B181" s="8"/>
      <c r="C181" s="8"/>
      <c r="D181" s="24"/>
      <c r="E181" s="8"/>
      <c r="F181" s="25" t="str">
        <f aca="false">IF($A181="","",MONTH($A181))</f>
        <v/>
      </c>
      <c r="G181" s="25" t="str">
        <f aca="false">IF($A181="","",YEAR($A181))</f>
        <v/>
      </c>
    </row>
    <row r="182" customFormat="false" ht="15" hidden="false" customHeight="true" outlineLevel="0" collapsed="false">
      <c r="A182" s="23"/>
      <c r="B182" s="8"/>
      <c r="C182" s="8"/>
      <c r="D182" s="24"/>
      <c r="E182" s="8"/>
      <c r="F182" s="25" t="str">
        <f aca="false">IF($A182="","",MONTH($A182))</f>
        <v/>
      </c>
      <c r="G182" s="25" t="str">
        <f aca="false">IF($A182="","",YEAR($A182))</f>
        <v/>
      </c>
    </row>
    <row r="183" customFormat="false" ht="15" hidden="false" customHeight="true" outlineLevel="0" collapsed="false">
      <c r="A183" s="23"/>
      <c r="B183" s="8"/>
      <c r="C183" s="8"/>
      <c r="D183" s="24"/>
      <c r="E183" s="8"/>
      <c r="F183" s="25" t="str">
        <f aca="false">IF($A183="","",MONTH($A183))</f>
        <v/>
      </c>
      <c r="G183" s="25" t="str">
        <f aca="false">IF($A183="","",YEAR($A183))</f>
        <v/>
      </c>
    </row>
    <row r="184" customFormat="false" ht="15" hidden="false" customHeight="true" outlineLevel="0" collapsed="false">
      <c r="A184" s="23"/>
      <c r="B184" s="8"/>
      <c r="C184" s="8"/>
      <c r="D184" s="24"/>
      <c r="E184" s="8"/>
      <c r="F184" s="25" t="str">
        <f aca="false">IF($A184="","",MONTH($A184))</f>
        <v/>
      </c>
      <c r="G184" s="25" t="str">
        <f aca="false">IF($A184="","",YEAR($A184))</f>
        <v/>
      </c>
    </row>
    <row r="185" customFormat="false" ht="15" hidden="false" customHeight="true" outlineLevel="0" collapsed="false">
      <c r="A185" s="23"/>
      <c r="B185" s="8"/>
      <c r="C185" s="8"/>
      <c r="D185" s="24"/>
      <c r="E185" s="8"/>
      <c r="F185" s="25" t="str">
        <f aca="false">IF($A185="","",MONTH($A185))</f>
        <v/>
      </c>
      <c r="G185" s="25" t="str">
        <f aca="false">IF($A185="","",YEAR($A185))</f>
        <v/>
      </c>
    </row>
    <row r="186" customFormat="false" ht="15" hidden="false" customHeight="true" outlineLevel="0" collapsed="false">
      <c r="A186" s="23"/>
      <c r="B186" s="8"/>
      <c r="C186" s="8"/>
      <c r="D186" s="24"/>
      <c r="E186" s="8"/>
      <c r="F186" s="25" t="str">
        <f aca="false">IF($A186="","",MONTH($A186))</f>
        <v/>
      </c>
      <c r="G186" s="25" t="str">
        <f aca="false">IF($A186="","",YEAR($A186))</f>
        <v/>
      </c>
    </row>
    <row r="187" customFormat="false" ht="15" hidden="false" customHeight="true" outlineLevel="0" collapsed="false">
      <c r="A187" s="23"/>
      <c r="B187" s="8"/>
      <c r="C187" s="8"/>
      <c r="D187" s="24"/>
      <c r="E187" s="8"/>
      <c r="F187" s="25" t="str">
        <f aca="false">IF($A187="","",MONTH($A187))</f>
        <v/>
      </c>
      <c r="G187" s="25" t="str">
        <f aca="false">IF($A187="","",YEAR($A187))</f>
        <v/>
      </c>
    </row>
    <row r="188" customFormat="false" ht="15" hidden="false" customHeight="true" outlineLevel="0" collapsed="false">
      <c r="A188" s="23"/>
      <c r="B188" s="8"/>
      <c r="C188" s="8"/>
      <c r="D188" s="24"/>
      <c r="E188" s="8"/>
      <c r="F188" s="25" t="str">
        <f aca="false">IF($A188="","",MONTH($A188))</f>
        <v/>
      </c>
      <c r="G188" s="25" t="str">
        <f aca="false">IF($A188="","",YEAR($A188))</f>
        <v/>
      </c>
    </row>
    <row r="189" customFormat="false" ht="15" hidden="false" customHeight="true" outlineLevel="0" collapsed="false">
      <c r="A189" s="23"/>
      <c r="B189" s="8"/>
      <c r="C189" s="8"/>
      <c r="D189" s="24"/>
      <c r="E189" s="8"/>
      <c r="F189" s="25" t="str">
        <f aca="false">IF($A189="","",MONTH($A189))</f>
        <v/>
      </c>
      <c r="G189" s="25" t="str">
        <f aca="false">IF($A189="","",YEAR($A189))</f>
        <v/>
      </c>
    </row>
    <row r="190" customFormat="false" ht="15" hidden="false" customHeight="true" outlineLevel="0" collapsed="false">
      <c r="A190" s="23"/>
      <c r="B190" s="8"/>
      <c r="C190" s="8"/>
      <c r="D190" s="24"/>
      <c r="E190" s="8"/>
      <c r="F190" s="25" t="str">
        <f aca="false">IF($A190="","",MONTH($A190))</f>
        <v/>
      </c>
      <c r="G190" s="25" t="str">
        <f aca="false">IF($A190="","",YEAR($A190))</f>
        <v/>
      </c>
    </row>
    <row r="191" customFormat="false" ht="15" hidden="false" customHeight="true" outlineLevel="0" collapsed="false">
      <c r="A191" s="23"/>
      <c r="B191" s="8"/>
      <c r="C191" s="8"/>
      <c r="D191" s="24"/>
      <c r="E191" s="8"/>
      <c r="F191" s="25" t="str">
        <f aca="false">IF($A191="","",MONTH($A191))</f>
        <v/>
      </c>
      <c r="G191" s="25" t="str">
        <f aca="false">IF($A191="","",YEAR($A191))</f>
        <v/>
      </c>
    </row>
    <row r="192" customFormat="false" ht="15" hidden="false" customHeight="true" outlineLevel="0" collapsed="false">
      <c r="A192" s="23"/>
      <c r="B192" s="8"/>
      <c r="C192" s="8"/>
      <c r="D192" s="24"/>
      <c r="E192" s="8"/>
      <c r="F192" s="25" t="str">
        <f aca="false">IF($A192="","",MONTH($A192))</f>
        <v/>
      </c>
      <c r="G192" s="25" t="str">
        <f aca="false">IF($A192="","",YEAR($A192))</f>
        <v/>
      </c>
    </row>
    <row r="193" customFormat="false" ht="15" hidden="false" customHeight="true" outlineLevel="0" collapsed="false">
      <c r="A193" s="23"/>
      <c r="B193" s="8"/>
      <c r="C193" s="8"/>
      <c r="D193" s="24"/>
      <c r="E193" s="8"/>
      <c r="F193" s="25" t="str">
        <f aca="false">IF($A193="","",MONTH($A193))</f>
        <v/>
      </c>
      <c r="G193" s="25" t="str">
        <f aca="false">IF($A193="","",YEAR($A193))</f>
        <v/>
      </c>
    </row>
    <row r="194" customFormat="false" ht="15" hidden="false" customHeight="true" outlineLevel="0" collapsed="false">
      <c r="A194" s="23"/>
      <c r="B194" s="8"/>
      <c r="C194" s="8"/>
      <c r="D194" s="24"/>
      <c r="E194" s="8"/>
      <c r="F194" s="25" t="str">
        <f aca="false">IF($A194="","",MONTH($A194))</f>
        <v/>
      </c>
      <c r="G194" s="25" t="str">
        <f aca="false">IF($A194="","",YEAR($A194))</f>
        <v/>
      </c>
    </row>
    <row r="195" customFormat="false" ht="15" hidden="false" customHeight="true" outlineLevel="0" collapsed="false">
      <c r="A195" s="23"/>
      <c r="B195" s="8"/>
      <c r="C195" s="8"/>
      <c r="D195" s="24"/>
      <c r="E195" s="8"/>
      <c r="F195" s="25" t="str">
        <f aca="false">IF($A195="","",MONTH($A195))</f>
        <v/>
      </c>
      <c r="G195" s="25" t="str">
        <f aca="false">IF($A195="","",YEAR($A195))</f>
        <v/>
      </c>
    </row>
    <row r="196" customFormat="false" ht="15" hidden="false" customHeight="true" outlineLevel="0" collapsed="false">
      <c r="A196" s="23"/>
      <c r="B196" s="8"/>
      <c r="C196" s="8"/>
      <c r="D196" s="24"/>
      <c r="E196" s="8"/>
      <c r="F196" s="25" t="str">
        <f aca="false">IF($A196="","",MONTH($A196))</f>
        <v/>
      </c>
      <c r="G196" s="25" t="str">
        <f aca="false">IF($A196="","",YEAR($A196))</f>
        <v/>
      </c>
    </row>
    <row r="197" customFormat="false" ht="15" hidden="false" customHeight="true" outlineLevel="0" collapsed="false">
      <c r="A197" s="23"/>
      <c r="B197" s="8"/>
      <c r="C197" s="8"/>
      <c r="D197" s="24"/>
      <c r="E197" s="8"/>
      <c r="F197" s="25" t="str">
        <f aca="false">IF($A197="","",MONTH($A197))</f>
        <v/>
      </c>
      <c r="G197" s="25" t="str">
        <f aca="false">IF($A197="","",YEAR($A197))</f>
        <v/>
      </c>
    </row>
    <row r="198" customFormat="false" ht="15" hidden="false" customHeight="true" outlineLevel="0" collapsed="false">
      <c r="A198" s="23"/>
      <c r="B198" s="8"/>
      <c r="C198" s="8"/>
      <c r="D198" s="24"/>
      <c r="E198" s="8"/>
      <c r="F198" s="25" t="str">
        <f aca="false">IF($A198="","",MONTH($A198))</f>
        <v/>
      </c>
      <c r="G198" s="25" t="str">
        <f aca="false">IF($A198="","",YEAR($A198))</f>
        <v/>
      </c>
    </row>
    <row r="199" customFormat="false" ht="15" hidden="false" customHeight="true" outlineLevel="0" collapsed="false">
      <c r="A199" s="23"/>
      <c r="B199" s="8"/>
      <c r="C199" s="8"/>
      <c r="D199" s="24"/>
      <c r="E199" s="8"/>
      <c r="F199" s="25" t="str">
        <f aca="false">IF($A199="","",MONTH($A199))</f>
        <v/>
      </c>
      <c r="G199" s="25" t="str">
        <f aca="false">IF($A199="","",YEAR($A199))</f>
        <v/>
      </c>
    </row>
    <row r="200" customFormat="false" ht="15" hidden="false" customHeight="true" outlineLevel="0" collapsed="false">
      <c r="A200" s="23"/>
      <c r="B200" s="8"/>
      <c r="C200" s="8"/>
      <c r="D200" s="24"/>
      <c r="E200" s="8"/>
      <c r="F200" s="25" t="str">
        <f aca="false">IF($A200="","",MONTH($A200))</f>
        <v/>
      </c>
      <c r="G200" s="25" t="str">
        <f aca="false">IF($A200="","",YEAR($A200))</f>
        <v/>
      </c>
    </row>
    <row r="201" customFormat="false" ht="15" hidden="false" customHeight="true" outlineLevel="0" collapsed="false">
      <c r="A201" s="23"/>
      <c r="B201" s="8"/>
      <c r="C201" s="8"/>
      <c r="D201" s="24"/>
      <c r="E201" s="8"/>
      <c r="F201" s="25" t="str">
        <f aca="false">IF($A201="","",MONTH($A201))</f>
        <v/>
      </c>
      <c r="G201" s="25" t="str">
        <f aca="false">IF($A201="","",YEAR($A201))</f>
        <v/>
      </c>
    </row>
    <row r="202" customFormat="false" ht="15" hidden="false" customHeight="true" outlineLevel="0" collapsed="false">
      <c r="A202" s="23"/>
      <c r="B202" s="8"/>
      <c r="C202" s="8"/>
      <c r="D202" s="24"/>
      <c r="E202" s="8"/>
      <c r="F202" s="25" t="str">
        <f aca="false">IF($A202="","",MONTH($A202))</f>
        <v/>
      </c>
      <c r="G202" s="25" t="str">
        <f aca="false">IF($A202="","",YEAR($A202))</f>
        <v/>
      </c>
    </row>
    <row r="203" customFormat="false" ht="15" hidden="false" customHeight="true" outlineLevel="0" collapsed="false">
      <c r="A203" s="23"/>
      <c r="B203" s="8"/>
      <c r="C203" s="8"/>
      <c r="D203" s="24"/>
      <c r="E203" s="8"/>
      <c r="F203" s="25" t="str">
        <f aca="false">IF($A203="","",MONTH($A203))</f>
        <v/>
      </c>
      <c r="G203" s="25" t="str">
        <f aca="false">IF($A203="","",YEAR($A203))</f>
        <v/>
      </c>
    </row>
    <row r="204" customFormat="false" ht="15" hidden="false" customHeight="true" outlineLevel="0" collapsed="false">
      <c r="A204" s="23"/>
      <c r="B204" s="8"/>
      <c r="C204" s="8"/>
      <c r="D204" s="24"/>
      <c r="E204" s="8"/>
      <c r="F204" s="25" t="str">
        <f aca="false">IF($A204="","",MONTH($A204))</f>
        <v/>
      </c>
      <c r="G204" s="25" t="str">
        <f aca="false">IF($A204="","",YEAR($A204))</f>
        <v/>
      </c>
    </row>
    <row r="205" customFormat="false" ht="15" hidden="false" customHeight="true" outlineLevel="0" collapsed="false">
      <c r="A205" s="23"/>
      <c r="B205" s="8"/>
      <c r="C205" s="8"/>
      <c r="D205" s="24"/>
      <c r="E205" s="8"/>
      <c r="F205" s="25" t="str">
        <f aca="false">IF($A205="","",MONTH($A205))</f>
        <v/>
      </c>
      <c r="G205" s="25" t="str">
        <f aca="false">IF($A205="","",YEAR($A205))</f>
        <v/>
      </c>
    </row>
    <row r="206" customFormat="false" ht="15" hidden="false" customHeight="true" outlineLevel="0" collapsed="false">
      <c r="A206" s="23"/>
      <c r="B206" s="8"/>
      <c r="C206" s="8"/>
      <c r="D206" s="24"/>
      <c r="E206" s="8"/>
      <c r="F206" s="25" t="str">
        <f aca="false">IF($A206="","",MONTH($A206))</f>
        <v/>
      </c>
      <c r="G206" s="25" t="str">
        <f aca="false">IF($A206="","",YEAR($A206))</f>
        <v/>
      </c>
    </row>
    <row r="207" customFormat="false" ht="15" hidden="false" customHeight="true" outlineLevel="0" collapsed="false">
      <c r="A207" s="23"/>
      <c r="B207" s="8"/>
      <c r="C207" s="8"/>
      <c r="D207" s="24"/>
      <c r="E207" s="8"/>
      <c r="F207" s="25" t="str">
        <f aca="false">IF($A207="","",MONTH($A207))</f>
        <v/>
      </c>
      <c r="G207" s="25" t="str">
        <f aca="false">IF($A207="","",YEAR($A207))</f>
        <v/>
      </c>
    </row>
    <row r="208" customFormat="false" ht="15" hidden="false" customHeight="true" outlineLevel="0" collapsed="false">
      <c r="A208" s="23"/>
      <c r="B208" s="8"/>
      <c r="C208" s="8"/>
      <c r="D208" s="24"/>
      <c r="E208" s="8"/>
      <c r="F208" s="25" t="str">
        <f aca="false">IF($A208="","",MONTH($A208))</f>
        <v/>
      </c>
      <c r="G208" s="25" t="str">
        <f aca="false">IF($A208="","",YEAR($A208))</f>
        <v/>
      </c>
    </row>
    <row r="209" customFormat="false" ht="15" hidden="false" customHeight="true" outlineLevel="0" collapsed="false">
      <c r="A209" s="23"/>
      <c r="B209" s="8"/>
      <c r="C209" s="8"/>
      <c r="D209" s="24"/>
      <c r="E209" s="8"/>
      <c r="F209" s="25" t="str">
        <f aca="false">IF($A209="","",MONTH($A209))</f>
        <v/>
      </c>
      <c r="G209" s="25" t="str">
        <f aca="false">IF($A209="","",YEAR($A209))</f>
        <v/>
      </c>
    </row>
    <row r="210" customFormat="false" ht="15" hidden="false" customHeight="true" outlineLevel="0" collapsed="false">
      <c r="A210" s="23"/>
      <c r="B210" s="8"/>
      <c r="C210" s="8"/>
      <c r="D210" s="24"/>
      <c r="E210" s="8"/>
      <c r="F210" s="25" t="str">
        <f aca="false">IF($A210="","",MONTH($A210))</f>
        <v/>
      </c>
      <c r="G210" s="25" t="str">
        <f aca="false">IF($A210="","",YEAR($A210))</f>
        <v/>
      </c>
    </row>
    <row r="211" customFormat="false" ht="15" hidden="false" customHeight="true" outlineLevel="0" collapsed="false">
      <c r="A211" s="23"/>
      <c r="B211" s="8"/>
      <c r="C211" s="8"/>
      <c r="D211" s="24"/>
      <c r="E211" s="8"/>
      <c r="F211" s="25" t="str">
        <f aca="false">IF($A211="","",MONTH($A211))</f>
        <v/>
      </c>
      <c r="G211" s="25" t="str">
        <f aca="false">IF($A211="","",YEAR($A211))</f>
        <v/>
      </c>
    </row>
    <row r="212" customFormat="false" ht="15" hidden="false" customHeight="true" outlineLevel="0" collapsed="false">
      <c r="A212" s="23"/>
      <c r="B212" s="8"/>
      <c r="C212" s="8"/>
      <c r="D212" s="24"/>
      <c r="E212" s="8"/>
      <c r="F212" s="25" t="str">
        <f aca="false">IF($A212="","",MONTH($A212))</f>
        <v/>
      </c>
      <c r="G212" s="25" t="str">
        <f aca="false">IF($A212="","",YEAR($A212))</f>
        <v/>
      </c>
    </row>
    <row r="213" customFormat="false" ht="15" hidden="false" customHeight="true" outlineLevel="0" collapsed="false">
      <c r="A213" s="23"/>
      <c r="B213" s="8"/>
      <c r="C213" s="8"/>
      <c r="D213" s="24"/>
      <c r="E213" s="8"/>
      <c r="F213" s="25" t="str">
        <f aca="false">IF($A213="","",MONTH($A213))</f>
        <v/>
      </c>
      <c r="G213" s="25" t="str">
        <f aca="false">IF($A213="","",YEAR($A213))</f>
        <v/>
      </c>
    </row>
    <row r="214" customFormat="false" ht="15" hidden="false" customHeight="true" outlineLevel="0" collapsed="false">
      <c r="A214" s="23"/>
      <c r="B214" s="8"/>
      <c r="C214" s="8"/>
      <c r="D214" s="24"/>
      <c r="E214" s="8"/>
      <c r="F214" s="25" t="str">
        <f aca="false">IF($A214="","",MONTH($A214))</f>
        <v/>
      </c>
      <c r="G214" s="25" t="str">
        <f aca="false">IF($A214="","",YEAR($A214))</f>
        <v/>
      </c>
    </row>
    <row r="215" customFormat="false" ht="15" hidden="false" customHeight="true" outlineLevel="0" collapsed="false">
      <c r="A215" s="23"/>
      <c r="B215" s="8"/>
      <c r="C215" s="8"/>
      <c r="D215" s="24"/>
      <c r="E215" s="8"/>
      <c r="F215" s="25" t="str">
        <f aca="false">IF($A215="","",MONTH($A215))</f>
        <v/>
      </c>
      <c r="G215" s="25" t="str">
        <f aca="false">IF($A215="","",YEAR($A215))</f>
        <v/>
      </c>
    </row>
    <row r="216" customFormat="false" ht="15" hidden="false" customHeight="true" outlineLevel="0" collapsed="false">
      <c r="A216" s="23"/>
      <c r="B216" s="8"/>
      <c r="C216" s="8"/>
      <c r="D216" s="24"/>
      <c r="E216" s="8"/>
      <c r="F216" s="25" t="str">
        <f aca="false">IF($A216="","",MONTH($A216))</f>
        <v/>
      </c>
      <c r="G216" s="25" t="str">
        <f aca="false">IF($A216="","",YEAR($A216))</f>
        <v/>
      </c>
    </row>
    <row r="217" customFormat="false" ht="15" hidden="false" customHeight="true" outlineLevel="0" collapsed="false">
      <c r="A217" s="23"/>
      <c r="B217" s="8"/>
      <c r="C217" s="8"/>
      <c r="D217" s="24"/>
      <c r="E217" s="8"/>
      <c r="F217" s="25" t="str">
        <f aca="false">IF($A217="","",MONTH($A217))</f>
        <v/>
      </c>
      <c r="G217" s="25" t="str">
        <f aca="false">IF($A217="","",YEAR($A217))</f>
        <v/>
      </c>
    </row>
    <row r="218" customFormat="false" ht="15" hidden="false" customHeight="true" outlineLevel="0" collapsed="false">
      <c r="A218" s="23"/>
      <c r="B218" s="8"/>
      <c r="C218" s="8"/>
      <c r="D218" s="24"/>
      <c r="E218" s="8"/>
      <c r="F218" s="25" t="str">
        <f aca="false">IF($A218="","",MONTH($A218))</f>
        <v/>
      </c>
      <c r="G218" s="25" t="str">
        <f aca="false">IF($A218="","",YEAR($A218))</f>
        <v/>
      </c>
    </row>
    <row r="219" customFormat="false" ht="15" hidden="false" customHeight="true" outlineLevel="0" collapsed="false">
      <c r="A219" s="23"/>
      <c r="B219" s="8"/>
      <c r="C219" s="8"/>
      <c r="D219" s="24"/>
      <c r="E219" s="8"/>
      <c r="F219" s="25" t="str">
        <f aca="false">IF($A219="","",MONTH($A219))</f>
        <v/>
      </c>
      <c r="G219" s="25" t="str">
        <f aca="false">IF($A219="","",YEAR($A219))</f>
        <v/>
      </c>
    </row>
    <row r="220" customFormat="false" ht="15" hidden="false" customHeight="true" outlineLevel="0" collapsed="false">
      <c r="A220" s="23"/>
      <c r="B220" s="8"/>
      <c r="C220" s="8"/>
      <c r="D220" s="24"/>
      <c r="E220" s="8"/>
      <c r="F220" s="25" t="str">
        <f aca="false">IF($A220="","",MONTH($A220))</f>
        <v/>
      </c>
      <c r="G220" s="25" t="str">
        <f aca="false">IF($A220="","",YEAR($A220))</f>
        <v/>
      </c>
    </row>
    <row r="221" customFormat="false" ht="15" hidden="false" customHeight="true" outlineLevel="0" collapsed="false">
      <c r="A221" s="23"/>
      <c r="B221" s="8"/>
      <c r="C221" s="8"/>
      <c r="D221" s="24"/>
      <c r="E221" s="8"/>
      <c r="F221" s="25" t="str">
        <f aca="false">IF($A221="","",MONTH($A221))</f>
        <v/>
      </c>
      <c r="G221" s="25" t="str">
        <f aca="false">IF($A221="","",YEAR($A221))</f>
        <v/>
      </c>
    </row>
    <row r="222" customFormat="false" ht="15" hidden="false" customHeight="true" outlineLevel="0" collapsed="false">
      <c r="A222" s="23"/>
      <c r="B222" s="8"/>
      <c r="C222" s="8"/>
      <c r="D222" s="24"/>
      <c r="E222" s="8"/>
      <c r="F222" s="25" t="str">
        <f aca="false">IF($A222="","",MONTH($A222))</f>
        <v/>
      </c>
      <c r="G222" s="25" t="str">
        <f aca="false">IF($A222="","",YEAR($A222))</f>
        <v/>
      </c>
    </row>
    <row r="223" customFormat="false" ht="15" hidden="false" customHeight="true" outlineLevel="0" collapsed="false">
      <c r="A223" s="23"/>
      <c r="B223" s="8"/>
      <c r="C223" s="8"/>
      <c r="D223" s="24"/>
      <c r="E223" s="8"/>
      <c r="F223" s="25" t="str">
        <f aca="false">IF($A223="","",MONTH($A223))</f>
        <v/>
      </c>
      <c r="G223" s="25" t="str">
        <f aca="false">IF($A223="","",YEAR($A223))</f>
        <v/>
      </c>
    </row>
    <row r="224" customFormat="false" ht="15" hidden="false" customHeight="true" outlineLevel="0" collapsed="false">
      <c r="A224" s="23"/>
      <c r="B224" s="8"/>
      <c r="C224" s="8"/>
      <c r="D224" s="24"/>
      <c r="E224" s="8"/>
      <c r="F224" s="25" t="str">
        <f aca="false">IF($A224="","",MONTH($A224))</f>
        <v/>
      </c>
      <c r="G224" s="25" t="str">
        <f aca="false">IF($A224="","",YEAR($A224))</f>
        <v/>
      </c>
    </row>
    <row r="225" customFormat="false" ht="15" hidden="false" customHeight="true" outlineLevel="0" collapsed="false">
      <c r="A225" s="23"/>
      <c r="B225" s="8"/>
      <c r="C225" s="8"/>
      <c r="D225" s="24"/>
      <c r="E225" s="8"/>
      <c r="F225" s="25" t="str">
        <f aca="false">IF($A225="","",MONTH($A225))</f>
        <v/>
      </c>
      <c r="G225" s="25" t="str">
        <f aca="false">IF($A225="","",YEAR($A225))</f>
        <v/>
      </c>
    </row>
    <row r="226" customFormat="false" ht="15" hidden="false" customHeight="true" outlineLevel="0" collapsed="false">
      <c r="A226" s="23"/>
      <c r="B226" s="8"/>
      <c r="C226" s="8"/>
      <c r="D226" s="24"/>
      <c r="E226" s="8"/>
      <c r="F226" s="25" t="str">
        <f aca="false">IF($A226="","",MONTH($A226))</f>
        <v/>
      </c>
      <c r="G226" s="25" t="str">
        <f aca="false">IF($A226="","",YEAR($A226))</f>
        <v/>
      </c>
    </row>
    <row r="227" customFormat="false" ht="15" hidden="false" customHeight="true" outlineLevel="0" collapsed="false">
      <c r="A227" s="23"/>
      <c r="B227" s="8"/>
      <c r="C227" s="8"/>
      <c r="D227" s="24"/>
      <c r="E227" s="8"/>
      <c r="F227" s="25" t="str">
        <f aca="false">IF($A227="","",MONTH($A227))</f>
        <v/>
      </c>
      <c r="G227" s="25" t="str">
        <f aca="false">IF($A227="","",YEAR($A227))</f>
        <v/>
      </c>
    </row>
    <row r="228" customFormat="false" ht="15" hidden="false" customHeight="true" outlineLevel="0" collapsed="false">
      <c r="A228" s="23"/>
      <c r="B228" s="8"/>
      <c r="C228" s="8"/>
      <c r="D228" s="24"/>
      <c r="E228" s="8"/>
      <c r="F228" s="25" t="str">
        <f aca="false">IF($A228="","",MONTH($A228))</f>
        <v/>
      </c>
      <c r="G228" s="25" t="str">
        <f aca="false">IF($A228="","",YEAR($A228))</f>
        <v/>
      </c>
    </row>
    <row r="229" customFormat="false" ht="15" hidden="false" customHeight="true" outlineLevel="0" collapsed="false">
      <c r="A229" s="23"/>
      <c r="B229" s="8"/>
      <c r="C229" s="8"/>
      <c r="D229" s="24"/>
      <c r="E229" s="8"/>
      <c r="F229" s="25" t="str">
        <f aca="false">IF($A229="","",MONTH($A229))</f>
        <v/>
      </c>
      <c r="G229" s="25" t="str">
        <f aca="false">IF($A229="","",YEAR($A229))</f>
        <v/>
      </c>
    </row>
    <row r="230" customFormat="false" ht="15" hidden="false" customHeight="true" outlineLevel="0" collapsed="false">
      <c r="A230" s="23"/>
      <c r="B230" s="8"/>
      <c r="C230" s="8"/>
      <c r="D230" s="24"/>
      <c r="E230" s="8"/>
      <c r="F230" s="25" t="str">
        <f aca="false">IF($A230="","",MONTH($A230))</f>
        <v/>
      </c>
      <c r="G230" s="25" t="str">
        <f aca="false">IF($A230="","",YEAR($A230))</f>
        <v/>
      </c>
    </row>
    <row r="231" customFormat="false" ht="15" hidden="false" customHeight="true" outlineLevel="0" collapsed="false">
      <c r="A231" s="23"/>
      <c r="B231" s="8"/>
      <c r="C231" s="8"/>
      <c r="D231" s="24"/>
      <c r="E231" s="8"/>
      <c r="F231" s="25" t="str">
        <f aca="false">IF($A231="","",MONTH($A231))</f>
        <v/>
      </c>
      <c r="G231" s="25" t="str">
        <f aca="false">IF($A231="","",YEAR($A231))</f>
        <v/>
      </c>
    </row>
    <row r="232" customFormat="false" ht="15" hidden="false" customHeight="true" outlineLevel="0" collapsed="false">
      <c r="A232" s="23"/>
      <c r="B232" s="8"/>
      <c r="C232" s="8"/>
      <c r="D232" s="24"/>
      <c r="E232" s="8"/>
      <c r="F232" s="25" t="str">
        <f aca="false">IF($A232="","",MONTH($A232))</f>
        <v/>
      </c>
      <c r="G232" s="25" t="str">
        <f aca="false">IF($A232="","",YEAR($A232))</f>
        <v/>
      </c>
    </row>
    <row r="233" customFormat="false" ht="15" hidden="false" customHeight="true" outlineLevel="0" collapsed="false">
      <c r="A233" s="23"/>
      <c r="B233" s="8"/>
      <c r="C233" s="8"/>
      <c r="D233" s="24"/>
      <c r="E233" s="8"/>
      <c r="F233" s="25" t="str">
        <f aca="false">IF($A233="","",MONTH($A233))</f>
        <v/>
      </c>
      <c r="G233" s="25" t="str">
        <f aca="false">IF($A233="","",YEAR($A233))</f>
        <v/>
      </c>
    </row>
    <row r="234" customFormat="false" ht="15" hidden="false" customHeight="true" outlineLevel="0" collapsed="false">
      <c r="A234" s="23"/>
      <c r="B234" s="8"/>
      <c r="C234" s="8"/>
      <c r="D234" s="24"/>
      <c r="E234" s="8"/>
      <c r="F234" s="25" t="str">
        <f aca="false">IF($A234="","",MONTH($A234))</f>
        <v/>
      </c>
      <c r="G234" s="25" t="str">
        <f aca="false">IF($A234="","",YEAR($A234))</f>
        <v/>
      </c>
    </row>
    <row r="235" customFormat="false" ht="15" hidden="false" customHeight="true" outlineLevel="0" collapsed="false">
      <c r="A235" s="23"/>
      <c r="B235" s="8"/>
      <c r="C235" s="8"/>
      <c r="D235" s="24"/>
      <c r="E235" s="8"/>
      <c r="F235" s="25" t="str">
        <f aca="false">IF($A235="","",MONTH($A235))</f>
        <v/>
      </c>
      <c r="G235" s="25" t="str">
        <f aca="false">IF($A235="","",YEAR($A235))</f>
        <v/>
      </c>
    </row>
    <row r="236" customFormat="false" ht="15" hidden="false" customHeight="true" outlineLevel="0" collapsed="false">
      <c r="A236" s="23"/>
      <c r="B236" s="8"/>
      <c r="C236" s="8"/>
      <c r="D236" s="24"/>
      <c r="E236" s="8"/>
      <c r="F236" s="25" t="str">
        <f aca="false">IF($A236="","",MONTH($A236))</f>
        <v/>
      </c>
      <c r="G236" s="25" t="str">
        <f aca="false">IF($A236="","",YEAR($A236))</f>
        <v/>
      </c>
    </row>
    <row r="237" customFormat="false" ht="15" hidden="false" customHeight="true" outlineLevel="0" collapsed="false">
      <c r="A237" s="23"/>
      <c r="B237" s="8"/>
      <c r="C237" s="8"/>
      <c r="D237" s="24"/>
      <c r="E237" s="8"/>
      <c r="F237" s="25" t="str">
        <f aca="false">IF($A237="","",MONTH($A237))</f>
        <v/>
      </c>
      <c r="G237" s="25" t="str">
        <f aca="false">IF($A237="","",YEAR($A237))</f>
        <v/>
      </c>
    </row>
    <row r="238" customFormat="false" ht="15" hidden="false" customHeight="true" outlineLevel="0" collapsed="false">
      <c r="A238" s="23"/>
      <c r="B238" s="8"/>
      <c r="C238" s="8"/>
      <c r="D238" s="24"/>
      <c r="E238" s="8"/>
      <c r="F238" s="25" t="str">
        <f aca="false">IF($A238="","",MONTH($A238))</f>
        <v/>
      </c>
      <c r="G238" s="25" t="str">
        <f aca="false">IF($A238="","",YEAR($A238))</f>
        <v/>
      </c>
    </row>
    <row r="239" customFormat="false" ht="15" hidden="false" customHeight="true" outlineLevel="0" collapsed="false">
      <c r="A239" s="23"/>
      <c r="B239" s="8"/>
      <c r="C239" s="8"/>
      <c r="D239" s="24"/>
      <c r="E239" s="8"/>
      <c r="F239" s="25" t="str">
        <f aca="false">IF($A239="","",MONTH($A239))</f>
        <v/>
      </c>
      <c r="G239" s="25" t="str">
        <f aca="false">IF($A239="","",YEAR($A239))</f>
        <v/>
      </c>
    </row>
    <row r="240" customFormat="false" ht="15" hidden="false" customHeight="true" outlineLevel="0" collapsed="false">
      <c r="A240" s="23"/>
      <c r="B240" s="8"/>
      <c r="C240" s="8"/>
      <c r="D240" s="24"/>
      <c r="E240" s="8"/>
      <c r="F240" s="25" t="str">
        <f aca="false">IF($A240="","",MONTH($A240))</f>
        <v/>
      </c>
      <c r="G240" s="25" t="str">
        <f aca="false">IF($A240="","",YEAR($A240))</f>
        <v/>
      </c>
    </row>
    <row r="241" customFormat="false" ht="15" hidden="false" customHeight="true" outlineLevel="0" collapsed="false">
      <c r="A241" s="23"/>
      <c r="B241" s="8"/>
      <c r="C241" s="8"/>
      <c r="D241" s="24"/>
      <c r="E241" s="8"/>
      <c r="F241" s="25" t="str">
        <f aca="false">IF($A241="","",MONTH($A241))</f>
        <v/>
      </c>
      <c r="G241" s="25" t="str">
        <f aca="false">IF($A241="","",YEAR($A241))</f>
        <v/>
      </c>
    </row>
    <row r="242" customFormat="false" ht="15" hidden="false" customHeight="true" outlineLevel="0" collapsed="false">
      <c r="A242" s="23"/>
      <c r="B242" s="8"/>
      <c r="C242" s="8"/>
      <c r="D242" s="24"/>
      <c r="E242" s="8"/>
      <c r="F242" s="25" t="str">
        <f aca="false">IF($A242="","",MONTH($A242))</f>
        <v/>
      </c>
      <c r="G242" s="25" t="str">
        <f aca="false">IF($A242="","",YEAR($A242))</f>
        <v/>
      </c>
    </row>
    <row r="243" customFormat="false" ht="15" hidden="false" customHeight="true" outlineLevel="0" collapsed="false">
      <c r="A243" s="23"/>
      <c r="B243" s="8"/>
      <c r="C243" s="8"/>
      <c r="D243" s="24"/>
      <c r="E243" s="8"/>
      <c r="F243" s="25" t="str">
        <f aca="false">IF($A243="","",MONTH($A243))</f>
        <v/>
      </c>
      <c r="G243" s="25" t="str">
        <f aca="false">IF($A243="","",YEAR($A243))</f>
        <v/>
      </c>
    </row>
    <row r="244" customFormat="false" ht="15" hidden="false" customHeight="true" outlineLevel="0" collapsed="false">
      <c r="A244" s="23"/>
      <c r="B244" s="8"/>
      <c r="C244" s="8"/>
      <c r="D244" s="24"/>
      <c r="E244" s="8"/>
      <c r="F244" s="25" t="str">
        <f aca="false">IF($A244="","",MONTH($A244))</f>
        <v/>
      </c>
      <c r="G244" s="25" t="str">
        <f aca="false">IF($A244="","",YEAR($A244))</f>
        <v/>
      </c>
    </row>
    <row r="245" customFormat="false" ht="15" hidden="false" customHeight="true" outlineLevel="0" collapsed="false">
      <c r="A245" s="23"/>
      <c r="B245" s="8"/>
      <c r="C245" s="8"/>
      <c r="D245" s="24"/>
      <c r="E245" s="8"/>
      <c r="F245" s="25" t="str">
        <f aca="false">IF($A245="","",MONTH($A245))</f>
        <v/>
      </c>
      <c r="G245" s="25" t="str">
        <f aca="false">IF($A245="","",YEAR($A245))</f>
        <v/>
      </c>
    </row>
    <row r="246" customFormat="false" ht="15" hidden="false" customHeight="true" outlineLevel="0" collapsed="false">
      <c r="A246" s="23"/>
      <c r="B246" s="8"/>
      <c r="C246" s="8"/>
      <c r="D246" s="24"/>
      <c r="E246" s="8"/>
      <c r="F246" s="25" t="str">
        <f aca="false">IF($A246="","",MONTH($A246))</f>
        <v/>
      </c>
      <c r="G246" s="25" t="str">
        <f aca="false">IF($A246="","",YEAR($A246))</f>
        <v/>
      </c>
    </row>
    <row r="247" customFormat="false" ht="15" hidden="false" customHeight="true" outlineLevel="0" collapsed="false">
      <c r="A247" s="23"/>
      <c r="B247" s="8"/>
      <c r="C247" s="8"/>
      <c r="D247" s="24"/>
      <c r="E247" s="8"/>
      <c r="F247" s="25" t="str">
        <f aca="false">IF($A247="","",MONTH($A247))</f>
        <v/>
      </c>
      <c r="G247" s="25" t="str">
        <f aca="false">IF($A247="","",YEAR($A247))</f>
        <v/>
      </c>
    </row>
    <row r="248" customFormat="false" ht="15" hidden="false" customHeight="true" outlineLevel="0" collapsed="false">
      <c r="A248" s="23"/>
      <c r="B248" s="8"/>
      <c r="C248" s="8"/>
      <c r="D248" s="24"/>
      <c r="E248" s="8"/>
      <c r="F248" s="25" t="str">
        <f aca="false">IF($A248="","",MONTH($A248))</f>
        <v/>
      </c>
      <c r="G248" s="25" t="str">
        <f aca="false">IF($A248="","",YEAR($A248))</f>
        <v/>
      </c>
    </row>
    <row r="249" customFormat="false" ht="15" hidden="false" customHeight="true" outlineLevel="0" collapsed="false">
      <c r="A249" s="23"/>
      <c r="B249" s="8"/>
      <c r="C249" s="8"/>
      <c r="D249" s="24"/>
      <c r="E249" s="8"/>
      <c r="F249" s="25" t="str">
        <f aca="false">IF($A249="","",MONTH($A249))</f>
        <v/>
      </c>
      <c r="G249" s="25" t="str">
        <f aca="false">IF($A249="","",YEAR($A249))</f>
        <v/>
      </c>
    </row>
    <row r="250" customFormat="false" ht="15" hidden="false" customHeight="true" outlineLevel="0" collapsed="false">
      <c r="A250" s="23"/>
      <c r="B250" s="8"/>
      <c r="C250" s="8"/>
      <c r="D250" s="24"/>
      <c r="E250" s="8"/>
      <c r="F250" s="25" t="str">
        <f aca="false">IF($A250="","",MONTH($A250))</f>
        <v/>
      </c>
      <c r="G250" s="25" t="str">
        <f aca="false">IF($A250="","",YEAR($A250))</f>
        <v/>
      </c>
    </row>
    <row r="251" customFormat="false" ht="15" hidden="false" customHeight="true" outlineLevel="0" collapsed="false">
      <c r="A251" s="23"/>
      <c r="B251" s="8"/>
      <c r="C251" s="8"/>
      <c r="D251" s="24"/>
      <c r="E251" s="8"/>
      <c r="F251" s="25" t="str">
        <f aca="false">IF($A251="","",MONTH($A251))</f>
        <v/>
      </c>
      <c r="G251" s="25" t="str">
        <f aca="false">IF($A251="","",YEAR($A251))</f>
        <v/>
      </c>
    </row>
    <row r="252" customFormat="false" ht="15" hidden="false" customHeight="true" outlineLevel="0" collapsed="false">
      <c r="A252" s="23"/>
      <c r="B252" s="8"/>
      <c r="C252" s="8"/>
      <c r="D252" s="24"/>
      <c r="E252" s="8"/>
      <c r="F252" s="25" t="str">
        <f aca="false">IF($A252="","",MONTH($A252))</f>
        <v/>
      </c>
      <c r="G252" s="25" t="str">
        <f aca="false">IF($A252="","",YEAR($A252))</f>
        <v/>
      </c>
    </row>
    <row r="253" customFormat="false" ht="15" hidden="false" customHeight="true" outlineLevel="0" collapsed="false">
      <c r="A253" s="23"/>
      <c r="B253" s="8"/>
      <c r="C253" s="8"/>
      <c r="D253" s="24"/>
      <c r="E253" s="8"/>
      <c r="F253" s="25" t="str">
        <f aca="false">IF($A253="","",MONTH($A253))</f>
        <v/>
      </c>
      <c r="G253" s="25" t="str">
        <f aca="false">IF($A253="","",YEAR($A253))</f>
        <v/>
      </c>
    </row>
    <row r="254" customFormat="false" ht="15" hidden="false" customHeight="true" outlineLevel="0" collapsed="false">
      <c r="A254" s="23"/>
      <c r="B254" s="8"/>
      <c r="C254" s="8"/>
      <c r="D254" s="24"/>
      <c r="E254" s="8"/>
      <c r="F254" s="25" t="str">
        <f aca="false">IF($A254="","",MONTH($A254))</f>
        <v/>
      </c>
      <c r="G254" s="25" t="str">
        <f aca="false">IF($A254="","",YEAR($A254))</f>
        <v/>
      </c>
    </row>
    <row r="255" customFormat="false" ht="15" hidden="false" customHeight="true" outlineLevel="0" collapsed="false">
      <c r="A255" s="23"/>
      <c r="B255" s="8"/>
      <c r="C255" s="8"/>
      <c r="D255" s="24"/>
      <c r="E255" s="8"/>
      <c r="F255" s="25" t="str">
        <f aca="false">IF($A255="","",MONTH($A255))</f>
        <v/>
      </c>
      <c r="G255" s="25" t="str">
        <f aca="false">IF($A255="","",YEAR($A255))</f>
        <v/>
      </c>
    </row>
    <row r="256" customFormat="false" ht="15" hidden="false" customHeight="true" outlineLevel="0" collapsed="false">
      <c r="A256" s="23"/>
      <c r="B256" s="8"/>
      <c r="C256" s="8"/>
      <c r="D256" s="24"/>
      <c r="E256" s="8"/>
      <c r="F256" s="25" t="str">
        <f aca="false">IF($A256="","",MONTH($A256))</f>
        <v/>
      </c>
      <c r="G256" s="25" t="str">
        <f aca="false">IF($A256="","",YEAR($A256))</f>
        <v/>
      </c>
    </row>
    <row r="257" customFormat="false" ht="15" hidden="false" customHeight="true" outlineLevel="0" collapsed="false">
      <c r="A257" s="23"/>
      <c r="B257" s="8"/>
      <c r="C257" s="8"/>
      <c r="D257" s="24"/>
      <c r="E257" s="8"/>
      <c r="F257" s="25" t="str">
        <f aca="false">IF($A257="","",MONTH($A257))</f>
        <v/>
      </c>
      <c r="G257" s="25" t="str">
        <f aca="false">IF($A257="","",YEAR($A257))</f>
        <v/>
      </c>
    </row>
    <row r="258" customFormat="false" ht="15" hidden="false" customHeight="true" outlineLevel="0" collapsed="false">
      <c r="A258" s="23"/>
      <c r="B258" s="8"/>
      <c r="C258" s="8"/>
      <c r="D258" s="24"/>
      <c r="E258" s="8"/>
      <c r="F258" s="25" t="str">
        <f aca="false">IF($A258="","",MONTH($A258))</f>
        <v/>
      </c>
      <c r="G258" s="25" t="str">
        <f aca="false">IF($A258="","",YEAR($A258))</f>
        <v/>
      </c>
    </row>
    <row r="259" customFormat="false" ht="15" hidden="false" customHeight="true" outlineLevel="0" collapsed="false">
      <c r="A259" s="23"/>
      <c r="B259" s="8"/>
      <c r="C259" s="8"/>
      <c r="D259" s="24"/>
      <c r="E259" s="8"/>
      <c r="F259" s="25" t="str">
        <f aca="false">IF($A259="","",MONTH($A259))</f>
        <v/>
      </c>
      <c r="G259" s="25" t="str">
        <f aca="false">IF($A259="","",YEAR($A259))</f>
        <v/>
      </c>
    </row>
    <row r="260" customFormat="false" ht="15" hidden="false" customHeight="true" outlineLevel="0" collapsed="false">
      <c r="A260" s="23"/>
      <c r="B260" s="8"/>
      <c r="C260" s="8"/>
      <c r="D260" s="24"/>
      <c r="E260" s="8"/>
      <c r="F260" s="25" t="str">
        <f aca="false">IF($A260="","",MONTH($A260))</f>
        <v/>
      </c>
      <c r="G260" s="25" t="str">
        <f aca="false">IF($A260="","",YEAR($A260))</f>
        <v/>
      </c>
    </row>
    <row r="261" customFormat="false" ht="15" hidden="false" customHeight="true" outlineLevel="0" collapsed="false">
      <c r="A261" s="23"/>
      <c r="B261" s="8"/>
      <c r="C261" s="8"/>
      <c r="D261" s="24"/>
      <c r="E261" s="8"/>
      <c r="F261" s="25" t="str">
        <f aca="false">IF($A261="","",MONTH($A261))</f>
        <v/>
      </c>
      <c r="G261" s="25" t="str">
        <f aca="false">IF($A261="","",YEAR($A261))</f>
        <v/>
      </c>
    </row>
    <row r="262" customFormat="false" ht="15" hidden="false" customHeight="true" outlineLevel="0" collapsed="false">
      <c r="A262" s="23"/>
      <c r="B262" s="8"/>
      <c r="C262" s="8"/>
      <c r="D262" s="24"/>
      <c r="E262" s="8"/>
      <c r="F262" s="25" t="str">
        <f aca="false">IF($A262="","",MONTH($A262))</f>
        <v/>
      </c>
      <c r="G262" s="25" t="str">
        <f aca="false">IF($A262="","",YEAR($A262))</f>
        <v/>
      </c>
    </row>
    <row r="263" customFormat="false" ht="15" hidden="false" customHeight="true" outlineLevel="0" collapsed="false">
      <c r="A263" s="23"/>
      <c r="B263" s="8"/>
      <c r="C263" s="8"/>
      <c r="D263" s="24"/>
      <c r="E263" s="8"/>
      <c r="F263" s="25" t="str">
        <f aca="false">IF($A263="","",MONTH($A263))</f>
        <v/>
      </c>
      <c r="G263" s="25" t="str">
        <f aca="false">IF($A263="","",YEAR($A263))</f>
        <v/>
      </c>
    </row>
    <row r="264" customFormat="false" ht="15" hidden="false" customHeight="true" outlineLevel="0" collapsed="false">
      <c r="A264" s="23"/>
      <c r="B264" s="8"/>
      <c r="C264" s="8"/>
      <c r="D264" s="24"/>
      <c r="E264" s="8"/>
      <c r="F264" s="25" t="str">
        <f aca="false">IF($A264="","",MONTH($A264))</f>
        <v/>
      </c>
      <c r="G264" s="25" t="str">
        <f aca="false">IF($A264="","",YEAR($A264))</f>
        <v/>
      </c>
    </row>
    <row r="265" customFormat="false" ht="15" hidden="false" customHeight="true" outlineLevel="0" collapsed="false">
      <c r="A265" s="23"/>
      <c r="B265" s="8"/>
      <c r="C265" s="8"/>
      <c r="D265" s="24"/>
      <c r="E265" s="8"/>
      <c r="F265" s="25" t="str">
        <f aca="false">IF($A265="","",MONTH($A265))</f>
        <v/>
      </c>
      <c r="G265" s="25" t="str">
        <f aca="false">IF($A265="","",YEAR($A265))</f>
        <v/>
      </c>
    </row>
    <row r="266" customFormat="false" ht="15" hidden="false" customHeight="true" outlineLevel="0" collapsed="false">
      <c r="A266" s="23"/>
      <c r="B266" s="8"/>
      <c r="C266" s="8"/>
      <c r="D266" s="24"/>
      <c r="E266" s="8"/>
      <c r="F266" s="25" t="str">
        <f aca="false">IF($A266="","",MONTH($A266))</f>
        <v/>
      </c>
      <c r="G266" s="25" t="str">
        <f aca="false">IF($A266="","",YEAR($A266))</f>
        <v/>
      </c>
    </row>
    <row r="267" customFormat="false" ht="15" hidden="false" customHeight="true" outlineLevel="0" collapsed="false">
      <c r="A267" s="23"/>
      <c r="B267" s="8"/>
      <c r="C267" s="8"/>
      <c r="D267" s="24"/>
      <c r="E267" s="8"/>
      <c r="F267" s="25" t="str">
        <f aca="false">IF($A267="","",MONTH($A267))</f>
        <v/>
      </c>
      <c r="G267" s="25" t="str">
        <f aca="false">IF($A267="","",YEAR($A267))</f>
        <v/>
      </c>
    </row>
    <row r="268" customFormat="false" ht="15" hidden="false" customHeight="true" outlineLevel="0" collapsed="false">
      <c r="A268" s="23"/>
      <c r="B268" s="8"/>
      <c r="C268" s="8"/>
      <c r="D268" s="24"/>
      <c r="E268" s="8"/>
      <c r="F268" s="25" t="str">
        <f aca="false">IF($A268="","",MONTH($A268))</f>
        <v/>
      </c>
      <c r="G268" s="25" t="str">
        <f aca="false">IF($A268="","",YEAR($A268))</f>
        <v/>
      </c>
    </row>
    <row r="269" customFormat="false" ht="15" hidden="false" customHeight="true" outlineLevel="0" collapsed="false">
      <c r="A269" s="23"/>
      <c r="B269" s="8"/>
      <c r="C269" s="8"/>
      <c r="D269" s="24"/>
      <c r="E269" s="8"/>
      <c r="F269" s="25" t="str">
        <f aca="false">IF($A269="","",MONTH($A269))</f>
        <v/>
      </c>
      <c r="G269" s="25" t="str">
        <f aca="false">IF($A269="","",YEAR($A269))</f>
        <v/>
      </c>
    </row>
    <row r="270" customFormat="false" ht="15" hidden="false" customHeight="true" outlineLevel="0" collapsed="false">
      <c r="A270" s="23"/>
      <c r="B270" s="8"/>
      <c r="C270" s="8"/>
      <c r="D270" s="24"/>
      <c r="E270" s="8"/>
      <c r="F270" s="25" t="str">
        <f aca="false">IF($A270="","",MONTH($A270))</f>
        <v/>
      </c>
      <c r="G270" s="25" t="str">
        <f aca="false">IF($A270="","",YEAR($A270))</f>
        <v/>
      </c>
    </row>
    <row r="271" customFormat="false" ht="15" hidden="false" customHeight="true" outlineLevel="0" collapsed="false">
      <c r="A271" s="23"/>
      <c r="B271" s="8"/>
      <c r="C271" s="8"/>
      <c r="D271" s="24"/>
      <c r="E271" s="8"/>
      <c r="F271" s="25" t="str">
        <f aca="false">IF($A271="","",MONTH($A271))</f>
        <v/>
      </c>
      <c r="G271" s="25" t="str">
        <f aca="false">IF($A271="","",YEAR($A271))</f>
        <v/>
      </c>
    </row>
    <row r="272" customFormat="false" ht="15" hidden="false" customHeight="true" outlineLevel="0" collapsed="false">
      <c r="A272" s="23"/>
      <c r="B272" s="8"/>
      <c r="C272" s="8"/>
      <c r="D272" s="24"/>
      <c r="E272" s="8"/>
      <c r="F272" s="25" t="str">
        <f aca="false">IF($A272="","",MONTH($A272))</f>
        <v/>
      </c>
      <c r="G272" s="25" t="str">
        <f aca="false">IF($A272="","",YEAR($A272))</f>
        <v/>
      </c>
    </row>
    <row r="273" customFormat="false" ht="15" hidden="false" customHeight="true" outlineLevel="0" collapsed="false">
      <c r="A273" s="23"/>
      <c r="B273" s="8"/>
      <c r="C273" s="8"/>
      <c r="D273" s="24"/>
      <c r="E273" s="8"/>
      <c r="F273" s="25" t="str">
        <f aca="false">IF($A273="","",MONTH($A273))</f>
        <v/>
      </c>
      <c r="G273" s="25" t="str">
        <f aca="false">IF($A273="","",YEAR($A273))</f>
        <v/>
      </c>
    </row>
    <row r="274" customFormat="false" ht="15" hidden="false" customHeight="true" outlineLevel="0" collapsed="false">
      <c r="A274" s="23"/>
      <c r="B274" s="8"/>
      <c r="C274" s="8"/>
      <c r="D274" s="24"/>
      <c r="E274" s="8"/>
      <c r="F274" s="25" t="str">
        <f aca="false">IF($A274="","",MONTH($A274))</f>
        <v/>
      </c>
      <c r="G274" s="25" t="str">
        <f aca="false">IF($A274="","",YEAR($A274))</f>
        <v/>
      </c>
    </row>
    <row r="275" customFormat="false" ht="15" hidden="false" customHeight="true" outlineLevel="0" collapsed="false">
      <c r="A275" s="23"/>
      <c r="B275" s="8"/>
      <c r="C275" s="8"/>
      <c r="D275" s="24"/>
      <c r="E275" s="8"/>
      <c r="F275" s="25" t="str">
        <f aca="false">IF($A275="","",MONTH($A275))</f>
        <v/>
      </c>
      <c r="G275" s="25" t="str">
        <f aca="false">IF($A275="","",YEAR($A275))</f>
        <v/>
      </c>
    </row>
    <row r="276" customFormat="false" ht="15" hidden="false" customHeight="true" outlineLevel="0" collapsed="false">
      <c r="A276" s="23"/>
      <c r="B276" s="8"/>
      <c r="C276" s="8"/>
      <c r="D276" s="24"/>
      <c r="E276" s="8"/>
      <c r="F276" s="25" t="str">
        <f aca="false">IF($A276="","",MONTH($A276))</f>
        <v/>
      </c>
      <c r="G276" s="25" t="str">
        <f aca="false">IF($A276="","",YEAR($A276))</f>
        <v/>
      </c>
    </row>
    <row r="277" customFormat="false" ht="15" hidden="false" customHeight="true" outlineLevel="0" collapsed="false">
      <c r="A277" s="23"/>
      <c r="B277" s="8"/>
      <c r="C277" s="8"/>
      <c r="D277" s="24"/>
      <c r="E277" s="8"/>
      <c r="F277" s="25" t="str">
        <f aca="false">IF($A277="","",MONTH($A277))</f>
        <v/>
      </c>
      <c r="G277" s="25" t="str">
        <f aca="false">IF($A277="","",YEAR($A277))</f>
        <v/>
      </c>
    </row>
    <row r="278" customFormat="false" ht="15" hidden="false" customHeight="true" outlineLevel="0" collapsed="false">
      <c r="A278" s="23"/>
      <c r="B278" s="8"/>
      <c r="C278" s="8"/>
      <c r="D278" s="24"/>
      <c r="E278" s="8"/>
      <c r="F278" s="25" t="str">
        <f aca="false">IF($A278="","",MONTH($A278))</f>
        <v/>
      </c>
      <c r="G278" s="25" t="str">
        <f aca="false">IF($A278="","",YEAR($A278))</f>
        <v/>
      </c>
    </row>
    <row r="279" customFormat="false" ht="15" hidden="false" customHeight="true" outlineLevel="0" collapsed="false">
      <c r="A279" s="23"/>
      <c r="B279" s="8"/>
      <c r="C279" s="8"/>
      <c r="D279" s="24"/>
      <c r="E279" s="8"/>
      <c r="F279" s="25" t="str">
        <f aca="false">IF($A279="","",MONTH($A279))</f>
        <v/>
      </c>
      <c r="G279" s="25" t="str">
        <f aca="false">IF($A279="","",YEAR($A279))</f>
        <v/>
      </c>
    </row>
    <row r="280" customFormat="false" ht="15" hidden="false" customHeight="true" outlineLevel="0" collapsed="false">
      <c r="A280" s="23"/>
      <c r="B280" s="8"/>
      <c r="C280" s="8"/>
      <c r="D280" s="24"/>
      <c r="E280" s="8"/>
      <c r="F280" s="25" t="str">
        <f aca="false">IF($A280="","",MONTH($A280))</f>
        <v/>
      </c>
      <c r="G280" s="25" t="str">
        <f aca="false">IF($A280="","",YEAR($A280))</f>
        <v/>
      </c>
    </row>
    <row r="281" customFormat="false" ht="15" hidden="false" customHeight="true" outlineLevel="0" collapsed="false">
      <c r="A281" s="23"/>
      <c r="B281" s="8"/>
      <c r="C281" s="8"/>
      <c r="D281" s="24"/>
      <c r="E281" s="8"/>
      <c r="F281" s="25" t="str">
        <f aca="false">IF($A281="","",MONTH($A281))</f>
        <v/>
      </c>
      <c r="G281" s="25" t="str">
        <f aca="false">IF($A281="","",YEAR($A281))</f>
        <v/>
      </c>
    </row>
    <row r="282" customFormat="false" ht="15" hidden="false" customHeight="true" outlineLevel="0" collapsed="false">
      <c r="A282" s="23"/>
      <c r="B282" s="8"/>
      <c r="C282" s="8"/>
      <c r="D282" s="24"/>
      <c r="E282" s="8"/>
      <c r="F282" s="25" t="str">
        <f aca="false">IF($A282="","",MONTH($A282))</f>
        <v/>
      </c>
      <c r="G282" s="25" t="str">
        <f aca="false">IF($A282="","",YEAR($A282))</f>
        <v/>
      </c>
    </row>
    <row r="283" customFormat="false" ht="15" hidden="false" customHeight="true" outlineLevel="0" collapsed="false">
      <c r="A283" s="23"/>
      <c r="B283" s="8"/>
      <c r="C283" s="8"/>
      <c r="D283" s="24"/>
      <c r="E283" s="8"/>
      <c r="F283" s="25" t="str">
        <f aca="false">IF($A283="","",MONTH($A283))</f>
        <v/>
      </c>
      <c r="G283" s="25" t="str">
        <f aca="false">IF($A283="","",YEAR($A283))</f>
        <v/>
      </c>
    </row>
    <row r="284" customFormat="false" ht="15" hidden="false" customHeight="true" outlineLevel="0" collapsed="false">
      <c r="A284" s="23"/>
      <c r="B284" s="8"/>
      <c r="C284" s="8"/>
      <c r="D284" s="24"/>
      <c r="E284" s="8"/>
      <c r="F284" s="25" t="str">
        <f aca="false">IF($A284="","",MONTH($A284))</f>
        <v/>
      </c>
      <c r="G284" s="25" t="str">
        <f aca="false">IF($A284="","",YEAR($A284))</f>
        <v/>
      </c>
    </row>
    <row r="285" customFormat="false" ht="15" hidden="false" customHeight="true" outlineLevel="0" collapsed="false">
      <c r="A285" s="23"/>
      <c r="B285" s="8"/>
      <c r="C285" s="8"/>
      <c r="D285" s="24"/>
      <c r="E285" s="8"/>
      <c r="F285" s="25" t="str">
        <f aca="false">IF($A285="","",MONTH($A285))</f>
        <v/>
      </c>
      <c r="G285" s="25" t="str">
        <f aca="false">IF($A285="","",YEAR($A285))</f>
        <v/>
      </c>
    </row>
    <row r="286" customFormat="false" ht="15" hidden="false" customHeight="true" outlineLevel="0" collapsed="false">
      <c r="A286" s="23"/>
      <c r="B286" s="8"/>
      <c r="C286" s="8"/>
      <c r="D286" s="24"/>
      <c r="E286" s="8"/>
      <c r="F286" s="25" t="str">
        <f aca="false">IF($A286="","",MONTH($A286))</f>
        <v/>
      </c>
      <c r="G286" s="25" t="str">
        <f aca="false">IF($A286="","",YEAR($A286))</f>
        <v/>
      </c>
    </row>
    <row r="287" customFormat="false" ht="15" hidden="false" customHeight="true" outlineLevel="0" collapsed="false">
      <c r="A287" s="23"/>
      <c r="B287" s="8"/>
      <c r="C287" s="8"/>
      <c r="D287" s="24"/>
      <c r="E287" s="8"/>
      <c r="F287" s="25" t="str">
        <f aca="false">IF($A287="","",MONTH($A287))</f>
        <v/>
      </c>
      <c r="G287" s="25" t="str">
        <f aca="false">IF($A287="","",YEAR($A287))</f>
        <v/>
      </c>
    </row>
    <row r="288" customFormat="false" ht="15" hidden="false" customHeight="true" outlineLevel="0" collapsed="false">
      <c r="A288" s="23"/>
      <c r="B288" s="8"/>
      <c r="C288" s="8"/>
      <c r="D288" s="24"/>
      <c r="E288" s="8"/>
      <c r="F288" s="25" t="str">
        <f aca="false">IF($A288="","",MONTH($A288))</f>
        <v/>
      </c>
      <c r="G288" s="25" t="str">
        <f aca="false">IF($A288="","",YEAR($A288))</f>
        <v/>
      </c>
    </row>
    <row r="289" customFormat="false" ht="15" hidden="false" customHeight="true" outlineLevel="0" collapsed="false">
      <c r="A289" s="23"/>
      <c r="B289" s="8"/>
      <c r="C289" s="8"/>
      <c r="D289" s="24"/>
      <c r="E289" s="8"/>
      <c r="F289" s="25" t="str">
        <f aca="false">IF($A289="","",MONTH($A289))</f>
        <v/>
      </c>
      <c r="G289" s="25" t="str">
        <f aca="false">IF($A289="","",YEAR($A289))</f>
        <v/>
      </c>
    </row>
    <row r="290" customFormat="false" ht="15" hidden="false" customHeight="true" outlineLevel="0" collapsed="false">
      <c r="A290" s="23"/>
      <c r="B290" s="8"/>
      <c r="C290" s="8"/>
      <c r="D290" s="24"/>
      <c r="E290" s="8"/>
      <c r="F290" s="25" t="str">
        <f aca="false">IF($A290="","",MONTH($A290))</f>
        <v/>
      </c>
      <c r="G290" s="25" t="str">
        <f aca="false">IF($A290="","",YEAR($A290))</f>
        <v/>
      </c>
    </row>
    <row r="291" customFormat="false" ht="15" hidden="false" customHeight="true" outlineLevel="0" collapsed="false">
      <c r="A291" s="23"/>
      <c r="B291" s="8"/>
      <c r="C291" s="8"/>
      <c r="D291" s="24"/>
      <c r="E291" s="8"/>
      <c r="F291" s="25" t="str">
        <f aca="false">IF($A291="","",MONTH($A291))</f>
        <v/>
      </c>
      <c r="G291" s="25" t="str">
        <f aca="false">IF($A291="","",YEAR($A291))</f>
        <v/>
      </c>
    </row>
    <row r="292" customFormat="false" ht="15" hidden="false" customHeight="true" outlineLevel="0" collapsed="false">
      <c r="A292" s="23"/>
      <c r="B292" s="8"/>
      <c r="C292" s="8"/>
      <c r="D292" s="24"/>
      <c r="E292" s="8"/>
      <c r="F292" s="25" t="str">
        <f aca="false">IF($A292="","",MONTH($A292))</f>
        <v/>
      </c>
      <c r="G292" s="25" t="str">
        <f aca="false">IF($A292="","",YEAR($A292))</f>
        <v/>
      </c>
    </row>
    <row r="293" customFormat="false" ht="15" hidden="false" customHeight="true" outlineLevel="0" collapsed="false">
      <c r="A293" s="23"/>
      <c r="B293" s="8"/>
      <c r="C293" s="8"/>
      <c r="D293" s="24"/>
      <c r="E293" s="8"/>
      <c r="F293" s="25" t="str">
        <f aca="false">IF($A293="","",MONTH($A293))</f>
        <v/>
      </c>
      <c r="G293" s="25" t="str">
        <f aca="false">IF($A293="","",YEAR($A293))</f>
        <v/>
      </c>
    </row>
    <row r="294" customFormat="false" ht="15" hidden="false" customHeight="true" outlineLevel="0" collapsed="false">
      <c r="A294" s="23"/>
      <c r="B294" s="8"/>
      <c r="C294" s="8"/>
      <c r="D294" s="24"/>
      <c r="E294" s="8"/>
      <c r="F294" s="25" t="str">
        <f aca="false">IF($A294="","",MONTH($A294))</f>
        <v/>
      </c>
      <c r="G294" s="25" t="str">
        <f aca="false">IF($A294="","",YEAR($A294))</f>
        <v/>
      </c>
    </row>
    <row r="295" customFormat="false" ht="15" hidden="false" customHeight="true" outlineLevel="0" collapsed="false">
      <c r="A295" s="23"/>
      <c r="B295" s="8"/>
      <c r="C295" s="8"/>
      <c r="D295" s="24"/>
      <c r="E295" s="8"/>
      <c r="F295" s="25" t="str">
        <f aca="false">IF($A295="","",MONTH($A295))</f>
        <v/>
      </c>
      <c r="G295" s="25" t="str">
        <f aca="false">IF($A295="","",YEAR($A295))</f>
        <v/>
      </c>
    </row>
    <row r="296" customFormat="false" ht="15" hidden="false" customHeight="true" outlineLevel="0" collapsed="false">
      <c r="A296" s="23"/>
      <c r="B296" s="8"/>
      <c r="C296" s="8"/>
      <c r="D296" s="24"/>
      <c r="E296" s="8"/>
      <c r="F296" s="25" t="str">
        <f aca="false">IF($A296="","",MONTH($A296))</f>
        <v/>
      </c>
      <c r="G296" s="25" t="str">
        <f aca="false">IF($A296="","",YEAR($A296))</f>
        <v/>
      </c>
    </row>
    <row r="297" customFormat="false" ht="15" hidden="false" customHeight="true" outlineLevel="0" collapsed="false">
      <c r="A297" s="23"/>
      <c r="B297" s="8"/>
      <c r="C297" s="8"/>
      <c r="D297" s="24"/>
      <c r="E297" s="8"/>
      <c r="F297" s="25" t="str">
        <f aca="false">IF($A297="","",MONTH($A297))</f>
        <v/>
      </c>
      <c r="G297" s="25" t="str">
        <f aca="false">IF($A297="","",YEAR($A297))</f>
        <v/>
      </c>
    </row>
    <row r="298" customFormat="false" ht="15" hidden="false" customHeight="true" outlineLevel="0" collapsed="false">
      <c r="A298" s="23"/>
      <c r="B298" s="8"/>
      <c r="C298" s="8"/>
      <c r="D298" s="24"/>
      <c r="E298" s="8"/>
      <c r="F298" s="25" t="str">
        <f aca="false">IF($A298="","",MONTH($A298))</f>
        <v/>
      </c>
      <c r="G298" s="25" t="str">
        <f aca="false">IF($A298="","",YEAR($A298))</f>
        <v/>
      </c>
    </row>
    <row r="299" customFormat="false" ht="15" hidden="false" customHeight="true" outlineLevel="0" collapsed="false">
      <c r="A299" s="23"/>
      <c r="B299" s="8"/>
      <c r="C299" s="8"/>
      <c r="D299" s="24"/>
      <c r="E299" s="8"/>
      <c r="F299" s="25" t="str">
        <f aca="false">IF($A299="","",MONTH($A299))</f>
        <v/>
      </c>
      <c r="G299" s="25" t="str">
        <f aca="false">IF($A299="","",YEAR($A299))</f>
        <v/>
      </c>
    </row>
    <row r="300" customFormat="false" ht="15" hidden="false" customHeight="true" outlineLevel="0" collapsed="false">
      <c r="A300" s="23"/>
      <c r="B300" s="8"/>
      <c r="C300" s="8"/>
      <c r="D300" s="24"/>
      <c r="E300" s="8"/>
      <c r="F300" s="25" t="str">
        <f aca="false">IF($A300="","",MONTH($A300))</f>
        <v/>
      </c>
      <c r="G300" s="25" t="str">
        <f aca="false">IF($A300="","",YEAR($A300))</f>
        <v/>
      </c>
    </row>
    <row r="301" customFormat="false" ht="15" hidden="false" customHeight="true" outlineLevel="0" collapsed="false">
      <c r="A301" s="23"/>
      <c r="B301" s="8"/>
      <c r="C301" s="8"/>
      <c r="D301" s="24"/>
      <c r="E301" s="8"/>
      <c r="F301" s="25" t="str">
        <f aca="false">IF($A301="","",MONTH($A301))</f>
        <v/>
      </c>
      <c r="G301" s="25" t="str">
        <f aca="false">IF($A301="","",YEAR($A301))</f>
        <v/>
      </c>
    </row>
    <row r="302" customFormat="false" ht="15" hidden="false" customHeight="true" outlineLevel="0" collapsed="false">
      <c r="A302" s="23"/>
      <c r="B302" s="8"/>
      <c r="C302" s="8"/>
      <c r="D302" s="24"/>
      <c r="E302" s="8"/>
      <c r="F302" s="25" t="str">
        <f aca="false">IF($A302="","",MONTH($A302))</f>
        <v/>
      </c>
      <c r="G302" s="25" t="str">
        <f aca="false">IF($A302="","",YEAR($A302))</f>
        <v/>
      </c>
    </row>
    <row r="303" customFormat="false" ht="15" hidden="false" customHeight="true" outlineLevel="0" collapsed="false">
      <c r="A303" s="23"/>
      <c r="B303" s="8"/>
      <c r="C303" s="8"/>
      <c r="D303" s="24"/>
      <c r="E303" s="8"/>
      <c r="F303" s="25" t="str">
        <f aca="false">IF($A303="","",MONTH($A303))</f>
        <v/>
      </c>
      <c r="G303" s="25" t="str">
        <f aca="false">IF($A303="","",YEAR($A303))</f>
        <v/>
      </c>
    </row>
    <row r="304" customFormat="false" ht="15" hidden="false" customHeight="true" outlineLevel="0" collapsed="false">
      <c r="A304" s="23"/>
      <c r="B304" s="8"/>
      <c r="C304" s="8"/>
      <c r="D304" s="24"/>
      <c r="E304" s="8"/>
      <c r="F304" s="25" t="str">
        <f aca="false">IF($A304="","",MONTH($A304))</f>
        <v/>
      </c>
      <c r="G304" s="25" t="str">
        <f aca="false">IF($A304="","",YEAR($A304))</f>
        <v/>
      </c>
    </row>
    <row r="305" customFormat="false" ht="15" hidden="false" customHeight="true" outlineLevel="0" collapsed="false">
      <c r="A305" s="23"/>
      <c r="B305" s="8"/>
      <c r="C305" s="8"/>
      <c r="D305" s="24"/>
      <c r="E305" s="8"/>
      <c r="F305" s="25" t="str">
        <f aca="false">IF($A305="","",MONTH($A305))</f>
        <v/>
      </c>
      <c r="G305" s="25" t="str">
        <f aca="false">IF($A305="","",YEAR($A305))</f>
        <v/>
      </c>
    </row>
    <row r="306" customFormat="false" ht="15" hidden="false" customHeight="true" outlineLevel="0" collapsed="false">
      <c r="A306" s="23"/>
      <c r="B306" s="8"/>
      <c r="C306" s="8"/>
      <c r="D306" s="24"/>
      <c r="E306" s="8"/>
      <c r="F306" s="25" t="str">
        <f aca="false">IF($A306="","",MONTH($A306))</f>
        <v/>
      </c>
      <c r="G306" s="25" t="str">
        <f aca="false">IF($A306="","",YEAR($A306))</f>
        <v/>
      </c>
    </row>
    <row r="307" customFormat="false" ht="15" hidden="false" customHeight="true" outlineLevel="0" collapsed="false">
      <c r="A307" s="23"/>
      <c r="B307" s="8"/>
      <c r="C307" s="8"/>
      <c r="D307" s="24"/>
      <c r="E307" s="8"/>
      <c r="F307" s="25" t="str">
        <f aca="false">IF($A307="","",MONTH($A307))</f>
        <v/>
      </c>
      <c r="G307" s="25" t="str">
        <f aca="false">IF($A307="","",YEAR($A307))</f>
        <v/>
      </c>
    </row>
    <row r="308" customFormat="false" ht="15" hidden="false" customHeight="true" outlineLevel="0" collapsed="false">
      <c r="A308" s="23"/>
      <c r="B308" s="8"/>
      <c r="C308" s="8"/>
      <c r="D308" s="24"/>
      <c r="E308" s="8"/>
      <c r="F308" s="25" t="str">
        <f aca="false">IF($A308="","",MONTH($A308))</f>
        <v/>
      </c>
      <c r="G308" s="25" t="str">
        <f aca="false">IF($A308="","",YEAR($A308))</f>
        <v/>
      </c>
    </row>
    <row r="309" customFormat="false" ht="15" hidden="false" customHeight="true" outlineLevel="0" collapsed="false">
      <c r="A309" s="23"/>
      <c r="B309" s="8"/>
      <c r="C309" s="8"/>
      <c r="D309" s="24"/>
      <c r="E309" s="8"/>
      <c r="F309" s="25" t="str">
        <f aca="false">IF($A309="","",MONTH($A309))</f>
        <v/>
      </c>
      <c r="G309" s="25" t="str">
        <f aca="false">IF($A309="","",YEAR($A309))</f>
        <v/>
      </c>
    </row>
    <row r="310" customFormat="false" ht="15" hidden="false" customHeight="true" outlineLevel="0" collapsed="false">
      <c r="A310" s="23"/>
      <c r="B310" s="8"/>
      <c r="C310" s="8"/>
      <c r="D310" s="24"/>
      <c r="E310" s="8"/>
      <c r="F310" s="25" t="str">
        <f aca="false">IF($A310="","",MONTH($A310))</f>
        <v/>
      </c>
      <c r="G310" s="25" t="str">
        <f aca="false">IF($A310="","",YEAR($A310))</f>
        <v/>
      </c>
    </row>
    <row r="311" customFormat="false" ht="15" hidden="false" customHeight="true" outlineLevel="0" collapsed="false">
      <c r="A311" s="23"/>
      <c r="B311" s="8"/>
      <c r="C311" s="8"/>
      <c r="D311" s="24"/>
      <c r="E311" s="8"/>
      <c r="F311" s="25" t="str">
        <f aca="false">IF($A311="","",MONTH($A311))</f>
        <v/>
      </c>
      <c r="G311" s="25" t="str">
        <f aca="false">IF($A311="","",YEAR($A311))</f>
        <v/>
      </c>
    </row>
    <row r="312" customFormat="false" ht="15" hidden="false" customHeight="true" outlineLevel="0" collapsed="false">
      <c r="A312" s="23"/>
      <c r="B312" s="8"/>
      <c r="C312" s="8"/>
      <c r="D312" s="24"/>
      <c r="E312" s="8"/>
      <c r="F312" s="25" t="str">
        <f aca="false">IF($A312="","",MONTH($A312))</f>
        <v/>
      </c>
      <c r="G312" s="25" t="str">
        <f aca="false">IF($A312="","",YEAR($A312))</f>
        <v/>
      </c>
    </row>
    <row r="313" customFormat="false" ht="15" hidden="false" customHeight="true" outlineLevel="0" collapsed="false">
      <c r="A313" s="23"/>
      <c r="B313" s="8"/>
      <c r="C313" s="8"/>
      <c r="D313" s="24"/>
      <c r="E313" s="8"/>
      <c r="F313" s="25" t="str">
        <f aca="false">IF($A313="","",MONTH($A313))</f>
        <v/>
      </c>
      <c r="G313" s="25" t="str">
        <f aca="false">IF($A313="","",YEAR($A313))</f>
        <v/>
      </c>
    </row>
    <row r="314" customFormat="false" ht="15" hidden="false" customHeight="true" outlineLevel="0" collapsed="false">
      <c r="A314" s="23"/>
      <c r="B314" s="8"/>
      <c r="C314" s="8"/>
      <c r="D314" s="24"/>
      <c r="E314" s="8"/>
      <c r="F314" s="25" t="str">
        <f aca="false">IF($A314="","",MONTH($A314))</f>
        <v/>
      </c>
      <c r="G314" s="25" t="str">
        <f aca="false">IF($A314="","",YEAR($A314))</f>
        <v/>
      </c>
    </row>
    <row r="315" customFormat="false" ht="15" hidden="false" customHeight="true" outlineLevel="0" collapsed="false">
      <c r="A315" s="23"/>
      <c r="B315" s="8"/>
      <c r="C315" s="8"/>
      <c r="D315" s="24"/>
      <c r="E315" s="8"/>
      <c r="F315" s="25" t="str">
        <f aca="false">IF($A315="","",MONTH($A315))</f>
        <v/>
      </c>
      <c r="G315" s="25" t="str">
        <f aca="false">IF($A315="","",YEAR($A315))</f>
        <v/>
      </c>
    </row>
    <row r="316" customFormat="false" ht="15" hidden="false" customHeight="true" outlineLevel="0" collapsed="false">
      <c r="A316" s="23"/>
      <c r="B316" s="8"/>
      <c r="C316" s="8"/>
      <c r="D316" s="24"/>
      <c r="E316" s="8"/>
      <c r="F316" s="25" t="str">
        <f aca="false">IF($A316="","",MONTH($A316))</f>
        <v/>
      </c>
      <c r="G316" s="25" t="str">
        <f aca="false">IF($A316="","",YEAR($A316))</f>
        <v/>
      </c>
    </row>
    <row r="317" customFormat="false" ht="15" hidden="false" customHeight="true" outlineLevel="0" collapsed="false">
      <c r="A317" s="23"/>
      <c r="B317" s="8"/>
      <c r="C317" s="8"/>
      <c r="D317" s="24"/>
      <c r="E317" s="8"/>
      <c r="F317" s="25" t="str">
        <f aca="false">IF($A317="","",MONTH($A317))</f>
        <v/>
      </c>
      <c r="G317" s="25" t="str">
        <f aca="false">IF($A317="","",YEAR($A317))</f>
        <v/>
      </c>
    </row>
    <row r="318" customFormat="false" ht="15" hidden="false" customHeight="true" outlineLevel="0" collapsed="false">
      <c r="A318" s="23"/>
      <c r="B318" s="8"/>
      <c r="C318" s="8"/>
      <c r="D318" s="24"/>
      <c r="E318" s="8"/>
      <c r="F318" s="25" t="str">
        <f aca="false">IF($A318="","",MONTH($A318))</f>
        <v/>
      </c>
      <c r="G318" s="25" t="str">
        <f aca="false">IF($A318="","",YEAR($A318))</f>
        <v/>
      </c>
    </row>
    <row r="319" customFormat="false" ht="15" hidden="false" customHeight="true" outlineLevel="0" collapsed="false">
      <c r="A319" s="23"/>
      <c r="B319" s="8"/>
      <c r="C319" s="8"/>
      <c r="D319" s="24"/>
      <c r="E319" s="8"/>
      <c r="F319" s="25" t="str">
        <f aca="false">IF($A319="","",MONTH($A319))</f>
        <v/>
      </c>
      <c r="G319" s="25" t="str">
        <f aca="false">IF($A319="","",YEAR($A319))</f>
        <v/>
      </c>
    </row>
    <row r="320" customFormat="false" ht="15" hidden="false" customHeight="true" outlineLevel="0" collapsed="false">
      <c r="A320" s="23"/>
      <c r="B320" s="8"/>
      <c r="C320" s="8"/>
      <c r="D320" s="24"/>
      <c r="E320" s="8"/>
      <c r="F320" s="25" t="str">
        <f aca="false">IF($A320="","",MONTH($A320))</f>
        <v/>
      </c>
      <c r="G320" s="25" t="str">
        <f aca="false">IF($A320="","",YEAR($A320))</f>
        <v/>
      </c>
    </row>
    <row r="321" customFormat="false" ht="15" hidden="false" customHeight="true" outlineLevel="0" collapsed="false">
      <c r="A321" s="23"/>
      <c r="B321" s="8"/>
      <c r="C321" s="8"/>
      <c r="D321" s="24"/>
      <c r="E321" s="8"/>
      <c r="F321" s="25" t="str">
        <f aca="false">IF($A321="","",MONTH($A321))</f>
        <v/>
      </c>
      <c r="G321" s="25" t="str">
        <f aca="false">IF($A321="","",YEAR($A321))</f>
        <v/>
      </c>
    </row>
    <row r="322" customFormat="false" ht="15" hidden="false" customHeight="true" outlineLevel="0" collapsed="false">
      <c r="A322" s="23"/>
      <c r="B322" s="8"/>
      <c r="C322" s="8"/>
      <c r="D322" s="24"/>
      <c r="E322" s="8"/>
      <c r="F322" s="25" t="str">
        <f aca="false">IF($A322="","",MONTH($A322))</f>
        <v/>
      </c>
      <c r="G322" s="25" t="str">
        <f aca="false">IF($A322="","",YEAR($A322))</f>
        <v/>
      </c>
    </row>
    <row r="323" customFormat="false" ht="15" hidden="false" customHeight="true" outlineLevel="0" collapsed="false">
      <c r="A323" s="23"/>
      <c r="B323" s="8"/>
      <c r="C323" s="8"/>
      <c r="D323" s="24"/>
      <c r="E323" s="8"/>
      <c r="F323" s="25" t="str">
        <f aca="false">IF($A323="","",MONTH($A323))</f>
        <v/>
      </c>
      <c r="G323" s="25" t="str">
        <f aca="false">IF($A323="","",YEAR($A323))</f>
        <v/>
      </c>
    </row>
    <row r="324" customFormat="false" ht="15" hidden="false" customHeight="true" outlineLevel="0" collapsed="false">
      <c r="A324" s="23"/>
      <c r="B324" s="8"/>
      <c r="C324" s="8"/>
      <c r="D324" s="24"/>
      <c r="E324" s="8"/>
      <c r="F324" s="25" t="str">
        <f aca="false">IF($A324="","",MONTH($A324))</f>
        <v/>
      </c>
      <c r="G324" s="25" t="str">
        <f aca="false">IF($A324="","",YEAR($A324))</f>
        <v/>
      </c>
    </row>
    <row r="325" customFormat="false" ht="15" hidden="false" customHeight="true" outlineLevel="0" collapsed="false">
      <c r="A325" s="23"/>
      <c r="B325" s="8"/>
      <c r="C325" s="8"/>
      <c r="D325" s="24"/>
      <c r="E325" s="8"/>
      <c r="F325" s="25" t="str">
        <f aca="false">IF($A325="","",MONTH($A325))</f>
        <v/>
      </c>
      <c r="G325" s="25" t="str">
        <f aca="false">IF($A325="","",YEAR($A325))</f>
        <v/>
      </c>
    </row>
    <row r="326" customFormat="false" ht="15" hidden="false" customHeight="true" outlineLevel="0" collapsed="false">
      <c r="A326" s="23"/>
      <c r="B326" s="8"/>
      <c r="C326" s="8"/>
      <c r="D326" s="24"/>
      <c r="E326" s="8"/>
      <c r="F326" s="25" t="str">
        <f aca="false">IF($A326="","",MONTH($A326))</f>
        <v/>
      </c>
      <c r="G326" s="25" t="str">
        <f aca="false">IF($A326="","",YEAR($A326))</f>
        <v/>
      </c>
    </row>
    <row r="327" customFormat="false" ht="15" hidden="false" customHeight="true" outlineLevel="0" collapsed="false">
      <c r="A327" s="23"/>
      <c r="B327" s="8"/>
      <c r="C327" s="8"/>
      <c r="D327" s="24"/>
      <c r="E327" s="8"/>
      <c r="F327" s="25" t="str">
        <f aca="false">IF($A327="","",MONTH($A327))</f>
        <v/>
      </c>
      <c r="G327" s="25" t="str">
        <f aca="false">IF($A327="","",YEAR($A327))</f>
        <v/>
      </c>
    </row>
    <row r="328" customFormat="false" ht="15" hidden="false" customHeight="true" outlineLevel="0" collapsed="false">
      <c r="A328" s="23"/>
      <c r="B328" s="8"/>
      <c r="C328" s="8"/>
      <c r="D328" s="24"/>
      <c r="E328" s="8"/>
      <c r="F328" s="25" t="str">
        <f aca="false">IF($A328="","",MONTH($A328))</f>
        <v/>
      </c>
      <c r="G328" s="25" t="str">
        <f aca="false">IF($A328="","",YEAR($A328))</f>
        <v/>
      </c>
    </row>
    <row r="329" customFormat="false" ht="15" hidden="false" customHeight="true" outlineLevel="0" collapsed="false">
      <c r="A329" s="23"/>
      <c r="B329" s="8"/>
      <c r="C329" s="8"/>
      <c r="D329" s="24"/>
      <c r="E329" s="8"/>
      <c r="F329" s="25" t="str">
        <f aca="false">IF($A329="","",MONTH($A329))</f>
        <v/>
      </c>
      <c r="G329" s="25" t="str">
        <f aca="false">IF($A329="","",YEAR($A329))</f>
        <v/>
      </c>
    </row>
    <row r="330" customFormat="false" ht="15" hidden="false" customHeight="true" outlineLevel="0" collapsed="false">
      <c r="A330" s="23"/>
      <c r="B330" s="8"/>
      <c r="C330" s="8"/>
      <c r="D330" s="24"/>
      <c r="E330" s="8"/>
      <c r="F330" s="25" t="str">
        <f aca="false">IF($A330="","",MONTH($A330))</f>
        <v/>
      </c>
      <c r="G330" s="25" t="str">
        <f aca="false">IF($A330="","",YEAR($A330))</f>
        <v/>
      </c>
    </row>
    <row r="331" customFormat="false" ht="15" hidden="false" customHeight="true" outlineLevel="0" collapsed="false">
      <c r="A331" s="23"/>
      <c r="B331" s="8"/>
      <c r="C331" s="8"/>
      <c r="D331" s="24"/>
      <c r="E331" s="8"/>
      <c r="F331" s="25" t="str">
        <f aca="false">IF($A331="","",MONTH($A331))</f>
        <v/>
      </c>
      <c r="G331" s="25" t="str">
        <f aca="false">IF($A331="","",YEAR($A331))</f>
        <v/>
      </c>
    </row>
    <row r="332" customFormat="false" ht="15" hidden="false" customHeight="true" outlineLevel="0" collapsed="false">
      <c r="A332" s="23"/>
      <c r="B332" s="8"/>
      <c r="C332" s="8"/>
      <c r="D332" s="24"/>
      <c r="E332" s="8"/>
      <c r="F332" s="25" t="str">
        <f aca="false">IF($A332="","",MONTH($A332))</f>
        <v/>
      </c>
      <c r="G332" s="25" t="str">
        <f aca="false">IF($A332="","",YEAR($A332))</f>
        <v/>
      </c>
    </row>
    <row r="333" customFormat="false" ht="15" hidden="false" customHeight="true" outlineLevel="0" collapsed="false">
      <c r="A333" s="23"/>
      <c r="B333" s="8"/>
      <c r="C333" s="8"/>
      <c r="D333" s="24"/>
      <c r="E333" s="8"/>
      <c r="F333" s="25" t="str">
        <f aca="false">IF($A333="","",MONTH($A333))</f>
        <v/>
      </c>
      <c r="G333" s="25" t="str">
        <f aca="false">IF($A333="","",YEAR($A333))</f>
        <v/>
      </c>
    </row>
    <row r="334" customFormat="false" ht="15" hidden="false" customHeight="true" outlineLevel="0" collapsed="false">
      <c r="A334" s="23"/>
      <c r="B334" s="8"/>
      <c r="C334" s="8"/>
      <c r="D334" s="24"/>
      <c r="E334" s="8"/>
      <c r="F334" s="25" t="str">
        <f aca="false">IF($A334="","",MONTH($A334))</f>
        <v/>
      </c>
      <c r="G334" s="25" t="str">
        <f aca="false">IF($A334="","",YEAR($A334))</f>
        <v/>
      </c>
    </row>
    <row r="335" customFormat="false" ht="15" hidden="false" customHeight="true" outlineLevel="0" collapsed="false">
      <c r="A335" s="23"/>
      <c r="B335" s="8"/>
      <c r="C335" s="8"/>
      <c r="D335" s="24"/>
      <c r="E335" s="8"/>
      <c r="F335" s="25" t="str">
        <f aca="false">IF($A335="","",MONTH($A335))</f>
        <v/>
      </c>
      <c r="G335" s="25" t="str">
        <f aca="false">IF($A335="","",YEAR($A335))</f>
        <v/>
      </c>
    </row>
    <row r="336" customFormat="false" ht="15" hidden="false" customHeight="true" outlineLevel="0" collapsed="false">
      <c r="A336" s="23"/>
      <c r="B336" s="8"/>
      <c r="C336" s="8"/>
      <c r="D336" s="24"/>
      <c r="E336" s="8"/>
      <c r="F336" s="25" t="str">
        <f aca="false">IF($A336="","",MONTH($A336))</f>
        <v/>
      </c>
      <c r="G336" s="25" t="str">
        <f aca="false">IF($A336="","",YEAR($A336))</f>
        <v/>
      </c>
    </row>
    <row r="337" customFormat="false" ht="15" hidden="false" customHeight="true" outlineLevel="0" collapsed="false">
      <c r="A337" s="23"/>
      <c r="B337" s="8"/>
      <c r="C337" s="8"/>
      <c r="D337" s="24"/>
      <c r="E337" s="8"/>
      <c r="F337" s="25" t="str">
        <f aca="false">IF($A337="","",MONTH($A337))</f>
        <v/>
      </c>
      <c r="G337" s="25" t="str">
        <f aca="false">IF($A337="","",YEAR($A337))</f>
        <v/>
      </c>
    </row>
    <row r="338" customFormat="false" ht="15" hidden="false" customHeight="true" outlineLevel="0" collapsed="false">
      <c r="A338" s="23"/>
      <c r="B338" s="8"/>
      <c r="C338" s="8"/>
      <c r="D338" s="24"/>
      <c r="E338" s="8"/>
      <c r="F338" s="25" t="str">
        <f aca="false">IF($A338="","",MONTH($A338))</f>
        <v/>
      </c>
      <c r="G338" s="25" t="str">
        <f aca="false">IF($A338="","",YEAR($A338))</f>
        <v/>
      </c>
    </row>
    <row r="339" customFormat="false" ht="15" hidden="false" customHeight="true" outlineLevel="0" collapsed="false">
      <c r="A339" s="23"/>
      <c r="B339" s="8"/>
      <c r="C339" s="8"/>
      <c r="D339" s="24"/>
      <c r="E339" s="8"/>
      <c r="F339" s="25" t="str">
        <f aca="false">IF($A339="","",MONTH($A339))</f>
        <v/>
      </c>
      <c r="G339" s="25" t="str">
        <f aca="false">IF($A339="","",YEAR($A339))</f>
        <v/>
      </c>
    </row>
    <row r="340" customFormat="false" ht="15" hidden="false" customHeight="true" outlineLevel="0" collapsed="false">
      <c r="A340" s="23"/>
      <c r="B340" s="8"/>
      <c r="C340" s="8"/>
      <c r="D340" s="24"/>
      <c r="E340" s="8"/>
      <c r="F340" s="25" t="str">
        <f aca="false">IF($A340="","",MONTH($A340))</f>
        <v/>
      </c>
      <c r="G340" s="25" t="str">
        <f aca="false">IF($A340="","",YEAR($A340))</f>
        <v/>
      </c>
    </row>
    <row r="341" customFormat="false" ht="15" hidden="false" customHeight="true" outlineLevel="0" collapsed="false">
      <c r="A341" s="23"/>
      <c r="B341" s="8"/>
      <c r="C341" s="8"/>
      <c r="D341" s="24"/>
      <c r="E341" s="8"/>
      <c r="F341" s="25" t="str">
        <f aca="false">IF($A341="","",MONTH($A341))</f>
        <v/>
      </c>
      <c r="G341" s="25" t="str">
        <f aca="false">IF($A341="","",YEAR($A341))</f>
        <v/>
      </c>
    </row>
    <row r="342" customFormat="false" ht="15" hidden="false" customHeight="true" outlineLevel="0" collapsed="false">
      <c r="A342" s="23"/>
      <c r="B342" s="8"/>
      <c r="C342" s="8"/>
      <c r="D342" s="24"/>
      <c r="E342" s="8"/>
      <c r="F342" s="25" t="str">
        <f aca="false">IF($A342="","",MONTH($A342))</f>
        <v/>
      </c>
      <c r="G342" s="25" t="str">
        <f aca="false">IF($A342="","",YEAR($A342))</f>
        <v/>
      </c>
    </row>
    <row r="343" customFormat="false" ht="15" hidden="false" customHeight="true" outlineLevel="0" collapsed="false">
      <c r="A343" s="23"/>
      <c r="B343" s="8"/>
      <c r="C343" s="8"/>
      <c r="D343" s="24"/>
      <c r="E343" s="8"/>
      <c r="F343" s="25" t="str">
        <f aca="false">IF($A343="","",MONTH($A343))</f>
        <v/>
      </c>
      <c r="G343" s="25" t="str">
        <f aca="false">IF($A343="","",YEAR($A343))</f>
        <v/>
      </c>
    </row>
    <row r="344" customFormat="false" ht="15" hidden="false" customHeight="true" outlineLevel="0" collapsed="false">
      <c r="A344" s="23"/>
      <c r="B344" s="8"/>
      <c r="C344" s="8"/>
      <c r="D344" s="24"/>
      <c r="E344" s="8"/>
      <c r="F344" s="25" t="str">
        <f aca="false">IF($A344="","",MONTH($A344))</f>
        <v/>
      </c>
      <c r="G344" s="25" t="str">
        <f aca="false">IF($A344="","",YEAR($A344))</f>
        <v/>
      </c>
    </row>
    <row r="345" customFormat="false" ht="15" hidden="false" customHeight="true" outlineLevel="0" collapsed="false">
      <c r="A345" s="23"/>
      <c r="B345" s="8"/>
      <c r="C345" s="8"/>
      <c r="D345" s="24"/>
      <c r="E345" s="8"/>
      <c r="F345" s="25" t="str">
        <f aca="false">IF($A345="","",MONTH($A345))</f>
        <v/>
      </c>
      <c r="G345" s="25" t="str">
        <f aca="false">IF($A345="","",YEAR($A345))</f>
        <v/>
      </c>
    </row>
    <row r="346" customFormat="false" ht="15" hidden="false" customHeight="true" outlineLevel="0" collapsed="false">
      <c r="A346" s="23"/>
      <c r="B346" s="8"/>
      <c r="C346" s="8"/>
      <c r="D346" s="24"/>
      <c r="E346" s="8"/>
      <c r="F346" s="25" t="str">
        <f aca="false">IF($A346="","",MONTH($A346))</f>
        <v/>
      </c>
      <c r="G346" s="25" t="str">
        <f aca="false">IF($A346="","",YEAR($A346))</f>
        <v/>
      </c>
    </row>
    <row r="347" customFormat="false" ht="15" hidden="false" customHeight="true" outlineLevel="0" collapsed="false">
      <c r="A347" s="23"/>
      <c r="B347" s="8"/>
      <c r="C347" s="8"/>
      <c r="D347" s="24"/>
      <c r="E347" s="8"/>
      <c r="F347" s="25" t="str">
        <f aca="false">IF($A347="","",MONTH($A347))</f>
        <v/>
      </c>
      <c r="G347" s="25" t="str">
        <f aca="false">IF($A347="","",YEAR($A347))</f>
        <v/>
      </c>
    </row>
    <row r="348" customFormat="false" ht="15" hidden="false" customHeight="true" outlineLevel="0" collapsed="false">
      <c r="A348" s="23"/>
      <c r="B348" s="8"/>
      <c r="C348" s="8"/>
      <c r="D348" s="24"/>
      <c r="E348" s="8"/>
      <c r="F348" s="25" t="str">
        <f aca="false">IF($A348="","",MONTH($A348))</f>
        <v/>
      </c>
      <c r="G348" s="25" t="str">
        <f aca="false">IF($A348="","",YEAR($A348))</f>
        <v/>
      </c>
    </row>
    <row r="349" customFormat="false" ht="15" hidden="false" customHeight="true" outlineLevel="0" collapsed="false">
      <c r="A349" s="23"/>
      <c r="B349" s="8"/>
      <c r="C349" s="8"/>
      <c r="D349" s="24"/>
      <c r="E349" s="8"/>
      <c r="F349" s="25" t="str">
        <f aca="false">IF($A349="","",MONTH($A349))</f>
        <v/>
      </c>
      <c r="G349" s="25" t="str">
        <f aca="false">IF($A349="","",YEAR($A349))</f>
        <v/>
      </c>
    </row>
    <row r="350" customFormat="false" ht="15" hidden="false" customHeight="true" outlineLevel="0" collapsed="false">
      <c r="A350" s="23"/>
      <c r="B350" s="8"/>
      <c r="C350" s="8"/>
      <c r="D350" s="24"/>
      <c r="E350" s="8"/>
      <c r="F350" s="25" t="str">
        <f aca="false">IF($A350="","",MONTH($A350))</f>
        <v/>
      </c>
      <c r="G350" s="25" t="str">
        <f aca="false">IF($A350="","",YEAR($A350))</f>
        <v/>
      </c>
    </row>
    <row r="351" customFormat="false" ht="15" hidden="false" customHeight="true" outlineLevel="0" collapsed="false">
      <c r="A351" s="23"/>
      <c r="B351" s="8"/>
      <c r="C351" s="8"/>
      <c r="D351" s="24"/>
      <c r="E351" s="8"/>
      <c r="F351" s="25" t="str">
        <f aca="false">IF($A351="","",MONTH($A351))</f>
        <v/>
      </c>
      <c r="G351" s="25" t="str">
        <f aca="false">IF($A351="","",YEAR($A351))</f>
        <v/>
      </c>
    </row>
    <row r="352" customFormat="false" ht="15" hidden="false" customHeight="true" outlineLevel="0" collapsed="false">
      <c r="A352" s="23"/>
      <c r="B352" s="8"/>
      <c r="C352" s="8"/>
      <c r="D352" s="24"/>
      <c r="E352" s="8"/>
      <c r="F352" s="25" t="str">
        <f aca="false">IF($A352="","",MONTH($A352))</f>
        <v/>
      </c>
      <c r="G352" s="25" t="str">
        <f aca="false">IF($A352="","",YEAR($A352))</f>
        <v/>
      </c>
    </row>
    <row r="353" customFormat="false" ht="15" hidden="false" customHeight="true" outlineLevel="0" collapsed="false">
      <c r="A353" s="23"/>
      <c r="B353" s="8"/>
      <c r="C353" s="8"/>
      <c r="D353" s="24"/>
      <c r="E353" s="8"/>
      <c r="F353" s="25" t="str">
        <f aca="false">IF($A353="","",MONTH($A353))</f>
        <v/>
      </c>
      <c r="G353" s="25" t="str">
        <f aca="false">IF($A353="","",YEAR($A353))</f>
        <v/>
      </c>
    </row>
    <row r="354" customFormat="false" ht="15" hidden="false" customHeight="true" outlineLevel="0" collapsed="false">
      <c r="A354" s="23"/>
      <c r="B354" s="8"/>
      <c r="C354" s="8"/>
      <c r="D354" s="24"/>
      <c r="E354" s="8"/>
      <c r="F354" s="25" t="str">
        <f aca="false">IF($A354="","",MONTH($A354))</f>
        <v/>
      </c>
      <c r="G354" s="25" t="str">
        <f aca="false">IF($A354="","",YEAR($A354))</f>
        <v/>
      </c>
    </row>
    <row r="355" customFormat="false" ht="15" hidden="false" customHeight="true" outlineLevel="0" collapsed="false">
      <c r="A355" s="23"/>
      <c r="B355" s="8"/>
      <c r="C355" s="8"/>
      <c r="D355" s="24"/>
      <c r="E355" s="8"/>
      <c r="F355" s="25" t="str">
        <f aca="false">IF($A355="","",MONTH($A355))</f>
        <v/>
      </c>
      <c r="G355" s="25" t="str">
        <f aca="false">IF($A355="","",YEAR($A355))</f>
        <v/>
      </c>
    </row>
    <row r="356" customFormat="false" ht="15" hidden="false" customHeight="true" outlineLevel="0" collapsed="false">
      <c r="A356" s="23"/>
      <c r="B356" s="8"/>
      <c r="C356" s="8"/>
      <c r="D356" s="24"/>
      <c r="E356" s="8"/>
      <c r="F356" s="25" t="str">
        <f aca="false">IF($A356="","",MONTH($A356))</f>
        <v/>
      </c>
      <c r="G356" s="25" t="str">
        <f aca="false">IF($A356="","",YEAR($A356))</f>
        <v/>
      </c>
    </row>
    <row r="357" customFormat="false" ht="15" hidden="false" customHeight="true" outlineLevel="0" collapsed="false">
      <c r="A357" s="23"/>
      <c r="B357" s="8"/>
      <c r="C357" s="8"/>
      <c r="D357" s="24"/>
      <c r="E357" s="8"/>
      <c r="F357" s="25" t="str">
        <f aca="false">IF($A357="","",MONTH($A357))</f>
        <v/>
      </c>
      <c r="G357" s="25" t="str">
        <f aca="false">IF($A357="","",YEAR($A357))</f>
        <v/>
      </c>
    </row>
    <row r="358" customFormat="false" ht="15" hidden="false" customHeight="true" outlineLevel="0" collapsed="false">
      <c r="A358" s="23"/>
      <c r="B358" s="8"/>
      <c r="C358" s="8"/>
      <c r="D358" s="24"/>
      <c r="E358" s="8"/>
      <c r="F358" s="25" t="str">
        <f aca="false">IF($A358="","",MONTH($A358))</f>
        <v/>
      </c>
      <c r="G358" s="25" t="str">
        <f aca="false">IF($A358="","",YEAR($A358))</f>
        <v/>
      </c>
    </row>
    <row r="359" customFormat="false" ht="15" hidden="false" customHeight="true" outlineLevel="0" collapsed="false">
      <c r="A359" s="23"/>
      <c r="B359" s="8"/>
      <c r="C359" s="8"/>
      <c r="D359" s="24"/>
      <c r="E359" s="8"/>
      <c r="F359" s="25" t="str">
        <f aca="false">IF($A359="","",MONTH($A359))</f>
        <v/>
      </c>
      <c r="G359" s="25" t="str">
        <f aca="false">IF($A359="","",YEAR($A359))</f>
        <v/>
      </c>
    </row>
    <row r="360" customFormat="false" ht="15" hidden="false" customHeight="true" outlineLevel="0" collapsed="false">
      <c r="A360" s="23"/>
      <c r="B360" s="8"/>
      <c r="C360" s="8"/>
      <c r="D360" s="24"/>
      <c r="E360" s="8"/>
      <c r="F360" s="25" t="str">
        <f aca="false">IF($A360="","",MONTH($A360))</f>
        <v/>
      </c>
      <c r="G360" s="25" t="str">
        <f aca="false">IF($A360="","",YEAR($A360))</f>
        <v/>
      </c>
    </row>
    <row r="361" customFormat="false" ht="15" hidden="false" customHeight="true" outlineLevel="0" collapsed="false">
      <c r="A361" s="23"/>
      <c r="B361" s="8"/>
      <c r="C361" s="8"/>
      <c r="D361" s="24"/>
      <c r="E361" s="8"/>
      <c r="F361" s="25" t="str">
        <f aca="false">IF($A361="","",MONTH($A361))</f>
        <v/>
      </c>
      <c r="G361" s="25" t="str">
        <f aca="false">IF($A361="","",YEAR($A361))</f>
        <v/>
      </c>
    </row>
    <row r="362" customFormat="false" ht="15" hidden="false" customHeight="true" outlineLevel="0" collapsed="false">
      <c r="A362" s="23"/>
      <c r="B362" s="8"/>
      <c r="C362" s="8"/>
      <c r="D362" s="24"/>
      <c r="E362" s="8"/>
      <c r="F362" s="25" t="str">
        <f aca="false">IF($A362="","",MONTH($A362))</f>
        <v/>
      </c>
      <c r="G362" s="25" t="str">
        <f aca="false">IF($A362="","",YEAR($A362))</f>
        <v/>
      </c>
    </row>
    <row r="363" customFormat="false" ht="15" hidden="false" customHeight="true" outlineLevel="0" collapsed="false">
      <c r="A363" s="23"/>
      <c r="B363" s="8"/>
      <c r="C363" s="8"/>
      <c r="D363" s="24"/>
      <c r="E363" s="8"/>
      <c r="F363" s="25" t="str">
        <f aca="false">IF($A363="","",MONTH($A363))</f>
        <v/>
      </c>
      <c r="G363" s="25" t="str">
        <f aca="false">IF($A363="","",YEAR($A363))</f>
        <v/>
      </c>
    </row>
    <row r="364" customFormat="false" ht="15" hidden="false" customHeight="true" outlineLevel="0" collapsed="false">
      <c r="A364" s="23"/>
      <c r="B364" s="8"/>
      <c r="C364" s="8"/>
      <c r="D364" s="24"/>
      <c r="E364" s="8"/>
      <c r="F364" s="25" t="str">
        <f aca="false">IF($A364="","",MONTH($A364))</f>
        <v/>
      </c>
      <c r="G364" s="25" t="str">
        <f aca="false">IF($A364="","",YEAR($A364))</f>
        <v/>
      </c>
    </row>
    <row r="365" customFormat="false" ht="15" hidden="false" customHeight="true" outlineLevel="0" collapsed="false">
      <c r="A365" s="23"/>
      <c r="B365" s="8"/>
      <c r="C365" s="8"/>
      <c r="D365" s="24"/>
      <c r="E365" s="8"/>
      <c r="F365" s="25" t="str">
        <f aca="false">IF($A365="","",MONTH($A365))</f>
        <v/>
      </c>
      <c r="G365" s="25" t="str">
        <f aca="false">IF($A365="","",YEAR($A365))</f>
        <v/>
      </c>
    </row>
    <row r="366" customFormat="false" ht="15" hidden="false" customHeight="true" outlineLevel="0" collapsed="false">
      <c r="A366" s="23"/>
      <c r="B366" s="8"/>
      <c r="C366" s="8"/>
      <c r="D366" s="24"/>
      <c r="E366" s="8"/>
      <c r="F366" s="25" t="str">
        <f aca="false">IF($A366="","",MONTH($A366))</f>
        <v/>
      </c>
      <c r="G366" s="25" t="str">
        <f aca="false">IF($A366="","",YEAR($A366))</f>
        <v/>
      </c>
    </row>
    <row r="367" customFormat="false" ht="15" hidden="false" customHeight="true" outlineLevel="0" collapsed="false">
      <c r="A367" s="23"/>
      <c r="B367" s="8"/>
      <c r="C367" s="8"/>
      <c r="D367" s="24"/>
      <c r="E367" s="8"/>
      <c r="F367" s="25" t="str">
        <f aca="false">IF($A367="","",MONTH($A367))</f>
        <v/>
      </c>
      <c r="G367" s="25" t="str">
        <f aca="false">IF($A367="","",YEAR($A367))</f>
        <v/>
      </c>
    </row>
    <row r="368" customFormat="false" ht="15" hidden="false" customHeight="true" outlineLevel="0" collapsed="false">
      <c r="A368" s="23"/>
      <c r="B368" s="8"/>
      <c r="C368" s="8"/>
      <c r="D368" s="24"/>
      <c r="E368" s="8"/>
      <c r="F368" s="25" t="str">
        <f aca="false">IF($A368="","",MONTH($A368))</f>
        <v/>
      </c>
      <c r="G368" s="25" t="str">
        <f aca="false">IF($A368="","",YEAR($A368))</f>
        <v/>
      </c>
    </row>
    <row r="369" customFormat="false" ht="15" hidden="false" customHeight="true" outlineLevel="0" collapsed="false">
      <c r="A369" s="23"/>
      <c r="B369" s="8"/>
      <c r="C369" s="8"/>
      <c r="D369" s="24"/>
      <c r="E369" s="8"/>
      <c r="F369" s="25" t="str">
        <f aca="false">IF($A369="","",MONTH($A369))</f>
        <v/>
      </c>
      <c r="G369" s="25" t="str">
        <f aca="false">IF($A369="","",YEAR($A369))</f>
        <v/>
      </c>
    </row>
    <row r="370" customFormat="false" ht="15" hidden="false" customHeight="true" outlineLevel="0" collapsed="false">
      <c r="A370" s="23"/>
      <c r="B370" s="8"/>
      <c r="C370" s="8"/>
      <c r="D370" s="24"/>
      <c r="E370" s="8"/>
      <c r="F370" s="25" t="str">
        <f aca="false">IF($A370="","",MONTH($A370))</f>
        <v/>
      </c>
      <c r="G370" s="25" t="str">
        <f aca="false">IF($A370="","",YEAR($A370))</f>
        <v/>
      </c>
    </row>
    <row r="371" customFormat="false" ht="15" hidden="false" customHeight="true" outlineLevel="0" collapsed="false">
      <c r="A371" s="23"/>
      <c r="B371" s="8"/>
      <c r="C371" s="8"/>
      <c r="D371" s="24"/>
      <c r="E371" s="8"/>
      <c r="F371" s="25" t="str">
        <f aca="false">IF($A371="","",MONTH($A371))</f>
        <v/>
      </c>
      <c r="G371" s="25" t="str">
        <f aca="false">IF($A371="","",YEAR($A371))</f>
        <v/>
      </c>
    </row>
    <row r="372" customFormat="false" ht="15" hidden="false" customHeight="true" outlineLevel="0" collapsed="false">
      <c r="A372" s="23"/>
      <c r="B372" s="8"/>
      <c r="C372" s="8"/>
      <c r="D372" s="24"/>
      <c r="E372" s="8"/>
      <c r="F372" s="25" t="str">
        <f aca="false">IF($A372="","",MONTH($A372))</f>
        <v/>
      </c>
      <c r="G372" s="25" t="str">
        <f aca="false">IF($A372="","",YEAR($A372))</f>
        <v/>
      </c>
    </row>
    <row r="373" customFormat="false" ht="15" hidden="false" customHeight="true" outlineLevel="0" collapsed="false">
      <c r="A373" s="23"/>
      <c r="B373" s="8"/>
      <c r="C373" s="8"/>
      <c r="D373" s="24"/>
      <c r="E373" s="8"/>
      <c r="F373" s="25" t="str">
        <f aca="false">IF($A373="","",MONTH($A373))</f>
        <v/>
      </c>
      <c r="G373" s="25" t="str">
        <f aca="false">IF($A373="","",YEAR($A373))</f>
        <v/>
      </c>
    </row>
    <row r="374" customFormat="false" ht="15" hidden="false" customHeight="true" outlineLevel="0" collapsed="false">
      <c r="A374" s="23"/>
      <c r="B374" s="8"/>
      <c r="C374" s="8"/>
      <c r="D374" s="24"/>
      <c r="E374" s="8"/>
      <c r="F374" s="25" t="str">
        <f aca="false">IF($A374="","",MONTH($A374))</f>
        <v/>
      </c>
      <c r="G374" s="25" t="str">
        <f aca="false">IF($A374="","",YEAR($A374))</f>
        <v/>
      </c>
    </row>
    <row r="375" customFormat="false" ht="15" hidden="false" customHeight="true" outlineLevel="0" collapsed="false">
      <c r="A375" s="23"/>
      <c r="B375" s="8"/>
      <c r="C375" s="8"/>
      <c r="D375" s="24"/>
      <c r="E375" s="8"/>
      <c r="F375" s="25" t="str">
        <f aca="false">IF($A375="","",MONTH($A375))</f>
        <v/>
      </c>
      <c r="G375" s="25" t="str">
        <f aca="false">IF($A375="","",YEAR($A375))</f>
        <v/>
      </c>
    </row>
    <row r="376" customFormat="false" ht="15" hidden="false" customHeight="true" outlineLevel="0" collapsed="false">
      <c r="A376" s="23"/>
      <c r="B376" s="8"/>
      <c r="C376" s="8"/>
      <c r="D376" s="24"/>
      <c r="E376" s="8"/>
      <c r="F376" s="25" t="str">
        <f aca="false">IF($A376="","",MONTH($A376))</f>
        <v/>
      </c>
      <c r="G376" s="25" t="str">
        <f aca="false">IF($A376="","",YEAR($A376))</f>
        <v/>
      </c>
    </row>
    <row r="377" customFormat="false" ht="15" hidden="false" customHeight="true" outlineLevel="0" collapsed="false">
      <c r="A377" s="23"/>
      <c r="B377" s="8"/>
      <c r="C377" s="8"/>
      <c r="D377" s="24"/>
      <c r="E377" s="8"/>
      <c r="F377" s="25" t="str">
        <f aca="false">IF($A377="","",MONTH($A377))</f>
        <v/>
      </c>
      <c r="G377" s="25" t="str">
        <f aca="false">IF($A377="","",YEAR($A377))</f>
        <v/>
      </c>
    </row>
    <row r="378" customFormat="false" ht="15" hidden="false" customHeight="true" outlineLevel="0" collapsed="false">
      <c r="A378" s="23"/>
      <c r="B378" s="8"/>
      <c r="C378" s="8"/>
      <c r="D378" s="24"/>
      <c r="E378" s="8"/>
      <c r="F378" s="25" t="str">
        <f aca="false">IF($A378="","",MONTH($A378))</f>
        <v/>
      </c>
      <c r="G378" s="25" t="str">
        <f aca="false">IF($A378="","",YEAR($A378))</f>
        <v/>
      </c>
    </row>
    <row r="379" customFormat="false" ht="15" hidden="false" customHeight="true" outlineLevel="0" collapsed="false">
      <c r="A379" s="23"/>
      <c r="B379" s="8"/>
      <c r="C379" s="8"/>
      <c r="D379" s="24"/>
      <c r="E379" s="8"/>
      <c r="F379" s="25" t="str">
        <f aca="false">IF($A379="","",MONTH($A379))</f>
        <v/>
      </c>
      <c r="G379" s="25" t="str">
        <f aca="false">IF($A379="","",YEAR($A379))</f>
        <v/>
      </c>
    </row>
    <row r="380" customFormat="false" ht="15" hidden="false" customHeight="true" outlineLevel="0" collapsed="false">
      <c r="A380" s="23"/>
      <c r="B380" s="8"/>
      <c r="C380" s="8"/>
      <c r="D380" s="24"/>
      <c r="E380" s="8"/>
      <c r="F380" s="25" t="str">
        <f aca="false">IF($A380="","",MONTH($A380))</f>
        <v/>
      </c>
      <c r="G380" s="25" t="str">
        <f aca="false">IF($A380="","",YEAR($A380))</f>
        <v/>
      </c>
    </row>
    <row r="381" customFormat="false" ht="15" hidden="false" customHeight="true" outlineLevel="0" collapsed="false">
      <c r="A381" s="23"/>
      <c r="B381" s="8"/>
      <c r="C381" s="8"/>
      <c r="D381" s="24"/>
      <c r="E381" s="8"/>
      <c r="F381" s="25" t="str">
        <f aca="false">IF($A381="","",MONTH($A381))</f>
        <v/>
      </c>
      <c r="G381" s="25" t="str">
        <f aca="false">IF($A381="","",YEAR($A381))</f>
        <v/>
      </c>
    </row>
    <row r="382" customFormat="false" ht="15" hidden="false" customHeight="true" outlineLevel="0" collapsed="false">
      <c r="A382" s="23"/>
      <c r="B382" s="8"/>
      <c r="C382" s="8"/>
      <c r="D382" s="24"/>
      <c r="E382" s="8"/>
      <c r="F382" s="25" t="str">
        <f aca="false">IF($A382="","",MONTH($A382))</f>
        <v/>
      </c>
      <c r="G382" s="25" t="str">
        <f aca="false">IF($A382="","",YEAR($A382))</f>
        <v/>
      </c>
    </row>
    <row r="383" customFormat="false" ht="15" hidden="false" customHeight="true" outlineLevel="0" collapsed="false">
      <c r="A383" s="23"/>
      <c r="B383" s="8"/>
      <c r="C383" s="8"/>
      <c r="D383" s="24"/>
      <c r="E383" s="8"/>
      <c r="F383" s="25" t="str">
        <f aca="false">IF($A383="","",MONTH($A383))</f>
        <v/>
      </c>
      <c r="G383" s="25" t="str">
        <f aca="false">IF($A383="","",YEAR($A383))</f>
        <v/>
      </c>
    </row>
    <row r="384" customFormat="false" ht="15" hidden="false" customHeight="true" outlineLevel="0" collapsed="false">
      <c r="A384" s="23"/>
      <c r="B384" s="8"/>
      <c r="C384" s="8"/>
      <c r="D384" s="24"/>
      <c r="E384" s="8"/>
      <c r="F384" s="25" t="str">
        <f aca="false">IF($A384="","",MONTH($A384))</f>
        <v/>
      </c>
      <c r="G384" s="25" t="str">
        <f aca="false">IF($A384="","",YEAR($A384))</f>
        <v/>
      </c>
    </row>
    <row r="385" customFormat="false" ht="15" hidden="false" customHeight="true" outlineLevel="0" collapsed="false">
      <c r="A385" s="23"/>
      <c r="B385" s="8"/>
      <c r="C385" s="8"/>
      <c r="D385" s="24"/>
      <c r="E385" s="8"/>
      <c r="F385" s="25" t="str">
        <f aca="false">IF($A385="","",MONTH($A385))</f>
        <v/>
      </c>
      <c r="G385" s="25" t="str">
        <f aca="false">IF($A385="","",YEAR($A385))</f>
        <v/>
      </c>
    </row>
    <row r="386" customFormat="false" ht="15" hidden="false" customHeight="true" outlineLevel="0" collapsed="false">
      <c r="A386" s="23"/>
      <c r="B386" s="8"/>
      <c r="C386" s="8"/>
      <c r="D386" s="24"/>
      <c r="E386" s="8"/>
      <c r="F386" s="25" t="str">
        <f aca="false">IF($A386="","",MONTH($A386))</f>
        <v/>
      </c>
      <c r="G386" s="25" t="str">
        <f aca="false">IF($A386="","",YEAR($A386))</f>
        <v/>
      </c>
    </row>
    <row r="387" customFormat="false" ht="15" hidden="false" customHeight="true" outlineLevel="0" collapsed="false">
      <c r="A387" s="23"/>
      <c r="B387" s="8"/>
      <c r="C387" s="8"/>
      <c r="D387" s="24"/>
      <c r="E387" s="8"/>
      <c r="F387" s="25" t="str">
        <f aca="false">IF($A387="","",MONTH($A387))</f>
        <v/>
      </c>
      <c r="G387" s="25" t="str">
        <f aca="false">IF($A387="","",YEAR($A387))</f>
        <v/>
      </c>
    </row>
    <row r="388" customFormat="false" ht="15" hidden="false" customHeight="true" outlineLevel="0" collapsed="false">
      <c r="A388" s="23"/>
      <c r="B388" s="8"/>
      <c r="C388" s="8"/>
      <c r="D388" s="24"/>
      <c r="E388" s="8"/>
      <c r="F388" s="25" t="str">
        <f aca="false">IF($A388="","",MONTH($A388))</f>
        <v/>
      </c>
      <c r="G388" s="25" t="str">
        <f aca="false">IF($A388="","",YEAR($A388))</f>
        <v/>
      </c>
    </row>
    <row r="389" customFormat="false" ht="15" hidden="false" customHeight="true" outlineLevel="0" collapsed="false">
      <c r="A389" s="23"/>
      <c r="B389" s="8"/>
      <c r="C389" s="8"/>
      <c r="D389" s="24"/>
      <c r="E389" s="8"/>
      <c r="F389" s="25" t="str">
        <f aca="false">IF($A389="","",MONTH($A389))</f>
        <v/>
      </c>
      <c r="G389" s="25" t="str">
        <f aca="false">IF($A389="","",YEAR($A389))</f>
        <v/>
      </c>
    </row>
    <row r="390" customFormat="false" ht="15" hidden="false" customHeight="true" outlineLevel="0" collapsed="false">
      <c r="A390" s="23"/>
      <c r="B390" s="8"/>
      <c r="C390" s="8"/>
      <c r="D390" s="24"/>
      <c r="E390" s="8"/>
      <c r="F390" s="25" t="str">
        <f aca="false">IF($A390="","",MONTH($A390))</f>
        <v/>
      </c>
      <c r="G390" s="25" t="str">
        <f aca="false">IF($A390="","",YEAR($A390))</f>
        <v/>
      </c>
    </row>
    <row r="391" customFormat="false" ht="15" hidden="false" customHeight="true" outlineLevel="0" collapsed="false">
      <c r="A391" s="23"/>
      <c r="B391" s="8"/>
      <c r="C391" s="8"/>
      <c r="D391" s="24"/>
      <c r="E391" s="8"/>
      <c r="F391" s="25" t="str">
        <f aca="false">IF($A391="","",MONTH($A391))</f>
        <v/>
      </c>
      <c r="G391" s="25" t="str">
        <f aca="false">IF($A391="","",YEAR($A391))</f>
        <v/>
      </c>
    </row>
    <row r="392" customFormat="false" ht="15" hidden="false" customHeight="true" outlineLevel="0" collapsed="false">
      <c r="A392" s="23"/>
      <c r="B392" s="8"/>
      <c r="C392" s="8"/>
      <c r="D392" s="24"/>
      <c r="E392" s="8"/>
      <c r="F392" s="25" t="str">
        <f aca="false">IF($A392="","",MONTH($A392))</f>
        <v/>
      </c>
      <c r="G392" s="25" t="str">
        <f aca="false">IF($A392="","",YEAR($A392))</f>
        <v/>
      </c>
    </row>
    <row r="393" customFormat="false" ht="15" hidden="false" customHeight="true" outlineLevel="0" collapsed="false">
      <c r="A393" s="23"/>
      <c r="B393" s="8"/>
      <c r="C393" s="8"/>
      <c r="D393" s="24"/>
      <c r="E393" s="8"/>
      <c r="F393" s="25" t="str">
        <f aca="false">IF($A393="","",MONTH($A393))</f>
        <v/>
      </c>
      <c r="G393" s="25" t="str">
        <f aca="false">IF($A393="","",YEAR($A393))</f>
        <v/>
      </c>
    </row>
    <row r="394" customFormat="false" ht="15" hidden="false" customHeight="true" outlineLevel="0" collapsed="false">
      <c r="A394" s="23"/>
      <c r="B394" s="8"/>
      <c r="C394" s="8"/>
      <c r="D394" s="24"/>
      <c r="E394" s="8"/>
      <c r="F394" s="25" t="str">
        <f aca="false">IF($A394="","",MONTH($A394))</f>
        <v/>
      </c>
      <c r="G394" s="25" t="str">
        <f aca="false">IF($A394="","",YEAR($A394))</f>
        <v/>
      </c>
    </row>
    <row r="395" customFormat="false" ht="15" hidden="false" customHeight="true" outlineLevel="0" collapsed="false">
      <c r="A395" s="23"/>
      <c r="B395" s="8"/>
      <c r="C395" s="8"/>
      <c r="D395" s="24"/>
      <c r="E395" s="8"/>
      <c r="F395" s="25" t="str">
        <f aca="false">IF($A395="","",MONTH($A395))</f>
        <v/>
      </c>
      <c r="G395" s="25" t="str">
        <f aca="false">IF($A395="","",YEAR($A395))</f>
        <v/>
      </c>
    </row>
    <row r="396" customFormat="false" ht="15" hidden="false" customHeight="true" outlineLevel="0" collapsed="false">
      <c r="A396" s="23"/>
      <c r="B396" s="8"/>
      <c r="C396" s="8"/>
      <c r="D396" s="24"/>
      <c r="E396" s="8"/>
      <c r="F396" s="25" t="str">
        <f aca="false">IF($A396="","",MONTH($A396))</f>
        <v/>
      </c>
      <c r="G396" s="25" t="str">
        <f aca="false">IF($A396="","",YEAR($A396))</f>
        <v/>
      </c>
    </row>
    <row r="397" customFormat="false" ht="15" hidden="false" customHeight="true" outlineLevel="0" collapsed="false">
      <c r="A397" s="23"/>
      <c r="B397" s="8"/>
      <c r="C397" s="8"/>
      <c r="D397" s="24"/>
      <c r="E397" s="8"/>
      <c r="F397" s="25" t="str">
        <f aca="false">IF($A397="","",MONTH($A397))</f>
        <v/>
      </c>
      <c r="G397" s="25" t="str">
        <f aca="false">IF($A397="","",YEAR($A397))</f>
        <v/>
      </c>
    </row>
    <row r="398" customFormat="false" ht="15" hidden="false" customHeight="true" outlineLevel="0" collapsed="false">
      <c r="A398" s="23"/>
      <c r="B398" s="8"/>
      <c r="C398" s="8"/>
      <c r="D398" s="24"/>
      <c r="E398" s="8"/>
      <c r="F398" s="25" t="str">
        <f aca="false">IF($A398="","",MONTH($A398))</f>
        <v/>
      </c>
      <c r="G398" s="25" t="str">
        <f aca="false">IF($A398="","",YEAR($A398))</f>
        <v/>
      </c>
    </row>
    <row r="399" customFormat="false" ht="15" hidden="false" customHeight="true" outlineLevel="0" collapsed="false">
      <c r="A399" s="23"/>
      <c r="B399" s="8"/>
      <c r="C399" s="8"/>
      <c r="D399" s="24"/>
      <c r="E399" s="8"/>
      <c r="F399" s="25" t="str">
        <f aca="false">IF($A399="","",MONTH($A399))</f>
        <v/>
      </c>
      <c r="G399" s="25" t="str">
        <f aca="false">IF($A399="","",YEAR($A399))</f>
        <v/>
      </c>
    </row>
    <row r="400" customFormat="false" ht="15" hidden="false" customHeight="true" outlineLevel="0" collapsed="false">
      <c r="A400" s="23"/>
      <c r="B400" s="8"/>
      <c r="C400" s="8"/>
      <c r="D400" s="24"/>
      <c r="E400" s="8"/>
      <c r="F400" s="25" t="str">
        <f aca="false">IF($A400="","",MONTH($A400))</f>
        <v/>
      </c>
      <c r="G400" s="25" t="str">
        <f aca="false">IF($A400="","",YEAR($A400))</f>
        <v/>
      </c>
    </row>
    <row r="401" customFormat="false" ht="15" hidden="false" customHeight="true" outlineLevel="0" collapsed="false">
      <c r="A401" s="23"/>
      <c r="B401" s="8"/>
      <c r="C401" s="8"/>
      <c r="D401" s="24"/>
      <c r="E401" s="8"/>
      <c r="F401" s="25" t="str">
        <f aca="false">IF($A401="","",MONTH($A401))</f>
        <v/>
      </c>
      <c r="G401" s="25" t="str">
        <f aca="false">IF($A401="","",YEAR($A401))</f>
        <v/>
      </c>
    </row>
    <row r="402" customFormat="false" ht="15" hidden="false" customHeight="true" outlineLevel="0" collapsed="false">
      <c r="A402" s="23"/>
      <c r="B402" s="8"/>
      <c r="C402" s="8"/>
      <c r="D402" s="24"/>
      <c r="E402" s="8"/>
      <c r="F402" s="25" t="str">
        <f aca="false">IF($A402="","",MONTH($A402))</f>
        <v/>
      </c>
      <c r="G402" s="25" t="str">
        <f aca="false">IF($A402="","",YEAR($A402))</f>
        <v/>
      </c>
    </row>
    <row r="403" customFormat="false" ht="15" hidden="false" customHeight="true" outlineLevel="0" collapsed="false">
      <c r="A403" s="23"/>
      <c r="B403" s="8"/>
      <c r="C403" s="8"/>
      <c r="D403" s="24"/>
      <c r="E403" s="8"/>
      <c r="F403" s="25" t="str">
        <f aca="false">IF($A403="","",MONTH($A403))</f>
        <v/>
      </c>
      <c r="G403" s="25" t="str">
        <f aca="false">IF($A403="","",YEAR($A403))</f>
        <v/>
      </c>
    </row>
    <row r="404" customFormat="false" ht="15" hidden="false" customHeight="true" outlineLevel="0" collapsed="false">
      <c r="A404" s="23"/>
      <c r="B404" s="8"/>
      <c r="C404" s="8"/>
      <c r="D404" s="24"/>
      <c r="E404" s="8"/>
      <c r="F404" s="25" t="str">
        <f aca="false">IF($A404="","",MONTH($A404))</f>
        <v/>
      </c>
      <c r="G404" s="25" t="str">
        <f aca="false">IF($A404="","",YEAR($A404))</f>
        <v/>
      </c>
    </row>
    <row r="405" customFormat="false" ht="15" hidden="false" customHeight="true" outlineLevel="0" collapsed="false">
      <c r="A405" s="23"/>
      <c r="B405" s="8"/>
      <c r="C405" s="8"/>
      <c r="D405" s="24"/>
      <c r="E405" s="8"/>
      <c r="F405" s="25" t="str">
        <f aca="false">IF($A405="","",MONTH($A405))</f>
        <v/>
      </c>
      <c r="G405" s="25" t="str">
        <f aca="false">IF($A405="","",YEAR($A405))</f>
        <v/>
      </c>
    </row>
    <row r="406" customFormat="false" ht="15" hidden="false" customHeight="true" outlineLevel="0" collapsed="false">
      <c r="A406" s="23"/>
      <c r="B406" s="8"/>
      <c r="C406" s="8"/>
      <c r="D406" s="24"/>
      <c r="E406" s="8"/>
      <c r="F406" s="25" t="str">
        <f aca="false">IF($A406="","",MONTH($A406))</f>
        <v/>
      </c>
      <c r="G406" s="25" t="str">
        <f aca="false">IF($A406="","",YEAR($A406))</f>
        <v/>
      </c>
    </row>
    <row r="407" customFormat="false" ht="15" hidden="false" customHeight="true" outlineLevel="0" collapsed="false">
      <c r="A407" s="23"/>
      <c r="B407" s="8"/>
      <c r="C407" s="8"/>
      <c r="D407" s="24"/>
      <c r="E407" s="8"/>
      <c r="F407" s="25" t="str">
        <f aca="false">IF($A407="","",MONTH($A407))</f>
        <v/>
      </c>
      <c r="G407" s="25" t="str">
        <f aca="false">IF($A407="","",YEAR($A407))</f>
        <v/>
      </c>
    </row>
    <row r="408" customFormat="false" ht="15" hidden="false" customHeight="true" outlineLevel="0" collapsed="false">
      <c r="A408" s="23"/>
      <c r="B408" s="8"/>
      <c r="C408" s="8"/>
      <c r="D408" s="24"/>
      <c r="E408" s="8"/>
      <c r="F408" s="25" t="str">
        <f aca="false">IF($A408="","",MONTH($A408))</f>
        <v/>
      </c>
      <c r="G408" s="25" t="str">
        <f aca="false">IF($A408="","",YEAR($A408))</f>
        <v/>
      </c>
    </row>
    <row r="409" customFormat="false" ht="15" hidden="false" customHeight="true" outlineLevel="0" collapsed="false">
      <c r="A409" s="23"/>
      <c r="B409" s="8"/>
      <c r="C409" s="8"/>
      <c r="D409" s="24"/>
      <c r="E409" s="8"/>
      <c r="F409" s="25" t="str">
        <f aca="false">IF($A409="","",MONTH($A409))</f>
        <v/>
      </c>
      <c r="G409" s="25" t="str">
        <f aca="false">IF($A409="","",YEAR($A409))</f>
        <v/>
      </c>
    </row>
    <row r="410" customFormat="false" ht="15" hidden="false" customHeight="true" outlineLevel="0" collapsed="false">
      <c r="A410" s="23"/>
      <c r="B410" s="8"/>
      <c r="C410" s="8"/>
      <c r="D410" s="24"/>
      <c r="E410" s="8"/>
      <c r="F410" s="25" t="str">
        <f aca="false">IF($A410="","",MONTH($A410))</f>
        <v/>
      </c>
      <c r="G410" s="25" t="str">
        <f aca="false">IF($A410="","",YEAR($A410))</f>
        <v/>
      </c>
    </row>
    <row r="411" customFormat="false" ht="15" hidden="false" customHeight="true" outlineLevel="0" collapsed="false">
      <c r="A411" s="23"/>
      <c r="B411" s="8"/>
      <c r="C411" s="8"/>
      <c r="D411" s="24"/>
      <c r="E411" s="8"/>
      <c r="F411" s="25" t="str">
        <f aca="false">IF($A411="","",MONTH($A411))</f>
        <v/>
      </c>
      <c r="G411" s="25" t="str">
        <f aca="false">IF($A411="","",YEAR($A411))</f>
        <v/>
      </c>
    </row>
    <row r="412" customFormat="false" ht="15" hidden="false" customHeight="true" outlineLevel="0" collapsed="false">
      <c r="A412" s="23"/>
      <c r="B412" s="8"/>
      <c r="C412" s="8"/>
      <c r="D412" s="24"/>
      <c r="E412" s="8"/>
      <c r="F412" s="25" t="str">
        <f aca="false">IF($A412="","",MONTH($A412))</f>
        <v/>
      </c>
      <c r="G412" s="25" t="str">
        <f aca="false">IF($A412="","",YEAR($A412))</f>
        <v/>
      </c>
    </row>
    <row r="413" customFormat="false" ht="15" hidden="false" customHeight="true" outlineLevel="0" collapsed="false">
      <c r="A413" s="23"/>
      <c r="B413" s="8"/>
      <c r="C413" s="8"/>
      <c r="D413" s="24"/>
      <c r="E413" s="8"/>
      <c r="F413" s="25" t="str">
        <f aca="false">IF($A413="","",MONTH($A413))</f>
        <v/>
      </c>
      <c r="G413" s="25" t="str">
        <f aca="false">IF($A413="","",YEAR($A413))</f>
        <v/>
      </c>
    </row>
    <row r="414" customFormat="false" ht="15" hidden="false" customHeight="true" outlineLevel="0" collapsed="false">
      <c r="A414" s="23"/>
      <c r="B414" s="8"/>
      <c r="C414" s="8"/>
      <c r="D414" s="24"/>
      <c r="E414" s="8"/>
      <c r="F414" s="25" t="str">
        <f aca="false">IF($A414="","",MONTH($A414))</f>
        <v/>
      </c>
      <c r="G414" s="25" t="str">
        <f aca="false">IF($A414="","",YEAR($A414))</f>
        <v/>
      </c>
    </row>
    <row r="415" customFormat="false" ht="15" hidden="false" customHeight="true" outlineLevel="0" collapsed="false">
      <c r="A415" s="23"/>
      <c r="B415" s="8"/>
      <c r="C415" s="8"/>
      <c r="D415" s="24"/>
      <c r="E415" s="8"/>
      <c r="F415" s="25" t="str">
        <f aca="false">IF($A415="","",MONTH($A415))</f>
        <v/>
      </c>
      <c r="G415" s="25" t="str">
        <f aca="false">IF($A415="","",YEAR($A415))</f>
        <v/>
      </c>
    </row>
    <row r="416" customFormat="false" ht="15" hidden="false" customHeight="true" outlineLevel="0" collapsed="false">
      <c r="A416" s="23"/>
      <c r="B416" s="8"/>
      <c r="C416" s="8"/>
      <c r="D416" s="24"/>
      <c r="E416" s="8"/>
      <c r="F416" s="25" t="str">
        <f aca="false">IF($A416="","",MONTH($A416))</f>
        <v/>
      </c>
      <c r="G416" s="25" t="str">
        <f aca="false">IF($A416="","",YEAR($A416))</f>
        <v/>
      </c>
    </row>
    <row r="417" customFormat="false" ht="15" hidden="false" customHeight="true" outlineLevel="0" collapsed="false">
      <c r="A417" s="23"/>
      <c r="B417" s="8"/>
      <c r="C417" s="8"/>
      <c r="D417" s="24"/>
      <c r="E417" s="8"/>
      <c r="F417" s="25" t="str">
        <f aca="false">IF($A417="","",MONTH($A417))</f>
        <v/>
      </c>
      <c r="G417" s="25" t="str">
        <f aca="false">IF($A417="","",YEAR($A417))</f>
        <v/>
      </c>
    </row>
    <row r="418" customFormat="false" ht="15" hidden="false" customHeight="true" outlineLevel="0" collapsed="false">
      <c r="A418" s="23"/>
      <c r="B418" s="8"/>
      <c r="C418" s="8"/>
      <c r="D418" s="24"/>
      <c r="E418" s="8"/>
      <c r="F418" s="25" t="str">
        <f aca="false">IF($A418="","",MONTH($A418))</f>
        <v/>
      </c>
      <c r="G418" s="25" t="str">
        <f aca="false">IF($A418="","",YEAR($A418))</f>
        <v/>
      </c>
    </row>
    <row r="419" customFormat="false" ht="15" hidden="false" customHeight="true" outlineLevel="0" collapsed="false">
      <c r="A419" s="23"/>
      <c r="B419" s="8"/>
      <c r="C419" s="8"/>
      <c r="D419" s="24"/>
      <c r="E419" s="8"/>
      <c r="F419" s="25" t="str">
        <f aca="false">IF($A419="","",MONTH($A419))</f>
        <v/>
      </c>
      <c r="G419" s="25" t="str">
        <f aca="false">IF($A419="","",YEAR($A419))</f>
        <v/>
      </c>
    </row>
    <row r="420" customFormat="false" ht="15" hidden="false" customHeight="true" outlineLevel="0" collapsed="false">
      <c r="A420" s="23"/>
      <c r="B420" s="8"/>
      <c r="C420" s="8"/>
      <c r="D420" s="24"/>
      <c r="E420" s="8"/>
      <c r="F420" s="25" t="str">
        <f aca="false">IF($A420="","",MONTH($A420))</f>
        <v/>
      </c>
      <c r="G420" s="25" t="str">
        <f aca="false">IF($A420="","",YEAR($A420))</f>
        <v/>
      </c>
    </row>
    <row r="421" customFormat="false" ht="15" hidden="false" customHeight="true" outlineLevel="0" collapsed="false">
      <c r="A421" s="23"/>
      <c r="B421" s="8"/>
      <c r="C421" s="8"/>
      <c r="D421" s="24"/>
      <c r="E421" s="8"/>
      <c r="F421" s="25" t="str">
        <f aca="false">IF($A421="","",MONTH($A421))</f>
        <v/>
      </c>
      <c r="G421" s="25" t="str">
        <f aca="false">IF($A421="","",YEAR($A421))</f>
        <v/>
      </c>
    </row>
    <row r="422" customFormat="false" ht="15" hidden="false" customHeight="true" outlineLevel="0" collapsed="false">
      <c r="A422" s="23"/>
      <c r="B422" s="8"/>
      <c r="C422" s="8"/>
      <c r="D422" s="24"/>
      <c r="E422" s="8"/>
      <c r="F422" s="25" t="str">
        <f aca="false">IF($A422="","",MONTH($A422))</f>
        <v/>
      </c>
      <c r="G422" s="25" t="str">
        <f aca="false">IF($A422="","",YEAR($A422))</f>
        <v/>
      </c>
    </row>
    <row r="423" customFormat="false" ht="15" hidden="false" customHeight="true" outlineLevel="0" collapsed="false">
      <c r="A423" s="23"/>
      <c r="B423" s="8"/>
      <c r="C423" s="8"/>
      <c r="D423" s="24"/>
      <c r="E423" s="8"/>
      <c r="F423" s="25" t="str">
        <f aca="false">IF($A423="","",MONTH($A423))</f>
        <v/>
      </c>
      <c r="G423" s="25" t="str">
        <f aca="false">IF($A423="","",YEAR($A423))</f>
        <v/>
      </c>
    </row>
    <row r="424" customFormat="false" ht="15" hidden="false" customHeight="true" outlineLevel="0" collapsed="false">
      <c r="A424" s="23"/>
      <c r="B424" s="8"/>
      <c r="C424" s="8"/>
      <c r="D424" s="24"/>
      <c r="E424" s="8"/>
      <c r="F424" s="25" t="str">
        <f aca="false">IF($A424="","",MONTH($A424))</f>
        <v/>
      </c>
      <c r="G424" s="25" t="str">
        <f aca="false">IF($A424="","",YEAR($A424))</f>
        <v/>
      </c>
    </row>
    <row r="425" customFormat="false" ht="15" hidden="false" customHeight="true" outlineLevel="0" collapsed="false">
      <c r="A425" s="23"/>
      <c r="B425" s="8"/>
      <c r="C425" s="8"/>
      <c r="D425" s="24"/>
      <c r="E425" s="8"/>
      <c r="F425" s="25" t="str">
        <f aca="false">IF($A425="","",MONTH($A425))</f>
        <v/>
      </c>
      <c r="G425" s="25" t="str">
        <f aca="false">IF($A425="","",YEAR($A425))</f>
        <v/>
      </c>
    </row>
    <row r="426" customFormat="false" ht="15" hidden="false" customHeight="true" outlineLevel="0" collapsed="false">
      <c r="A426" s="23"/>
      <c r="B426" s="8"/>
      <c r="C426" s="8"/>
      <c r="D426" s="24"/>
      <c r="E426" s="8"/>
      <c r="F426" s="25" t="str">
        <f aca="false">IF($A426="","",MONTH($A426))</f>
        <v/>
      </c>
      <c r="G426" s="25" t="str">
        <f aca="false">IF($A426="","",YEAR($A426))</f>
        <v/>
      </c>
    </row>
    <row r="427" customFormat="false" ht="15" hidden="false" customHeight="true" outlineLevel="0" collapsed="false">
      <c r="A427" s="23"/>
      <c r="B427" s="8"/>
      <c r="C427" s="8"/>
      <c r="D427" s="24"/>
      <c r="E427" s="8"/>
      <c r="F427" s="25" t="str">
        <f aca="false">IF($A427="","",MONTH($A427))</f>
        <v/>
      </c>
      <c r="G427" s="25" t="str">
        <f aca="false">IF($A427="","",YEAR($A427))</f>
        <v/>
      </c>
    </row>
    <row r="428" customFormat="false" ht="15" hidden="false" customHeight="true" outlineLevel="0" collapsed="false">
      <c r="A428" s="23"/>
      <c r="B428" s="8"/>
      <c r="C428" s="8"/>
      <c r="D428" s="24"/>
      <c r="E428" s="8"/>
      <c r="F428" s="25" t="str">
        <f aca="false">IF($A428="","",MONTH($A428))</f>
        <v/>
      </c>
      <c r="G428" s="25" t="str">
        <f aca="false">IF($A428="","",YEAR($A428))</f>
        <v/>
      </c>
    </row>
    <row r="429" customFormat="false" ht="15" hidden="false" customHeight="true" outlineLevel="0" collapsed="false">
      <c r="A429" s="23"/>
      <c r="B429" s="8"/>
      <c r="C429" s="8"/>
      <c r="D429" s="24"/>
      <c r="E429" s="8"/>
      <c r="F429" s="25" t="str">
        <f aca="false">IF($A429="","",MONTH($A429))</f>
        <v/>
      </c>
      <c r="G429" s="25" t="str">
        <f aca="false">IF($A429="","",YEAR($A429))</f>
        <v/>
      </c>
    </row>
    <row r="430" customFormat="false" ht="15" hidden="false" customHeight="true" outlineLevel="0" collapsed="false">
      <c r="A430" s="23"/>
      <c r="B430" s="8"/>
      <c r="C430" s="8"/>
      <c r="D430" s="24"/>
      <c r="E430" s="8"/>
      <c r="F430" s="25" t="str">
        <f aca="false">IF($A430="","",MONTH($A430))</f>
        <v/>
      </c>
      <c r="G430" s="25" t="str">
        <f aca="false">IF($A430="","",YEAR($A430))</f>
        <v/>
      </c>
    </row>
    <row r="431" customFormat="false" ht="15" hidden="false" customHeight="true" outlineLevel="0" collapsed="false">
      <c r="A431" s="23"/>
      <c r="B431" s="8"/>
      <c r="C431" s="8"/>
      <c r="D431" s="24"/>
      <c r="E431" s="8"/>
      <c r="F431" s="25" t="str">
        <f aca="false">IF($A431="","",MONTH($A431))</f>
        <v/>
      </c>
      <c r="G431" s="25" t="str">
        <f aca="false">IF($A431="","",YEAR($A431))</f>
        <v/>
      </c>
    </row>
    <row r="432" customFormat="false" ht="15" hidden="false" customHeight="true" outlineLevel="0" collapsed="false">
      <c r="A432" s="23"/>
      <c r="B432" s="8"/>
      <c r="C432" s="8"/>
      <c r="D432" s="24"/>
      <c r="E432" s="8"/>
      <c r="F432" s="25" t="str">
        <f aca="false">IF($A432="","",MONTH($A432))</f>
        <v/>
      </c>
      <c r="G432" s="25" t="str">
        <f aca="false">IF($A432="","",YEAR($A432))</f>
        <v/>
      </c>
    </row>
    <row r="433" customFormat="false" ht="15" hidden="false" customHeight="true" outlineLevel="0" collapsed="false">
      <c r="A433" s="23"/>
      <c r="B433" s="8"/>
      <c r="C433" s="8"/>
      <c r="D433" s="24"/>
      <c r="E433" s="8"/>
      <c r="F433" s="25" t="str">
        <f aca="false">IF($A433="","",MONTH($A433))</f>
        <v/>
      </c>
      <c r="G433" s="25" t="str">
        <f aca="false">IF($A433="","",YEAR($A433))</f>
        <v/>
      </c>
    </row>
    <row r="434" customFormat="false" ht="15" hidden="false" customHeight="true" outlineLevel="0" collapsed="false">
      <c r="A434" s="23"/>
      <c r="B434" s="8"/>
      <c r="C434" s="8"/>
      <c r="D434" s="24"/>
      <c r="E434" s="8"/>
      <c r="F434" s="25" t="str">
        <f aca="false">IF($A434="","",MONTH($A434))</f>
        <v/>
      </c>
      <c r="G434" s="25" t="str">
        <f aca="false">IF($A434="","",YEAR($A434))</f>
        <v/>
      </c>
    </row>
    <row r="435" customFormat="false" ht="15" hidden="false" customHeight="true" outlineLevel="0" collapsed="false">
      <c r="A435" s="23"/>
      <c r="B435" s="8"/>
      <c r="C435" s="8"/>
      <c r="D435" s="24"/>
      <c r="E435" s="8"/>
      <c r="F435" s="25" t="str">
        <f aca="false">IF($A435="","",MONTH($A435))</f>
        <v/>
      </c>
      <c r="G435" s="25" t="str">
        <f aca="false">IF($A435="","",YEAR($A435))</f>
        <v/>
      </c>
    </row>
    <row r="436" customFormat="false" ht="15" hidden="false" customHeight="true" outlineLevel="0" collapsed="false">
      <c r="A436" s="23"/>
      <c r="B436" s="8"/>
      <c r="C436" s="8"/>
      <c r="D436" s="24"/>
      <c r="E436" s="8"/>
      <c r="F436" s="25" t="str">
        <f aca="false">IF($A436="","",MONTH($A436))</f>
        <v/>
      </c>
      <c r="G436" s="25" t="str">
        <f aca="false">IF($A436="","",YEAR($A436))</f>
        <v/>
      </c>
    </row>
    <row r="437" customFormat="false" ht="15" hidden="false" customHeight="true" outlineLevel="0" collapsed="false">
      <c r="A437" s="23"/>
      <c r="B437" s="8"/>
      <c r="C437" s="8"/>
      <c r="D437" s="24"/>
      <c r="E437" s="8"/>
      <c r="F437" s="25" t="str">
        <f aca="false">IF($A437="","",MONTH($A437))</f>
        <v/>
      </c>
      <c r="G437" s="25" t="str">
        <f aca="false">IF($A437="","",YEAR($A437))</f>
        <v/>
      </c>
    </row>
    <row r="438" customFormat="false" ht="15" hidden="false" customHeight="true" outlineLevel="0" collapsed="false">
      <c r="A438" s="23"/>
      <c r="B438" s="8"/>
      <c r="C438" s="8"/>
      <c r="D438" s="24"/>
      <c r="E438" s="8"/>
      <c r="F438" s="25" t="str">
        <f aca="false">IF($A438="","",MONTH($A438))</f>
        <v/>
      </c>
      <c r="G438" s="25" t="str">
        <f aca="false">IF($A438="","",YEAR($A438))</f>
        <v/>
      </c>
    </row>
    <row r="439" customFormat="false" ht="15" hidden="false" customHeight="true" outlineLevel="0" collapsed="false">
      <c r="A439" s="23"/>
      <c r="B439" s="8"/>
      <c r="C439" s="8"/>
      <c r="D439" s="24"/>
      <c r="E439" s="8"/>
      <c r="F439" s="25" t="str">
        <f aca="false">IF($A439="","",MONTH($A439))</f>
        <v/>
      </c>
      <c r="G439" s="25" t="str">
        <f aca="false">IF($A439="","",YEAR($A439))</f>
        <v/>
      </c>
    </row>
    <row r="440" customFormat="false" ht="15" hidden="false" customHeight="true" outlineLevel="0" collapsed="false">
      <c r="A440" s="23"/>
      <c r="B440" s="8"/>
      <c r="C440" s="8"/>
      <c r="D440" s="24"/>
      <c r="E440" s="8"/>
      <c r="F440" s="25" t="str">
        <f aca="false">IF($A440="","",MONTH($A440))</f>
        <v/>
      </c>
      <c r="G440" s="25" t="str">
        <f aca="false">IF($A440="","",YEAR($A440))</f>
        <v/>
      </c>
    </row>
    <row r="441" customFormat="false" ht="15" hidden="false" customHeight="true" outlineLevel="0" collapsed="false">
      <c r="A441" s="23"/>
      <c r="B441" s="8"/>
      <c r="C441" s="8"/>
      <c r="D441" s="24"/>
      <c r="E441" s="8"/>
      <c r="F441" s="25" t="str">
        <f aca="false">IF($A441="","",MONTH($A441))</f>
        <v/>
      </c>
      <c r="G441" s="25" t="str">
        <f aca="false">IF($A441="","",YEAR($A441))</f>
        <v/>
      </c>
    </row>
    <row r="442" customFormat="false" ht="15" hidden="false" customHeight="true" outlineLevel="0" collapsed="false">
      <c r="A442" s="23"/>
      <c r="B442" s="8"/>
      <c r="C442" s="8"/>
      <c r="D442" s="24"/>
      <c r="E442" s="8"/>
      <c r="F442" s="25" t="str">
        <f aca="false">IF($A442="","",MONTH($A442))</f>
        <v/>
      </c>
      <c r="G442" s="25" t="str">
        <f aca="false">IF($A442="","",YEAR($A442))</f>
        <v/>
      </c>
    </row>
    <row r="443" customFormat="false" ht="15" hidden="false" customHeight="true" outlineLevel="0" collapsed="false">
      <c r="A443" s="23"/>
      <c r="B443" s="8"/>
      <c r="C443" s="8"/>
      <c r="D443" s="24"/>
      <c r="E443" s="8"/>
      <c r="F443" s="25" t="str">
        <f aca="false">IF($A443="","",MONTH($A443))</f>
        <v/>
      </c>
      <c r="G443" s="25" t="str">
        <f aca="false">IF($A443="","",YEAR($A443))</f>
        <v/>
      </c>
    </row>
    <row r="444" customFormat="false" ht="15" hidden="false" customHeight="true" outlineLevel="0" collapsed="false">
      <c r="A444" s="23"/>
      <c r="B444" s="8"/>
      <c r="C444" s="8"/>
      <c r="D444" s="24"/>
      <c r="E444" s="8"/>
      <c r="F444" s="25" t="str">
        <f aca="false">IF($A444="","",MONTH($A444))</f>
        <v/>
      </c>
      <c r="G444" s="25" t="str">
        <f aca="false">IF($A444="","",YEAR($A444))</f>
        <v/>
      </c>
    </row>
    <row r="445" customFormat="false" ht="15" hidden="false" customHeight="true" outlineLevel="0" collapsed="false">
      <c r="A445" s="23"/>
      <c r="B445" s="8"/>
      <c r="C445" s="8"/>
      <c r="D445" s="24"/>
      <c r="E445" s="8"/>
      <c r="F445" s="25" t="str">
        <f aca="false">IF($A445="","",MONTH($A445))</f>
        <v/>
      </c>
      <c r="G445" s="25" t="str">
        <f aca="false">IF($A445="","",YEAR($A445))</f>
        <v/>
      </c>
    </row>
    <row r="446" customFormat="false" ht="15" hidden="false" customHeight="true" outlineLevel="0" collapsed="false">
      <c r="A446" s="23"/>
      <c r="B446" s="8"/>
      <c r="C446" s="8"/>
      <c r="D446" s="24"/>
      <c r="E446" s="8"/>
      <c r="F446" s="25" t="str">
        <f aca="false">IF($A446="","",MONTH($A446))</f>
        <v/>
      </c>
      <c r="G446" s="25" t="str">
        <f aca="false">IF($A446="","",YEAR($A446))</f>
        <v/>
      </c>
    </row>
    <row r="447" customFormat="false" ht="15" hidden="false" customHeight="true" outlineLevel="0" collapsed="false">
      <c r="A447" s="23"/>
      <c r="B447" s="8"/>
      <c r="C447" s="8"/>
      <c r="D447" s="24"/>
      <c r="E447" s="8"/>
      <c r="F447" s="25" t="str">
        <f aca="false">IF($A447="","",MONTH($A447))</f>
        <v/>
      </c>
      <c r="G447" s="25" t="str">
        <f aca="false">IF($A447="","",YEAR($A447))</f>
        <v/>
      </c>
    </row>
    <row r="448" customFormat="false" ht="15" hidden="false" customHeight="true" outlineLevel="0" collapsed="false">
      <c r="A448" s="23"/>
      <c r="B448" s="8"/>
      <c r="C448" s="8"/>
      <c r="D448" s="24"/>
      <c r="E448" s="8"/>
      <c r="F448" s="25" t="str">
        <f aca="false">IF($A448="","",MONTH($A448))</f>
        <v/>
      </c>
      <c r="G448" s="25" t="str">
        <f aca="false">IF($A448="","",YEAR($A448))</f>
        <v/>
      </c>
    </row>
    <row r="449" customFormat="false" ht="15" hidden="false" customHeight="true" outlineLevel="0" collapsed="false">
      <c r="A449" s="23"/>
      <c r="B449" s="8"/>
      <c r="C449" s="8"/>
      <c r="D449" s="24"/>
      <c r="E449" s="8"/>
      <c r="F449" s="25" t="str">
        <f aca="false">IF($A449="","",MONTH($A449))</f>
        <v/>
      </c>
      <c r="G449" s="25" t="str">
        <f aca="false">IF($A449="","",YEAR($A449))</f>
        <v/>
      </c>
    </row>
    <row r="450" customFormat="false" ht="15" hidden="false" customHeight="true" outlineLevel="0" collapsed="false">
      <c r="A450" s="23"/>
      <c r="B450" s="8"/>
      <c r="C450" s="8"/>
      <c r="D450" s="24"/>
      <c r="E450" s="8"/>
      <c r="F450" s="25" t="str">
        <f aca="false">IF($A450="","",MONTH($A450))</f>
        <v/>
      </c>
      <c r="G450" s="25" t="str">
        <f aca="false">IF($A450="","",YEAR($A450))</f>
        <v/>
      </c>
    </row>
    <row r="451" customFormat="false" ht="15" hidden="false" customHeight="true" outlineLevel="0" collapsed="false">
      <c r="A451" s="23"/>
      <c r="B451" s="8"/>
      <c r="C451" s="8"/>
      <c r="D451" s="24"/>
      <c r="E451" s="8"/>
      <c r="F451" s="25" t="str">
        <f aca="false">IF($A451="","",MONTH($A451))</f>
        <v/>
      </c>
      <c r="G451" s="25" t="str">
        <f aca="false">IF($A451="","",YEAR($A451))</f>
        <v/>
      </c>
    </row>
    <row r="452" customFormat="false" ht="15" hidden="false" customHeight="true" outlineLevel="0" collapsed="false">
      <c r="A452" s="23"/>
      <c r="B452" s="8"/>
      <c r="C452" s="8"/>
      <c r="D452" s="24"/>
      <c r="E452" s="8"/>
      <c r="F452" s="25" t="str">
        <f aca="false">IF($A452="","",MONTH($A452))</f>
        <v/>
      </c>
      <c r="G452" s="25" t="str">
        <f aca="false">IF($A452="","",YEAR($A452))</f>
        <v/>
      </c>
    </row>
    <row r="453" customFormat="false" ht="15" hidden="false" customHeight="true" outlineLevel="0" collapsed="false">
      <c r="A453" s="23"/>
      <c r="B453" s="8"/>
      <c r="C453" s="8"/>
      <c r="D453" s="24"/>
      <c r="E453" s="8"/>
      <c r="F453" s="25" t="str">
        <f aca="false">IF($A453="","",MONTH($A453))</f>
        <v/>
      </c>
      <c r="G453" s="25" t="str">
        <f aca="false">IF($A453="","",YEAR($A453))</f>
        <v/>
      </c>
    </row>
    <row r="454" customFormat="false" ht="15" hidden="false" customHeight="true" outlineLevel="0" collapsed="false">
      <c r="A454" s="23"/>
      <c r="B454" s="8"/>
      <c r="C454" s="8"/>
      <c r="D454" s="24"/>
      <c r="E454" s="8"/>
      <c r="F454" s="25" t="str">
        <f aca="false">IF($A454="","",MONTH($A454))</f>
        <v/>
      </c>
      <c r="G454" s="25" t="str">
        <f aca="false">IF($A454="","",YEAR($A454))</f>
        <v/>
      </c>
    </row>
    <row r="455" customFormat="false" ht="15" hidden="false" customHeight="true" outlineLevel="0" collapsed="false">
      <c r="A455" s="23"/>
      <c r="B455" s="8"/>
      <c r="C455" s="8"/>
      <c r="D455" s="24"/>
      <c r="E455" s="8"/>
      <c r="F455" s="25" t="str">
        <f aca="false">IF($A455="","",MONTH($A455))</f>
        <v/>
      </c>
      <c r="G455" s="25" t="str">
        <f aca="false">IF($A455="","",YEAR($A455))</f>
        <v/>
      </c>
    </row>
    <row r="456" customFormat="false" ht="15" hidden="false" customHeight="true" outlineLevel="0" collapsed="false">
      <c r="A456" s="23"/>
      <c r="B456" s="8"/>
      <c r="C456" s="8"/>
      <c r="D456" s="24"/>
      <c r="E456" s="8"/>
      <c r="F456" s="25" t="str">
        <f aca="false">IF($A456="","",MONTH($A456))</f>
        <v/>
      </c>
      <c r="G456" s="25" t="str">
        <f aca="false">IF($A456="","",YEAR($A456))</f>
        <v/>
      </c>
    </row>
    <row r="457" customFormat="false" ht="15" hidden="false" customHeight="true" outlineLevel="0" collapsed="false">
      <c r="A457" s="23"/>
      <c r="B457" s="8"/>
      <c r="C457" s="8"/>
      <c r="D457" s="24"/>
      <c r="E457" s="8"/>
      <c r="F457" s="25" t="str">
        <f aca="false">IF($A457="","",MONTH($A457))</f>
        <v/>
      </c>
      <c r="G457" s="25" t="str">
        <f aca="false">IF($A457="","",YEAR($A457))</f>
        <v/>
      </c>
    </row>
    <row r="458" customFormat="false" ht="15" hidden="false" customHeight="true" outlineLevel="0" collapsed="false">
      <c r="A458" s="23"/>
      <c r="B458" s="8"/>
      <c r="C458" s="8"/>
      <c r="D458" s="24"/>
      <c r="E458" s="8"/>
      <c r="F458" s="25" t="str">
        <f aca="false">IF($A458="","",MONTH($A458))</f>
        <v/>
      </c>
      <c r="G458" s="25" t="str">
        <f aca="false">IF($A458="","",YEAR($A458))</f>
        <v/>
      </c>
    </row>
    <row r="459" customFormat="false" ht="15" hidden="false" customHeight="true" outlineLevel="0" collapsed="false">
      <c r="A459" s="23"/>
      <c r="B459" s="8"/>
      <c r="C459" s="8"/>
      <c r="D459" s="24"/>
      <c r="E459" s="8"/>
      <c r="F459" s="25" t="str">
        <f aca="false">IF($A459="","",MONTH($A459))</f>
        <v/>
      </c>
      <c r="G459" s="25" t="str">
        <f aca="false">IF($A459="","",YEAR($A459))</f>
        <v/>
      </c>
    </row>
    <row r="460" customFormat="false" ht="15" hidden="false" customHeight="true" outlineLevel="0" collapsed="false">
      <c r="A460" s="23"/>
      <c r="B460" s="8"/>
      <c r="C460" s="8"/>
      <c r="D460" s="24"/>
      <c r="E460" s="8"/>
      <c r="F460" s="25" t="str">
        <f aca="false">IF($A460="","",MONTH($A460))</f>
        <v/>
      </c>
      <c r="G460" s="25" t="str">
        <f aca="false">IF($A460="","",YEAR($A460))</f>
        <v/>
      </c>
    </row>
    <row r="461" customFormat="false" ht="15" hidden="false" customHeight="true" outlineLevel="0" collapsed="false">
      <c r="A461" s="23"/>
      <c r="B461" s="8"/>
      <c r="C461" s="8"/>
      <c r="D461" s="24"/>
      <c r="E461" s="8"/>
      <c r="F461" s="25" t="str">
        <f aca="false">IF($A461="","",MONTH($A461))</f>
        <v/>
      </c>
      <c r="G461" s="25" t="str">
        <f aca="false">IF($A461="","",YEAR($A461))</f>
        <v/>
      </c>
    </row>
    <row r="462" customFormat="false" ht="15" hidden="false" customHeight="true" outlineLevel="0" collapsed="false">
      <c r="A462" s="23"/>
      <c r="B462" s="8"/>
      <c r="C462" s="8"/>
      <c r="D462" s="24"/>
      <c r="E462" s="8"/>
      <c r="F462" s="25" t="str">
        <f aca="false">IF($A462="","",MONTH($A462))</f>
        <v/>
      </c>
      <c r="G462" s="25" t="str">
        <f aca="false">IF($A462="","",YEAR($A462))</f>
        <v/>
      </c>
    </row>
    <row r="463" customFormat="false" ht="15" hidden="false" customHeight="true" outlineLevel="0" collapsed="false">
      <c r="A463" s="23"/>
      <c r="B463" s="8"/>
      <c r="C463" s="8"/>
      <c r="D463" s="24"/>
      <c r="E463" s="8"/>
      <c r="F463" s="25" t="str">
        <f aca="false">IF($A463="","",MONTH($A463))</f>
        <v/>
      </c>
      <c r="G463" s="25" t="str">
        <f aca="false">IF($A463="","",YEAR($A463))</f>
        <v/>
      </c>
    </row>
    <row r="464" customFormat="false" ht="15" hidden="false" customHeight="true" outlineLevel="0" collapsed="false">
      <c r="A464" s="23"/>
      <c r="B464" s="8"/>
      <c r="C464" s="8"/>
      <c r="D464" s="24"/>
      <c r="E464" s="8"/>
      <c r="F464" s="25" t="str">
        <f aca="false">IF($A464="","",MONTH($A464))</f>
        <v/>
      </c>
      <c r="G464" s="25" t="str">
        <f aca="false">IF($A464="","",YEAR($A464))</f>
        <v/>
      </c>
    </row>
    <row r="465" customFormat="false" ht="15" hidden="false" customHeight="true" outlineLevel="0" collapsed="false">
      <c r="A465" s="23"/>
      <c r="B465" s="8"/>
      <c r="C465" s="8"/>
      <c r="D465" s="24"/>
      <c r="E465" s="8"/>
      <c r="F465" s="25" t="str">
        <f aca="false">IF($A465="","",MONTH($A465))</f>
        <v/>
      </c>
      <c r="G465" s="25" t="str">
        <f aca="false">IF($A465="","",YEAR($A465))</f>
        <v/>
      </c>
    </row>
    <row r="466" customFormat="false" ht="15" hidden="false" customHeight="true" outlineLevel="0" collapsed="false">
      <c r="A466" s="23"/>
      <c r="B466" s="8"/>
      <c r="C466" s="8"/>
      <c r="D466" s="24"/>
      <c r="E466" s="8"/>
      <c r="F466" s="25" t="str">
        <f aca="false">IF($A466="","",MONTH($A466))</f>
        <v/>
      </c>
      <c r="G466" s="25" t="str">
        <f aca="false">IF($A466="","",YEAR($A466))</f>
        <v/>
      </c>
    </row>
    <row r="467" customFormat="false" ht="15" hidden="false" customHeight="true" outlineLevel="0" collapsed="false">
      <c r="A467" s="23"/>
      <c r="B467" s="8"/>
      <c r="C467" s="8"/>
      <c r="D467" s="24"/>
      <c r="E467" s="8"/>
      <c r="F467" s="25" t="str">
        <f aca="false">IF($A467="","",MONTH($A467))</f>
        <v/>
      </c>
      <c r="G467" s="25" t="str">
        <f aca="false">IF($A467="","",YEAR($A467))</f>
        <v/>
      </c>
    </row>
    <row r="468" customFormat="false" ht="15" hidden="false" customHeight="true" outlineLevel="0" collapsed="false">
      <c r="A468" s="23"/>
      <c r="B468" s="8"/>
      <c r="C468" s="8"/>
      <c r="D468" s="24"/>
      <c r="E468" s="8"/>
      <c r="F468" s="25" t="str">
        <f aca="false">IF($A468="","",MONTH($A468))</f>
        <v/>
      </c>
      <c r="G468" s="25" t="str">
        <f aca="false">IF($A468="","",YEAR($A468))</f>
        <v/>
      </c>
    </row>
    <row r="469" customFormat="false" ht="15" hidden="false" customHeight="true" outlineLevel="0" collapsed="false">
      <c r="A469" s="23"/>
      <c r="B469" s="8"/>
      <c r="C469" s="8"/>
      <c r="D469" s="24"/>
      <c r="E469" s="8"/>
      <c r="F469" s="25" t="str">
        <f aca="false">IF($A469="","",MONTH($A469))</f>
        <v/>
      </c>
      <c r="G469" s="25" t="str">
        <f aca="false">IF($A469="","",YEAR($A469))</f>
        <v/>
      </c>
    </row>
    <row r="470" customFormat="false" ht="15" hidden="false" customHeight="true" outlineLevel="0" collapsed="false">
      <c r="A470" s="23"/>
      <c r="B470" s="8"/>
      <c r="C470" s="8"/>
      <c r="D470" s="24"/>
      <c r="E470" s="8"/>
      <c r="F470" s="25" t="str">
        <f aca="false">IF($A470="","",MONTH($A470))</f>
        <v/>
      </c>
      <c r="G470" s="25" t="str">
        <f aca="false">IF($A470="","",YEAR($A470))</f>
        <v/>
      </c>
    </row>
    <row r="471" customFormat="false" ht="15" hidden="false" customHeight="true" outlineLevel="0" collapsed="false">
      <c r="A471" s="23"/>
      <c r="B471" s="8"/>
      <c r="C471" s="8"/>
      <c r="D471" s="24"/>
      <c r="E471" s="8"/>
      <c r="F471" s="25" t="str">
        <f aca="false">IF($A471="","",MONTH($A471))</f>
        <v/>
      </c>
      <c r="G471" s="25" t="str">
        <f aca="false">IF($A471="","",YEAR($A471))</f>
        <v/>
      </c>
    </row>
    <row r="472" customFormat="false" ht="15" hidden="false" customHeight="true" outlineLevel="0" collapsed="false">
      <c r="A472" s="23"/>
      <c r="B472" s="8"/>
      <c r="C472" s="8"/>
      <c r="D472" s="24"/>
      <c r="E472" s="8"/>
      <c r="F472" s="25" t="str">
        <f aca="false">IF($A472="","",MONTH($A472))</f>
        <v/>
      </c>
      <c r="G472" s="25" t="str">
        <f aca="false">IF($A472="","",YEAR($A472))</f>
        <v/>
      </c>
    </row>
    <row r="473" customFormat="false" ht="15" hidden="false" customHeight="true" outlineLevel="0" collapsed="false">
      <c r="A473" s="23"/>
      <c r="B473" s="8"/>
      <c r="C473" s="8"/>
      <c r="D473" s="24"/>
      <c r="E473" s="8"/>
      <c r="F473" s="25" t="str">
        <f aca="false">IF($A473="","",MONTH($A473))</f>
        <v/>
      </c>
      <c r="G473" s="25" t="str">
        <f aca="false">IF($A473="","",YEAR($A473))</f>
        <v/>
      </c>
    </row>
    <row r="474" customFormat="false" ht="15" hidden="false" customHeight="true" outlineLevel="0" collapsed="false">
      <c r="A474" s="23"/>
      <c r="B474" s="8"/>
      <c r="C474" s="8"/>
      <c r="D474" s="24"/>
      <c r="E474" s="8"/>
      <c r="F474" s="25" t="str">
        <f aca="false">IF($A474="","",MONTH($A474))</f>
        <v/>
      </c>
      <c r="G474" s="25" t="str">
        <f aca="false">IF($A474="","",YEAR($A474))</f>
        <v/>
      </c>
    </row>
    <row r="475" customFormat="false" ht="15" hidden="false" customHeight="true" outlineLevel="0" collapsed="false">
      <c r="A475" s="23"/>
      <c r="B475" s="8"/>
      <c r="C475" s="8"/>
      <c r="D475" s="24"/>
      <c r="E475" s="8"/>
      <c r="F475" s="25" t="str">
        <f aca="false">IF($A475="","",MONTH($A475))</f>
        <v/>
      </c>
      <c r="G475" s="25" t="str">
        <f aca="false">IF($A475="","",YEAR($A475))</f>
        <v/>
      </c>
    </row>
    <row r="476" customFormat="false" ht="15" hidden="false" customHeight="true" outlineLevel="0" collapsed="false">
      <c r="A476" s="23"/>
      <c r="B476" s="8"/>
      <c r="C476" s="8"/>
      <c r="D476" s="24"/>
      <c r="E476" s="8"/>
      <c r="F476" s="25" t="str">
        <f aca="false">IF($A476="","",MONTH($A476))</f>
        <v/>
      </c>
      <c r="G476" s="25" t="str">
        <f aca="false">IF($A476="","",YEAR($A476))</f>
        <v/>
      </c>
    </row>
    <row r="477" customFormat="false" ht="15" hidden="false" customHeight="true" outlineLevel="0" collapsed="false">
      <c r="A477" s="23"/>
      <c r="B477" s="8"/>
      <c r="C477" s="8"/>
      <c r="D477" s="24"/>
      <c r="E477" s="8"/>
      <c r="F477" s="25" t="str">
        <f aca="false">IF($A477="","",MONTH($A477))</f>
        <v/>
      </c>
      <c r="G477" s="25" t="str">
        <f aca="false">IF($A477="","",YEAR($A477))</f>
        <v/>
      </c>
    </row>
    <row r="478" customFormat="false" ht="15" hidden="false" customHeight="true" outlineLevel="0" collapsed="false">
      <c r="A478" s="23"/>
      <c r="B478" s="8"/>
      <c r="C478" s="8"/>
      <c r="D478" s="24"/>
      <c r="E478" s="8"/>
      <c r="F478" s="25" t="str">
        <f aca="false">IF($A478="","",MONTH($A478))</f>
        <v/>
      </c>
      <c r="G478" s="25" t="str">
        <f aca="false">IF($A478="","",YEAR($A478))</f>
        <v/>
      </c>
    </row>
    <row r="479" customFormat="false" ht="15" hidden="false" customHeight="true" outlineLevel="0" collapsed="false">
      <c r="A479" s="23"/>
      <c r="B479" s="8"/>
      <c r="C479" s="8"/>
      <c r="D479" s="24"/>
      <c r="E479" s="8"/>
      <c r="F479" s="25" t="str">
        <f aca="false">IF($A479="","",MONTH($A479))</f>
        <v/>
      </c>
      <c r="G479" s="25" t="str">
        <f aca="false">IF($A479="","",YEAR($A479))</f>
        <v/>
      </c>
    </row>
    <row r="480" customFormat="false" ht="15" hidden="false" customHeight="true" outlineLevel="0" collapsed="false">
      <c r="A480" s="23"/>
      <c r="B480" s="8"/>
      <c r="C480" s="8"/>
      <c r="D480" s="24"/>
      <c r="E480" s="8"/>
      <c r="F480" s="25" t="str">
        <f aca="false">IF($A480="","",MONTH($A480))</f>
        <v/>
      </c>
      <c r="G480" s="25" t="str">
        <f aca="false">IF($A480="","",YEAR($A480))</f>
        <v/>
      </c>
    </row>
    <row r="481" customFormat="false" ht="15" hidden="false" customHeight="true" outlineLevel="0" collapsed="false">
      <c r="A481" s="23"/>
      <c r="B481" s="8"/>
      <c r="C481" s="8"/>
      <c r="D481" s="24"/>
      <c r="E481" s="8"/>
      <c r="F481" s="25" t="str">
        <f aca="false">IF($A481="","",MONTH($A481))</f>
        <v/>
      </c>
      <c r="G481" s="25" t="str">
        <f aca="false">IF($A481="","",YEAR($A481))</f>
        <v/>
      </c>
    </row>
    <row r="482" customFormat="false" ht="15" hidden="false" customHeight="true" outlineLevel="0" collapsed="false">
      <c r="A482" s="23"/>
      <c r="B482" s="8"/>
      <c r="C482" s="8"/>
      <c r="D482" s="24"/>
      <c r="E482" s="8"/>
      <c r="F482" s="25" t="str">
        <f aca="false">IF($A482="","",MONTH($A482))</f>
        <v/>
      </c>
      <c r="G482" s="25" t="str">
        <f aca="false">IF($A482="","",YEAR($A482))</f>
        <v/>
      </c>
    </row>
    <row r="483" customFormat="false" ht="15" hidden="false" customHeight="true" outlineLevel="0" collapsed="false">
      <c r="A483" s="23"/>
      <c r="B483" s="8"/>
      <c r="C483" s="8"/>
      <c r="D483" s="24"/>
      <c r="E483" s="8"/>
      <c r="F483" s="25" t="str">
        <f aca="false">IF($A483="","",MONTH($A483))</f>
        <v/>
      </c>
      <c r="G483" s="25" t="str">
        <f aca="false">IF($A483="","",YEAR($A483))</f>
        <v/>
      </c>
    </row>
    <row r="484" customFormat="false" ht="15" hidden="false" customHeight="true" outlineLevel="0" collapsed="false">
      <c r="A484" s="23"/>
      <c r="B484" s="8"/>
      <c r="C484" s="8"/>
      <c r="D484" s="24"/>
      <c r="E484" s="8"/>
      <c r="F484" s="25" t="str">
        <f aca="false">IF($A484="","",MONTH($A484))</f>
        <v/>
      </c>
      <c r="G484" s="25" t="str">
        <f aca="false">IF($A484="","",YEAR($A484))</f>
        <v/>
      </c>
    </row>
    <row r="485" customFormat="false" ht="15" hidden="false" customHeight="true" outlineLevel="0" collapsed="false">
      <c r="A485" s="23"/>
      <c r="B485" s="8"/>
      <c r="C485" s="8"/>
      <c r="D485" s="24"/>
      <c r="E485" s="8"/>
      <c r="F485" s="25" t="str">
        <f aca="false">IF($A485="","",MONTH($A485))</f>
        <v/>
      </c>
      <c r="G485" s="25" t="str">
        <f aca="false">IF($A485="","",YEAR($A485))</f>
        <v/>
      </c>
    </row>
    <row r="486" customFormat="false" ht="15" hidden="false" customHeight="true" outlineLevel="0" collapsed="false">
      <c r="A486" s="23"/>
      <c r="B486" s="8"/>
      <c r="C486" s="8"/>
      <c r="D486" s="24"/>
      <c r="E486" s="8"/>
      <c r="F486" s="25" t="str">
        <f aca="false">IF($A486="","",MONTH($A486))</f>
        <v/>
      </c>
      <c r="G486" s="25" t="str">
        <f aca="false">IF($A486="","",YEAR($A486))</f>
        <v/>
      </c>
    </row>
    <row r="487" customFormat="false" ht="15" hidden="false" customHeight="true" outlineLevel="0" collapsed="false">
      <c r="A487" s="23"/>
      <c r="B487" s="8"/>
      <c r="C487" s="8"/>
      <c r="D487" s="24"/>
      <c r="E487" s="8"/>
      <c r="F487" s="25" t="str">
        <f aca="false">IF($A487="","",MONTH($A487))</f>
        <v/>
      </c>
      <c r="G487" s="25" t="str">
        <f aca="false">IF($A487="","",YEAR($A487))</f>
        <v/>
      </c>
    </row>
    <row r="488" customFormat="false" ht="15" hidden="false" customHeight="true" outlineLevel="0" collapsed="false">
      <c r="A488" s="23"/>
      <c r="B488" s="8"/>
      <c r="C488" s="8"/>
      <c r="D488" s="24"/>
      <c r="E488" s="8"/>
      <c r="F488" s="25" t="str">
        <f aca="false">IF($A488="","",MONTH($A488))</f>
        <v/>
      </c>
      <c r="G488" s="25" t="str">
        <f aca="false">IF($A488="","",YEAR($A488))</f>
        <v/>
      </c>
    </row>
    <row r="489" customFormat="false" ht="15" hidden="false" customHeight="true" outlineLevel="0" collapsed="false">
      <c r="A489" s="23"/>
      <c r="B489" s="8"/>
      <c r="C489" s="8"/>
      <c r="D489" s="24"/>
      <c r="E489" s="8"/>
      <c r="F489" s="25" t="str">
        <f aca="false">IF($A489="","",MONTH($A489))</f>
        <v/>
      </c>
      <c r="G489" s="25" t="str">
        <f aca="false">IF($A489="","",YEAR($A489))</f>
        <v/>
      </c>
    </row>
    <row r="490" customFormat="false" ht="15" hidden="false" customHeight="true" outlineLevel="0" collapsed="false">
      <c r="A490" s="23"/>
      <c r="B490" s="8"/>
      <c r="C490" s="8"/>
      <c r="D490" s="24"/>
      <c r="E490" s="8"/>
      <c r="F490" s="25" t="str">
        <f aca="false">IF($A490="","",MONTH($A490))</f>
        <v/>
      </c>
      <c r="G490" s="25" t="str">
        <f aca="false">IF($A490="","",YEAR($A490))</f>
        <v/>
      </c>
    </row>
    <row r="491" customFormat="false" ht="15" hidden="false" customHeight="true" outlineLevel="0" collapsed="false">
      <c r="A491" s="23"/>
      <c r="B491" s="8"/>
      <c r="C491" s="8"/>
      <c r="D491" s="24"/>
      <c r="E491" s="8"/>
      <c r="F491" s="25" t="str">
        <f aca="false">IF($A491="","",MONTH($A491))</f>
        <v/>
      </c>
      <c r="G491" s="25" t="str">
        <f aca="false">IF($A491="","",YEAR($A491))</f>
        <v/>
      </c>
    </row>
    <row r="492" customFormat="false" ht="15" hidden="false" customHeight="true" outlineLevel="0" collapsed="false">
      <c r="A492" s="23"/>
      <c r="B492" s="8"/>
      <c r="C492" s="8"/>
      <c r="D492" s="24"/>
      <c r="E492" s="8"/>
      <c r="F492" s="25" t="str">
        <f aca="false">IF($A492="","",MONTH($A492))</f>
        <v/>
      </c>
      <c r="G492" s="25" t="str">
        <f aca="false">IF($A492="","",YEAR($A492))</f>
        <v/>
      </c>
    </row>
    <row r="493" customFormat="false" ht="15" hidden="false" customHeight="true" outlineLevel="0" collapsed="false">
      <c r="A493" s="23"/>
      <c r="B493" s="8"/>
      <c r="C493" s="8"/>
      <c r="D493" s="24"/>
      <c r="E493" s="8"/>
      <c r="F493" s="25" t="str">
        <f aca="false">IF($A493="","",MONTH($A493))</f>
        <v/>
      </c>
      <c r="G493" s="25" t="str">
        <f aca="false">IF($A493="","",YEAR($A493))</f>
        <v/>
      </c>
    </row>
    <row r="494" customFormat="false" ht="15" hidden="false" customHeight="true" outlineLevel="0" collapsed="false">
      <c r="A494" s="23"/>
      <c r="B494" s="8"/>
      <c r="C494" s="8"/>
      <c r="D494" s="24"/>
      <c r="E494" s="8"/>
      <c r="F494" s="25" t="str">
        <f aca="false">IF($A494="","",MONTH($A494))</f>
        <v/>
      </c>
      <c r="G494" s="25" t="str">
        <f aca="false">IF($A494="","",YEAR($A494))</f>
        <v/>
      </c>
    </row>
    <row r="495" customFormat="false" ht="15" hidden="false" customHeight="true" outlineLevel="0" collapsed="false">
      <c r="A495" s="23"/>
      <c r="B495" s="8"/>
      <c r="C495" s="8"/>
      <c r="D495" s="24"/>
      <c r="E495" s="8"/>
      <c r="F495" s="25" t="str">
        <f aca="false">IF($A495="","",MONTH($A495))</f>
        <v/>
      </c>
      <c r="G495" s="25" t="str">
        <f aca="false">IF($A495="","",YEAR($A495))</f>
        <v/>
      </c>
    </row>
    <row r="496" customFormat="false" ht="15" hidden="false" customHeight="true" outlineLevel="0" collapsed="false">
      <c r="A496" s="23"/>
      <c r="B496" s="8"/>
      <c r="C496" s="8"/>
      <c r="D496" s="24"/>
      <c r="E496" s="8"/>
      <c r="F496" s="25" t="str">
        <f aca="false">IF($A496="","",MONTH($A496))</f>
        <v/>
      </c>
      <c r="G496" s="25" t="str">
        <f aca="false">IF($A496="","",YEAR($A496))</f>
        <v/>
      </c>
    </row>
    <row r="497" customFormat="false" ht="15" hidden="false" customHeight="true" outlineLevel="0" collapsed="false">
      <c r="A497" s="23"/>
      <c r="B497" s="8"/>
      <c r="C497" s="8"/>
      <c r="D497" s="24"/>
      <c r="E497" s="8"/>
      <c r="F497" s="25" t="str">
        <f aca="false">IF($A497="","",MONTH($A497))</f>
        <v/>
      </c>
      <c r="G497" s="25" t="str">
        <f aca="false">IF($A497="","",YEAR($A497))</f>
        <v/>
      </c>
    </row>
    <row r="498" customFormat="false" ht="15" hidden="false" customHeight="true" outlineLevel="0" collapsed="false">
      <c r="A498" s="23"/>
      <c r="B498" s="8"/>
      <c r="C498" s="8"/>
      <c r="D498" s="24"/>
      <c r="E498" s="8"/>
      <c r="F498" s="25" t="str">
        <f aca="false">IF($A498="","",MONTH($A498))</f>
        <v/>
      </c>
      <c r="G498" s="25" t="str">
        <f aca="false">IF($A498="","",YEAR($A498))</f>
        <v/>
      </c>
    </row>
    <row r="499" customFormat="false" ht="15" hidden="false" customHeight="true" outlineLevel="0" collapsed="false">
      <c r="A499" s="23"/>
      <c r="B499" s="8"/>
      <c r="C499" s="8"/>
      <c r="D499" s="24"/>
      <c r="E499" s="8"/>
      <c r="F499" s="25" t="str">
        <f aca="false">IF($A499="","",MONTH($A499))</f>
        <v/>
      </c>
      <c r="G499" s="25" t="str">
        <f aca="false">IF($A499="","",YEAR($A499))</f>
        <v/>
      </c>
    </row>
    <row r="500" customFormat="false" ht="15" hidden="false" customHeight="true" outlineLevel="0" collapsed="false">
      <c r="A500" s="23"/>
      <c r="B500" s="8"/>
      <c r="C500" s="8"/>
      <c r="D500" s="24"/>
      <c r="E500" s="8"/>
      <c r="F500" s="25" t="str">
        <f aca="false">IF($A500="","",MONTH($A500))</f>
        <v/>
      </c>
      <c r="G500" s="25" t="str">
        <f aca="false">IF($A500="","",YEAR($A500))</f>
        <v/>
      </c>
    </row>
    <row r="501" customFormat="false" ht="15" hidden="false" customHeight="true" outlineLevel="0" collapsed="false">
      <c r="A501" s="23"/>
      <c r="B501" s="8"/>
      <c r="C501" s="8"/>
      <c r="D501" s="24"/>
      <c r="E501" s="8"/>
      <c r="F501" s="25" t="str">
        <f aca="false">IF($A501="","",MONTH($A501))</f>
        <v/>
      </c>
      <c r="G501" s="25" t="str">
        <f aca="false">IF($A501="","",YEAR($A501))</f>
        <v/>
      </c>
    </row>
    <row r="502" customFormat="false" ht="15" hidden="false" customHeight="true" outlineLevel="0" collapsed="false">
      <c r="A502" s="23"/>
      <c r="B502" s="8"/>
      <c r="C502" s="8"/>
      <c r="D502" s="24"/>
      <c r="E502" s="8"/>
      <c r="F502" s="25" t="str">
        <f aca="false">IF($A502="","",MONTH($A502))</f>
        <v/>
      </c>
      <c r="G502" s="25" t="str">
        <f aca="false">IF($A502="","",YEAR($A502))</f>
        <v/>
      </c>
    </row>
    <row r="503" customFormat="false" ht="15" hidden="false" customHeight="true" outlineLevel="0" collapsed="false">
      <c r="A503" s="23"/>
      <c r="B503" s="8"/>
      <c r="C503" s="8"/>
      <c r="D503" s="24"/>
      <c r="E503" s="8"/>
      <c r="F503" s="25" t="str">
        <f aca="false">IF($A503="","",MONTH($A503))</f>
        <v/>
      </c>
      <c r="G503" s="25" t="str">
        <f aca="false">IF($A503="","",YEAR($A503))</f>
        <v/>
      </c>
    </row>
    <row r="504" customFormat="false" ht="15" hidden="false" customHeight="true" outlineLevel="0" collapsed="false">
      <c r="A504" s="23"/>
      <c r="B504" s="8"/>
      <c r="C504" s="8"/>
      <c r="D504" s="24"/>
      <c r="E504" s="8"/>
      <c r="F504" s="25" t="str">
        <f aca="false">IF($A504="","",MONTH($A504))</f>
        <v/>
      </c>
      <c r="G504" s="25" t="str">
        <f aca="false">IF($A504="","",YEAR($A504))</f>
        <v/>
      </c>
    </row>
  </sheetData>
  <mergeCells count="2">
    <mergeCell ref="A1:G1"/>
    <mergeCell ref="A2:G2"/>
  </mergeCells>
  <dataValidations count="1">
    <dataValidation allowBlank="true" errorStyle="stop" operator="between" showDropDown="false" showErrorMessage="false" showInputMessage="false" sqref="C5:C504" type="list">
      <formula1>Setup!$A$22:$A$47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O1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14" min="3" style="1" width="10.51"/>
    <col collapsed="false" customWidth="true" hidden="false" outlineLevel="0" max="15" min="15" style="1" width="12"/>
  </cols>
  <sheetData>
    <row r="1" customFormat="false" ht="21.75" hidden="false" customHeight="true" outlineLevel="0" collapsed="false">
      <c r="A1" s="2" t="s">
        <v>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115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15.75" hidden="false" customHeight="true" outlineLevel="0" collapsed="false">
      <c r="A4" s="26" t="s">
        <v>39</v>
      </c>
      <c r="B4" s="26" t="s">
        <v>116</v>
      </c>
      <c r="C4" s="27" t="s">
        <v>117</v>
      </c>
      <c r="D4" s="27" t="s">
        <v>118</v>
      </c>
      <c r="E4" s="27" t="s">
        <v>119</v>
      </c>
      <c r="F4" s="27" t="s">
        <v>120</v>
      </c>
      <c r="G4" s="27" t="s">
        <v>121</v>
      </c>
      <c r="H4" s="27" t="s">
        <v>122</v>
      </c>
      <c r="I4" s="27" t="s">
        <v>123</v>
      </c>
      <c r="J4" s="27" t="s">
        <v>124</v>
      </c>
      <c r="K4" s="27" t="s">
        <v>125</v>
      </c>
      <c r="L4" s="27" t="s">
        <v>126</v>
      </c>
      <c r="M4" s="27" t="s">
        <v>127</v>
      </c>
      <c r="N4" s="27" t="s">
        <v>128</v>
      </c>
      <c r="O4" s="27" t="s">
        <v>129</v>
      </c>
    </row>
    <row r="5" customFormat="false" ht="15" hidden="false" customHeight="true" outlineLevel="0" collapsed="false">
      <c r="A5" s="28" t="str">
        <f aca="false">Setup!A22</f>
        <v>Income</v>
      </c>
      <c r="B5" s="29" t="s">
        <v>130</v>
      </c>
      <c r="C5" s="30" t="n">
        <f aca="false">Setup!C22</f>
        <v>7800</v>
      </c>
      <c r="D5" s="30" t="n">
        <f aca="false">Setup!C22</f>
        <v>7800</v>
      </c>
      <c r="E5" s="30" t="n">
        <f aca="false">Setup!C22</f>
        <v>7800</v>
      </c>
      <c r="F5" s="30" t="n">
        <f aca="false">Setup!C22</f>
        <v>7800</v>
      </c>
      <c r="G5" s="30" t="n">
        <f aca="false">Setup!C22</f>
        <v>7800</v>
      </c>
      <c r="H5" s="30" t="n">
        <f aca="false">Setup!C22</f>
        <v>7800</v>
      </c>
      <c r="I5" s="30" t="n">
        <f aca="false">Setup!C22</f>
        <v>7800</v>
      </c>
      <c r="J5" s="30" t="n">
        <f aca="false">Setup!C22</f>
        <v>7800</v>
      </c>
      <c r="K5" s="30" t="n">
        <f aca="false">Setup!C22</f>
        <v>7800</v>
      </c>
      <c r="L5" s="30" t="n">
        <f aca="false">Setup!C22</f>
        <v>7800</v>
      </c>
      <c r="M5" s="30" t="n">
        <f aca="false">Setup!C22</f>
        <v>7800</v>
      </c>
      <c r="N5" s="30" t="n">
        <f aca="false">Setup!C22</f>
        <v>7800</v>
      </c>
      <c r="O5" s="31" t="n">
        <f aca="false">SUM(C5:N5)</f>
        <v>93600</v>
      </c>
    </row>
    <row r="6" customFormat="false" ht="15" hidden="false" customHeight="true" outlineLevel="0" collapsed="false">
      <c r="A6" s="28"/>
      <c r="B6" s="29" t="s">
        <v>131</v>
      </c>
      <c r="C6" s="30" t="n">
        <f aca="false">SUMIFS(Transactions!$D$5:$D$504,Transactions!$C$5:$C$504,$A5,Transactions!$F$5:$F$504,1,Transactions!$G$5:$G$504,YEAR(Setup!$B$18))</f>
        <v>7800</v>
      </c>
      <c r="D6" s="30" t="n">
        <f aca="false">SUMIFS(Transactions!$D$5:$D$504,Transactions!$C$5:$C$504,$A5,Transactions!$F$5:$F$504,2,Transactions!$G$5:$G$504,YEAR(Setup!$B$18))</f>
        <v>7950</v>
      </c>
      <c r="E6" s="30" t="n">
        <f aca="false">SUMIFS(Transactions!$D$5:$D$504,Transactions!$C$5:$C$504,$A5,Transactions!$F$5:$F$504,3,Transactions!$G$5:$G$504,YEAR(Setup!$B$18))</f>
        <v>7600</v>
      </c>
      <c r="F6" s="30" t="n">
        <f aca="false">SUMIFS(Transactions!$D$5:$D$504,Transactions!$C$5:$C$504,$A5,Transactions!$F$5:$F$504,4,Transactions!$G$5:$G$504,YEAR(Setup!$B$18))</f>
        <v>0</v>
      </c>
      <c r="G6" s="30" t="n">
        <f aca="false">SUMIFS(Transactions!$D$5:$D$504,Transactions!$C$5:$C$504,$A5,Transactions!$F$5:$F$504,5,Transactions!$G$5:$G$504,YEAR(Setup!$B$18))</f>
        <v>0</v>
      </c>
      <c r="H6" s="30" t="n">
        <f aca="false">SUMIFS(Transactions!$D$5:$D$504,Transactions!$C$5:$C$504,$A5,Transactions!$F$5:$F$504,6,Transactions!$G$5:$G$504,YEAR(Setup!$B$18))</f>
        <v>0</v>
      </c>
      <c r="I6" s="30" t="n">
        <f aca="false">SUMIFS(Transactions!$D$5:$D$504,Transactions!$C$5:$C$504,$A5,Transactions!$F$5:$F$504,7,Transactions!$G$5:$G$504,YEAR(Setup!$B$18))</f>
        <v>0</v>
      </c>
      <c r="J6" s="30" t="n">
        <f aca="false">SUMIFS(Transactions!$D$5:$D$504,Transactions!$C$5:$C$504,$A5,Transactions!$F$5:$F$504,8,Transactions!$G$5:$G$504,YEAR(Setup!$B$18))</f>
        <v>0</v>
      </c>
      <c r="K6" s="30" t="n">
        <f aca="false">SUMIFS(Transactions!$D$5:$D$504,Transactions!$C$5:$C$504,$A5,Transactions!$F$5:$F$504,9,Transactions!$G$5:$G$504,YEAR(Setup!$B$18))</f>
        <v>0</v>
      </c>
      <c r="L6" s="30" t="n">
        <f aca="false">SUMIFS(Transactions!$D$5:$D$504,Transactions!$C$5:$C$504,$A5,Transactions!$F$5:$F$504,10,Transactions!$G$5:$G$504,YEAR(Setup!$B$18))</f>
        <v>0</v>
      </c>
      <c r="M6" s="30" t="n">
        <f aca="false">SUMIFS(Transactions!$D$5:$D$504,Transactions!$C$5:$C$504,$A5,Transactions!$F$5:$F$504,11,Transactions!$G$5:$G$504,YEAR(Setup!$B$18))</f>
        <v>0</v>
      </c>
      <c r="N6" s="30" t="n">
        <f aca="false">SUMIFS(Transactions!$D$5:$D$504,Transactions!$C$5:$C$504,$A5,Transactions!$F$5:$F$504,12,Transactions!$G$5:$G$504,YEAR(Setup!$B$18))</f>
        <v>0</v>
      </c>
      <c r="O6" s="31" t="n">
        <f aca="false">SUM(C6:N6)</f>
        <v>23350</v>
      </c>
    </row>
    <row r="7" customFormat="false" ht="15" hidden="false" customHeight="true" outlineLevel="0" collapsed="false">
      <c r="A7" s="28"/>
      <c r="B7" s="29" t="s">
        <v>132</v>
      </c>
      <c r="C7" s="30" t="n">
        <f aca="false">C6-C5</f>
        <v>0</v>
      </c>
      <c r="D7" s="30" t="n">
        <f aca="false">D6-D5</f>
        <v>150</v>
      </c>
      <c r="E7" s="30" t="n">
        <f aca="false">E6-E5</f>
        <v>-200</v>
      </c>
      <c r="F7" s="30" t="n">
        <f aca="false">F6-F5</f>
        <v>-7800</v>
      </c>
      <c r="G7" s="30" t="n">
        <f aca="false">G6-G5</f>
        <v>-7800</v>
      </c>
      <c r="H7" s="30" t="n">
        <f aca="false">H6-H5</f>
        <v>-7800</v>
      </c>
      <c r="I7" s="30" t="n">
        <f aca="false">I6-I5</f>
        <v>-7800</v>
      </c>
      <c r="J7" s="30" t="n">
        <f aca="false">J6-J5</f>
        <v>-7800</v>
      </c>
      <c r="K7" s="30" t="n">
        <f aca="false">K6-K5</f>
        <v>-7800</v>
      </c>
      <c r="L7" s="30" t="n">
        <f aca="false">L6-L5</f>
        <v>-7800</v>
      </c>
      <c r="M7" s="30" t="n">
        <f aca="false">M6-M5</f>
        <v>-7800</v>
      </c>
      <c r="N7" s="30" t="n">
        <f aca="false">N6-N5</f>
        <v>-7800</v>
      </c>
      <c r="O7" s="31" t="n">
        <f aca="false">O6-O5</f>
        <v>-70250</v>
      </c>
    </row>
    <row r="9" customFormat="false" ht="15" hidden="false" customHeight="true" outlineLevel="0" collapsed="false">
      <c r="A9" s="32" t="s">
        <v>133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</row>
    <row r="10" customFormat="false" ht="15" hidden="false" customHeight="true" outlineLevel="0" collapsed="false">
      <c r="A10" s="33" t="str">
        <f aca="false">Setup!A23</f>
        <v>Rent or Mortgage</v>
      </c>
      <c r="B10" s="29" t="s">
        <v>130</v>
      </c>
      <c r="C10" s="30" t="n">
        <f aca="false">Setup!C23</f>
        <v>1800</v>
      </c>
      <c r="D10" s="30" t="n">
        <f aca="false">Setup!C23</f>
        <v>1800</v>
      </c>
      <c r="E10" s="30" t="n">
        <f aca="false">Setup!C23</f>
        <v>1800</v>
      </c>
      <c r="F10" s="30" t="n">
        <f aca="false">Setup!C23</f>
        <v>1800</v>
      </c>
      <c r="G10" s="30" t="n">
        <f aca="false">Setup!C23</f>
        <v>1800</v>
      </c>
      <c r="H10" s="30" t="n">
        <f aca="false">Setup!C23</f>
        <v>1800</v>
      </c>
      <c r="I10" s="30" t="n">
        <f aca="false">Setup!C23</f>
        <v>1800</v>
      </c>
      <c r="J10" s="30" t="n">
        <f aca="false">Setup!C23</f>
        <v>1800</v>
      </c>
      <c r="K10" s="30" t="n">
        <f aca="false">Setup!C23</f>
        <v>1800</v>
      </c>
      <c r="L10" s="30" t="n">
        <f aca="false">Setup!C23</f>
        <v>1800</v>
      </c>
      <c r="M10" s="30" t="n">
        <f aca="false">Setup!C23</f>
        <v>1800</v>
      </c>
      <c r="N10" s="30" t="n">
        <f aca="false">Setup!C23</f>
        <v>1800</v>
      </c>
      <c r="O10" s="31" t="n">
        <f aca="false">SUM(C10:N10)</f>
        <v>21600</v>
      </c>
    </row>
    <row r="11" customFormat="false" ht="15" hidden="false" customHeight="true" outlineLevel="0" collapsed="false">
      <c r="A11" s="33"/>
      <c r="B11" s="29" t="s">
        <v>131</v>
      </c>
      <c r="C11" s="30" t="n">
        <f aca="false">SUMIFS(Transactions!$D$5:$D$504,Transactions!$C$5:$C$504,$A10,Transactions!$F$5:$F$504,1,Transactions!$G$5:$G$504,YEAR(Setup!$B$18))</f>
        <v>1800</v>
      </c>
      <c r="D11" s="30" t="n">
        <f aca="false">SUMIFS(Transactions!$D$5:$D$504,Transactions!$C$5:$C$504,$A10,Transactions!$F$5:$F$504,2,Transactions!$G$5:$G$504,YEAR(Setup!$B$18))</f>
        <v>1800</v>
      </c>
      <c r="E11" s="30" t="n">
        <f aca="false">SUMIFS(Transactions!$D$5:$D$504,Transactions!$C$5:$C$504,$A10,Transactions!$F$5:$F$504,3,Transactions!$G$5:$G$504,YEAR(Setup!$B$18))</f>
        <v>1800</v>
      </c>
      <c r="F11" s="30" t="n">
        <f aca="false">SUMIFS(Transactions!$D$5:$D$504,Transactions!$C$5:$C$504,$A10,Transactions!$F$5:$F$504,4,Transactions!$G$5:$G$504,YEAR(Setup!$B$18))</f>
        <v>0</v>
      </c>
      <c r="G11" s="30" t="n">
        <f aca="false">SUMIFS(Transactions!$D$5:$D$504,Transactions!$C$5:$C$504,$A10,Transactions!$F$5:$F$504,5,Transactions!$G$5:$G$504,YEAR(Setup!$B$18))</f>
        <v>0</v>
      </c>
      <c r="H11" s="30" t="n">
        <f aca="false">SUMIFS(Transactions!$D$5:$D$504,Transactions!$C$5:$C$504,$A10,Transactions!$F$5:$F$504,6,Transactions!$G$5:$G$504,YEAR(Setup!$B$18))</f>
        <v>0</v>
      </c>
      <c r="I11" s="30" t="n">
        <f aca="false">SUMIFS(Transactions!$D$5:$D$504,Transactions!$C$5:$C$504,$A10,Transactions!$F$5:$F$504,7,Transactions!$G$5:$G$504,YEAR(Setup!$B$18))</f>
        <v>0</v>
      </c>
      <c r="J11" s="30" t="n">
        <f aca="false">SUMIFS(Transactions!$D$5:$D$504,Transactions!$C$5:$C$504,$A10,Transactions!$F$5:$F$504,8,Transactions!$G$5:$G$504,YEAR(Setup!$B$18))</f>
        <v>0</v>
      </c>
      <c r="K11" s="30" t="n">
        <f aca="false">SUMIFS(Transactions!$D$5:$D$504,Transactions!$C$5:$C$504,$A10,Transactions!$F$5:$F$504,9,Transactions!$G$5:$G$504,YEAR(Setup!$B$18))</f>
        <v>0</v>
      </c>
      <c r="L11" s="30" t="n">
        <f aca="false">SUMIFS(Transactions!$D$5:$D$504,Transactions!$C$5:$C$504,$A10,Transactions!$F$5:$F$504,10,Transactions!$G$5:$G$504,YEAR(Setup!$B$18))</f>
        <v>0</v>
      </c>
      <c r="M11" s="30" t="n">
        <f aca="false">SUMIFS(Transactions!$D$5:$D$504,Transactions!$C$5:$C$504,$A10,Transactions!$F$5:$F$504,11,Transactions!$G$5:$G$504,YEAR(Setup!$B$18))</f>
        <v>0</v>
      </c>
      <c r="N11" s="30" t="n">
        <f aca="false">SUMIFS(Transactions!$D$5:$D$504,Transactions!$C$5:$C$504,$A10,Transactions!$F$5:$F$504,12,Transactions!$G$5:$G$504,YEAR(Setup!$B$18))</f>
        <v>0</v>
      </c>
      <c r="O11" s="31" t="n">
        <f aca="false">SUM(C11:N11)</f>
        <v>5400</v>
      </c>
    </row>
    <row r="12" customFormat="false" ht="15" hidden="false" customHeight="true" outlineLevel="0" collapsed="false">
      <c r="A12" s="33"/>
      <c r="B12" s="29" t="s">
        <v>132</v>
      </c>
      <c r="C12" s="30" t="n">
        <f aca="false">C11-C10</f>
        <v>0</v>
      </c>
      <c r="D12" s="30" t="n">
        <f aca="false">D11-D10</f>
        <v>0</v>
      </c>
      <c r="E12" s="30" t="n">
        <f aca="false">E11-E10</f>
        <v>0</v>
      </c>
      <c r="F12" s="30" t="n">
        <f aca="false">F11-F10</f>
        <v>-1800</v>
      </c>
      <c r="G12" s="30" t="n">
        <f aca="false">G11-G10</f>
        <v>-1800</v>
      </c>
      <c r="H12" s="30" t="n">
        <f aca="false">H11-H10</f>
        <v>-1800</v>
      </c>
      <c r="I12" s="30" t="n">
        <f aca="false">I11-I10</f>
        <v>-1800</v>
      </c>
      <c r="J12" s="30" t="n">
        <f aca="false">J11-J10</f>
        <v>-1800</v>
      </c>
      <c r="K12" s="30" t="n">
        <f aca="false">K11-K10</f>
        <v>-1800</v>
      </c>
      <c r="L12" s="30" t="n">
        <f aca="false">L11-L10</f>
        <v>-1800</v>
      </c>
      <c r="M12" s="30" t="n">
        <f aca="false">M11-M10</f>
        <v>-1800</v>
      </c>
      <c r="N12" s="30" t="n">
        <f aca="false">N11-N10</f>
        <v>-1800</v>
      </c>
      <c r="O12" s="31" t="n">
        <f aca="false">O11-O10</f>
        <v>-16200</v>
      </c>
    </row>
    <row r="13" customFormat="false" ht="15" hidden="false" customHeight="true" outlineLevel="0" collapsed="false">
      <c r="A13" s="33" t="str">
        <f aca="false">Setup!A24</f>
        <v>Electric and Gas</v>
      </c>
      <c r="B13" s="29" t="s">
        <v>130</v>
      </c>
      <c r="C13" s="30" t="n">
        <f aca="false">Setup!C24</f>
        <v>150</v>
      </c>
      <c r="D13" s="30" t="n">
        <f aca="false">Setup!C24</f>
        <v>150</v>
      </c>
      <c r="E13" s="30" t="n">
        <f aca="false">Setup!C24</f>
        <v>150</v>
      </c>
      <c r="F13" s="30" t="n">
        <f aca="false">Setup!C24</f>
        <v>150</v>
      </c>
      <c r="G13" s="30" t="n">
        <f aca="false">Setup!C24</f>
        <v>150</v>
      </c>
      <c r="H13" s="30" t="n">
        <f aca="false">Setup!C24</f>
        <v>150</v>
      </c>
      <c r="I13" s="30" t="n">
        <f aca="false">Setup!C24</f>
        <v>150</v>
      </c>
      <c r="J13" s="30" t="n">
        <f aca="false">Setup!C24</f>
        <v>150</v>
      </c>
      <c r="K13" s="30" t="n">
        <f aca="false">Setup!C24</f>
        <v>150</v>
      </c>
      <c r="L13" s="30" t="n">
        <f aca="false">Setup!C24</f>
        <v>150</v>
      </c>
      <c r="M13" s="30" t="n">
        <f aca="false">Setup!C24</f>
        <v>150</v>
      </c>
      <c r="N13" s="30" t="n">
        <f aca="false">Setup!C24</f>
        <v>150</v>
      </c>
      <c r="O13" s="31" t="n">
        <f aca="false">SUM(C13:N13)</f>
        <v>1800</v>
      </c>
    </row>
    <row r="14" customFormat="false" ht="15" hidden="false" customHeight="true" outlineLevel="0" collapsed="false">
      <c r="A14" s="33"/>
      <c r="B14" s="29" t="s">
        <v>131</v>
      </c>
      <c r="C14" s="30" t="n">
        <f aca="false">SUMIFS(Transactions!$D$5:$D$504,Transactions!$C$5:$C$504,$A13,Transactions!$F$5:$F$504,1,Transactions!$G$5:$G$504,YEAR(Setup!$B$18))</f>
        <v>145</v>
      </c>
      <c r="D14" s="30" t="n">
        <f aca="false">SUMIFS(Transactions!$D$5:$D$504,Transactions!$C$5:$C$504,$A13,Transactions!$F$5:$F$504,2,Transactions!$G$5:$G$504,YEAR(Setup!$B$18))</f>
        <v>162</v>
      </c>
      <c r="E14" s="30" t="n">
        <f aca="false">SUMIFS(Transactions!$D$5:$D$504,Transactions!$C$5:$C$504,$A13,Transactions!$F$5:$F$504,3,Transactions!$G$5:$G$504,YEAR(Setup!$B$18))</f>
        <v>138</v>
      </c>
      <c r="F14" s="30" t="n">
        <f aca="false">SUMIFS(Transactions!$D$5:$D$504,Transactions!$C$5:$C$504,$A13,Transactions!$F$5:$F$504,4,Transactions!$G$5:$G$504,YEAR(Setup!$B$18))</f>
        <v>0</v>
      </c>
      <c r="G14" s="30" t="n">
        <f aca="false">SUMIFS(Transactions!$D$5:$D$504,Transactions!$C$5:$C$504,$A13,Transactions!$F$5:$F$504,5,Transactions!$G$5:$G$504,YEAR(Setup!$B$18))</f>
        <v>0</v>
      </c>
      <c r="H14" s="30" t="n">
        <f aca="false">SUMIFS(Transactions!$D$5:$D$504,Transactions!$C$5:$C$504,$A13,Transactions!$F$5:$F$504,6,Transactions!$G$5:$G$504,YEAR(Setup!$B$18))</f>
        <v>0</v>
      </c>
      <c r="I14" s="30" t="n">
        <f aca="false">SUMIFS(Transactions!$D$5:$D$504,Transactions!$C$5:$C$504,$A13,Transactions!$F$5:$F$504,7,Transactions!$G$5:$G$504,YEAR(Setup!$B$18))</f>
        <v>0</v>
      </c>
      <c r="J14" s="30" t="n">
        <f aca="false">SUMIFS(Transactions!$D$5:$D$504,Transactions!$C$5:$C$504,$A13,Transactions!$F$5:$F$504,8,Transactions!$G$5:$G$504,YEAR(Setup!$B$18))</f>
        <v>0</v>
      </c>
      <c r="K14" s="30" t="n">
        <f aca="false">SUMIFS(Transactions!$D$5:$D$504,Transactions!$C$5:$C$504,$A13,Transactions!$F$5:$F$504,9,Transactions!$G$5:$G$504,YEAR(Setup!$B$18))</f>
        <v>0</v>
      </c>
      <c r="L14" s="30" t="n">
        <f aca="false">SUMIFS(Transactions!$D$5:$D$504,Transactions!$C$5:$C$504,$A13,Transactions!$F$5:$F$504,10,Transactions!$G$5:$G$504,YEAR(Setup!$B$18))</f>
        <v>0</v>
      </c>
      <c r="M14" s="30" t="n">
        <f aca="false">SUMIFS(Transactions!$D$5:$D$504,Transactions!$C$5:$C$504,$A13,Transactions!$F$5:$F$504,11,Transactions!$G$5:$G$504,YEAR(Setup!$B$18))</f>
        <v>0</v>
      </c>
      <c r="N14" s="30" t="n">
        <f aca="false">SUMIFS(Transactions!$D$5:$D$504,Transactions!$C$5:$C$504,$A13,Transactions!$F$5:$F$504,12,Transactions!$G$5:$G$504,YEAR(Setup!$B$18))</f>
        <v>0</v>
      </c>
      <c r="O14" s="31" t="n">
        <f aca="false">SUM(C14:N14)</f>
        <v>445</v>
      </c>
    </row>
    <row r="15" customFormat="false" ht="15" hidden="false" customHeight="true" outlineLevel="0" collapsed="false">
      <c r="A15" s="33"/>
      <c r="B15" s="29" t="s">
        <v>132</v>
      </c>
      <c r="C15" s="30" t="n">
        <f aca="false">C14-C13</f>
        <v>-5</v>
      </c>
      <c r="D15" s="30" t="n">
        <f aca="false">D14-D13</f>
        <v>12</v>
      </c>
      <c r="E15" s="30" t="n">
        <f aca="false">E14-E13</f>
        <v>-12</v>
      </c>
      <c r="F15" s="30" t="n">
        <f aca="false">F14-F13</f>
        <v>-150</v>
      </c>
      <c r="G15" s="30" t="n">
        <f aca="false">G14-G13</f>
        <v>-150</v>
      </c>
      <c r="H15" s="30" t="n">
        <f aca="false">H14-H13</f>
        <v>-150</v>
      </c>
      <c r="I15" s="30" t="n">
        <f aca="false">I14-I13</f>
        <v>-150</v>
      </c>
      <c r="J15" s="30" t="n">
        <f aca="false">J14-J13</f>
        <v>-150</v>
      </c>
      <c r="K15" s="30" t="n">
        <f aca="false">K14-K13</f>
        <v>-150</v>
      </c>
      <c r="L15" s="30" t="n">
        <f aca="false">L14-L13</f>
        <v>-150</v>
      </c>
      <c r="M15" s="30" t="n">
        <f aca="false">M14-M13</f>
        <v>-150</v>
      </c>
      <c r="N15" s="30" t="n">
        <f aca="false">N14-N13</f>
        <v>-150</v>
      </c>
      <c r="O15" s="31" t="n">
        <f aca="false">O14-O13</f>
        <v>-1355</v>
      </c>
    </row>
    <row r="16" customFormat="false" ht="15" hidden="false" customHeight="true" outlineLevel="0" collapsed="false">
      <c r="A16" s="33" t="str">
        <f aca="false">Setup!A25</f>
        <v>Internet and Phone</v>
      </c>
      <c r="B16" s="29" t="s">
        <v>130</v>
      </c>
      <c r="C16" s="30" t="n">
        <f aca="false">Setup!C25</f>
        <v>90</v>
      </c>
      <c r="D16" s="30" t="n">
        <f aca="false">Setup!C25</f>
        <v>90</v>
      </c>
      <c r="E16" s="30" t="n">
        <f aca="false">Setup!C25</f>
        <v>90</v>
      </c>
      <c r="F16" s="30" t="n">
        <f aca="false">Setup!C25</f>
        <v>90</v>
      </c>
      <c r="G16" s="30" t="n">
        <f aca="false">Setup!C25</f>
        <v>90</v>
      </c>
      <c r="H16" s="30" t="n">
        <f aca="false">Setup!C25</f>
        <v>90</v>
      </c>
      <c r="I16" s="30" t="n">
        <f aca="false">Setup!C25</f>
        <v>90</v>
      </c>
      <c r="J16" s="30" t="n">
        <f aca="false">Setup!C25</f>
        <v>90</v>
      </c>
      <c r="K16" s="30" t="n">
        <f aca="false">Setup!C25</f>
        <v>90</v>
      </c>
      <c r="L16" s="30" t="n">
        <f aca="false">Setup!C25</f>
        <v>90</v>
      </c>
      <c r="M16" s="30" t="n">
        <f aca="false">Setup!C25</f>
        <v>90</v>
      </c>
      <c r="N16" s="30" t="n">
        <f aca="false">Setup!C25</f>
        <v>90</v>
      </c>
      <c r="O16" s="31" t="n">
        <f aca="false">SUM(C16:N16)</f>
        <v>1080</v>
      </c>
    </row>
    <row r="17" customFormat="false" ht="15" hidden="false" customHeight="true" outlineLevel="0" collapsed="false">
      <c r="A17" s="33"/>
      <c r="B17" s="29" t="s">
        <v>131</v>
      </c>
      <c r="C17" s="30" t="n">
        <f aca="false">SUMIFS(Transactions!$D$5:$D$504,Transactions!$C$5:$C$504,$A16,Transactions!$F$5:$F$504,1,Transactions!$G$5:$G$504,YEAR(Setup!$B$18))</f>
        <v>89</v>
      </c>
      <c r="D17" s="30" t="n">
        <f aca="false">SUMIFS(Transactions!$D$5:$D$504,Transactions!$C$5:$C$504,$A16,Transactions!$F$5:$F$504,2,Transactions!$G$5:$G$504,YEAR(Setup!$B$18))</f>
        <v>0</v>
      </c>
      <c r="E17" s="30" t="n">
        <f aca="false">SUMIFS(Transactions!$D$5:$D$504,Transactions!$C$5:$C$504,$A16,Transactions!$F$5:$F$504,3,Transactions!$G$5:$G$504,YEAR(Setup!$B$18))</f>
        <v>95</v>
      </c>
      <c r="F17" s="30" t="n">
        <f aca="false">SUMIFS(Transactions!$D$5:$D$504,Transactions!$C$5:$C$504,$A16,Transactions!$F$5:$F$504,4,Transactions!$G$5:$G$504,YEAR(Setup!$B$18))</f>
        <v>0</v>
      </c>
      <c r="G17" s="30" t="n">
        <f aca="false">SUMIFS(Transactions!$D$5:$D$504,Transactions!$C$5:$C$504,$A16,Transactions!$F$5:$F$504,5,Transactions!$G$5:$G$504,YEAR(Setup!$B$18))</f>
        <v>0</v>
      </c>
      <c r="H17" s="30" t="n">
        <f aca="false">SUMIFS(Transactions!$D$5:$D$504,Transactions!$C$5:$C$504,$A16,Transactions!$F$5:$F$504,6,Transactions!$G$5:$G$504,YEAR(Setup!$B$18))</f>
        <v>0</v>
      </c>
      <c r="I17" s="30" t="n">
        <f aca="false">SUMIFS(Transactions!$D$5:$D$504,Transactions!$C$5:$C$504,$A16,Transactions!$F$5:$F$504,7,Transactions!$G$5:$G$504,YEAR(Setup!$B$18))</f>
        <v>0</v>
      </c>
      <c r="J17" s="30" t="n">
        <f aca="false">SUMIFS(Transactions!$D$5:$D$504,Transactions!$C$5:$C$504,$A16,Transactions!$F$5:$F$504,8,Transactions!$G$5:$G$504,YEAR(Setup!$B$18))</f>
        <v>0</v>
      </c>
      <c r="K17" s="30" t="n">
        <f aca="false">SUMIFS(Transactions!$D$5:$D$504,Transactions!$C$5:$C$504,$A16,Transactions!$F$5:$F$504,9,Transactions!$G$5:$G$504,YEAR(Setup!$B$18))</f>
        <v>0</v>
      </c>
      <c r="L17" s="30" t="n">
        <f aca="false">SUMIFS(Transactions!$D$5:$D$504,Transactions!$C$5:$C$504,$A16,Transactions!$F$5:$F$504,10,Transactions!$G$5:$G$504,YEAR(Setup!$B$18))</f>
        <v>0</v>
      </c>
      <c r="M17" s="30" t="n">
        <f aca="false">SUMIFS(Transactions!$D$5:$D$504,Transactions!$C$5:$C$504,$A16,Transactions!$F$5:$F$504,11,Transactions!$G$5:$G$504,YEAR(Setup!$B$18))</f>
        <v>0</v>
      </c>
      <c r="N17" s="30" t="n">
        <f aca="false">SUMIFS(Transactions!$D$5:$D$504,Transactions!$C$5:$C$504,$A16,Transactions!$F$5:$F$504,12,Transactions!$G$5:$G$504,YEAR(Setup!$B$18))</f>
        <v>0</v>
      </c>
      <c r="O17" s="31" t="n">
        <f aca="false">SUM(C17:N17)</f>
        <v>184</v>
      </c>
    </row>
    <row r="18" customFormat="false" ht="15" hidden="false" customHeight="true" outlineLevel="0" collapsed="false">
      <c r="A18" s="33"/>
      <c r="B18" s="29" t="s">
        <v>132</v>
      </c>
      <c r="C18" s="30" t="n">
        <f aca="false">C17-C16</f>
        <v>-1</v>
      </c>
      <c r="D18" s="30" t="n">
        <f aca="false">D17-D16</f>
        <v>-90</v>
      </c>
      <c r="E18" s="30" t="n">
        <f aca="false">E17-E16</f>
        <v>5</v>
      </c>
      <c r="F18" s="30" t="n">
        <f aca="false">F17-F16</f>
        <v>-90</v>
      </c>
      <c r="G18" s="30" t="n">
        <f aca="false">G17-G16</f>
        <v>-90</v>
      </c>
      <c r="H18" s="30" t="n">
        <f aca="false">H17-H16</f>
        <v>-90</v>
      </c>
      <c r="I18" s="30" t="n">
        <f aca="false">I17-I16</f>
        <v>-90</v>
      </c>
      <c r="J18" s="30" t="n">
        <f aca="false">J17-J16</f>
        <v>-90</v>
      </c>
      <c r="K18" s="30" t="n">
        <f aca="false">K17-K16</f>
        <v>-90</v>
      </c>
      <c r="L18" s="30" t="n">
        <f aca="false">L17-L16</f>
        <v>-90</v>
      </c>
      <c r="M18" s="30" t="n">
        <f aca="false">M17-M16</f>
        <v>-90</v>
      </c>
      <c r="N18" s="30" t="n">
        <f aca="false">N17-N16</f>
        <v>-90</v>
      </c>
      <c r="O18" s="31" t="n">
        <f aca="false">O17-O16</f>
        <v>-896</v>
      </c>
    </row>
    <row r="19" customFormat="false" ht="15" hidden="false" customHeight="true" outlineLevel="0" collapsed="false">
      <c r="A19" s="34" t="s">
        <v>134</v>
      </c>
      <c r="B19" s="35" t="s">
        <v>130</v>
      </c>
      <c r="C19" s="36" t="n">
        <f aca="false">C10+C13+C16</f>
        <v>2040</v>
      </c>
      <c r="D19" s="36" t="n">
        <f aca="false">D10+D13+D16</f>
        <v>2040</v>
      </c>
      <c r="E19" s="36" t="n">
        <f aca="false">E10+E13+E16</f>
        <v>2040</v>
      </c>
      <c r="F19" s="36" t="n">
        <f aca="false">F10+F13+F16</f>
        <v>2040</v>
      </c>
      <c r="G19" s="36" t="n">
        <f aca="false">G10+G13+G16</f>
        <v>2040</v>
      </c>
      <c r="H19" s="36" t="n">
        <f aca="false">H10+H13+H16</f>
        <v>2040</v>
      </c>
      <c r="I19" s="36" t="n">
        <f aca="false">I10+I13+I16</f>
        <v>2040</v>
      </c>
      <c r="J19" s="36" t="n">
        <f aca="false">J10+J13+J16</f>
        <v>2040</v>
      </c>
      <c r="K19" s="36" t="n">
        <f aca="false">K10+K13+K16</f>
        <v>2040</v>
      </c>
      <c r="L19" s="36" t="n">
        <f aca="false">L10+L13+L16</f>
        <v>2040</v>
      </c>
      <c r="M19" s="36" t="n">
        <f aca="false">M10+M13+M16</f>
        <v>2040</v>
      </c>
      <c r="N19" s="36" t="n">
        <f aca="false">N10+N13+N16</f>
        <v>2040</v>
      </c>
      <c r="O19" s="36" t="n">
        <f aca="false">SUM(C19:N19)</f>
        <v>24480</v>
      </c>
    </row>
    <row r="20" customFormat="false" ht="15" hidden="false" customHeight="true" outlineLevel="0" collapsed="false">
      <c r="A20" s="34"/>
      <c r="B20" s="35" t="s">
        <v>131</v>
      </c>
      <c r="C20" s="36" t="n">
        <f aca="false">C11+C14+C17</f>
        <v>2034</v>
      </c>
      <c r="D20" s="36" t="n">
        <f aca="false">D11+D14+D17</f>
        <v>1962</v>
      </c>
      <c r="E20" s="36" t="n">
        <f aca="false">E11+E14+E17</f>
        <v>2033</v>
      </c>
      <c r="F20" s="36" t="n">
        <f aca="false">F11+F14+F17</f>
        <v>0</v>
      </c>
      <c r="G20" s="36" t="n">
        <f aca="false">G11+G14+G17</f>
        <v>0</v>
      </c>
      <c r="H20" s="36" t="n">
        <f aca="false">H11+H14+H17</f>
        <v>0</v>
      </c>
      <c r="I20" s="36" t="n">
        <f aca="false">I11+I14+I17</f>
        <v>0</v>
      </c>
      <c r="J20" s="36" t="n">
        <f aca="false">J11+J14+J17</f>
        <v>0</v>
      </c>
      <c r="K20" s="36" t="n">
        <f aca="false">K11+K14+K17</f>
        <v>0</v>
      </c>
      <c r="L20" s="36" t="n">
        <f aca="false">L11+L14+L17</f>
        <v>0</v>
      </c>
      <c r="M20" s="36" t="n">
        <f aca="false">M11+M14+M17</f>
        <v>0</v>
      </c>
      <c r="N20" s="36" t="n">
        <f aca="false">N11+N14+N17</f>
        <v>0</v>
      </c>
      <c r="O20" s="36" t="n">
        <f aca="false">SUM(C20:N20)</f>
        <v>6029</v>
      </c>
    </row>
    <row r="21" customFormat="false" ht="15" hidden="false" customHeight="true" outlineLevel="0" collapsed="false">
      <c r="A21" s="34"/>
      <c r="B21" s="35" t="s">
        <v>132</v>
      </c>
      <c r="C21" s="36" t="n">
        <f aca="false">C20-C19</f>
        <v>-6</v>
      </c>
      <c r="D21" s="36" t="n">
        <f aca="false">D20-D19</f>
        <v>-78</v>
      </c>
      <c r="E21" s="36" t="n">
        <f aca="false">E20-E19</f>
        <v>-7</v>
      </c>
      <c r="F21" s="36" t="n">
        <f aca="false">F20-F19</f>
        <v>-2040</v>
      </c>
      <c r="G21" s="36" t="n">
        <f aca="false">G20-G19</f>
        <v>-2040</v>
      </c>
      <c r="H21" s="36" t="n">
        <f aca="false">H20-H19</f>
        <v>-2040</v>
      </c>
      <c r="I21" s="36" t="n">
        <f aca="false">I20-I19</f>
        <v>-2040</v>
      </c>
      <c r="J21" s="36" t="n">
        <f aca="false">J20-J19</f>
        <v>-2040</v>
      </c>
      <c r="K21" s="36" t="n">
        <f aca="false">K20-K19</f>
        <v>-2040</v>
      </c>
      <c r="L21" s="36" t="n">
        <f aca="false">L20-L19</f>
        <v>-2040</v>
      </c>
      <c r="M21" s="36" t="n">
        <f aca="false">M20-M19</f>
        <v>-2040</v>
      </c>
      <c r="N21" s="36" t="n">
        <f aca="false">N20-N19</f>
        <v>-2040</v>
      </c>
      <c r="O21" s="36" t="n">
        <f aca="false">O20-O19</f>
        <v>-18451</v>
      </c>
    </row>
    <row r="23" customFormat="false" ht="15" hidden="false" customHeight="true" outlineLevel="0" collapsed="false">
      <c r="A23" s="32" t="s">
        <v>135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</row>
    <row r="24" customFormat="false" ht="15" hidden="false" customHeight="true" outlineLevel="0" collapsed="false">
      <c r="A24" s="33" t="str">
        <f aca="false">Setup!A26</f>
        <v>Car Payment</v>
      </c>
      <c r="B24" s="29" t="s">
        <v>130</v>
      </c>
      <c r="C24" s="30" t="n">
        <f aca="false">Setup!C26</f>
        <v>350</v>
      </c>
      <c r="D24" s="30" t="n">
        <f aca="false">Setup!C26</f>
        <v>350</v>
      </c>
      <c r="E24" s="30" t="n">
        <f aca="false">Setup!C26</f>
        <v>350</v>
      </c>
      <c r="F24" s="30" t="n">
        <f aca="false">Setup!C26</f>
        <v>350</v>
      </c>
      <c r="G24" s="30" t="n">
        <f aca="false">Setup!C26</f>
        <v>350</v>
      </c>
      <c r="H24" s="30" t="n">
        <f aca="false">Setup!C26</f>
        <v>350</v>
      </c>
      <c r="I24" s="30" t="n">
        <f aca="false">Setup!C26</f>
        <v>350</v>
      </c>
      <c r="J24" s="30" t="n">
        <f aca="false">Setup!C26</f>
        <v>350</v>
      </c>
      <c r="K24" s="30" t="n">
        <f aca="false">Setup!C26</f>
        <v>350</v>
      </c>
      <c r="L24" s="30" t="n">
        <f aca="false">Setup!C26</f>
        <v>350</v>
      </c>
      <c r="M24" s="30" t="n">
        <f aca="false">Setup!C26</f>
        <v>350</v>
      </c>
      <c r="N24" s="30" t="n">
        <f aca="false">Setup!C26</f>
        <v>350</v>
      </c>
      <c r="O24" s="31" t="n">
        <f aca="false">SUM(C24:N24)</f>
        <v>4200</v>
      </c>
    </row>
    <row r="25" customFormat="false" ht="15" hidden="false" customHeight="true" outlineLevel="0" collapsed="false">
      <c r="A25" s="33"/>
      <c r="B25" s="29" t="s">
        <v>131</v>
      </c>
      <c r="C25" s="30" t="n">
        <f aca="false">SUMIFS(Transactions!$D$5:$D$504,Transactions!$C$5:$C$504,$A24,Transactions!$F$5:$F$504,1,Transactions!$G$5:$G$504,YEAR(Setup!$B$18))</f>
        <v>350</v>
      </c>
      <c r="D25" s="30" t="n">
        <f aca="false">SUMIFS(Transactions!$D$5:$D$504,Transactions!$C$5:$C$504,$A24,Transactions!$F$5:$F$504,2,Transactions!$G$5:$G$504,YEAR(Setup!$B$18))</f>
        <v>350</v>
      </c>
      <c r="E25" s="30" t="n">
        <f aca="false">SUMIFS(Transactions!$D$5:$D$504,Transactions!$C$5:$C$504,$A24,Transactions!$F$5:$F$504,3,Transactions!$G$5:$G$504,YEAR(Setup!$B$18))</f>
        <v>350</v>
      </c>
      <c r="F25" s="30" t="n">
        <f aca="false">SUMIFS(Transactions!$D$5:$D$504,Transactions!$C$5:$C$504,$A24,Transactions!$F$5:$F$504,4,Transactions!$G$5:$G$504,YEAR(Setup!$B$18))</f>
        <v>0</v>
      </c>
      <c r="G25" s="30" t="n">
        <f aca="false">SUMIFS(Transactions!$D$5:$D$504,Transactions!$C$5:$C$504,$A24,Transactions!$F$5:$F$504,5,Transactions!$G$5:$G$504,YEAR(Setup!$B$18))</f>
        <v>0</v>
      </c>
      <c r="H25" s="30" t="n">
        <f aca="false">SUMIFS(Transactions!$D$5:$D$504,Transactions!$C$5:$C$504,$A24,Transactions!$F$5:$F$504,6,Transactions!$G$5:$G$504,YEAR(Setup!$B$18))</f>
        <v>0</v>
      </c>
      <c r="I25" s="30" t="n">
        <f aca="false">SUMIFS(Transactions!$D$5:$D$504,Transactions!$C$5:$C$504,$A24,Transactions!$F$5:$F$504,7,Transactions!$G$5:$G$504,YEAR(Setup!$B$18))</f>
        <v>0</v>
      </c>
      <c r="J25" s="30" t="n">
        <f aca="false">SUMIFS(Transactions!$D$5:$D$504,Transactions!$C$5:$C$504,$A24,Transactions!$F$5:$F$504,8,Transactions!$G$5:$G$504,YEAR(Setup!$B$18))</f>
        <v>0</v>
      </c>
      <c r="K25" s="30" t="n">
        <f aca="false">SUMIFS(Transactions!$D$5:$D$504,Transactions!$C$5:$C$504,$A24,Transactions!$F$5:$F$504,9,Transactions!$G$5:$G$504,YEAR(Setup!$B$18))</f>
        <v>0</v>
      </c>
      <c r="L25" s="30" t="n">
        <f aca="false">SUMIFS(Transactions!$D$5:$D$504,Transactions!$C$5:$C$504,$A24,Transactions!$F$5:$F$504,10,Transactions!$G$5:$G$504,YEAR(Setup!$B$18))</f>
        <v>0</v>
      </c>
      <c r="M25" s="30" t="n">
        <f aca="false">SUMIFS(Transactions!$D$5:$D$504,Transactions!$C$5:$C$504,$A24,Transactions!$F$5:$F$504,11,Transactions!$G$5:$G$504,YEAR(Setup!$B$18))</f>
        <v>0</v>
      </c>
      <c r="N25" s="30" t="n">
        <f aca="false">SUMIFS(Transactions!$D$5:$D$504,Transactions!$C$5:$C$504,$A24,Transactions!$F$5:$F$504,12,Transactions!$G$5:$G$504,YEAR(Setup!$B$18))</f>
        <v>0</v>
      </c>
      <c r="O25" s="31" t="n">
        <f aca="false">SUM(C25:N25)</f>
        <v>1050</v>
      </c>
    </row>
    <row r="26" customFormat="false" ht="15" hidden="false" customHeight="true" outlineLevel="0" collapsed="false">
      <c r="A26" s="33"/>
      <c r="B26" s="29" t="s">
        <v>132</v>
      </c>
      <c r="C26" s="30" t="n">
        <f aca="false">C25-C24</f>
        <v>0</v>
      </c>
      <c r="D26" s="30" t="n">
        <f aca="false">D25-D24</f>
        <v>0</v>
      </c>
      <c r="E26" s="30" t="n">
        <f aca="false">E25-E24</f>
        <v>0</v>
      </c>
      <c r="F26" s="30" t="n">
        <f aca="false">F25-F24</f>
        <v>-350</v>
      </c>
      <c r="G26" s="30" t="n">
        <f aca="false">G25-G24</f>
        <v>-350</v>
      </c>
      <c r="H26" s="30" t="n">
        <f aca="false">H25-H24</f>
        <v>-350</v>
      </c>
      <c r="I26" s="30" t="n">
        <f aca="false">I25-I24</f>
        <v>-350</v>
      </c>
      <c r="J26" s="30" t="n">
        <f aca="false">J25-J24</f>
        <v>-350</v>
      </c>
      <c r="K26" s="30" t="n">
        <f aca="false">K25-K24</f>
        <v>-350</v>
      </c>
      <c r="L26" s="30" t="n">
        <f aca="false">L25-L24</f>
        <v>-350</v>
      </c>
      <c r="M26" s="30" t="n">
        <f aca="false">M25-M24</f>
        <v>-350</v>
      </c>
      <c r="N26" s="30" t="n">
        <f aca="false">N25-N24</f>
        <v>-350</v>
      </c>
      <c r="O26" s="31" t="n">
        <f aca="false">O25-O24</f>
        <v>-3150</v>
      </c>
    </row>
    <row r="27" customFormat="false" ht="15" hidden="false" customHeight="true" outlineLevel="0" collapsed="false">
      <c r="A27" s="33" t="str">
        <f aca="false">Setup!A27</f>
        <v>Fuel</v>
      </c>
      <c r="B27" s="29" t="s">
        <v>130</v>
      </c>
      <c r="C27" s="30" t="n">
        <f aca="false">Setup!C27</f>
        <v>160</v>
      </c>
      <c r="D27" s="30" t="n">
        <f aca="false">Setup!C27</f>
        <v>160</v>
      </c>
      <c r="E27" s="30" t="n">
        <f aca="false">Setup!C27</f>
        <v>160</v>
      </c>
      <c r="F27" s="30" t="n">
        <f aca="false">Setup!C27</f>
        <v>160</v>
      </c>
      <c r="G27" s="30" t="n">
        <f aca="false">Setup!C27</f>
        <v>160</v>
      </c>
      <c r="H27" s="30" t="n">
        <f aca="false">Setup!C27</f>
        <v>160</v>
      </c>
      <c r="I27" s="30" t="n">
        <f aca="false">Setup!C27</f>
        <v>160</v>
      </c>
      <c r="J27" s="30" t="n">
        <f aca="false">Setup!C27</f>
        <v>160</v>
      </c>
      <c r="K27" s="30" t="n">
        <f aca="false">Setup!C27</f>
        <v>160</v>
      </c>
      <c r="L27" s="30" t="n">
        <f aca="false">Setup!C27</f>
        <v>160</v>
      </c>
      <c r="M27" s="30" t="n">
        <f aca="false">Setup!C27</f>
        <v>160</v>
      </c>
      <c r="N27" s="30" t="n">
        <f aca="false">Setup!C27</f>
        <v>160</v>
      </c>
      <c r="O27" s="31" t="n">
        <f aca="false">SUM(C27:N27)</f>
        <v>1920</v>
      </c>
    </row>
    <row r="28" customFormat="false" ht="15" hidden="false" customHeight="true" outlineLevel="0" collapsed="false">
      <c r="A28" s="33"/>
      <c r="B28" s="29" t="s">
        <v>131</v>
      </c>
      <c r="C28" s="30" t="n">
        <f aca="false">SUMIFS(Transactions!$D$5:$D$504,Transactions!$C$5:$C$504,$A27,Transactions!$F$5:$F$504,1,Transactions!$G$5:$G$504,YEAR(Setup!$B$18))</f>
        <v>85</v>
      </c>
      <c r="D28" s="30" t="n">
        <f aca="false">SUMIFS(Transactions!$D$5:$D$504,Transactions!$C$5:$C$504,$A27,Transactions!$F$5:$F$504,2,Transactions!$G$5:$G$504,YEAR(Setup!$B$18))</f>
        <v>98</v>
      </c>
      <c r="E28" s="30" t="n">
        <f aca="false">SUMIFS(Transactions!$D$5:$D$504,Transactions!$C$5:$C$504,$A27,Transactions!$F$5:$F$504,3,Transactions!$G$5:$G$504,YEAR(Setup!$B$18))</f>
        <v>0</v>
      </c>
      <c r="F28" s="30" t="n">
        <f aca="false">SUMIFS(Transactions!$D$5:$D$504,Transactions!$C$5:$C$504,$A27,Transactions!$F$5:$F$504,4,Transactions!$G$5:$G$504,YEAR(Setup!$B$18))</f>
        <v>0</v>
      </c>
      <c r="G28" s="30" t="n">
        <f aca="false">SUMIFS(Transactions!$D$5:$D$504,Transactions!$C$5:$C$504,$A27,Transactions!$F$5:$F$504,5,Transactions!$G$5:$G$504,YEAR(Setup!$B$18))</f>
        <v>0</v>
      </c>
      <c r="H28" s="30" t="n">
        <f aca="false">SUMIFS(Transactions!$D$5:$D$504,Transactions!$C$5:$C$504,$A27,Transactions!$F$5:$F$504,6,Transactions!$G$5:$G$504,YEAR(Setup!$B$18))</f>
        <v>0</v>
      </c>
      <c r="I28" s="30" t="n">
        <f aca="false">SUMIFS(Transactions!$D$5:$D$504,Transactions!$C$5:$C$504,$A27,Transactions!$F$5:$F$504,7,Transactions!$G$5:$G$504,YEAR(Setup!$B$18))</f>
        <v>0</v>
      </c>
      <c r="J28" s="30" t="n">
        <f aca="false">SUMIFS(Transactions!$D$5:$D$504,Transactions!$C$5:$C$504,$A27,Transactions!$F$5:$F$504,8,Transactions!$G$5:$G$504,YEAR(Setup!$B$18))</f>
        <v>0</v>
      </c>
      <c r="K28" s="30" t="n">
        <f aca="false">SUMIFS(Transactions!$D$5:$D$504,Transactions!$C$5:$C$504,$A27,Transactions!$F$5:$F$504,9,Transactions!$G$5:$G$504,YEAR(Setup!$B$18))</f>
        <v>0</v>
      </c>
      <c r="L28" s="30" t="n">
        <f aca="false">SUMIFS(Transactions!$D$5:$D$504,Transactions!$C$5:$C$504,$A27,Transactions!$F$5:$F$504,10,Transactions!$G$5:$G$504,YEAR(Setup!$B$18))</f>
        <v>0</v>
      </c>
      <c r="M28" s="30" t="n">
        <f aca="false">SUMIFS(Transactions!$D$5:$D$504,Transactions!$C$5:$C$504,$A27,Transactions!$F$5:$F$504,11,Transactions!$G$5:$G$504,YEAR(Setup!$B$18))</f>
        <v>0</v>
      </c>
      <c r="N28" s="30" t="n">
        <f aca="false">SUMIFS(Transactions!$D$5:$D$504,Transactions!$C$5:$C$504,$A27,Transactions!$F$5:$F$504,12,Transactions!$G$5:$G$504,YEAR(Setup!$B$18))</f>
        <v>0</v>
      </c>
      <c r="O28" s="31" t="n">
        <f aca="false">SUM(C28:N28)</f>
        <v>183</v>
      </c>
    </row>
    <row r="29" customFormat="false" ht="15" hidden="false" customHeight="true" outlineLevel="0" collapsed="false">
      <c r="A29" s="33"/>
      <c r="B29" s="29" t="s">
        <v>132</v>
      </c>
      <c r="C29" s="30" t="n">
        <f aca="false">C28-C27</f>
        <v>-75</v>
      </c>
      <c r="D29" s="30" t="n">
        <f aca="false">D28-D27</f>
        <v>-62</v>
      </c>
      <c r="E29" s="30" t="n">
        <f aca="false">E28-E27</f>
        <v>-160</v>
      </c>
      <c r="F29" s="30" t="n">
        <f aca="false">F28-F27</f>
        <v>-160</v>
      </c>
      <c r="G29" s="30" t="n">
        <f aca="false">G28-G27</f>
        <v>-160</v>
      </c>
      <c r="H29" s="30" t="n">
        <f aca="false">H28-H27</f>
        <v>-160</v>
      </c>
      <c r="I29" s="30" t="n">
        <f aca="false">I28-I27</f>
        <v>-160</v>
      </c>
      <c r="J29" s="30" t="n">
        <f aca="false">J28-J27</f>
        <v>-160</v>
      </c>
      <c r="K29" s="30" t="n">
        <f aca="false">K28-K27</f>
        <v>-160</v>
      </c>
      <c r="L29" s="30" t="n">
        <f aca="false">L28-L27</f>
        <v>-160</v>
      </c>
      <c r="M29" s="30" t="n">
        <f aca="false">M28-M27</f>
        <v>-160</v>
      </c>
      <c r="N29" s="30" t="n">
        <f aca="false">N28-N27</f>
        <v>-160</v>
      </c>
      <c r="O29" s="31" t="n">
        <f aca="false">O28-O27</f>
        <v>-1737</v>
      </c>
    </row>
    <row r="30" customFormat="false" ht="15" hidden="false" customHeight="true" outlineLevel="0" collapsed="false">
      <c r="A30" s="33" t="str">
        <f aca="false">Setup!A28</f>
        <v>Public Transit and Rideshare</v>
      </c>
      <c r="B30" s="29" t="s">
        <v>130</v>
      </c>
      <c r="C30" s="30" t="n">
        <f aca="false">Setup!C28</f>
        <v>60</v>
      </c>
      <c r="D30" s="30" t="n">
        <f aca="false">Setup!C28</f>
        <v>60</v>
      </c>
      <c r="E30" s="30" t="n">
        <f aca="false">Setup!C28</f>
        <v>60</v>
      </c>
      <c r="F30" s="30" t="n">
        <f aca="false">Setup!C28</f>
        <v>60</v>
      </c>
      <c r="G30" s="30" t="n">
        <f aca="false">Setup!C28</f>
        <v>60</v>
      </c>
      <c r="H30" s="30" t="n">
        <f aca="false">Setup!C28</f>
        <v>60</v>
      </c>
      <c r="I30" s="30" t="n">
        <f aca="false">Setup!C28</f>
        <v>60</v>
      </c>
      <c r="J30" s="30" t="n">
        <f aca="false">Setup!C28</f>
        <v>60</v>
      </c>
      <c r="K30" s="30" t="n">
        <f aca="false">Setup!C28</f>
        <v>60</v>
      </c>
      <c r="L30" s="30" t="n">
        <f aca="false">Setup!C28</f>
        <v>60</v>
      </c>
      <c r="M30" s="30" t="n">
        <f aca="false">Setup!C28</f>
        <v>60</v>
      </c>
      <c r="N30" s="30" t="n">
        <f aca="false">Setup!C28</f>
        <v>60</v>
      </c>
      <c r="O30" s="31" t="n">
        <f aca="false">SUM(C30:N30)</f>
        <v>720</v>
      </c>
    </row>
    <row r="31" customFormat="false" ht="15" hidden="false" customHeight="true" outlineLevel="0" collapsed="false">
      <c r="A31" s="33"/>
      <c r="B31" s="29" t="s">
        <v>131</v>
      </c>
      <c r="C31" s="30" t="n">
        <f aca="false">SUMIFS(Transactions!$D$5:$D$504,Transactions!$C$5:$C$504,$A30,Transactions!$F$5:$F$504,1,Transactions!$G$5:$G$504,YEAR(Setup!$B$18))</f>
        <v>0</v>
      </c>
      <c r="D31" s="30" t="n">
        <f aca="false">SUMIFS(Transactions!$D$5:$D$504,Transactions!$C$5:$C$504,$A30,Transactions!$F$5:$F$504,2,Transactions!$G$5:$G$504,YEAR(Setup!$B$18))</f>
        <v>60</v>
      </c>
      <c r="E31" s="30" t="n">
        <f aca="false">SUMIFS(Transactions!$D$5:$D$504,Transactions!$C$5:$C$504,$A30,Transactions!$F$5:$F$504,3,Transactions!$G$5:$G$504,YEAR(Setup!$B$18))</f>
        <v>0</v>
      </c>
      <c r="F31" s="30" t="n">
        <f aca="false">SUMIFS(Transactions!$D$5:$D$504,Transactions!$C$5:$C$504,$A30,Transactions!$F$5:$F$504,4,Transactions!$G$5:$G$504,YEAR(Setup!$B$18))</f>
        <v>0</v>
      </c>
      <c r="G31" s="30" t="n">
        <f aca="false">SUMIFS(Transactions!$D$5:$D$504,Transactions!$C$5:$C$504,$A30,Transactions!$F$5:$F$504,5,Transactions!$G$5:$G$504,YEAR(Setup!$B$18))</f>
        <v>0</v>
      </c>
      <c r="H31" s="30" t="n">
        <f aca="false">SUMIFS(Transactions!$D$5:$D$504,Transactions!$C$5:$C$504,$A30,Transactions!$F$5:$F$504,6,Transactions!$G$5:$G$504,YEAR(Setup!$B$18))</f>
        <v>0</v>
      </c>
      <c r="I31" s="30" t="n">
        <f aca="false">SUMIFS(Transactions!$D$5:$D$504,Transactions!$C$5:$C$504,$A30,Transactions!$F$5:$F$504,7,Transactions!$G$5:$G$504,YEAR(Setup!$B$18))</f>
        <v>0</v>
      </c>
      <c r="J31" s="30" t="n">
        <f aca="false">SUMIFS(Transactions!$D$5:$D$504,Transactions!$C$5:$C$504,$A30,Transactions!$F$5:$F$504,8,Transactions!$G$5:$G$504,YEAR(Setup!$B$18))</f>
        <v>0</v>
      </c>
      <c r="K31" s="30" t="n">
        <f aca="false">SUMIFS(Transactions!$D$5:$D$504,Transactions!$C$5:$C$504,$A30,Transactions!$F$5:$F$504,9,Transactions!$G$5:$G$504,YEAR(Setup!$B$18))</f>
        <v>0</v>
      </c>
      <c r="L31" s="30" t="n">
        <f aca="false">SUMIFS(Transactions!$D$5:$D$504,Transactions!$C$5:$C$504,$A30,Transactions!$F$5:$F$504,10,Transactions!$G$5:$G$504,YEAR(Setup!$B$18))</f>
        <v>0</v>
      </c>
      <c r="M31" s="30" t="n">
        <f aca="false">SUMIFS(Transactions!$D$5:$D$504,Transactions!$C$5:$C$504,$A30,Transactions!$F$5:$F$504,11,Transactions!$G$5:$G$504,YEAR(Setup!$B$18))</f>
        <v>0</v>
      </c>
      <c r="N31" s="30" t="n">
        <f aca="false">SUMIFS(Transactions!$D$5:$D$504,Transactions!$C$5:$C$504,$A30,Transactions!$F$5:$F$504,12,Transactions!$G$5:$G$504,YEAR(Setup!$B$18))</f>
        <v>0</v>
      </c>
      <c r="O31" s="31" t="n">
        <f aca="false">SUM(C31:N31)</f>
        <v>60</v>
      </c>
    </row>
    <row r="32" customFormat="false" ht="15" hidden="false" customHeight="true" outlineLevel="0" collapsed="false">
      <c r="A32" s="33"/>
      <c r="B32" s="29" t="s">
        <v>132</v>
      </c>
      <c r="C32" s="30" t="n">
        <f aca="false">C31-C30</f>
        <v>-60</v>
      </c>
      <c r="D32" s="30" t="n">
        <f aca="false">D31-D30</f>
        <v>0</v>
      </c>
      <c r="E32" s="30" t="n">
        <f aca="false">E31-E30</f>
        <v>-60</v>
      </c>
      <c r="F32" s="30" t="n">
        <f aca="false">F31-F30</f>
        <v>-60</v>
      </c>
      <c r="G32" s="30" t="n">
        <f aca="false">G31-G30</f>
        <v>-60</v>
      </c>
      <c r="H32" s="30" t="n">
        <f aca="false">H31-H30</f>
        <v>-60</v>
      </c>
      <c r="I32" s="30" t="n">
        <f aca="false">I31-I30</f>
        <v>-60</v>
      </c>
      <c r="J32" s="30" t="n">
        <f aca="false">J31-J30</f>
        <v>-60</v>
      </c>
      <c r="K32" s="30" t="n">
        <f aca="false">K31-K30</f>
        <v>-60</v>
      </c>
      <c r="L32" s="30" t="n">
        <f aca="false">L31-L30</f>
        <v>-60</v>
      </c>
      <c r="M32" s="30" t="n">
        <f aca="false">M31-M30</f>
        <v>-60</v>
      </c>
      <c r="N32" s="30" t="n">
        <f aca="false">N31-N30</f>
        <v>-60</v>
      </c>
      <c r="O32" s="31" t="n">
        <f aca="false">O31-O30</f>
        <v>-660</v>
      </c>
    </row>
    <row r="33" customFormat="false" ht="15" hidden="false" customHeight="true" outlineLevel="0" collapsed="false">
      <c r="A33" s="34" t="s">
        <v>136</v>
      </c>
      <c r="B33" s="35" t="s">
        <v>130</v>
      </c>
      <c r="C33" s="36" t="n">
        <f aca="false">C24+C27+C30</f>
        <v>570</v>
      </c>
      <c r="D33" s="36" t="n">
        <f aca="false">D24+D27+D30</f>
        <v>570</v>
      </c>
      <c r="E33" s="36" t="n">
        <f aca="false">E24+E27+E30</f>
        <v>570</v>
      </c>
      <c r="F33" s="36" t="n">
        <f aca="false">F24+F27+F30</f>
        <v>570</v>
      </c>
      <c r="G33" s="36" t="n">
        <f aca="false">G24+G27+G30</f>
        <v>570</v>
      </c>
      <c r="H33" s="36" t="n">
        <f aca="false">H24+H27+H30</f>
        <v>570</v>
      </c>
      <c r="I33" s="36" t="n">
        <f aca="false">I24+I27+I30</f>
        <v>570</v>
      </c>
      <c r="J33" s="36" t="n">
        <f aca="false">J24+J27+J30</f>
        <v>570</v>
      </c>
      <c r="K33" s="36" t="n">
        <f aca="false">K24+K27+K30</f>
        <v>570</v>
      </c>
      <c r="L33" s="36" t="n">
        <f aca="false">L24+L27+L30</f>
        <v>570</v>
      </c>
      <c r="M33" s="36" t="n">
        <f aca="false">M24+M27+M30</f>
        <v>570</v>
      </c>
      <c r="N33" s="36" t="n">
        <f aca="false">N24+N27+N30</f>
        <v>570</v>
      </c>
      <c r="O33" s="36" t="n">
        <f aca="false">SUM(C33:N33)</f>
        <v>6840</v>
      </c>
    </row>
    <row r="34" customFormat="false" ht="15" hidden="false" customHeight="true" outlineLevel="0" collapsed="false">
      <c r="A34" s="34"/>
      <c r="B34" s="35" t="s">
        <v>131</v>
      </c>
      <c r="C34" s="36" t="n">
        <f aca="false">C25+C28+C31</f>
        <v>435</v>
      </c>
      <c r="D34" s="36" t="n">
        <f aca="false">D25+D28+D31</f>
        <v>508</v>
      </c>
      <c r="E34" s="36" t="n">
        <f aca="false">E25+E28+E31</f>
        <v>350</v>
      </c>
      <c r="F34" s="36" t="n">
        <f aca="false">F25+F28+F31</f>
        <v>0</v>
      </c>
      <c r="G34" s="36" t="n">
        <f aca="false">G25+G28+G31</f>
        <v>0</v>
      </c>
      <c r="H34" s="36" t="n">
        <f aca="false">H25+H28+H31</f>
        <v>0</v>
      </c>
      <c r="I34" s="36" t="n">
        <f aca="false">I25+I28+I31</f>
        <v>0</v>
      </c>
      <c r="J34" s="36" t="n">
        <f aca="false">J25+J28+J31</f>
        <v>0</v>
      </c>
      <c r="K34" s="36" t="n">
        <f aca="false">K25+K28+K31</f>
        <v>0</v>
      </c>
      <c r="L34" s="36" t="n">
        <f aca="false">L25+L28+L31</f>
        <v>0</v>
      </c>
      <c r="M34" s="36" t="n">
        <f aca="false">M25+M28+M31</f>
        <v>0</v>
      </c>
      <c r="N34" s="36" t="n">
        <f aca="false">N25+N28+N31</f>
        <v>0</v>
      </c>
      <c r="O34" s="36" t="n">
        <f aca="false">SUM(C34:N34)</f>
        <v>1293</v>
      </c>
    </row>
    <row r="35" customFormat="false" ht="15" hidden="false" customHeight="true" outlineLevel="0" collapsed="false">
      <c r="A35" s="34"/>
      <c r="B35" s="35" t="s">
        <v>132</v>
      </c>
      <c r="C35" s="36" t="n">
        <f aca="false">C34-C33</f>
        <v>-135</v>
      </c>
      <c r="D35" s="36" t="n">
        <f aca="false">D34-D33</f>
        <v>-62</v>
      </c>
      <c r="E35" s="36" t="n">
        <f aca="false">E34-E33</f>
        <v>-220</v>
      </c>
      <c r="F35" s="36" t="n">
        <f aca="false">F34-F33</f>
        <v>-570</v>
      </c>
      <c r="G35" s="36" t="n">
        <f aca="false">G34-G33</f>
        <v>-570</v>
      </c>
      <c r="H35" s="36" t="n">
        <f aca="false">H34-H33</f>
        <v>-570</v>
      </c>
      <c r="I35" s="36" t="n">
        <f aca="false">I34-I33</f>
        <v>-570</v>
      </c>
      <c r="J35" s="36" t="n">
        <f aca="false">J34-J33</f>
        <v>-570</v>
      </c>
      <c r="K35" s="36" t="n">
        <f aca="false">K34-K33</f>
        <v>-570</v>
      </c>
      <c r="L35" s="36" t="n">
        <f aca="false">L34-L33</f>
        <v>-570</v>
      </c>
      <c r="M35" s="36" t="n">
        <f aca="false">M34-M33</f>
        <v>-570</v>
      </c>
      <c r="N35" s="36" t="n">
        <f aca="false">N34-N33</f>
        <v>-570</v>
      </c>
      <c r="O35" s="36" t="n">
        <f aca="false">O34-O33</f>
        <v>-5547</v>
      </c>
    </row>
    <row r="37" customFormat="false" ht="15" hidden="false" customHeight="true" outlineLevel="0" collapsed="false">
      <c r="A37" s="32" t="s">
        <v>137</v>
      </c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</row>
    <row r="38" customFormat="false" ht="15" hidden="false" customHeight="true" outlineLevel="0" collapsed="false">
      <c r="A38" s="33" t="str">
        <f aca="false">Setup!A29</f>
        <v>Groceries</v>
      </c>
      <c r="B38" s="29" t="s">
        <v>130</v>
      </c>
      <c r="C38" s="30" t="n">
        <f aca="false">Setup!C29</f>
        <v>650</v>
      </c>
      <c r="D38" s="30" t="n">
        <f aca="false">Setup!C29</f>
        <v>650</v>
      </c>
      <c r="E38" s="30" t="n">
        <f aca="false">Setup!C29</f>
        <v>650</v>
      </c>
      <c r="F38" s="30" t="n">
        <f aca="false">Setup!C29</f>
        <v>650</v>
      </c>
      <c r="G38" s="30" t="n">
        <f aca="false">Setup!C29</f>
        <v>650</v>
      </c>
      <c r="H38" s="30" t="n">
        <f aca="false">Setup!C29</f>
        <v>650</v>
      </c>
      <c r="I38" s="30" t="n">
        <f aca="false">Setup!C29</f>
        <v>650</v>
      </c>
      <c r="J38" s="30" t="n">
        <f aca="false">Setup!C29</f>
        <v>650</v>
      </c>
      <c r="K38" s="30" t="n">
        <f aca="false">Setup!C29</f>
        <v>650</v>
      </c>
      <c r="L38" s="30" t="n">
        <f aca="false">Setup!C29</f>
        <v>650</v>
      </c>
      <c r="M38" s="30" t="n">
        <f aca="false">Setup!C29</f>
        <v>650</v>
      </c>
      <c r="N38" s="30" t="n">
        <f aca="false">Setup!C29</f>
        <v>650</v>
      </c>
      <c r="O38" s="31" t="n">
        <f aca="false">SUM(C38:N38)</f>
        <v>7800</v>
      </c>
    </row>
    <row r="39" customFormat="false" ht="15" hidden="false" customHeight="true" outlineLevel="0" collapsed="false">
      <c r="A39" s="33"/>
      <c r="B39" s="29" t="s">
        <v>131</v>
      </c>
      <c r="C39" s="30" t="n">
        <f aca="false">SUMIFS(Transactions!$D$5:$D$504,Transactions!$C$5:$C$504,$A38,Transactions!$F$5:$F$504,1,Transactions!$G$5:$G$504,YEAR(Setup!$B$18))</f>
        <v>315</v>
      </c>
      <c r="D39" s="30" t="n">
        <f aca="false">SUMIFS(Transactions!$D$5:$D$504,Transactions!$C$5:$C$504,$A38,Transactions!$F$5:$F$504,2,Transactions!$G$5:$G$504,YEAR(Setup!$B$18))</f>
        <v>342</v>
      </c>
      <c r="E39" s="30" t="n">
        <f aca="false">SUMIFS(Transactions!$D$5:$D$504,Transactions!$C$5:$C$504,$A38,Transactions!$F$5:$F$504,3,Transactions!$G$5:$G$504,YEAR(Setup!$B$18))</f>
        <v>298</v>
      </c>
      <c r="F39" s="30" t="n">
        <f aca="false">SUMIFS(Transactions!$D$5:$D$504,Transactions!$C$5:$C$504,$A38,Transactions!$F$5:$F$504,4,Transactions!$G$5:$G$504,YEAR(Setup!$B$18))</f>
        <v>0</v>
      </c>
      <c r="G39" s="30" t="n">
        <f aca="false">SUMIFS(Transactions!$D$5:$D$504,Transactions!$C$5:$C$504,$A38,Transactions!$F$5:$F$504,5,Transactions!$G$5:$G$504,YEAR(Setup!$B$18))</f>
        <v>0</v>
      </c>
      <c r="H39" s="30" t="n">
        <f aca="false">SUMIFS(Transactions!$D$5:$D$504,Transactions!$C$5:$C$504,$A38,Transactions!$F$5:$F$504,6,Transactions!$G$5:$G$504,YEAR(Setup!$B$18))</f>
        <v>0</v>
      </c>
      <c r="I39" s="30" t="n">
        <f aca="false">SUMIFS(Transactions!$D$5:$D$504,Transactions!$C$5:$C$504,$A38,Transactions!$F$5:$F$504,7,Transactions!$G$5:$G$504,YEAR(Setup!$B$18))</f>
        <v>0</v>
      </c>
      <c r="J39" s="30" t="n">
        <f aca="false">SUMIFS(Transactions!$D$5:$D$504,Transactions!$C$5:$C$504,$A38,Transactions!$F$5:$F$504,8,Transactions!$G$5:$G$504,YEAR(Setup!$B$18))</f>
        <v>0</v>
      </c>
      <c r="K39" s="30" t="n">
        <f aca="false">SUMIFS(Transactions!$D$5:$D$504,Transactions!$C$5:$C$504,$A38,Transactions!$F$5:$F$504,9,Transactions!$G$5:$G$504,YEAR(Setup!$B$18))</f>
        <v>0</v>
      </c>
      <c r="L39" s="30" t="n">
        <f aca="false">SUMIFS(Transactions!$D$5:$D$504,Transactions!$C$5:$C$504,$A38,Transactions!$F$5:$F$504,10,Transactions!$G$5:$G$504,YEAR(Setup!$B$18))</f>
        <v>0</v>
      </c>
      <c r="M39" s="30" t="n">
        <f aca="false">SUMIFS(Transactions!$D$5:$D$504,Transactions!$C$5:$C$504,$A38,Transactions!$F$5:$F$504,11,Transactions!$G$5:$G$504,YEAR(Setup!$B$18))</f>
        <v>0</v>
      </c>
      <c r="N39" s="30" t="n">
        <f aca="false">SUMIFS(Transactions!$D$5:$D$504,Transactions!$C$5:$C$504,$A38,Transactions!$F$5:$F$504,12,Transactions!$G$5:$G$504,YEAR(Setup!$B$18))</f>
        <v>0</v>
      </c>
      <c r="O39" s="31" t="n">
        <f aca="false">SUM(C39:N39)</f>
        <v>955</v>
      </c>
    </row>
    <row r="40" customFormat="false" ht="15" hidden="false" customHeight="true" outlineLevel="0" collapsed="false">
      <c r="A40" s="33"/>
      <c r="B40" s="29" t="s">
        <v>132</v>
      </c>
      <c r="C40" s="30" t="n">
        <f aca="false">C39-C38</f>
        <v>-335</v>
      </c>
      <c r="D40" s="30" t="n">
        <f aca="false">D39-D38</f>
        <v>-308</v>
      </c>
      <c r="E40" s="30" t="n">
        <f aca="false">E39-E38</f>
        <v>-352</v>
      </c>
      <c r="F40" s="30" t="n">
        <f aca="false">F39-F38</f>
        <v>-650</v>
      </c>
      <c r="G40" s="30" t="n">
        <f aca="false">G39-G38</f>
        <v>-650</v>
      </c>
      <c r="H40" s="30" t="n">
        <f aca="false">H39-H38</f>
        <v>-650</v>
      </c>
      <c r="I40" s="30" t="n">
        <f aca="false">I39-I38</f>
        <v>-650</v>
      </c>
      <c r="J40" s="30" t="n">
        <f aca="false">J39-J38</f>
        <v>-650</v>
      </c>
      <c r="K40" s="30" t="n">
        <f aca="false">K39-K38</f>
        <v>-650</v>
      </c>
      <c r="L40" s="30" t="n">
        <f aca="false">L39-L38</f>
        <v>-650</v>
      </c>
      <c r="M40" s="30" t="n">
        <f aca="false">M39-M38</f>
        <v>-650</v>
      </c>
      <c r="N40" s="30" t="n">
        <f aca="false">N39-N38</f>
        <v>-650</v>
      </c>
      <c r="O40" s="31" t="n">
        <f aca="false">O39-O38</f>
        <v>-6845</v>
      </c>
    </row>
    <row r="41" customFormat="false" ht="15" hidden="false" customHeight="true" outlineLevel="0" collapsed="false">
      <c r="A41" s="33" t="str">
        <f aca="false">Setup!A30</f>
        <v>Dining Out</v>
      </c>
      <c r="B41" s="29" t="s">
        <v>130</v>
      </c>
      <c r="C41" s="30" t="n">
        <f aca="false">Setup!C30</f>
        <v>220</v>
      </c>
      <c r="D41" s="30" t="n">
        <f aca="false">Setup!C30</f>
        <v>220</v>
      </c>
      <c r="E41" s="30" t="n">
        <f aca="false">Setup!C30</f>
        <v>220</v>
      </c>
      <c r="F41" s="30" t="n">
        <f aca="false">Setup!C30</f>
        <v>220</v>
      </c>
      <c r="G41" s="30" t="n">
        <f aca="false">Setup!C30</f>
        <v>220</v>
      </c>
      <c r="H41" s="30" t="n">
        <f aca="false">Setup!C30</f>
        <v>220</v>
      </c>
      <c r="I41" s="30" t="n">
        <f aca="false">Setup!C30</f>
        <v>220</v>
      </c>
      <c r="J41" s="30" t="n">
        <f aca="false">Setup!C30</f>
        <v>220</v>
      </c>
      <c r="K41" s="30" t="n">
        <f aca="false">Setup!C30</f>
        <v>220</v>
      </c>
      <c r="L41" s="30" t="n">
        <f aca="false">Setup!C30</f>
        <v>220</v>
      </c>
      <c r="M41" s="30" t="n">
        <f aca="false">Setup!C30</f>
        <v>220</v>
      </c>
      <c r="N41" s="30" t="n">
        <f aca="false">Setup!C30</f>
        <v>220</v>
      </c>
      <c r="O41" s="31" t="n">
        <f aca="false">SUM(C41:N41)</f>
        <v>2640</v>
      </c>
    </row>
    <row r="42" customFormat="false" ht="15" hidden="false" customHeight="true" outlineLevel="0" collapsed="false">
      <c r="A42" s="33"/>
      <c r="B42" s="29" t="s">
        <v>131</v>
      </c>
      <c r="C42" s="30" t="n">
        <f aca="false">SUMIFS(Transactions!$D$5:$D$504,Transactions!$C$5:$C$504,$A41,Transactions!$F$5:$F$504,1,Transactions!$G$5:$G$504,YEAR(Setup!$B$18))</f>
        <v>0</v>
      </c>
      <c r="D42" s="30" t="n">
        <f aca="false">SUMIFS(Transactions!$D$5:$D$504,Transactions!$C$5:$C$504,$A41,Transactions!$F$5:$F$504,2,Transactions!$G$5:$G$504,YEAR(Setup!$B$18))</f>
        <v>95</v>
      </c>
      <c r="E42" s="30" t="n">
        <f aca="false">SUMIFS(Transactions!$D$5:$D$504,Transactions!$C$5:$C$504,$A41,Transactions!$F$5:$F$504,3,Transactions!$G$5:$G$504,YEAR(Setup!$B$18))</f>
        <v>140</v>
      </c>
      <c r="F42" s="30" t="n">
        <f aca="false">SUMIFS(Transactions!$D$5:$D$504,Transactions!$C$5:$C$504,$A41,Transactions!$F$5:$F$504,4,Transactions!$G$5:$G$504,YEAR(Setup!$B$18))</f>
        <v>0</v>
      </c>
      <c r="G42" s="30" t="n">
        <f aca="false">SUMIFS(Transactions!$D$5:$D$504,Transactions!$C$5:$C$504,$A41,Transactions!$F$5:$F$504,5,Transactions!$G$5:$G$504,YEAR(Setup!$B$18))</f>
        <v>0</v>
      </c>
      <c r="H42" s="30" t="n">
        <f aca="false">SUMIFS(Transactions!$D$5:$D$504,Transactions!$C$5:$C$504,$A41,Transactions!$F$5:$F$504,6,Transactions!$G$5:$G$504,YEAR(Setup!$B$18))</f>
        <v>0</v>
      </c>
      <c r="I42" s="30" t="n">
        <f aca="false">SUMIFS(Transactions!$D$5:$D$504,Transactions!$C$5:$C$504,$A41,Transactions!$F$5:$F$504,7,Transactions!$G$5:$G$504,YEAR(Setup!$B$18))</f>
        <v>0</v>
      </c>
      <c r="J42" s="30" t="n">
        <f aca="false">SUMIFS(Transactions!$D$5:$D$504,Transactions!$C$5:$C$504,$A41,Transactions!$F$5:$F$504,8,Transactions!$G$5:$G$504,YEAR(Setup!$B$18))</f>
        <v>0</v>
      </c>
      <c r="K42" s="30" t="n">
        <f aca="false">SUMIFS(Transactions!$D$5:$D$504,Transactions!$C$5:$C$504,$A41,Transactions!$F$5:$F$504,9,Transactions!$G$5:$G$504,YEAR(Setup!$B$18))</f>
        <v>0</v>
      </c>
      <c r="L42" s="30" t="n">
        <f aca="false">SUMIFS(Transactions!$D$5:$D$504,Transactions!$C$5:$C$504,$A41,Transactions!$F$5:$F$504,10,Transactions!$G$5:$G$504,YEAR(Setup!$B$18))</f>
        <v>0</v>
      </c>
      <c r="M42" s="30" t="n">
        <f aca="false">SUMIFS(Transactions!$D$5:$D$504,Transactions!$C$5:$C$504,$A41,Transactions!$F$5:$F$504,11,Transactions!$G$5:$G$504,YEAR(Setup!$B$18))</f>
        <v>0</v>
      </c>
      <c r="N42" s="30" t="n">
        <f aca="false">SUMIFS(Transactions!$D$5:$D$504,Transactions!$C$5:$C$504,$A41,Transactions!$F$5:$F$504,12,Transactions!$G$5:$G$504,YEAR(Setup!$B$18))</f>
        <v>0</v>
      </c>
      <c r="O42" s="31" t="n">
        <f aca="false">SUM(C42:N42)</f>
        <v>235</v>
      </c>
    </row>
    <row r="43" customFormat="false" ht="15" hidden="false" customHeight="true" outlineLevel="0" collapsed="false">
      <c r="A43" s="33"/>
      <c r="B43" s="29" t="s">
        <v>132</v>
      </c>
      <c r="C43" s="30" t="n">
        <f aca="false">C42-C41</f>
        <v>-220</v>
      </c>
      <c r="D43" s="30" t="n">
        <f aca="false">D42-D41</f>
        <v>-125</v>
      </c>
      <c r="E43" s="30" t="n">
        <f aca="false">E42-E41</f>
        <v>-80</v>
      </c>
      <c r="F43" s="30" t="n">
        <f aca="false">F42-F41</f>
        <v>-220</v>
      </c>
      <c r="G43" s="30" t="n">
        <f aca="false">G42-G41</f>
        <v>-220</v>
      </c>
      <c r="H43" s="30" t="n">
        <f aca="false">H42-H41</f>
        <v>-220</v>
      </c>
      <c r="I43" s="30" t="n">
        <f aca="false">I42-I41</f>
        <v>-220</v>
      </c>
      <c r="J43" s="30" t="n">
        <f aca="false">J42-J41</f>
        <v>-220</v>
      </c>
      <c r="K43" s="30" t="n">
        <f aca="false">K42-K41</f>
        <v>-220</v>
      </c>
      <c r="L43" s="30" t="n">
        <f aca="false">L42-L41</f>
        <v>-220</v>
      </c>
      <c r="M43" s="30" t="n">
        <f aca="false">M42-M41</f>
        <v>-220</v>
      </c>
      <c r="N43" s="30" t="n">
        <f aca="false">N42-N41</f>
        <v>-220</v>
      </c>
      <c r="O43" s="31" t="n">
        <f aca="false">O42-O41</f>
        <v>-2405</v>
      </c>
    </row>
    <row r="44" customFormat="false" ht="15" hidden="false" customHeight="true" outlineLevel="0" collapsed="false">
      <c r="A44" s="34" t="s">
        <v>138</v>
      </c>
      <c r="B44" s="35" t="s">
        <v>130</v>
      </c>
      <c r="C44" s="36" t="n">
        <f aca="false">C38+C41</f>
        <v>870</v>
      </c>
      <c r="D44" s="36" t="n">
        <f aca="false">D38+D41</f>
        <v>870</v>
      </c>
      <c r="E44" s="36" t="n">
        <f aca="false">E38+E41</f>
        <v>870</v>
      </c>
      <c r="F44" s="36" t="n">
        <f aca="false">F38+F41</f>
        <v>870</v>
      </c>
      <c r="G44" s="36" t="n">
        <f aca="false">G38+G41</f>
        <v>870</v>
      </c>
      <c r="H44" s="36" t="n">
        <f aca="false">H38+H41</f>
        <v>870</v>
      </c>
      <c r="I44" s="36" t="n">
        <f aca="false">I38+I41</f>
        <v>870</v>
      </c>
      <c r="J44" s="36" t="n">
        <f aca="false">J38+J41</f>
        <v>870</v>
      </c>
      <c r="K44" s="36" t="n">
        <f aca="false">K38+K41</f>
        <v>870</v>
      </c>
      <c r="L44" s="36" t="n">
        <f aca="false">L38+L41</f>
        <v>870</v>
      </c>
      <c r="M44" s="36" t="n">
        <f aca="false">M38+M41</f>
        <v>870</v>
      </c>
      <c r="N44" s="36" t="n">
        <f aca="false">N38+N41</f>
        <v>870</v>
      </c>
      <c r="O44" s="36" t="n">
        <f aca="false">SUM(C44:N44)</f>
        <v>10440</v>
      </c>
    </row>
    <row r="45" customFormat="false" ht="15" hidden="false" customHeight="true" outlineLevel="0" collapsed="false">
      <c r="A45" s="34"/>
      <c r="B45" s="35" t="s">
        <v>131</v>
      </c>
      <c r="C45" s="36" t="n">
        <f aca="false">C39+C42</f>
        <v>315</v>
      </c>
      <c r="D45" s="36" t="n">
        <f aca="false">D39+D42</f>
        <v>437</v>
      </c>
      <c r="E45" s="36" t="n">
        <f aca="false">E39+E42</f>
        <v>438</v>
      </c>
      <c r="F45" s="36" t="n">
        <f aca="false">F39+F42</f>
        <v>0</v>
      </c>
      <c r="G45" s="36" t="n">
        <f aca="false">G39+G42</f>
        <v>0</v>
      </c>
      <c r="H45" s="36" t="n">
        <f aca="false">H39+H42</f>
        <v>0</v>
      </c>
      <c r="I45" s="36" t="n">
        <f aca="false">I39+I42</f>
        <v>0</v>
      </c>
      <c r="J45" s="36" t="n">
        <f aca="false">J39+J42</f>
        <v>0</v>
      </c>
      <c r="K45" s="36" t="n">
        <f aca="false">K39+K42</f>
        <v>0</v>
      </c>
      <c r="L45" s="36" t="n">
        <f aca="false">L39+L42</f>
        <v>0</v>
      </c>
      <c r="M45" s="36" t="n">
        <f aca="false">M39+M42</f>
        <v>0</v>
      </c>
      <c r="N45" s="36" t="n">
        <f aca="false">N39+N42</f>
        <v>0</v>
      </c>
      <c r="O45" s="36" t="n">
        <f aca="false">SUM(C45:N45)</f>
        <v>1190</v>
      </c>
    </row>
    <row r="46" customFormat="false" ht="15" hidden="false" customHeight="true" outlineLevel="0" collapsed="false">
      <c r="A46" s="34"/>
      <c r="B46" s="35" t="s">
        <v>132</v>
      </c>
      <c r="C46" s="36" t="n">
        <f aca="false">C45-C44</f>
        <v>-555</v>
      </c>
      <c r="D46" s="36" t="n">
        <f aca="false">D45-D44</f>
        <v>-433</v>
      </c>
      <c r="E46" s="36" t="n">
        <f aca="false">E45-E44</f>
        <v>-432</v>
      </c>
      <c r="F46" s="36" t="n">
        <f aca="false">F45-F44</f>
        <v>-870</v>
      </c>
      <c r="G46" s="36" t="n">
        <f aca="false">G45-G44</f>
        <v>-870</v>
      </c>
      <c r="H46" s="36" t="n">
        <f aca="false">H45-H44</f>
        <v>-870</v>
      </c>
      <c r="I46" s="36" t="n">
        <f aca="false">I45-I44</f>
        <v>-870</v>
      </c>
      <c r="J46" s="36" t="n">
        <f aca="false">J45-J44</f>
        <v>-870</v>
      </c>
      <c r="K46" s="36" t="n">
        <f aca="false">K45-K44</f>
        <v>-870</v>
      </c>
      <c r="L46" s="36" t="n">
        <f aca="false">L45-L44</f>
        <v>-870</v>
      </c>
      <c r="M46" s="36" t="n">
        <f aca="false">M45-M44</f>
        <v>-870</v>
      </c>
      <c r="N46" s="36" t="n">
        <f aca="false">N45-N44</f>
        <v>-870</v>
      </c>
      <c r="O46" s="36" t="n">
        <f aca="false">O45-O44</f>
        <v>-9250</v>
      </c>
    </row>
    <row r="48" customFormat="false" ht="15" hidden="false" customHeight="true" outlineLevel="0" collapsed="false">
      <c r="A48" s="32" t="s">
        <v>139</v>
      </c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</row>
    <row r="49" customFormat="false" ht="15" hidden="false" customHeight="true" outlineLevel="0" collapsed="false">
      <c r="A49" s="33" t="str">
        <f aca="false">Setup!A31</f>
        <v>Health Insurance</v>
      </c>
      <c r="B49" s="29" t="s">
        <v>130</v>
      </c>
      <c r="C49" s="30" t="n">
        <f aca="false">Setup!C31</f>
        <v>340</v>
      </c>
      <c r="D49" s="30" t="n">
        <f aca="false">Setup!C31</f>
        <v>340</v>
      </c>
      <c r="E49" s="30" t="n">
        <f aca="false">Setup!C31</f>
        <v>340</v>
      </c>
      <c r="F49" s="30" t="n">
        <f aca="false">Setup!C31</f>
        <v>340</v>
      </c>
      <c r="G49" s="30" t="n">
        <f aca="false">Setup!C31</f>
        <v>340</v>
      </c>
      <c r="H49" s="30" t="n">
        <f aca="false">Setup!C31</f>
        <v>340</v>
      </c>
      <c r="I49" s="30" t="n">
        <f aca="false">Setup!C31</f>
        <v>340</v>
      </c>
      <c r="J49" s="30" t="n">
        <f aca="false">Setup!C31</f>
        <v>340</v>
      </c>
      <c r="K49" s="30" t="n">
        <f aca="false">Setup!C31</f>
        <v>340</v>
      </c>
      <c r="L49" s="30" t="n">
        <f aca="false">Setup!C31</f>
        <v>340</v>
      </c>
      <c r="M49" s="30" t="n">
        <f aca="false">Setup!C31</f>
        <v>340</v>
      </c>
      <c r="N49" s="30" t="n">
        <f aca="false">Setup!C31</f>
        <v>340</v>
      </c>
      <c r="O49" s="31" t="n">
        <f aca="false">SUM(C49:N49)</f>
        <v>4080</v>
      </c>
    </row>
    <row r="50" customFormat="false" ht="15" hidden="false" customHeight="true" outlineLevel="0" collapsed="false">
      <c r="A50" s="33"/>
      <c r="B50" s="29" t="s">
        <v>131</v>
      </c>
      <c r="C50" s="30" t="n">
        <f aca="false">SUMIFS(Transactions!$D$5:$D$504,Transactions!$C$5:$C$504,$A49,Transactions!$F$5:$F$504,1,Transactions!$G$5:$G$504,YEAR(Setup!$B$18))</f>
        <v>340</v>
      </c>
      <c r="D50" s="30" t="n">
        <f aca="false">SUMIFS(Transactions!$D$5:$D$504,Transactions!$C$5:$C$504,$A49,Transactions!$F$5:$F$504,2,Transactions!$G$5:$G$504,YEAR(Setup!$B$18))</f>
        <v>340</v>
      </c>
      <c r="E50" s="30" t="n">
        <f aca="false">SUMIFS(Transactions!$D$5:$D$504,Transactions!$C$5:$C$504,$A49,Transactions!$F$5:$F$504,3,Transactions!$G$5:$G$504,YEAR(Setup!$B$18))</f>
        <v>340</v>
      </c>
      <c r="F50" s="30" t="n">
        <f aca="false">SUMIFS(Transactions!$D$5:$D$504,Transactions!$C$5:$C$504,$A49,Transactions!$F$5:$F$504,4,Transactions!$G$5:$G$504,YEAR(Setup!$B$18))</f>
        <v>0</v>
      </c>
      <c r="G50" s="30" t="n">
        <f aca="false">SUMIFS(Transactions!$D$5:$D$504,Transactions!$C$5:$C$504,$A49,Transactions!$F$5:$F$504,5,Transactions!$G$5:$G$504,YEAR(Setup!$B$18))</f>
        <v>0</v>
      </c>
      <c r="H50" s="30" t="n">
        <f aca="false">SUMIFS(Transactions!$D$5:$D$504,Transactions!$C$5:$C$504,$A49,Transactions!$F$5:$F$504,6,Transactions!$G$5:$G$504,YEAR(Setup!$B$18))</f>
        <v>0</v>
      </c>
      <c r="I50" s="30" t="n">
        <f aca="false">SUMIFS(Transactions!$D$5:$D$504,Transactions!$C$5:$C$504,$A49,Transactions!$F$5:$F$504,7,Transactions!$G$5:$G$504,YEAR(Setup!$B$18))</f>
        <v>0</v>
      </c>
      <c r="J50" s="30" t="n">
        <f aca="false">SUMIFS(Transactions!$D$5:$D$504,Transactions!$C$5:$C$504,$A49,Transactions!$F$5:$F$504,8,Transactions!$G$5:$G$504,YEAR(Setup!$B$18))</f>
        <v>0</v>
      </c>
      <c r="K50" s="30" t="n">
        <f aca="false">SUMIFS(Transactions!$D$5:$D$504,Transactions!$C$5:$C$504,$A49,Transactions!$F$5:$F$504,9,Transactions!$G$5:$G$504,YEAR(Setup!$B$18))</f>
        <v>0</v>
      </c>
      <c r="L50" s="30" t="n">
        <f aca="false">SUMIFS(Transactions!$D$5:$D$504,Transactions!$C$5:$C$504,$A49,Transactions!$F$5:$F$504,10,Transactions!$G$5:$G$504,YEAR(Setup!$B$18))</f>
        <v>0</v>
      </c>
      <c r="M50" s="30" t="n">
        <f aca="false">SUMIFS(Transactions!$D$5:$D$504,Transactions!$C$5:$C$504,$A49,Transactions!$F$5:$F$504,11,Transactions!$G$5:$G$504,YEAR(Setup!$B$18))</f>
        <v>0</v>
      </c>
      <c r="N50" s="30" t="n">
        <f aca="false">SUMIFS(Transactions!$D$5:$D$504,Transactions!$C$5:$C$504,$A49,Transactions!$F$5:$F$504,12,Transactions!$G$5:$G$504,YEAR(Setup!$B$18))</f>
        <v>0</v>
      </c>
      <c r="O50" s="31" t="n">
        <f aca="false">SUM(C50:N50)</f>
        <v>1020</v>
      </c>
    </row>
    <row r="51" customFormat="false" ht="15" hidden="false" customHeight="true" outlineLevel="0" collapsed="false">
      <c r="A51" s="33"/>
      <c r="B51" s="29" t="s">
        <v>132</v>
      </c>
      <c r="C51" s="30" t="n">
        <f aca="false">C50-C49</f>
        <v>0</v>
      </c>
      <c r="D51" s="30" t="n">
        <f aca="false">D50-D49</f>
        <v>0</v>
      </c>
      <c r="E51" s="30" t="n">
        <f aca="false">E50-E49</f>
        <v>0</v>
      </c>
      <c r="F51" s="30" t="n">
        <f aca="false">F50-F49</f>
        <v>-340</v>
      </c>
      <c r="G51" s="30" t="n">
        <f aca="false">G50-G49</f>
        <v>-340</v>
      </c>
      <c r="H51" s="30" t="n">
        <f aca="false">H50-H49</f>
        <v>-340</v>
      </c>
      <c r="I51" s="30" t="n">
        <f aca="false">I50-I49</f>
        <v>-340</v>
      </c>
      <c r="J51" s="30" t="n">
        <f aca="false">J50-J49</f>
        <v>-340</v>
      </c>
      <c r="K51" s="30" t="n">
        <f aca="false">K50-K49</f>
        <v>-340</v>
      </c>
      <c r="L51" s="30" t="n">
        <f aca="false">L50-L49</f>
        <v>-340</v>
      </c>
      <c r="M51" s="30" t="n">
        <f aca="false">M50-M49</f>
        <v>-340</v>
      </c>
      <c r="N51" s="30" t="n">
        <f aca="false">N50-N49</f>
        <v>-340</v>
      </c>
      <c r="O51" s="31" t="n">
        <f aca="false">O50-O49</f>
        <v>-3060</v>
      </c>
    </row>
    <row r="52" customFormat="false" ht="15" hidden="false" customHeight="true" outlineLevel="0" collapsed="false">
      <c r="A52" s="33" t="str">
        <f aca="false">Setup!A32</f>
        <v>Auto Insurance</v>
      </c>
      <c r="B52" s="29" t="s">
        <v>130</v>
      </c>
      <c r="C52" s="30" t="n">
        <f aca="false">Setup!C32</f>
        <v>120</v>
      </c>
      <c r="D52" s="30" t="n">
        <f aca="false">Setup!C32</f>
        <v>120</v>
      </c>
      <c r="E52" s="30" t="n">
        <f aca="false">Setup!C32</f>
        <v>120</v>
      </c>
      <c r="F52" s="30" t="n">
        <f aca="false">Setup!C32</f>
        <v>120</v>
      </c>
      <c r="G52" s="30" t="n">
        <f aca="false">Setup!C32</f>
        <v>120</v>
      </c>
      <c r="H52" s="30" t="n">
        <f aca="false">Setup!C32</f>
        <v>120</v>
      </c>
      <c r="I52" s="30" t="n">
        <f aca="false">Setup!C32</f>
        <v>120</v>
      </c>
      <c r="J52" s="30" t="n">
        <f aca="false">Setup!C32</f>
        <v>120</v>
      </c>
      <c r="K52" s="30" t="n">
        <f aca="false">Setup!C32</f>
        <v>120</v>
      </c>
      <c r="L52" s="30" t="n">
        <f aca="false">Setup!C32</f>
        <v>120</v>
      </c>
      <c r="M52" s="30" t="n">
        <f aca="false">Setup!C32</f>
        <v>120</v>
      </c>
      <c r="N52" s="30" t="n">
        <f aca="false">Setup!C32</f>
        <v>120</v>
      </c>
      <c r="O52" s="31" t="n">
        <f aca="false">SUM(C52:N52)</f>
        <v>1440</v>
      </c>
    </row>
    <row r="53" customFormat="false" ht="15" hidden="false" customHeight="true" outlineLevel="0" collapsed="false">
      <c r="A53" s="33"/>
      <c r="B53" s="29" t="s">
        <v>131</v>
      </c>
      <c r="C53" s="30" t="n">
        <f aca="false">SUMIFS(Transactions!$D$5:$D$504,Transactions!$C$5:$C$504,$A52,Transactions!$F$5:$F$504,1,Transactions!$G$5:$G$504,YEAR(Setup!$B$18))</f>
        <v>0</v>
      </c>
      <c r="D53" s="30" t="n">
        <f aca="false">SUMIFS(Transactions!$D$5:$D$504,Transactions!$C$5:$C$504,$A52,Transactions!$F$5:$F$504,2,Transactions!$G$5:$G$504,YEAR(Setup!$B$18))</f>
        <v>120</v>
      </c>
      <c r="E53" s="30" t="n">
        <f aca="false">SUMIFS(Transactions!$D$5:$D$504,Transactions!$C$5:$C$504,$A52,Transactions!$F$5:$F$504,3,Transactions!$G$5:$G$504,YEAR(Setup!$B$18))</f>
        <v>120</v>
      </c>
      <c r="F53" s="30" t="n">
        <f aca="false">SUMIFS(Transactions!$D$5:$D$504,Transactions!$C$5:$C$504,$A52,Transactions!$F$5:$F$504,4,Transactions!$G$5:$G$504,YEAR(Setup!$B$18))</f>
        <v>0</v>
      </c>
      <c r="G53" s="30" t="n">
        <f aca="false">SUMIFS(Transactions!$D$5:$D$504,Transactions!$C$5:$C$504,$A52,Transactions!$F$5:$F$504,5,Transactions!$G$5:$G$504,YEAR(Setup!$B$18))</f>
        <v>0</v>
      </c>
      <c r="H53" s="30" t="n">
        <f aca="false">SUMIFS(Transactions!$D$5:$D$504,Transactions!$C$5:$C$504,$A52,Transactions!$F$5:$F$504,6,Transactions!$G$5:$G$504,YEAR(Setup!$B$18))</f>
        <v>0</v>
      </c>
      <c r="I53" s="30" t="n">
        <f aca="false">SUMIFS(Transactions!$D$5:$D$504,Transactions!$C$5:$C$504,$A52,Transactions!$F$5:$F$504,7,Transactions!$G$5:$G$504,YEAR(Setup!$B$18))</f>
        <v>0</v>
      </c>
      <c r="J53" s="30" t="n">
        <f aca="false">SUMIFS(Transactions!$D$5:$D$504,Transactions!$C$5:$C$504,$A52,Transactions!$F$5:$F$504,8,Transactions!$G$5:$G$504,YEAR(Setup!$B$18))</f>
        <v>0</v>
      </c>
      <c r="K53" s="30" t="n">
        <f aca="false">SUMIFS(Transactions!$D$5:$D$504,Transactions!$C$5:$C$504,$A52,Transactions!$F$5:$F$504,9,Transactions!$G$5:$G$504,YEAR(Setup!$B$18))</f>
        <v>0</v>
      </c>
      <c r="L53" s="30" t="n">
        <f aca="false">SUMIFS(Transactions!$D$5:$D$504,Transactions!$C$5:$C$504,$A52,Transactions!$F$5:$F$504,10,Transactions!$G$5:$G$504,YEAR(Setup!$B$18))</f>
        <v>0</v>
      </c>
      <c r="M53" s="30" t="n">
        <f aca="false">SUMIFS(Transactions!$D$5:$D$504,Transactions!$C$5:$C$504,$A52,Transactions!$F$5:$F$504,11,Transactions!$G$5:$G$504,YEAR(Setup!$B$18))</f>
        <v>0</v>
      </c>
      <c r="N53" s="30" t="n">
        <f aca="false">SUMIFS(Transactions!$D$5:$D$504,Transactions!$C$5:$C$504,$A52,Transactions!$F$5:$F$504,12,Transactions!$G$5:$G$504,YEAR(Setup!$B$18))</f>
        <v>0</v>
      </c>
      <c r="O53" s="31" t="n">
        <f aca="false">SUM(C53:N53)</f>
        <v>240</v>
      </c>
    </row>
    <row r="54" customFormat="false" ht="15" hidden="false" customHeight="true" outlineLevel="0" collapsed="false">
      <c r="A54" s="33"/>
      <c r="B54" s="29" t="s">
        <v>132</v>
      </c>
      <c r="C54" s="30" t="n">
        <f aca="false">C53-C52</f>
        <v>-120</v>
      </c>
      <c r="D54" s="30" t="n">
        <f aca="false">D53-D52</f>
        <v>0</v>
      </c>
      <c r="E54" s="30" t="n">
        <f aca="false">E53-E52</f>
        <v>0</v>
      </c>
      <c r="F54" s="30" t="n">
        <f aca="false">F53-F52</f>
        <v>-120</v>
      </c>
      <c r="G54" s="30" t="n">
        <f aca="false">G53-G52</f>
        <v>-120</v>
      </c>
      <c r="H54" s="30" t="n">
        <f aca="false">H53-H52</f>
        <v>-120</v>
      </c>
      <c r="I54" s="30" t="n">
        <f aca="false">I53-I52</f>
        <v>-120</v>
      </c>
      <c r="J54" s="30" t="n">
        <f aca="false">J53-J52</f>
        <v>-120</v>
      </c>
      <c r="K54" s="30" t="n">
        <f aca="false">K53-K52</f>
        <v>-120</v>
      </c>
      <c r="L54" s="30" t="n">
        <f aca="false">L53-L52</f>
        <v>-120</v>
      </c>
      <c r="M54" s="30" t="n">
        <f aca="false">M53-M52</f>
        <v>-120</v>
      </c>
      <c r="N54" s="30" t="n">
        <f aca="false">N53-N52</f>
        <v>-120</v>
      </c>
      <c r="O54" s="31" t="n">
        <f aca="false">O53-O52</f>
        <v>-1200</v>
      </c>
    </row>
    <row r="55" customFormat="false" ht="15" hidden="false" customHeight="true" outlineLevel="0" collapsed="false">
      <c r="A55" s="33" t="str">
        <f aca="false">Setup!A33</f>
        <v>Life Insurance</v>
      </c>
      <c r="B55" s="29" t="s">
        <v>130</v>
      </c>
      <c r="C55" s="30" t="n">
        <f aca="false">Setup!C33</f>
        <v>45</v>
      </c>
      <c r="D55" s="30" t="n">
        <f aca="false">Setup!C33</f>
        <v>45</v>
      </c>
      <c r="E55" s="30" t="n">
        <f aca="false">Setup!C33</f>
        <v>45</v>
      </c>
      <c r="F55" s="30" t="n">
        <f aca="false">Setup!C33</f>
        <v>45</v>
      </c>
      <c r="G55" s="30" t="n">
        <f aca="false">Setup!C33</f>
        <v>45</v>
      </c>
      <c r="H55" s="30" t="n">
        <f aca="false">Setup!C33</f>
        <v>45</v>
      </c>
      <c r="I55" s="30" t="n">
        <f aca="false">Setup!C33</f>
        <v>45</v>
      </c>
      <c r="J55" s="30" t="n">
        <f aca="false">Setup!C33</f>
        <v>45</v>
      </c>
      <c r="K55" s="30" t="n">
        <f aca="false">Setup!C33</f>
        <v>45</v>
      </c>
      <c r="L55" s="30" t="n">
        <f aca="false">Setup!C33</f>
        <v>45</v>
      </c>
      <c r="M55" s="30" t="n">
        <f aca="false">Setup!C33</f>
        <v>45</v>
      </c>
      <c r="N55" s="30" t="n">
        <f aca="false">Setup!C33</f>
        <v>45</v>
      </c>
      <c r="O55" s="31" t="n">
        <f aca="false">SUM(C55:N55)</f>
        <v>540</v>
      </c>
    </row>
    <row r="56" customFormat="false" ht="15" hidden="false" customHeight="true" outlineLevel="0" collapsed="false">
      <c r="A56" s="33"/>
      <c r="B56" s="29" t="s">
        <v>131</v>
      </c>
      <c r="C56" s="30" t="n">
        <f aca="false">SUMIFS(Transactions!$D$5:$D$504,Transactions!$C$5:$C$504,$A55,Transactions!$F$5:$F$504,1,Transactions!$G$5:$G$504,YEAR(Setup!$B$18))</f>
        <v>45</v>
      </c>
      <c r="D56" s="30" t="n">
        <f aca="false">SUMIFS(Transactions!$D$5:$D$504,Transactions!$C$5:$C$504,$A55,Transactions!$F$5:$F$504,2,Transactions!$G$5:$G$504,YEAR(Setup!$B$18))</f>
        <v>0</v>
      </c>
      <c r="E56" s="30" t="n">
        <f aca="false">SUMIFS(Transactions!$D$5:$D$504,Transactions!$C$5:$C$504,$A55,Transactions!$F$5:$F$504,3,Transactions!$G$5:$G$504,YEAR(Setup!$B$18))</f>
        <v>0</v>
      </c>
      <c r="F56" s="30" t="n">
        <f aca="false">SUMIFS(Transactions!$D$5:$D$504,Transactions!$C$5:$C$504,$A55,Transactions!$F$5:$F$504,4,Transactions!$G$5:$G$504,YEAR(Setup!$B$18))</f>
        <v>0</v>
      </c>
      <c r="G56" s="30" t="n">
        <f aca="false">SUMIFS(Transactions!$D$5:$D$504,Transactions!$C$5:$C$504,$A55,Transactions!$F$5:$F$504,5,Transactions!$G$5:$G$504,YEAR(Setup!$B$18))</f>
        <v>0</v>
      </c>
      <c r="H56" s="30" t="n">
        <f aca="false">SUMIFS(Transactions!$D$5:$D$504,Transactions!$C$5:$C$504,$A55,Transactions!$F$5:$F$504,6,Transactions!$G$5:$G$504,YEAR(Setup!$B$18))</f>
        <v>0</v>
      </c>
      <c r="I56" s="30" t="n">
        <f aca="false">SUMIFS(Transactions!$D$5:$D$504,Transactions!$C$5:$C$504,$A55,Transactions!$F$5:$F$504,7,Transactions!$G$5:$G$504,YEAR(Setup!$B$18))</f>
        <v>0</v>
      </c>
      <c r="J56" s="30" t="n">
        <f aca="false">SUMIFS(Transactions!$D$5:$D$504,Transactions!$C$5:$C$504,$A55,Transactions!$F$5:$F$504,8,Transactions!$G$5:$G$504,YEAR(Setup!$B$18))</f>
        <v>0</v>
      </c>
      <c r="K56" s="30" t="n">
        <f aca="false">SUMIFS(Transactions!$D$5:$D$504,Transactions!$C$5:$C$504,$A55,Transactions!$F$5:$F$504,9,Transactions!$G$5:$G$504,YEAR(Setup!$B$18))</f>
        <v>0</v>
      </c>
      <c r="L56" s="30" t="n">
        <f aca="false">SUMIFS(Transactions!$D$5:$D$504,Transactions!$C$5:$C$504,$A55,Transactions!$F$5:$F$504,10,Transactions!$G$5:$G$504,YEAR(Setup!$B$18))</f>
        <v>0</v>
      </c>
      <c r="M56" s="30" t="n">
        <f aca="false">SUMIFS(Transactions!$D$5:$D$504,Transactions!$C$5:$C$504,$A55,Transactions!$F$5:$F$504,11,Transactions!$G$5:$G$504,YEAR(Setup!$B$18))</f>
        <v>0</v>
      </c>
      <c r="N56" s="30" t="n">
        <f aca="false">SUMIFS(Transactions!$D$5:$D$504,Transactions!$C$5:$C$504,$A55,Transactions!$F$5:$F$504,12,Transactions!$G$5:$G$504,YEAR(Setup!$B$18))</f>
        <v>0</v>
      </c>
      <c r="O56" s="31" t="n">
        <f aca="false">SUM(C56:N56)</f>
        <v>45</v>
      </c>
    </row>
    <row r="57" customFormat="false" ht="15" hidden="false" customHeight="true" outlineLevel="0" collapsed="false">
      <c r="A57" s="33"/>
      <c r="B57" s="29" t="s">
        <v>132</v>
      </c>
      <c r="C57" s="30" t="n">
        <f aca="false">C56-C55</f>
        <v>0</v>
      </c>
      <c r="D57" s="30" t="n">
        <f aca="false">D56-D55</f>
        <v>-45</v>
      </c>
      <c r="E57" s="30" t="n">
        <f aca="false">E56-E55</f>
        <v>-45</v>
      </c>
      <c r="F57" s="30" t="n">
        <f aca="false">F56-F55</f>
        <v>-45</v>
      </c>
      <c r="G57" s="30" t="n">
        <f aca="false">G56-G55</f>
        <v>-45</v>
      </c>
      <c r="H57" s="30" t="n">
        <f aca="false">H56-H55</f>
        <v>-45</v>
      </c>
      <c r="I57" s="30" t="n">
        <f aca="false">I56-I55</f>
        <v>-45</v>
      </c>
      <c r="J57" s="30" t="n">
        <f aca="false">J56-J55</f>
        <v>-45</v>
      </c>
      <c r="K57" s="30" t="n">
        <f aca="false">K56-K55</f>
        <v>-45</v>
      </c>
      <c r="L57" s="30" t="n">
        <f aca="false">L56-L55</f>
        <v>-45</v>
      </c>
      <c r="M57" s="30" t="n">
        <f aca="false">M56-M55</f>
        <v>-45</v>
      </c>
      <c r="N57" s="30" t="n">
        <f aca="false">N56-N55</f>
        <v>-45</v>
      </c>
      <c r="O57" s="31" t="n">
        <f aca="false">O56-O55</f>
        <v>-495</v>
      </c>
    </row>
    <row r="58" customFormat="false" ht="15" hidden="false" customHeight="true" outlineLevel="0" collapsed="false">
      <c r="A58" s="34" t="s">
        <v>140</v>
      </c>
      <c r="B58" s="35" t="s">
        <v>130</v>
      </c>
      <c r="C58" s="36" t="n">
        <f aca="false">C49+C52+C55</f>
        <v>505</v>
      </c>
      <c r="D58" s="36" t="n">
        <f aca="false">D49+D52+D55</f>
        <v>505</v>
      </c>
      <c r="E58" s="36" t="n">
        <f aca="false">E49+E52+E55</f>
        <v>505</v>
      </c>
      <c r="F58" s="36" t="n">
        <f aca="false">F49+F52+F55</f>
        <v>505</v>
      </c>
      <c r="G58" s="36" t="n">
        <f aca="false">G49+G52+G55</f>
        <v>505</v>
      </c>
      <c r="H58" s="36" t="n">
        <f aca="false">H49+H52+H55</f>
        <v>505</v>
      </c>
      <c r="I58" s="36" t="n">
        <f aca="false">I49+I52+I55</f>
        <v>505</v>
      </c>
      <c r="J58" s="36" t="n">
        <f aca="false">J49+J52+J55</f>
        <v>505</v>
      </c>
      <c r="K58" s="36" t="n">
        <f aca="false">K49+K52+K55</f>
        <v>505</v>
      </c>
      <c r="L58" s="36" t="n">
        <f aca="false">L49+L52+L55</f>
        <v>505</v>
      </c>
      <c r="M58" s="36" t="n">
        <f aca="false">M49+M52+M55</f>
        <v>505</v>
      </c>
      <c r="N58" s="36" t="n">
        <f aca="false">N49+N52+N55</f>
        <v>505</v>
      </c>
      <c r="O58" s="36" t="n">
        <f aca="false">SUM(C58:N58)</f>
        <v>6060</v>
      </c>
    </row>
    <row r="59" customFormat="false" ht="15" hidden="false" customHeight="true" outlineLevel="0" collapsed="false">
      <c r="A59" s="34"/>
      <c r="B59" s="35" t="s">
        <v>131</v>
      </c>
      <c r="C59" s="36" t="n">
        <f aca="false">C50+C53+C56</f>
        <v>385</v>
      </c>
      <c r="D59" s="36" t="n">
        <f aca="false">D50+D53+D56</f>
        <v>460</v>
      </c>
      <c r="E59" s="36" t="n">
        <f aca="false">E50+E53+E56</f>
        <v>460</v>
      </c>
      <c r="F59" s="36" t="n">
        <f aca="false">F50+F53+F56</f>
        <v>0</v>
      </c>
      <c r="G59" s="36" t="n">
        <f aca="false">G50+G53+G56</f>
        <v>0</v>
      </c>
      <c r="H59" s="36" t="n">
        <f aca="false">H50+H53+H56</f>
        <v>0</v>
      </c>
      <c r="I59" s="36" t="n">
        <f aca="false">I50+I53+I56</f>
        <v>0</v>
      </c>
      <c r="J59" s="36" t="n">
        <f aca="false">J50+J53+J56</f>
        <v>0</v>
      </c>
      <c r="K59" s="36" t="n">
        <f aca="false">K50+K53+K56</f>
        <v>0</v>
      </c>
      <c r="L59" s="36" t="n">
        <f aca="false">L50+L53+L56</f>
        <v>0</v>
      </c>
      <c r="M59" s="36" t="n">
        <f aca="false">M50+M53+M56</f>
        <v>0</v>
      </c>
      <c r="N59" s="36" t="n">
        <f aca="false">N50+N53+N56</f>
        <v>0</v>
      </c>
      <c r="O59" s="36" t="n">
        <f aca="false">SUM(C59:N59)</f>
        <v>1305</v>
      </c>
    </row>
    <row r="60" customFormat="false" ht="15" hidden="false" customHeight="true" outlineLevel="0" collapsed="false">
      <c r="A60" s="34"/>
      <c r="B60" s="35" t="s">
        <v>132</v>
      </c>
      <c r="C60" s="36" t="n">
        <f aca="false">C59-C58</f>
        <v>-120</v>
      </c>
      <c r="D60" s="36" t="n">
        <f aca="false">D59-D58</f>
        <v>-45</v>
      </c>
      <c r="E60" s="36" t="n">
        <f aca="false">E59-E58</f>
        <v>-45</v>
      </c>
      <c r="F60" s="36" t="n">
        <f aca="false">F59-F58</f>
        <v>-505</v>
      </c>
      <c r="G60" s="36" t="n">
        <f aca="false">G59-G58</f>
        <v>-505</v>
      </c>
      <c r="H60" s="36" t="n">
        <f aca="false">H59-H58</f>
        <v>-505</v>
      </c>
      <c r="I60" s="36" t="n">
        <f aca="false">I59-I58</f>
        <v>-505</v>
      </c>
      <c r="J60" s="36" t="n">
        <f aca="false">J59-J58</f>
        <v>-505</v>
      </c>
      <c r="K60" s="36" t="n">
        <f aca="false">K59-K58</f>
        <v>-505</v>
      </c>
      <c r="L60" s="36" t="n">
        <f aca="false">L59-L58</f>
        <v>-505</v>
      </c>
      <c r="M60" s="36" t="n">
        <f aca="false">M59-M58</f>
        <v>-505</v>
      </c>
      <c r="N60" s="36" t="n">
        <f aca="false">N59-N58</f>
        <v>-505</v>
      </c>
      <c r="O60" s="36" t="n">
        <f aca="false">O59-O58</f>
        <v>-4755</v>
      </c>
    </row>
    <row r="62" customFormat="false" ht="15" hidden="false" customHeight="true" outlineLevel="0" collapsed="false">
      <c r="A62" s="32" t="s">
        <v>141</v>
      </c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</row>
    <row r="63" customFormat="false" ht="15" hidden="false" customHeight="true" outlineLevel="0" collapsed="false">
      <c r="A63" s="33" t="str">
        <f aca="false">Setup!A34</f>
        <v>Credit Card Payment</v>
      </c>
      <c r="B63" s="29" t="s">
        <v>130</v>
      </c>
      <c r="C63" s="30" t="n">
        <f aca="false">Setup!C34</f>
        <v>150</v>
      </c>
      <c r="D63" s="30" t="n">
        <f aca="false">Setup!C34</f>
        <v>150</v>
      </c>
      <c r="E63" s="30" t="n">
        <f aca="false">Setup!C34</f>
        <v>150</v>
      </c>
      <c r="F63" s="30" t="n">
        <f aca="false">Setup!C34</f>
        <v>150</v>
      </c>
      <c r="G63" s="30" t="n">
        <f aca="false">Setup!C34</f>
        <v>150</v>
      </c>
      <c r="H63" s="30" t="n">
        <f aca="false">Setup!C34</f>
        <v>150</v>
      </c>
      <c r="I63" s="30" t="n">
        <f aca="false">Setup!C34</f>
        <v>150</v>
      </c>
      <c r="J63" s="30" t="n">
        <f aca="false">Setup!C34</f>
        <v>150</v>
      </c>
      <c r="K63" s="30" t="n">
        <f aca="false">Setup!C34</f>
        <v>150</v>
      </c>
      <c r="L63" s="30" t="n">
        <f aca="false">Setup!C34</f>
        <v>150</v>
      </c>
      <c r="M63" s="30" t="n">
        <f aca="false">Setup!C34</f>
        <v>150</v>
      </c>
      <c r="N63" s="30" t="n">
        <f aca="false">Setup!C34</f>
        <v>150</v>
      </c>
      <c r="O63" s="31" t="n">
        <f aca="false">SUM(C63:N63)</f>
        <v>1800</v>
      </c>
    </row>
    <row r="64" customFormat="false" ht="15" hidden="false" customHeight="true" outlineLevel="0" collapsed="false">
      <c r="A64" s="33"/>
      <c r="B64" s="29" t="s">
        <v>131</v>
      </c>
      <c r="C64" s="30" t="n">
        <f aca="false">SUMIFS(Transactions!$D$5:$D$504,Transactions!$C$5:$C$504,$A63,Transactions!$F$5:$F$504,1,Transactions!$G$5:$G$504,YEAR(Setup!$B$18))</f>
        <v>150</v>
      </c>
      <c r="D64" s="30" t="n">
        <f aca="false">SUMIFS(Transactions!$D$5:$D$504,Transactions!$C$5:$C$504,$A63,Transactions!$F$5:$F$504,2,Transactions!$G$5:$G$504,YEAR(Setup!$B$18))</f>
        <v>165</v>
      </c>
      <c r="E64" s="30" t="n">
        <f aca="false">SUMIFS(Transactions!$D$5:$D$504,Transactions!$C$5:$C$504,$A63,Transactions!$F$5:$F$504,3,Transactions!$G$5:$G$504,YEAR(Setup!$B$18))</f>
        <v>150</v>
      </c>
      <c r="F64" s="30" t="n">
        <f aca="false">SUMIFS(Transactions!$D$5:$D$504,Transactions!$C$5:$C$504,$A63,Transactions!$F$5:$F$504,4,Transactions!$G$5:$G$504,YEAR(Setup!$B$18))</f>
        <v>0</v>
      </c>
      <c r="G64" s="30" t="n">
        <f aca="false">SUMIFS(Transactions!$D$5:$D$504,Transactions!$C$5:$C$504,$A63,Transactions!$F$5:$F$504,5,Transactions!$G$5:$G$504,YEAR(Setup!$B$18))</f>
        <v>0</v>
      </c>
      <c r="H64" s="30" t="n">
        <f aca="false">SUMIFS(Transactions!$D$5:$D$504,Transactions!$C$5:$C$504,$A63,Transactions!$F$5:$F$504,6,Transactions!$G$5:$G$504,YEAR(Setup!$B$18))</f>
        <v>0</v>
      </c>
      <c r="I64" s="30" t="n">
        <f aca="false">SUMIFS(Transactions!$D$5:$D$504,Transactions!$C$5:$C$504,$A63,Transactions!$F$5:$F$504,7,Transactions!$G$5:$G$504,YEAR(Setup!$B$18))</f>
        <v>0</v>
      </c>
      <c r="J64" s="30" t="n">
        <f aca="false">SUMIFS(Transactions!$D$5:$D$504,Transactions!$C$5:$C$504,$A63,Transactions!$F$5:$F$504,8,Transactions!$G$5:$G$504,YEAR(Setup!$B$18))</f>
        <v>0</v>
      </c>
      <c r="K64" s="30" t="n">
        <f aca="false">SUMIFS(Transactions!$D$5:$D$504,Transactions!$C$5:$C$504,$A63,Transactions!$F$5:$F$504,9,Transactions!$G$5:$G$504,YEAR(Setup!$B$18))</f>
        <v>0</v>
      </c>
      <c r="L64" s="30" t="n">
        <f aca="false">SUMIFS(Transactions!$D$5:$D$504,Transactions!$C$5:$C$504,$A63,Transactions!$F$5:$F$504,10,Transactions!$G$5:$G$504,YEAR(Setup!$B$18))</f>
        <v>0</v>
      </c>
      <c r="M64" s="30" t="n">
        <f aca="false">SUMIFS(Transactions!$D$5:$D$504,Transactions!$C$5:$C$504,$A63,Transactions!$F$5:$F$504,11,Transactions!$G$5:$G$504,YEAR(Setup!$B$18))</f>
        <v>0</v>
      </c>
      <c r="N64" s="30" t="n">
        <f aca="false">SUMIFS(Transactions!$D$5:$D$504,Transactions!$C$5:$C$504,$A63,Transactions!$F$5:$F$504,12,Transactions!$G$5:$G$504,YEAR(Setup!$B$18))</f>
        <v>0</v>
      </c>
      <c r="O64" s="31" t="n">
        <f aca="false">SUM(C64:N64)</f>
        <v>465</v>
      </c>
    </row>
    <row r="65" customFormat="false" ht="15" hidden="false" customHeight="true" outlineLevel="0" collapsed="false">
      <c r="A65" s="33"/>
      <c r="B65" s="29" t="s">
        <v>132</v>
      </c>
      <c r="C65" s="30" t="n">
        <f aca="false">C64-C63</f>
        <v>0</v>
      </c>
      <c r="D65" s="30" t="n">
        <f aca="false">D64-D63</f>
        <v>15</v>
      </c>
      <c r="E65" s="30" t="n">
        <f aca="false">E64-E63</f>
        <v>0</v>
      </c>
      <c r="F65" s="30" t="n">
        <f aca="false">F64-F63</f>
        <v>-150</v>
      </c>
      <c r="G65" s="30" t="n">
        <f aca="false">G64-G63</f>
        <v>-150</v>
      </c>
      <c r="H65" s="30" t="n">
        <f aca="false">H64-H63</f>
        <v>-150</v>
      </c>
      <c r="I65" s="30" t="n">
        <f aca="false">I64-I63</f>
        <v>-150</v>
      </c>
      <c r="J65" s="30" t="n">
        <f aca="false">J64-J63</f>
        <v>-150</v>
      </c>
      <c r="K65" s="30" t="n">
        <f aca="false">K64-K63</f>
        <v>-150</v>
      </c>
      <c r="L65" s="30" t="n">
        <f aca="false">L64-L63</f>
        <v>-150</v>
      </c>
      <c r="M65" s="30" t="n">
        <f aca="false">M64-M63</f>
        <v>-150</v>
      </c>
      <c r="N65" s="30" t="n">
        <f aca="false">N64-N63</f>
        <v>-150</v>
      </c>
      <c r="O65" s="31" t="n">
        <f aca="false">O64-O63</f>
        <v>-1335</v>
      </c>
    </row>
    <row r="66" customFormat="false" ht="15" hidden="false" customHeight="true" outlineLevel="0" collapsed="false">
      <c r="A66" s="33" t="str">
        <f aca="false">Setup!A35</f>
        <v>Student Loan Payment</v>
      </c>
      <c r="B66" s="29" t="s">
        <v>130</v>
      </c>
      <c r="C66" s="30" t="n">
        <f aca="false">Setup!C35</f>
        <v>220</v>
      </c>
      <c r="D66" s="30" t="n">
        <f aca="false">Setup!C35</f>
        <v>220</v>
      </c>
      <c r="E66" s="30" t="n">
        <f aca="false">Setup!C35</f>
        <v>220</v>
      </c>
      <c r="F66" s="30" t="n">
        <f aca="false">Setup!C35</f>
        <v>220</v>
      </c>
      <c r="G66" s="30" t="n">
        <f aca="false">Setup!C35</f>
        <v>220</v>
      </c>
      <c r="H66" s="30" t="n">
        <f aca="false">Setup!C35</f>
        <v>220</v>
      </c>
      <c r="I66" s="30" t="n">
        <f aca="false">Setup!C35</f>
        <v>220</v>
      </c>
      <c r="J66" s="30" t="n">
        <f aca="false">Setup!C35</f>
        <v>220</v>
      </c>
      <c r="K66" s="30" t="n">
        <f aca="false">Setup!C35</f>
        <v>220</v>
      </c>
      <c r="L66" s="30" t="n">
        <f aca="false">Setup!C35</f>
        <v>220</v>
      </c>
      <c r="M66" s="30" t="n">
        <f aca="false">Setup!C35</f>
        <v>220</v>
      </c>
      <c r="N66" s="30" t="n">
        <f aca="false">Setup!C35</f>
        <v>220</v>
      </c>
      <c r="O66" s="31" t="n">
        <f aca="false">SUM(C66:N66)</f>
        <v>2640</v>
      </c>
    </row>
    <row r="67" customFormat="false" ht="15" hidden="false" customHeight="true" outlineLevel="0" collapsed="false">
      <c r="A67" s="33"/>
      <c r="B67" s="29" t="s">
        <v>131</v>
      </c>
      <c r="C67" s="30" t="n">
        <f aca="false">SUMIFS(Transactions!$D$5:$D$504,Transactions!$C$5:$C$504,$A66,Transactions!$F$5:$F$504,1,Transactions!$G$5:$G$504,YEAR(Setup!$B$18))</f>
        <v>220</v>
      </c>
      <c r="D67" s="30" t="n">
        <f aca="false">SUMIFS(Transactions!$D$5:$D$504,Transactions!$C$5:$C$504,$A66,Transactions!$F$5:$F$504,2,Transactions!$G$5:$G$504,YEAR(Setup!$B$18))</f>
        <v>220</v>
      </c>
      <c r="E67" s="30" t="n">
        <f aca="false">SUMIFS(Transactions!$D$5:$D$504,Transactions!$C$5:$C$504,$A66,Transactions!$F$5:$F$504,3,Transactions!$G$5:$G$504,YEAR(Setup!$B$18))</f>
        <v>220</v>
      </c>
      <c r="F67" s="30" t="n">
        <f aca="false">SUMIFS(Transactions!$D$5:$D$504,Transactions!$C$5:$C$504,$A66,Transactions!$F$5:$F$504,4,Transactions!$G$5:$G$504,YEAR(Setup!$B$18))</f>
        <v>0</v>
      </c>
      <c r="G67" s="30" t="n">
        <f aca="false">SUMIFS(Transactions!$D$5:$D$504,Transactions!$C$5:$C$504,$A66,Transactions!$F$5:$F$504,5,Transactions!$G$5:$G$504,YEAR(Setup!$B$18))</f>
        <v>0</v>
      </c>
      <c r="H67" s="30" t="n">
        <f aca="false">SUMIFS(Transactions!$D$5:$D$504,Transactions!$C$5:$C$504,$A66,Transactions!$F$5:$F$504,6,Transactions!$G$5:$G$504,YEAR(Setup!$B$18))</f>
        <v>0</v>
      </c>
      <c r="I67" s="30" t="n">
        <f aca="false">SUMIFS(Transactions!$D$5:$D$504,Transactions!$C$5:$C$504,$A66,Transactions!$F$5:$F$504,7,Transactions!$G$5:$G$504,YEAR(Setup!$B$18))</f>
        <v>0</v>
      </c>
      <c r="J67" s="30" t="n">
        <f aca="false">SUMIFS(Transactions!$D$5:$D$504,Transactions!$C$5:$C$504,$A66,Transactions!$F$5:$F$504,8,Transactions!$G$5:$G$504,YEAR(Setup!$B$18))</f>
        <v>0</v>
      </c>
      <c r="K67" s="30" t="n">
        <f aca="false">SUMIFS(Transactions!$D$5:$D$504,Transactions!$C$5:$C$504,$A66,Transactions!$F$5:$F$504,9,Transactions!$G$5:$G$504,YEAR(Setup!$B$18))</f>
        <v>0</v>
      </c>
      <c r="L67" s="30" t="n">
        <f aca="false">SUMIFS(Transactions!$D$5:$D$504,Transactions!$C$5:$C$504,$A66,Transactions!$F$5:$F$504,10,Transactions!$G$5:$G$504,YEAR(Setup!$B$18))</f>
        <v>0</v>
      </c>
      <c r="M67" s="30" t="n">
        <f aca="false">SUMIFS(Transactions!$D$5:$D$504,Transactions!$C$5:$C$504,$A66,Transactions!$F$5:$F$504,11,Transactions!$G$5:$G$504,YEAR(Setup!$B$18))</f>
        <v>0</v>
      </c>
      <c r="N67" s="30" t="n">
        <f aca="false">SUMIFS(Transactions!$D$5:$D$504,Transactions!$C$5:$C$504,$A66,Transactions!$F$5:$F$504,12,Transactions!$G$5:$G$504,YEAR(Setup!$B$18))</f>
        <v>0</v>
      </c>
      <c r="O67" s="31" t="n">
        <f aca="false">SUM(C67:N67)</f>
        <v>660</v>
      </c>
    </row>
    <row r="68" customFormat="false" ht="15" hidden="false" customHeight="true" outlineLevel="0" collapsed="false">
      <c r="A68" s="33"/>
      <c r="B68" s="29" t="s">
        <v>132</v>
      </c>
      <c r="C68" s="30" t="n">
        <f aca="false">C67-C66</f>
        <v>0</v>
      </c>
      <c r="D68" s="30" t="n">
        <f aca="false">D67-D66</f>
        <v>0</v>
      </c>
      <c r="E68" s="30" t="n">
        <f aca="false">E67-E66</f>
        <v>0</v>
      </c>
      <c r="F68" s="30" t="n">
        <f aca="false">F67-F66</f>
        <v>-220</v>
      </c>
      <c r="G68" s="30" t="n">
        <f aca="false">G67-G66</f>
        <v>-220</v>
      </c>
      <c r="H68" s="30" t="n">
        <f aca="false">H67-H66</f>
        <v>-220</v>
      </c>
      <c r="I68" s="30" t="n">
        <f aca="false">I67-I66</f>
        <v>-220</v>
      </c>
      <c r="J68" s="30" t="n">
        <f aca="false">J67-J66</f>
        <v>-220</v>
      </c>
      <c r="K68" s="30" t="n">
        <f aca="false">K67-K66</f>
        <v>-220</v>
      </c>
      <c r="L68" s="30" t="n">
        <f aca="false">L67-L66</f>
        <v>-220</v>
      </c>
      <c r="M68" s="30" t="n">
        <f aca="false">M67-M66</f>
        <v>-220</v>
      </c>
      <c r="N68" s="30" t="n">
        <f aca="false">N67-N66</f>
        <v>-220</v>
      </c>
      <c r="O68" s="31" t="n">
        <f aca="false">O67-O66</f>
        <v>-1980</v>
      </c>
    </row>
    <row r="69" customFormat="false" ht="15" hidden="false" customHeight="true" outlineLevel="0" collapsed="false">
      <c r="A69" s="34" t="s">
        <v>142</v>
      </c>
      <c r="B69" s="35" t="s">
        <v>130</v>
      </c>
      <c r="C69" s="36" t="n">
        <f aca="false">C63+C66</f>
        <v>370</v>
      </c>
      <c r="D69" s="36" t="n">
        <f aca="false">D63+D66</f>
        <v>370</v>
      </c>
      <c r="E69" s="36" t="n">
        <f aca="false">E63+E66</f>
        <v>370</v>
      </c>
      <c r="F69" s="36" t="n">
        <f aca="false">F63+F66</f>
        <v>370</v>
      </c>
      <c r="G69" s="36" t="n">
        <f aca="false">G63+G66</f>
        <v>370</v>
      </c>
      <c r="H69" s="36" t="n">
        <f aca="false">H63+H66</f>
        <v>370</v>
      </c>
      <c r="I69" s="36" t="n">
        <f aca="false">I63+I66</f>
        <v>370</v>
      </c>
      <c r="J69" s="36" t="n">
        <f aca="false">J63+J66</f>
        <v>370</v>
      </c>
      <c r="K69" s="36" t="n">
        <f aca="false">K63+K66</f>
        <v>370</v>
      </c>
      <c r="L69" s="36" t="n">
        <f aca="false">L63+L66</f>
        <v>370</v>
      </c>
      <c r="M69" s="36" t="n">
        <f aca="false">M63+M66</f>
        <v>370</v>
      </c>
      <c r="N69" s="36" t="n">
        <f aca="false">N63+N66</f>
        <v>370</v>
      </c>
      <c r="O69" s="36" t="n">
        <f aca="false">SUM(C69:N69)</f>
        <v>4440</v>
      </c>
    </row>
    <row r="70" customFormat="false" ht="15" hidden="false" customHeight="true" outlineLevel="0" collapsed="false">
      <c r="A70" s="34"/>
      <c r="B70" s="35" t="s">
        <v>131</v>
      </c>
      <c r="C70" s="36" t="n">
        <f aca="false">C64+C67</f>
        <v>370</v>
      </c>
      <c r="D70" s="36" t="n">
        <f aca="false">D64+D67</f>
        <v>385</v>
      </c>
      <c r="E70" s="36" t="n">
        <f aca="false">E64+E67</f>
        <v>370</v>
      </c>
      <c r="F70" s="36" t="n">
        <f aca="false">F64+F67</f>
        <v>0</v>
      </c>
      <c r="G70" s="36" t="n">
        <f aca="false">G64+G67</f>
        <v>0</v>
      </c>
      <c r="H70" s="36" t="n">
        <f aca="false">H64+H67</f>
        <v>0</v>
      </c>
      <c r="I70" s="36" t="n">
        <f aca="false">I64+I67</f>
        <v>0</v>
      </c>
      <c r="J70" s="36" t="n">
        <f aca="false">J64+J67</f>
        <v>0</v>
      </c>
      <c r="K70" s="36" t="n">
        <f aca="false">K64+K67</f>
        <v>0</v>
      </c>
      <c r="L70" s="36" t="n">
        <f aca="false">L64+L67</f>
        <v>0</v>
      </c>
      <c r="M70" s="36" t="n">
        <f aca="false">M64+M67</f>
        <v>0</v>
      </c>
      <c r="N70" s="36" t="n">
        <f aca="false">N64+N67</f>
        <v>0</v>
      </c>
      <c r="O70" s="36" t="n">
        <f aca="false">SUM(C70:N70)</f>
        <v>1125</v>
      </c>
    </row>
    <row r="71" customFormat="false" ht="15" hidden="false" customHeight="true" outlineLevel="0" collapsed="false">
      <c r="A71" s="34"/>
      <c r="B71" s="35" t="s">
        <v>132</v>
      </c>
      <c r="C71" s="36" t="n">
        <f aca="false">C70-C69</f>
        <v>0</v>
      </c>
      <c r="D71" s="36" t="n">
        <f aca="false">D70-D69</f>
        <v>15</v>
      </c>
      <c r="E71" s="36" t="n">
        <f aca="false">E70-E69</f>
        <v>0</v>
      </c>
      <c r="F71" s="36" t="n">
        <f aca="false">F70-F69</f>
        <v>-370</v>
      </c>
      <c r="G71" s="36" t="n">
        <f aca="false">G70-G69</f>
        <v>-370</v>
      </c>
      <c r="H71" s="36" t="n">
        <f aca="false">H70-H69</f>
        <v>-370</v>
      </c>
      <c r="I71" s="36" t="n">
        <f aca="false">I70-I69</f>
        <v>-370</v>
      </c>
      <c r="J71" s="36" t="n">
        <f aca="false">J70-J69</f>
        <v>-370</v>
      </c>
      <c r="K71" s="36" t="n">
        <f aca="false">K70-K69</f>
        <v>-370</v>
      </c>
      <c r="L71" s="36" t="n">
        <f aca="false">L70-L69</f>
        <v>-370</v>
      </c>
      <c r="M71" s="36" t="n">
        <f aca="false">M70-M69</f>
        <v>-370</v>
      </c>
      <c r="N71" s="36" t="n">
        <f aca="false">N70-N69</f>
        <v>-370</v>
      </c>
      <c r="O71" s="36" t="n">
        <f aca="false">O70-O69</f>
        <v>-3315</v>
      </c>
    </row>
    <row r="73" customFormat="false" ht="15" hidden="false" customHeight="true" outlineLevel="0" collapsed="false">
      <c r="A73" s="32" t="s">
        <v>143</v>
      </c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</row>
    <row r="74" customFormat="false" ht="15" hidden="false" customHeight="true" outlineLevel="0" collapsed="false">
      <c r="A74" s="33" t="str">
        <f aca="false">Setup!A36</f>
        <v>Emergency Fund</v>
      </c>
      <c r="B74" s="29" t="s">
        <v>130</v>
      </c>
      <c r="C74" s="30" t="n">
        <f aca="false">Setup!C36</f>
        <v>200</v>
      </c>
      <c r="D74" s="30" t="n">
        <f aca="false">Setup!C36</f>
        <v>200</v>
      </c>
      <c r="E74" s="30" t="n">
        <f aca="false">Setup!C36</f>
        <v>200</v>
      </c>
      <c r="F74" s="30" t="n">
        <f aca="false">Setup!C36</f>
        <v>200</v>
      </c>
      <c r="G74" s="30" t="n">
        <f aca="false">Setup!C36</f>
        <v>200</v>
      </c>
      <c r="H74" s="30" t="n">
        <f aca="false">Setup!C36</f>
        <v>200</v>
      </c>
      <c r="I74" s="30" t="n">
        <f aca="false">Setup!C36</f>
        <v>200</v>
      </c>
      <c r="J74" s="30" t="n">
        <f aca="false">Setup!C36</f>
        <v>200</v>
      </c>
      <c r="K74" s="30" t="n">
        <f aca="false">Setup!C36</f>
        <v>200</v>
      </c>
      <c r="L74" s="30" t="n">
        <f aca="false">Setup!C36</f>
        <v>200</v>
      </c>
      <c r="M74" s="30" t="n">
        <f aca="false">Setup!C36</f>
        <v>200</v>
      </c>
      <c r="N74" s="30" t="n">
        <f aca="false">Setup!C36</f>
        <v>200</v>
      </c>
      <c r="O74" s="31" t="n">
        <f aca="false">SUM(C74:N74)</f>
        <v>2400</v>
      </c>
    </row>
    <row r="75" customFormat="false" ht="15" hidden="false" customHeight="true" outlineLevel="0" collapsed="false">
      <c r="A75" s="33"/>
      <c r="B75" s="29" t="s">
        <v>131</v>
      </c>
      <c r="C75" s="30" t="n">
        <f aca="false">SUMIFS(Transactions!$D$5:$D$504,Transactions!$C$5:$C$504,$A74,Transactions!$F$5:$F$504,1,Transactions!$G$5:$G$504,YEAR(Setup!$B$18))</f>
        <v>200</v>
      </c>
      <c r="D75" s="30" t="n">
        <f aca="false">SUMIFS(Transactions!$D$5:$D$504,Transactions!$C$5:$C$504,$A74,Transactions!$F$5:$F$504,2,Transactions!$G$5:$G$504,YEAR(Setup!$B$18))</f>
        <v>0</v>
      </c>
      <c r="E75" s="30" t="n">
        <f aca="false">SUMIFS(Transactions!$D$5:$D$504,Transactions!$C$5:$C$504,$A74,Transactions!$F$5:$F$504,3,Transactions!$G$5:$G$504,YEAR(Setup!$B$18))</f>
        <v>0</v>
      </c>
      <c r="F75" s="30" t="n">
        <f aca="false">SUMIFS(Transactions!$D$5:$D$504,Transactions!$C$5:$C$504,$A74,Transactions!$F$5:$F$504,4,Transactions!$G$5:$G$504,YEAR(Setup!$B$18))</f>
        <v>0</v>
      </c>
      <c r="G75" s="30" t="n">
        <f aca="false">SUMIFS(Transactions!$D$5:$D$504,Transactions!$C$5:$C$504,$A74,Transactions!$F$5:$F$504,5,Transactions!$G$5:$G$504,YEAR(Setup!$B$18))</f>
        <v>0</v>
      </c>
      <c r="H75" s="30" t="n">
        <f aca="false">SUMIFS(Transactions!$D$5:$D$504,Transactions!$C$5:$C$504,$A74,Transactions!$F$5:$F$504,6,Transactions!$G$5:$G$504,YEAR(Setup!$B$18))</f>
        <v>0</v>
      </c>
      <c r="I75" s="30" t="n">
        <f aca="false">SUMIFS(Transactions!$D$5:$D$504,Transactions!$C$5:$C$504,$A74,Transactions!$F$5:$F$504,7,Transactions!$G$5:$G$504,YEAR(Setup!$B$18))</f>
        <v>0</v>
      </c>
      <c r="J75" s="30" t="n">
        <f aca="false">SUMIFS(Transactions!$D$5:$D$504,Transactions!$C$5:$C$504,$A74,Transactions!$F$5:$F$504,8,Transactions!$G$5:$G$504,YEAR(Setup!$B$18))</f>
        <v>0</v>
      </c>
      <c r="K75" s="30" t="n">
        <f aca="false">SUMIFS(Transactions!$D$5:$D$504,Transactions!$C$5:$C$504,$A74,Transactions!$F$5:$F$504,9,Transactions!$G$5:$G$504,YEAR(Setup!$B$18))</f>
        <v>0</v>
      </c>
      <c r="L75" s="30" t="n">
        <f aca="false">SUMIFS(Transactions!$D$5:$D$504,Transactions!$C$5:$C$504,$A74,Transactions!$F$5:$F$504,10,Transactions!$G$5:$G$504,YEAR(Setup!$B$18))</f>
        <v>0</v>
      </c>
      <c r="M75" s="30" t="n">
        <f aca="false">SUMIFS(Transactions!$D$5:$D$504,Transactions!$C$5:$C$504,$A74,Transactions!$F$5:$F$504,11,Transactions!$G$5:$G$504,YEAR(Setup!$B$18))</f>
        <v>0</v>
      </c>
      <c r="N75" s="30" t="n">
        <f aca="false">SUMIFS(Transactions!$D$5:$D$504,Transactions!$C$5:$C$504,$A74,Transactions!$F$5:$F$504,12,Transactions!$G$5:$G$504,YEAR(Setup!$B$18))</f>
        <v>0</v>
      </c>
      <c r="O75" s="31" t="n">
        <f aca="false">SUM(C75:N75)</f>
        <v>200</v>
      </c>
    </row>
    <row r="76" customFormat="false" ht="15" hidden="false" customHeight="true" outlineLevel="0" collapsed="false">
      <c r="A76" s="33"/>
      <c r="B76" s="29" t="s">
        <v>132</v>
      </c>
      <c r="C76" s="30" t="n">
        <f aca="false">C75-C74</f>
        <v>0</v>
      </c>
      <c r="D76" s="30" t="n">
        <f aca="false">D75-D74</f>
        <v>-200</v>
      </c>
      <c r="E76" s="30" t="n">
        <f aca="false">E75-E74</f>
        <v>-200</v>
      </c>
      <c r="F76" s="30" t="n">
        <f aca="false">F75-F74</f>
        <v>-200</v>
      </c>
      <c r="G76" s="30" t="n">
        <f aca="false">G75-G74</f>
        <v>-200</v>
      </c>
      <c r="H76" s="30" t="n">
        <f aca="false">H75-H74</f>
        <v>-200</v>
      </c>
      <c r="I76" s="30" t="n">
        <f aca="false">I75-I74</f>
        <v>-200</v>
      </c>
      <c r="J76" s="30" t="n">
        <f aca="false">J75-J74</f>
        <v>-200</v>
      </c>
      <c r="K76" s="30" t="n">
        <f aca="false">K75-K74</f>
        <v>-200</v>
      </c>
      <c r="L76" s="30" t="n">
        <f aca="false">L75-L74</f>
        <v>-200</v>
      </c>
      <c r="M76" s="30" t="n">
        <f aca="false">M75-M74</f>
        <v>-200</v>
      </c>
      <c r="N76" s="30" t="n">
        <f aca="false">N75-N74</f>
        <v>-200</v>
      </c>
      <c r="O76" s="31" t="n">
        <f aca="false">O75-O74</f>
        <v>-2200</v>
      </c>
    </row>
    <row r="77" customFormat="false" ht="15" hidden="false" customHeight="true" outlineLevel="0" collapsed="false">
      <c r="A77" s="33" t="str">
        <f aca="false">Setup!A37</f>
        <v>Retirement 401k or IRA</v>
      </c>
      <c r="B77" s="29" t="s">
        <v>130</v>
      </c>
      <c r="C77" s="30" t="n">
        <f aca="false">Setup!C37</f>
        <v>500</v>
      </c>
      <c r="D77" s="30" t="n">
        <f aca="false">Setup!C37</f>
        <v>500</v>
      </c>
      <c r="E77" s="30" t="n">
        <f aca="false">Setup!C37</f>
        <v>500</v>
      </c>
      <c r="F77" s="30" t="n">
        <f aca="false">Setup!C37</f>
        <v>500</v>
      </c>
      <c r="G77" s="30" t="n">
        <f aca="false">Setup!C37</f>
        <v>500</v>
      </c>
      <c r="H77" s="30" t="n">
        <f aca="false">Setup!C37</f>
        <v>500</v>
      </c>
      <c r="I77" s="30" t="n">
        <f aca="false">Setup!C37</f>
        <v>500</v>
      </c>
      <c r="J77" s="30" t="n">
        <f aca="false">Setup!C37</f>
        <v>500</v>
      </c>
      <c r="K77" s="30" t="n">
        <f aca="false">Setup!C37</f>
        <v>500</v>
      </c>
      <c r="L77" s="30" t="n">
        <f aca="false">Setup!C37</f>
        <v>500</v>
      </c>
      <c r="M77" s="30" t="n">
        <f aca="false">Setup!C37</f>
        <v>500</v>
      </c>
      <c r="N77" s="30" t="n">
        <f aca="false">Setup!C37</f>
        <v>500</v>
      </c>
      <c r="O77" s="31" t="n">
        <f aca="false">SUM(C77:N77)</f>
        <v>6000</v>
      </c>
    </row>
    <row r="78" customFormat="false" ht="15" hidden="false" customHeight="true" outlineLevel="0" collapsed="false">
      <c r="A78" s="33"/>
      <c r="B78" s="29" t="s">
        <v>131</v>
      </c>
      <c r="C78" s="30" t="n">
        <f aca="false">SUMIFS(Transactions!$D$5:$D$504,Transactions!$C$5:$C$504,$A77,Transactions!$F$5:$F$504,1,Transactions!$G$5:$G$504,YEAR(Setup!$B$18))</f>
        <v>500</v>
      </c>
      <c r="D78" s="30" t="n">
        <f aca="false">SUMIFS(Transactions!$D$5:$D$504,Transactions!$C$5:$C$504,$A77,Transactions!$F$5:$F$504,2,Transactions!$G$5:$G$504,YEAR(Setup!$B$18))</f>
        <v>0</v>
      </c>
      <c r="E78" s="30" t="n">
        <f aca="false">SUMIFS(Transactions!$D$5:$D$504,Transactions!$C$5:$C$504,$A77,Transactions!$F$5:$F$504,3,Transactions!$G$5:$G$504,YEAR(Setup!$B$18))</f>
        <v>500</v>
      </c>
      <c r="F78" s="30" t="n">
        <f aca="false">SUMIFS(Transactions!$D$5:$D$504,Transactions!$C$5:$C$504,$A77,Transactions!$F$5:$F$504,4,Transactions!$G$5:$G$504,YEAR(Setup!$B$18))</f>
        <v>0</v>
      </c>
      <c r="G78" s="30" t="n">
        <f aca="false">SUMIFS(Transactions!$D$5:$D$504,Transactions!$C$5:$C$504,$A77,Transactions!$F$5:$F$504,5,Transactions!$G$5:$G$504,YEAR(Setup!$B$18))</f>
        <v>0</v>
      </c>
      <c r="H78" s="30" t="n">
        <f aca="false">SUMIFS(Transactions!$D$5:$D$504,Transactions!$C$5:$C$504,$A77,Transactions!$F$5:$F$504,6,Transactions!$G$5:$G$504,YEAR(Setup!$B$18))</f>
        <v>0</v>
      </c>
      <c r="I78" s="30" t="n">
        <f aca="false">SUMIFS(Transactions!$D$5:$D$504,Transactions!$C$5:$C$504,$A77,Transactions!$F$5:$F$504,7,Transactions!$G$5:$G$504,YEAR(Setup!$B$18))</f>
        <v>0</v>
      </c>
      <c r="J78" s="30" t="n">
        <f aca="false">SUMIFS(Transactions!$D$5:$D$504,Transactions!$C$5:$C$504,$A77,Transactions!$F$5:$F$504,8,Transactions!$G$5:$G$504,YEAR(Setup!$B$18))</f>
        <v>0</v>
      </c>
      <c r="K78" s="30" t="n">
        <f aca="false">SUMIFS(Transactions!$D$5:$D$504,Transactions!$C$5:$C$504,$A77,Transactions!$F$5:$F$504,9,Transactions!$G$5:$G$504,YEAR(Setup!$B$18))</f>
        <v>0</v>
      </c>
      <c r="L78" s="30" t="n">
        <f aca="false">SUMIFS(Transactions!$D$5:$D$504,Transactions!$C$5:$C$504,$A77,Transactions!$F$5:$F$504,10,Transactions!$G$5:$G$504,YEAR(Setup!$B$18))</f>
        <v>0</v>
      </c>
      <c r="M78" s="30" t="n">
        <f aca="false">SUMIFS(Transactions!$D$5:$D$504,Transactions!$C$5:$C$504,$A77,Transactions!$F$5:$F$504,11,Transactions!$G$5:$G$504,YEAR(Setup!$B$18))</f>
        <v>0</v>
      </c>
      <c r="N78" s="30" t="n">
        <f aca="false">SUMIFS(Transactions!$D$5:$D$504,Transactions!$C$5:$C$504,$A77,Transactions!$F$5:$F$504,12,Transactions!$G$5:$G$504,YEAR(Setup!$B$18))</f>
        <v>0</v>
      </c>
      <c r="O78" s="31" t="n">
        <f aca="false">SUM(C78:N78)</f>
        <v>1000</v>
      </c>
    </row>
    <row r="79" customFormat="false" ht="15" hidden="false" customHeight="true" outlineLevel="0" collapsed="false">
      <c r="A79" s="33"/>
      <c r="B79" s="29" t="s">
        <v>132</v>
      </c>
      <c r="C79" s="30" t="n">
        <f aca="false">C78-C77</f>
        <v>0</v>
      </c>
      <c r="D79" s="30" t="n">
        <f aca="false">D78-D77</f>
        <v>-500</v>
      </c>
      <c r="E79" s="30" t="n">
        <f aca="false">E78-E77</f>
        <v>0</v>
      </c>
      <c r="F79" s="30" t="n">
        <f aca="false">F78-F77</f>
        <v>-500</v>
      </c>
      <c r="G79" s="30" t="n">
        <f aca="false">G78-G77</f>
        <v>-500</v>
      </c>
      <c r="H79" s="30" t="n">
        <f aca="false">H78-H77</f>
        <v>-500</v>
      </c>
      <c r="I79" s="30" t="n">
        <f aca="false">I78-I77</f>
        <v>-500</v>
      </c>
      <c r="J79" s="30" t="n">
        <f aca="false">J78-J77</f>
        <v>-500</v>
      </c>
      <c r="K79" s="30" t="n">
        <f aca="false">K78-K77</f>
        <v>-500</v>
      </c>
      <c r="L79" s="30" t="n">
        <f aca="false">L78-L77</f>
        <v>-500</v>
      </c>
      <c r="M79" s="30" t="n">
        <f aca="false">M78-M77</f>
        <v>-500</v>
      </c>
      <c r="N79" s="30" t="n">
        <f aca="false">N78-N77</f>
        <v>-500</v>
      </c>
      <c r="O79" s="31" t="n">
        <f aca="false">O78-O77</f>
        <v>-5000</v>
      </c>
    </row>
    <row r="80" customFormat="false" ht="15" hidden="false" customHeight="true" outlineLevel="0" collapsed="false">
      <c r="A80" s="33" t="str">
        <f aca="false">Setup!A38</f>
        <v>Brokerage Investing</v>
      </c>
      <c r="B80" s="29" t="s">
        <v>130</v>
      </c>
      <c r="C80" s="30" t="n">
        <f aca="false">Setup!C38</f>
        <v>300</v>
      </c>
      <c r="D80" s="30" t="n">
        <f aca="false">Setup!C38</f>
        <v>300</v>
      </c>
      <c r="E80" s="30" t="n">
        <f aca="false">Setup!C38</f>
        <v>300</v>
      </c>
      <c r="F80" s="30" t="n">
        <f aca="false">Setup!C38</f>
        <v>300</v>
      </c>
      <c r="G80" s="30" t="n">
        <f aca="false">Setup!C38</f>
        <v>300</v>
      </c>
      <c r="H80" s="30" t="n">
        <f aca="false">Setup!C38</f>
        <v>300</v>
      </c>
      <c r="I80" s="30" t="n">
        <f aca="false">Setup!C38</f>
        <v>300</v>
      </c>
      <c r="J80" s="30" t="n">
        <f aca="false">Setup!C38</f>
        <v>300</v>
      </c>
      <c r="K80" s="30" t="n">
        <f aca="false">Setup!C38</f>
        <v>300</v>
      </c>
      <c r="L80" s="30" t="n">
        <f aca="false">Setup!C38</f>
        <v>300</v>
      </c>
      <c r="M80" s="30" t="n">
        <f aca="false">Setup!C38</f>
        <v>300</v>
      </c>
      <c r="N80" s="30" t="n">
        <f aca="false">Setup!C38</f>
        <v>300</v>
      </c>
      <c r="O80" s="31" t="n">
        <f aca="false">SUM(C80:N80)</f>
        <v>3600</v>
      </c>
    </row>
    <row r="81" customFormat="false" ht="15" hidden="false" customHeight="true" outlineLevel="0" collapsed="false">
      <c r="A81" s="33"/>
      <c r="B81" s="29" t="s">
        <v>131</v>
      </c>
      <c r="C81" s="30" t="n">
        <f aca="false">SUMIFS(Transactions!$D$5:$D$504,Transactions!$C$5:$C$504,$A80,Transactions!$F$5:$F$504,1,Transactions!$G$5:$G$504,YEAR(Setup!$B$18))</f>
        <v>0</v>
      </c>
      <c r="D81" s="30" t="n">
        <f aca="false">SUMIFS(Transactions!$D$5:$D$504,Transactions!$C$5:$C$504,$A80,Transactions!$F$5:$F$504,2,Transactions!$G$5:$G$504,YEAR(Setup!$B$18))</f>
        <v>0</v>
      </c>
      <c r="E81" s="30" t="n">
        <f aca="false">SUMIFS(Transactions!$D$5:$D$504,Transactions!$C$5:$C$504,$A80,Transactions!$F$5:$F$504,3,Transactions!$G$5:$G$504,YEAR(Setup!$B$18))</f>
        <v>300</v>
      </c>
      <c r="F81" s="30" t="n">
        <f aca="false">SUMIFS(Transactions!$D$5:$D$504,Transactions!$C$5:$C$504,$A80,Transactions!$F$5:$F$504,4,Transactions!$G$5:$G$504,YEAR(Setup!$B$18))</f>
        <v>0</v>
      </c>
      <c r="G81" s="30" t="n">
        <f aca="false">SUMIFS(Transactions!$D$5:$D$504,Transactions!$C$5:$C$504,$A80,Transactions!$F$5:$F$504,5,Transactions!$G$5:$G$504,YEAR(Setup!$B$18))</f>
        <v>0</v>
      </c>
      <c r="H81" s="30" t="n">
        <f aca="false">SUMIFS(Transactions!$D$5:$D$504,Transactions!$C$5:$C$504,$A80,Transactions!$F$5:$F$504,6,Transactions!$G$5:$G$504,YEAR(Setup!$B$18))</f>
        <v>0</v>
      </c>
      <c r="I81" s="30" t="n">
        <f aca="false">SUMIFS(Transactions!$D$5:$D$504,Transactions!$C$5:$C$504,$A80,Transactions!$F$5:$F$504,7,Transactions!$G$5:$G$504,YEAR(Setup!$B$18))</f>
        <v>0</v>
      </c>
      <c r="J81" s="30" t="n">
        <f aca="false">SUMIFS(Transactions!$D$5:$D$504,Transactions!$C$5:$C$504,$A80,Transactions!$F$5:$F$504,8,Transactions!$G$5:$G$504,YEAR(Setup!$B$18))</f>
        <v>0</v>
      </c>
      <c r="K81" s="30" t="n">
        <f aca="false">SUMIFS(Transactions!$D$5:$D$504,Transactions!$C$5:$C$504,$A80,Transactions!$F$5:$F$504,9,Transactions!$G$5:$G$504,YEAR(Setup!$B$18))</f>
        <v>0</v>
      </c>
      <c r="L81" s="30" t="n">
        <f aca="false">SUMIFS(Transactions!$D$5:$D$504,Transactions!$C$5:$C$504,$A80,Transactions!$F$5:$F$504,10,Transactions!$G$5:$G$504,YEAR(Setup!$B$18))</f>
        <v>0</v>
      </c>
      <c r="M81" s="30" t="n">
        <f aca="false">SUMIFS(Transactions!$D$5:$D$504,Transactions!$C$5:$C$504,$A80,Transactions!$F$5:$F$504,11,Transactions!$G$5:$G$504,YEAR(Setup!$B$18))</f>
        <v>0</v>
      </c>
      <c r="N81" s="30" t="n">
        <f aca="false">SUMIFS(Transactions!$D$5:$D$504,Transactions!$C$5:$C$504,$A80,Transactions!$F$5:$F$504,12,Transactions!$G$5:$G$504,YEAR(Setup!$B$18))</f>
        <v>0</v>
      </c>
      <c r="O81" s="31" t="n">
        <f aca="false">SUM(C81:N81)</f>
        <v>300</v>
      </c>
    </row>
    <row r="82" customFormat="false" ht="15" hidden="false" customHeight="true" outlineLevel="0" collapsed="false">
      <c r="A82" s="33"/>
      <c r="B82" s="29" t="s">
        <v>132</v>
      </c>
      <c r="C82" s="30" t="n">
        <f aca="false">C81-C80</f>
        <v>-300</v>
      </c>
      <c r="D82" s="30" t="n">
        <f aca="false">D81-D80</f>
        <v>-300</v>
      </c>
      <c r="E82" s="30" t="n">
        <f aca="false">E81-E80</f>
        <v>0</v>
      </c>
      <c r="F82" s="30" t="n">
        <f aca="false">F81-F80</f>
        <v>-300</v>
      </c>
      <c r="G82" s="30" t="n">
        <f aca="false">G81-G80</f>
        <v>-300</v>
      </c>
      <c r="H82" s="30" t="n">
        <f aca="false">H81-H80</f>
        <v>-300</v>
      </c>
      <c r="I82" s="30" t="n">
        <f aca="false">I81-I80</f>
        <v>-300</v>
      </c>
      <c r="J82" s="30" t="n">
        <f aca="false">J81-J80</f>
        <v>-300</v>
      </c>
      <c r="K82" s="30" t="n">
        <f aca="false">K81-K80</f>
        <v>-300</v>
      </c>
      <c r="L82" s="30" t="n">
        <f aca="false">L81-L80</f>
        <v>-300</v>
      </c>
      <c r="M82" s="30" t="n">
        <f aca="false">M81-M80</f>
        <v>-300</v>
      </c>
      <c r="N82" s="30" t="n">
        <f aca="false">N81-N80</f>
        <v>-300</v>
      </c>
      <c r="O82" s="31" t="n">
        <f aca="false">O81-O80</f>
        <v>-3300</v>
      </c>
    </row>
    <row r="83" customFormat="false" ht="15" hidden="false" customHeight="true" outlineLevel="0" collapsed="false">
      <c r="A83" s="34" t="s">
        <v>144</v>
      </c>
      <c r="B83" s="35" t="s">
        <v>130</v>
      </c>
      <c r="C83" s="36" t="n">
        <f aca="false">C74+C77+C80</f>
        <v>1000</v>
      </c>
      <c r="D83" s="36" t="n">
        <f aca="false">D74+D77+D80</f>
        <v>1000</v>
      </c>
      <c r="E83" s="36" t="n">
        <f aca="false">E74+E77+E80</f>
        <v>1000</v>
      </c>
      <c r="F83" s="36" t="n">
        <f aca="false">F74+F77+F80</f>
        <v>1000</v>
      </c>
      <c r="G83" s="36" t="n">
        <f aca="false">G74+G77+G80</f>
        <v>1000</v>
      </c>
      <c r="H83" s="36" t="n">
        <f aca="false">H74+H77+H80</f>
        <v>1000</v>
      </c>
      <c r="I83" s="36" t="n">
        <f aca="false">I74+I77+I80</f>
        <v>1000</v>
      </c>
      <c r="J83" s="36" t="n">
        <f aca="false">J74+J77+J80</f>
        <v>1000</v>
      </c>
      <c r="K83" s="36" t="n">
        <f aca="false">K74+K77+K80</f>
        <v>1000</v>
      </c>
      <c r="L83" s="36" t="n">
        <f aca="false">L74+L77+L80</f>
        <v>1000</v>
      </c>
      <c r="M83" s="36" t="n">
        <f aca="false">M74+M77+M80</f>
        <v>1000</v>
      </c>
      <c r="N83" s="36" t="n">
        <f aca="false">N74+N77+N80</f>
        <v>1000</v>
      </c>
      <c r="O83" s="36" t="n">
        <f aca="false">SUM(C83:N83)</f>
        <v>12000</v>
      </c>
    </row>
    <row r="84" customFormat="false" ht="15" hidden="false" customHeight="true" outlineLevel="0" collapsed="false">
      <c r="A84" s="34"/>
      <c r="B84" s="35" t="s">
        <v>131</v>
      </c>
      <c r="C84" s="36" t="n">
        <f aca="false">C75+C78+C81</f>
        <v>700</v>
      </c>
      <c r="D84" s="36" t="n">
        <f aca="false">D75+D78+D81</f>
        <v>0</v>
      </c>
      <c r="E84" s="36" t="n">
        <f aca="false">E75+E78+E81</f>
        <v>800</v>
      </c>
      <c r="F84" s="36" t="n">
        <f aca="false">F75+F78+F81</f>
        <v>0</v>
      </c>
      <c r="G84" s="36" t="n">
        <f aca="false">G75+G78+G81</f>
        <v>0</v>
      </c>
      <c r="H84" s="36" t="n">
        <f aca="false">H75+H78+H81</f>
        <v>0</v>
      </c>
      <c r="I84" s="36" t="n">
        <f aca="false">I75+I78+I81</f>
        <v>0</v>
      </c>
      <c r="J84" s="36" t="n">
        <f aca="false">J75+J78+J81</f>
        <v>0</v>
      </c>
      <c r="K84" s="36" t="n">
        <f aca="false">K75+K78+K81</f>
        <v>0</v>
      </c>
      <c r="L84" s="36" t="n">
        <f aca="false">L75+L78+L81</f>
        <v>0</v>
      </c>
      <c r="M84" s="36" t="n">
        <f aca="false">M75+M78+M81</f>
        <v>0</v>
      </c>
      <c r="N84" s="36" t="n">
        <f aca="false">N75+N78+N81</f>
        <v>0</v>
      </c>
      <c r="O84" s="36" t="n">
        <f aca="false">SUM(C84:N84)</f>
        <v>1500</v>
      </c>
    </row>
    <row r="85" customFormat="false" ht="15" hidden="false" customHeight="true" outlineLevel="0" collapsed="false">
      <c r="A85" s="34"/>
      <c r="B85" s="35" t="s">
        <v>132</v>
      </c>
      <c r="C85" s="36" t="n">
        <f aca="false">C84-C83</f>
        <v>-300</v>
      </c>
      <c r="D85" s="36" t="n">
        <f aca="false">D84-D83</f>
        <v>-1000</v>
      </c>
      <c r="E85" s="36" t="n">
        <f aca="false">E84-E83</f>
        <v>-200</v>
      </c>
      <c r="F85" s="36" t="n">
        <f aca="false">F84-F83</f>
        <v>-1000</v>
      </c>
      <c r="G85" s="36" t="n">
        <f aca="false">G84-G83</f>
        <v>-1000</v>
      </c>
      <c r="H85" s="36" t="n">
        <f aca="false">H84-H83</f>
        <v>-1000</v>
      </c>
      <c r="I85" s="36" t="n">
        <f aca="false">I84-I83</f>
        <v>-1000</v>
      </c>
      <c r="J85" s="36" t="n">
        <f aca="false">J84-J83</f>
        <v>-1000</v>
      </c>
      <c r="K85" s="36" t="n">
        <f aca="false">K84-K83</f>
        <v>-1000</v>
      </c>
      <c r="L85" s="36" t="n">
        <f aca="false">L84-L83</f>
        <v>-1000</v>
      </c>
      <c r="M85" s="36" t="n">
        <f aca="false">M84-M83</f>
        <v>-1000</v>
      </c>
      <c r="N85" s="36" t="n">
        <f aca="false">N84-N83</f>
        <v>-1000</v>
      </c>
      <c r="O85" s="36" t="n">
        <f aca="false">O84-O83</f>
        <v>-10500</v>
      </c>
    </row>
    <row r="87" customFormat="false" ht="15" hidden="false" customHeight="true" outlineLevel="0" collapsed="false">
      <c r="A87" s="32" t="s">
        <v>145</v>
      </c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</row>
    <row r="88" customFormat="false" ht="15" hidden="false" customHeight="true" outlineLevel="0" collapsed="false">
      <c r="A88" s="33" t="str">
        <f aca="false">Setup!A39</f>
        <v>Entertainment</v>
      </c>
      <c r="B88" s="29" t="s">
        <v>130</v>
      </c>
      <c r="C88" s="30" t="n">
        <f aca="false">Setup!C39</f>
        <v>120</v>
      </c>
      <c r="D88" s="30" t="n">
        <f aca="false">Setup!C39</f>
        <v>120</v>
      </c>
      <c r="E88" s="30" t="n">
        <f aca="false">Setup!C39</f>
        <v>120</v>
      </c>
      <c r="F88" s="30" t="n">
        <f aca="false">Setup!C39</f>
        <v>120</v>
      </c>
      <c r="G88" s="30" t="n">
        <f aca="false">Setup!C39</f>
        <v>120</v>
      </c>
      <c r="H88" s="30" t="n">
        <f aca="false">Setup!C39</f>
        <v>120</v>
      </c>
      <c r="I88" s="30" t="n">
        <f aca="false">Setup!C39</f>
        <v>120</v>
      </c>
      <c r="J88" s="30" t="n">
        <f aca="false">Setup!C39</f>
        <v>120</v>
      </c>
      <c r="K88" s="30" t="n">
        <f aca="false">Setup!C39</f>
        <v>120</v>
      </c>
      <c r="L88" s="30" t="n">
        <f aca="false">Setup!C39</f>
        <v>120</v>
      </c>
      <c r="M88" s="30" t="n">
        <f aca="false">Setup!C39</f>
        <v>120</v>
      </c>
      <c r="N88" s="30" t="n">
        <f aca="false">Setup!C39</f>
        <v>120</v>
      </c>
      <c r="O88" s="31" t="n">
        <f aca="false">SUM(C88:N88)</f>
        <v>1440</v>
      </c>
    </row>
    <row r="89" customFormat="false" ht="15" hidden="false" customHeight="true" outlineLevel="0" collapsed="false">
      <c r="A89" s="33"/>
      <c r="B89" s="29" t="s">
        <v>131</v>
      </c>
      <c r="C89" s="30" t="n">
        <f aca="false">SUMIFS(Transactions!$D$5:$D$504,Transactions!$C$5:$C$504,$A88,Transactions!$F$5:$F$504,1,Transactions!$G$5:$G$504,YEAR(Setup!$B$18))</f>
        <v>0</v>
      </c>
      <c r="D89" s="30" t="n">
        <f aca="false">SUMIFS(Transactions!$D$5:$D$504,Transactions!$C$5:$C$504,$A88,Transactions!$F$5:$F$504,2,Transactions!$G$5:$G$504,YEAR(Setup!$B$18))</f>
        <v>65</v>
      </c>
      <c r="E89" s="30" t="n">
        <f aca="false">SUMIFS(Transactions!$D$5:$D$504,Transactions!$C$5:$C$504,$A88,Transactions!$F$5:$F$504,3,Transactions!$G$5:$G$504,YEAR(Setup!$B$18))</f>
        <v>0</v>
      </c>
      <c r="F89" s="30" t="n">
        <f aca="false">SUMIFS(Transactions!$D$5:$D$504,Transactions!$C$5:$C$504,$A88,Transactions!$F$5:$F$504,4,Transactions!$G$5:$G$504,YEAR(Setup!$B$18))</f>
        <v>0</v>
      </c>
      <c r="G89" s="30" t="n">
        <f aca="false">SUMIFS(Transactions!$D$5:$D$504,Transactions!$C$5:$C$504,$A88,Transactions!$F$5:$F$504,5,Transactions!$G$5:$G$504,YEAR(Setup!$B$18))</f>
        <v>0</v>
      </c>
      <c r="H89" s="30" t="n">
        <f aca="false">SUMIFS(Transactions!$D$5:$D$504,Transactions!$C$5:$C$504,$A88,Transactions!$F$5:$F$504,6,Transactions!$G$5:$G$504,YEAR(Setup!$B$18))</f>
        <v>0</v>
      </c>
      <c r="I89" s="30" t="n">
        <f aca="false">SUMIFS(Transactions!$D$5:$D$504,Transactions!$C$5:$C$504,$A88,Transactions!$F$5:$F$504,7,Transactions!$G$5:$G$504,YEAR(Setup!$B$18))</f>
        <v>0</v>
      </c>
      <c r="J89" s="30" t="n">
        <f aca="false">SUMIFS(Transactions!$D$5:$D$504,Transactions!$C$5:$C$504,$A88,Transactions!$F$5:$F$504,8,Transactions!$G$5:$G$504,YEAR(Setup!$B$18))</f>
        <v>0</v>
      </c>
      <c r="K89" s="30" t="n">
        <f aca="false">SUMIFS(Transactions!$D$5:$D$504,Transactions!$C$5:$C$504,$A88,Transactions!$F$5:$F$504,9,Transactions!$G$5:$G$504,YEAR(Setup!$B$18))</f>
        <v>0</v>
      </c>
      <c r="L89" s="30" t="n">
        <f aca="false">SUMIFS(Transactions!$D$5:$D$504,Transactions!$C$5:$C$504,$A88,Transactions!$F$5:$F$504,10,Transactions!$G$5:$G$504,YEAR(Setup!$B$18))</f>
        <v>0</v>
      </c>
      <c r="M89" s="30" t="n">
        <f aca="false">SUMIFS(Transactions!$D$5:$D$504,Transactions!$C$5:$C$504,$A88,Transactions!$F$5:$F$504,11,Transactions!$G$5:$G$504,YEAR(Setup!$B$18))</f>
        <v>0</v>
      </c>
      <c r="N89" s="30" t="n">
        <f aca="false">SUMIFS(Transactions!$D$5:$D$504,Transactions!$C$5:$C$504,$A88,Transactions!$F$5:$F$504,12,Transactions!$G$5:$G$504,YEAR(Setup!$B$18))</f>
        <v>0</v>
      </c>
      <c r="O89" s="31" t="n">
        <f aca="false">SUM(C89:N89)</f>
        <v>65</v>
      </c>
    </row>
    <row r="90" customFormat="false" ht="15" hidden="false" customHeight="true" outlineLevel="0" collapsed="false">
      <c r="A90" s="33"/>
      <c r="B90" s="29" t="s">
        <v>132</v>
      </c>
      <c r="C90" s="30" t="n">
        <f aca="false">C89-C88</f>
        <v>-120</v>
      </c>
      <c r="D90" s="30" t="n">
        <f aca="false">D89-D88</f>
        <v>-55</v>
      </c>
      <c r="E90" s="30" t="n">
        <f aca="false">E89-E88</f>
        <v>-120</v>
      </c>
      <c r="F90" s="30" t="n">
        <f aca="false">F89-F88</f>
        <v>-120</v>
      </c>
      <c r="G90" s="30" t="n">
        <f aca="false">G89-G88</f>
        <v>-120</v>
      </c>
      <c r="H90" s="30" t="n">
        <f aca="false">H89-H88</f>
        <v>-120</v>
      </c>
      <c r="I90" s="30" t="n">
        <f aca="false">I89-I88</f>
        <v>-120</v>
      </c>
      <c r="J90" s="30" t="n">
        <f aca="false">J89-J88</f>
        <v>-120</v>
      </c>
      <c r="K90" s="30" t="n">
        <f aca="false">K89-K88</f>
        <v>-120</v>
      </c>
      <c r="L90" s="30" t="n">
        <f aca="false">L89-L88</f>
        <v>-120</v>
      </c>
      <c r="M90" s="30" t="n">
        <f aca="false">M89-M88</f>
        <v>-120</v>
      </c>
      <c r="N90" s="30" t="n">
        <f aca="false">N89-N88</f>
        <v>-120</v>
      </c>
      <c r="O90" s="31" t="n">
        <f aca="false">O89-O88</f>
        <v>-1375</v>
      </c>
    </row>
    <row r="91" customFormat="false" ht="15" hidden="false" customHeight="true" outlineLevel="0" collapsed="false">
      <c r="A91" s="33" t="str">
        <f aca="false">Setup!A40</f>
        <v>Subscriptions</v>
      </c>
      <c r="B91" s="29" t="s">
        <v>130</v>
      </c>
      <c r="C91" s="30" t="n">
        <f aca="false">Setup!C40</f>
        <v>60</v>
      </c>
      <c r="D91" s="30" t="n">
        <f aca="false">Setup!C40</f>
        <v>60</v>
      </c>
      <c r="E91" s="30" t="n">
        <f aca="false">Setup!C40</f>
        <v>60</v>
      </c>
      <c r="F91" s="30" t="n">
        <f aca="false">Setup!C40</f>
        <v>60</v>
      </c>
      <c r="G91" s="30" t="n">
        <f aca="false">Setup!C40</f>
        <v>60</v>
      </c>
      <c r="H91" s="30" t="n">
        <f aca="false">Setup!C40</f>
        <v>60</v>
      </c>
      <c r="I91" s="30" t="n">
        <f aca="false">Setup!C40</f>
        <v>60</v>
      </c>
      <c r="J91" s="30" t="n">
        <f aca="false">Setup!C40</f>
        <v>60</v>
      </c>
      <c r="K91" s="30" t="n">
        <f aca="false">Setup!C40</f>
        <v>60</v>
      </c>
      <c r="L91" s="30" t="n">
        <f aca="false">Setup!C40</f>
        <v>60</v>
      </c>
      <c r="M91" s="30" t="n">
        <f aca="false">Setup!C40</f>
        <v>60</v>
      </c>
      <c r="N91" s="30" t="n">
        <f aca="false">Setup!C40</f>
        <v>60</v>
      </c>
      <c r="O91" s="31" t="n">
        <f aca="false">SUM(C91:N91)</f>
        <v>720</v>
      </c>
    </row>
    <row r="92" customFormat="false" ht="15" hidden="false" customHeight="true" outlineLevel="0" collapsed="false">
      <c r="A92" s="33"/>
      <c r="B92" s="29" t="s">
        <v>131</v>
      </c>
      <c r="C92" s="30" t="n">
        <f aca="false">SUMIFS(Transactions!$D$5:$D$504,Transactions!$C$5:$C$504,$A91,Transactions!$F$5:$F$504,1,Transactions!$G$5:$G$504,YEAR(Setup!$B$18))</f>
        <v>58</v>
      </c>
      <c r="D92" s="30" t="n">
        <f aca="false">SUMIFS(Transactions!$D$5:$D$504,Transactions!$C$5:$C$504,$A91,Transactions!$F$5:$F$504,2,Transactions!$G$5:$G$504,YEAR(Setup!$B$18))</f>
        <v>0</v>
      </c>
      <c r="E92" s="30" t="n">
        <f aca="false">SUMIFS(Transactions!$D$5:$D$504,Transactions!$C$5:$C$504,$A91,Transactions!$F$5:$F$504,3,Transactions!$G$5:$G$504,YEAR(Setup!$B$18))</f>
        <v>0</v>
      </c>
      <c r="F92" s="30" t="n">
        <f aca="false">SUMIFS(Transactions!$D$5:$D$504,Transactions!$C$5:$C$504,$A91,Transactions!$F$5:$F$504,4,Transactions!$G$5:$G$504,YEAR(Setup!$B$18))</f>
        <v>0</v>
      </c>
      <c r="G92" s="30" t="n">
        <f aca="false">SUMIFS(Transactions!$D$5:$D$504,Transactions!$C$5:$C$504,$A91,Transactions!$F$5:$F$504,5,Transactions!$G$5:$G$504,YEAR(Setup!$B$18))</f>
        <v>0</v>
      </c>
      <c r="H92" s="30" t="n">
        <f aca="false">SUMIFS(Transactions!$D$5:$D$504,Transactions!$C$5:$C$504,$A91,Transactions!$F$5:$F$504,6,Transactions!$G$5:$G$504,YEAR(Setup!$B$18))</f>
        <v>0</v>
      </c>
      <c r="I92" s="30" t="n">
        <f aca="false">SUMIFS(Transactions!$D$5:$D$504,Transactions!$C$5:$C$504,$A91,Transactions!$F$5:$F$504,7,Transactions!$G$5:$G$504,YEAR(Setup!$B$18))</f>
        <v>0</v>
      </c>
      <c r="J92" s="30" t="n">
        <f aca="false">SUMIFS(Transactions!$D$5:$D$504,Transactions!$C$5:$C$504,$A91,Transactions!$F$5:$F$504,8,Transactions!$G$5:$G$504,YEAR(Setup!$B$18))</f>
        <v>0</v>
      </c>
      <c r="K92" s="30" t="n">
        <f aca="false">SUMIFS(Transactions!$D$5:$D$504,Transactions!$C$5:$C$504,$A91,Transactions!$F$5:$F$504,9,Transactions!$G$5:$G$504,YEAR(Setup!$B$18))</f>
        <v>0</v>
      </c>
      <c r="L92" s="30" t="n">
        <f aca="false">SUMIFS(Transactions!$D$5:$D$504,Transactions!$C$5:$C$504,$A91,Transactions!$F$5:$F$504,10,Transactions!$G$5:$G$504,YEAR(Setup!$B$18))</f>
        <v>0</v>
      </c>
      <c r="M92" s="30" t="n">
        <f aca="false">SUMIFS(Transactions!$D$5:$D$504,Transactions!$C$5:$C$504,$A91,Transactions!$F$5:$F$504,11,Transactions!$G$5:$G$504,YEAR(Setup!$B$18))</f>
        <v>0</v>
      </c>
      <c r="N92" s="30" t="n">
        <f aca="false">SUMIFS(Transactions!$D$5:$D$504,Transactions!$C$5:$C$504,$A91,Transactions!$F$5:$F$504,12,Transactions!$G$5:$G$504,YEAR(Setup!$B$18))</f>
        <v>0</v>
      </c>
      <c r="O92" s="31" t="n">
        <f aca="false">SUM(C92:N92)</f>
        <v>58</v>
      </c>
    </row>
    <row r="93" customFormat="false" ht="15" hidden="false" customHeight="true" outlineLevel="0" collapsed="false">
      <c r="A93" s="33"/>
      <c r="B93" s="29" t="s">
        <v>132</v>
      </c>
      <c r="C93" s="30" t="n">
        <f aca="false">C92-C91</f>
        <v>-2</v>
      </c>
      <c r="D93" s="30" t="n">
        <f aca="false">D92-D91</f>
        <v>-60</v>
      </c>
      <c r="E93" s="30" t="n">
        <f aca="false">E92-E91</f>
        <v>-60</v>
      </c>
      <c r="F93" s="30" t="n">
        <f aca="false">F92-F91</f>
        <v>-60</v>
      </c>
      <c r="G93" s="30" t="n">
        <f aca="false">G92-G91</f>
        <v>-60</v>
      </c>
      <c r="H93" s="30" t="n">
        <f aca="false">H92-H91</f>
        <v>-60</v>
      </c>
      <c r="I93" s="30" t="n">
        <f aca="false">I92-I91</f>
        <v>-60</v>
      </c>
      <c r="J93" s="30" t="n">
        <f aca="false">J92-J91</f>
        <v>-60</v>
      </c>
      <c r="K93" s="30" t="n">
        <f aca="false">K92-K91</f>
        <v>-60</v>
      </c>
      <c r="L93" s="30" t="n">
        <f aca="false">L92-L91</f>
        <v>-60</v>
      </c>
      <c r="M93" s="30" t="n">
        <f aca="false">M92-M91</f>
        <v>-60</v>
      </c>
      <c r="N93" s="30" t="n">
        <f aca="false">N92-N91</f>
        <v>-60</v>
      </c>
      <c r="O93" s="31" t="n">
        <f aca="false">O92-O91</f>
        <v>-662</v>
      </c>
    </row>
    <row r="94" customFormat="false" ht="15" hidden="false" customHeight="true" outlineLevel="0" collapsed="false">
      <c r="A94" s="33" t="str">
        <f aca="false">Setup!A41</f>
        <v>Personal Care</v>
      </c>
      <c r="B94" s="29" t="s">
        <v>130</v>
      </c>
      <c r="C94" s="30" t="n">
        <f aca="false">Setup!C41</f>
        <v>80</v>
      </c>
      <c r="D94" s="30" t="n">
        <f aca="false">Setup!C41</f>
        <v>80</v>
      </c>
      <c r="E94" s="30" t="n">
        <f aca="false">Setup!C41</f>
        <v>80</v>
      </c>
      <c r="F94" s="30" t="n">
        <f aca="false">Setup!C41</f>
        <v>80</v>
      </c>
      <c r="G94" s="30" t="n">
        <f aca="false">Setup!C41</f>
        <v>80</v>
      </c>
      <c r="H94" s="30" t="n">
        <f aca="false">Setup!C41</f>
        <v>80</v>
      </c>
      <c r="I94" s="30" t="n">
        <f aca="false">Setup!C41</f>
        <v>80</v>
      </c>
      <c r="J94" s="30" t="n">
        <f aca="false">Setup!C41</f>
        <v>80</v>
      </c>
      <c r="K94" s="30" t="n">
        <f aca="false">Setup!C41</f>
        <v>80</v>
      </c>
      <c r="L94" s="30" t="n">
        <f aca="false">Setup!C41</f>
        <v>80</v>
      </c>
      <c r="M94" s="30" t="n">
        <f aca="false">Setup!C41</f>
        <v>80</v>
      </c>
      <c r="N94" s="30" t="n">
        <f aca="false">Setup!C41</f>
        <v>80</v>
      </c>
      <c r="O94" s="31" t="n">
        <f aca="false">SUM(C94:N94)</f>
        <v>960</v>
      </c>
    </row>
    <row r="95" customFormat="false" ht="15" hidden="false" customHeight="true" outlineLevel="0" collapsed="false">
      <c r="A95" s="33"/>
      <c r="B95" s="29" t="s">
        <v>131</v>
      </c>
      <c r="C95" s="30" t="n">
        <f aca="false">SUMIFS(Transactions!$D$5:$D$504,Transactions!$C$5:$C$504,$A94,Transactions!$F$5:$F$504,1,Transactions!$G$5:$G$504,YEAR(Setup!$B$18))</f>
        <v>75</v>
      </c>
      <c r="D95" s="30" t="n">
        <f aca="false">SUMIFS(Transactions!$D$5:$D$504,Transactions!$C$5:$C$504,$A94,Transactions!$F$5:$F$504,2,Transactions!$G$5:$G$504,YEAR(Setup!$B$18))</f>
        <v>0</v>
      </c>
      <c r="E95" s="30" t="n">
        <f aca="false">SUMIFS(Transactions!$D$5:$D$504,Transactions!$C$5:$C$504,$A94,Transactions!$F$5:$F$504,3,Transactions!$G$5:$G$504,YEAR(Setup!$B$18))</f>
        <v>0</v>
      </c>
      <c r="F95" s="30" t="n">
        <f aca="false">SUMIFS(Transactions!$D$5:$D$504,Transactions!$C$5:$C$504,$A94,Transactions!$F$5:$F$504,4,Transactions!$G$5:$G$504,YEAR(Setup!$B$18))</f>
        <v>0</v>
      </c>
      <c r="G95" s="30" t="n">
        <f aca="false">SUMIFS(Transactions!$D$5:$D$504,Transactions!$C$5:$C$504,$A94,Transactions!$F$5:$F$504,5,Transactions!$G$5:$G$504,YEAR(Setup!$B$18))</f>
        <v>0</v>
      </c>
      <c r="H95" s="30" t="n">
        <f aca="false">SUMIFS(Transactions!$D$5:$D$504,Transactions!$C$5:$C$504,$A94,Transactions!$F$5:$F$504,6,Transactions!$G$5:$G$504,YEAR(Setup!$B$18))</f>
        <v>0</v>
      </c>
      <c r="I95" s="30" t="n">
        <f aca="false">SUMIFS(Transactions!$D$5:$D$504,Transactions!$C$5:$C$504,$A94,Transactions!$F$5:$F$504,7,Transactions!$G$5:$G$504,YEAR(Setup!$B$18))</f>
        <v>0</v>
      </c>
      <c r="J95" s="30" t="n">
        <f aca="false">SUMIFS(Transactions!$D$5:$D$504,Transactions!$C$5:$C$504,$A94,Transactions!$F$5:$F$504,8,Transactions!$G$5:$G$504,YEAR(Setup!$B$18))</f>
        <v>0</v>
      </c>
      <c r="K95" s="30" t="n">
        <f aca="false">SUMIFS(Transactions!$D$5:$D$504,Transactions!$C$5:$C$504,$A94,Transactions!$F$5:$F$504,9,Transactions!$G$5:$G$504,YEAR(Setup!$B$18))</f>
        <v>0</v>
      </c>
      <c r="L95" s="30" t="n">
        <f aca="false">SUMIFS(Transactions!$D$5:$D$504,Transactions!$C$5:$C$504,$A94,Transactions!$F$5:$F$504,10,Transactions!$G$5:$G$504,YEAR(Setup!$B$18))</f>
        <v>0</v>
      </c>
      <c r="M95" s="30" t="n">
        <f aca="false">SUMIFS(Transactions!$D$5:$D$504,Transactions!$C$5:$C$504,$A94,Transactions!$F$5:$F$504,11,Transactions!$G$5:$G$504,YEAR(Setup!$B$18))</f>
        <v>0</v>
      </c>
      <c r="N95" s="30" t="n">
        <f aca="false">SUMIFS(Transactions!$D$5:$D$504,Transactions!$C$5:$C$504,$A94,Transactions!$F$5:$F$504,12,Transactions!$G$5:$G$504,YEAR(Setup!$B$18))</f>
        <v>0</v>
      </c>
      <c r="O95" s="31" t="n">
        <f aca="false">SUM(C95:N95)</f>
        <v>75</v>
      </c>
    </row>
    <row r="96" customFormat="false" ht="15" hidden="false" customHeight="true" outlineLevel="0" collapsed="false">
      <c r="A96" s="33"/>
      <c r="B96" s="29" t="s">
        <v>132</v>
      </c>
      <c r="C96" s="30" t="n">
        <f aca="false">C95-C94</f>
        <v>-5</v>
      </c>
      <c r="D96" s="30" t="n">
        <f aca="false">D95-D94</f>
        <v>-80</v>
      </c>
      <c r="E96" s="30" t="n">
        <f aca="false">E95-E94</f>
        <v>-80</v>
      </c>
      <c r="F96" s="30" t="n">
        <f aca="false">F95-F94</f>
        <v>-80</v>
      </c>
      <c r="G96" s="30" t="n">
        <f aca="false">G95-G94</f>
        <v>-80</v>
      </c>
      <c r="H96" s="30" t="n">
        <f aca="false">H95-H94</f>
        <v>-80</v>
      </c>
      <c r="I96" s="30" t="n">
        <f aca="false">I95-I94</f>
        <v>-80</v>
      </c>
      <c r="J96" s="30" t="n">
        <f aca="false">J95-J94</f>
        <v>-80</v>
      </c>
      <c r="K96" s="30" t="n">
        <f aca="false">K95-K94</f>
        <v>-80</v>
      </c>
      <c r="L96" s="30" t="n">
        <f aca="false">L95-L94</f>
        <v>-80</v>
      </c>
      <c r="M96" s="30" t="n">
        <f aca="false">M95-M94</f>
        <v>-80</v>
      </c>
      <c r="N96" s="30" t="n">
        <f aca="false">N95-N94</f>
        <v>-80</v>
      </c>
      <c r="O96" s="31" t="n">
        <f aca="false">O95-O94</f>
        <v>-885</v>
      </c>
    </row>
    <row r="97" customFormat="false" ht="15" hidden="false" customHeight="true" outlineLevel="0" collapsed="false">
      <c r="A97" s="33" t="str">
        <f aca="false">Setup!A42</f>
        <v>Clothing</v>
      </c>
      <c r="B97" s="29" t="s">
        <v>130</v>
      </c>
      <c r="C97" s="30" t="n">
        <f aca="false">Setup!C42</f>
        <v>100</v>
      </c>
      <c r="D97" s="30" t="n">
        <f aca="false">Setup!C42</f>
        <v>100</v>
      </c>
      <c r="E97" s="30" t="n">
        <f aca="false">Setup!C42</f>
        <v>100</v>
      </c>
      <c r="F97" s="30" t="n">
        <f aca="false">Setup!C42</f>
        <v>100</v>
      </c>
      <c r="G97" s="30" t="n">
        <f aca="false">Setup!C42</f>
        <v>100</v>
      </c>
      <c r="H97" s="30" t="n">
        <f aca="false">Setup!C42</f>
        <v>100</v>
      </c>
      <c r="I97" s="30" t="n">
        <f aca="false">Setup!C42</f>
        <v>100</v>
      </c>
      <c r="J97" s="30" t="n">
        <f aca="false">Setup!C42</f>
        <v>100</v>
      </c>
      <c r="K97" s="30" t="n">
        <f aca="false">Setup!C42</f>
        <v>100</v>
      </c>
      <c r="L97" s="30" t="n">
        <f aca="false">Setup!C42</f>
        <v>100</v>
      </c>
      <c r="M97" s="30" t="n">
        <f aca="false">Setup!C42</f>
        <v>100</v>
      </c>
      <c r="N97" s="30" t="n">
        <f aca="false">Setup!C42</f>
        <v>100</v>
      </c>
      <c r="O97" s="31" t="n">
        <f aca="false">SUM(C97:N97)</f>
        <v>1200</v>
      </c>
    </row>
    <row r="98" customFormat="false" ht="15" hidden="false" customHeight="true" outlineLevel="0" collapsed="false">
      <c r="A98" s="33"/>
      <c r="B98" s="29" t="s">
        <v>131</v>
      </c>
      <c r="C98" s="30" t="n">
        <f aca="false">SUMIFS(Transactions!$D$5:$D$504,Transactions!$C$5:$C$504,$A97,Transactions!$F$5:$F$504,1,Transactions!$G$5:$G$504,YEAR(Setup!$B$18))</f>
        <v>0</v>
      </c>
      <c r="D98" s="30" t="n">
        <f aca="false">SUMIFS(Transactions!$D$5:$D$504,Transactions!$C$5:$C$504,$A97,Transactions!$F$5:$F$504,2,Transactions!$G$5:$G$504,YEAR(Setup!$B$18))</f>
        <v>0</v>
      </c>
      <c r="E98" s="30" t="n">
        <f aca="false">SUMIFS(Transactions!$D$5:$D$504,Transactions!$C$5:$C$504,$A97,Transactions!$F$5:$F$504,3,Transactions!$G$5:$G$504,YEAR(Setup!$B$18))</f>
        <v>110</v>
      </c>
      <c r="F98" s="30" t="n">
        <f aca="false">SUMIFS(Transactions!$D$5:$D$504,Transactions!$C$5:$C$504,$A97,Transactions!$F$5:$F$504,4,Transactions!$G$5:$G$504,YEAR(Setup!$B$18))</f>
        <v>0</v>
      </c>
      <c r="G98" s="30" t="n">
        <f aca="false">SUMIFS(Transactions!$D$5:$D$504,Transactions!$C$5:$C$504,$A97,Transactions!$F$5:$F$504,5,Transactions!$G$5:$G$504,YEAR(Setup!$B$18))</f>
        <v>0</v>
      </c>
      <c r="H98" s="30" t="n">
        <f aca="false">SUMIFS(Transactions!$D$5:$D$504,Transactions!$C$5:$C$504,$A97,Transactions!$F$5:$F$504,6,Transactions!$G$5:$G$504,YEAR(Setup!$B$18))</f>
        <v>0</v>
      </c>
      <c r="I98" s="30" t="n">
        <f aca="false">SUMIFS(Transactions!$D$5:$D$504,Transactions!$C$5:$C$504,$A97,Transactions!$F$5:$F$504,7,Transactions!$G$5:$G$504,YEAR(Setup!$B$18))</f>
        <v>0</v>
      </c>
      <c r="J98" s="30" t="n">
        <f aca="false">SUMIFS(Transactions!$D$5:$D$504,Transactions!$C$5:$C$504,$A97,Transactions!$F$5:$F$504,8,Transactions!$G$5:$G$504,YEAR(Setup!$B$18))</f>
        <v>0</v>
      </c>
      <c r="K98" s="30" t="n">
        <f aca="false">SUMIFS(Transactions!$D$5:$D$504,Transactions!$C$5:$C$504,$A97,Transactions!$F$5:$F$504,9,Transactions!$G$5:$G$504,YEAR(Setup!$B$18))</f>
        <v>0</v>
      </c>
      <c r="L98" s="30" t="n">
        <f aca="false">SUMIFS(Transactions!$D$5:$D$504,Transactions!$C$5:$C$504,$A97,Transactions!$F$5:$F$504,10,Transactions!$G$5:$G$504,YEAR(Setup!$B$18))</f>
        <v>0</v>
      </c>
      <c r="M98" s="30" t="n">
        <f aca="false">SUMIFS(Transactions!$D$5:$D$504,Transactions!$C$5:$C$504,$A97,Transactions!$F$5:$F$504,11,Transactions!$G$5:$G$504,YEAR(Setup!$B$18))</f>
        <v>0</v>
      </c>
      <c r="N98" s="30" t="n">
        <f aca="false">SUMIFS(Transactions!$D$5:$D$504,Transactions!$C$5:$C$504,$A97,Transactions!$F$5:$F$504,12,Transactions!$G$5:$G$504,YEAR(Setup!$B$18))</f>
        <v>0</v>
      </c>
      <c r="O98" s="31" t="n">
        <f aca="false">SUM(C98:N98)</f>
        <v>110</v>
      </c>
    </row>
    <row r="99" customFormat="false" ht="15" hidden="false" customHeight="true" outlineLevel="0" collapsed="false">
      <c r="A99" s="33"/>
      <c r="B99" s="29" t="s">
        <v>132</v>
      </c>
      <c r="C99" s="30" t="n">
        <f aca="false">C98-C97</f>
        <v>-100</v>
      </c>
      <c r="D99" s="30" t="n">
        <f aca="false">D98-D97</f>
        <v>-100</v>
      </c>
      <c r="E99" s="30" t="n">
        <f aca="false">E98-E97</f>
        <v>10</v>
      </c>
      <c r="F99" s="30" t="n">
        <f aca="false">F98-F97</f>
        <v>-100</v>
      </c>
      <c r="G99" s="30" t="n">
        <f aca="false">G98-G97</f>
        <v>-100</v>
      </c>
      <c r="H99" s="30" t="n">
        <f aca="false">H98-H97</f>
        <v>-100</v>
      </c>
      <c r="I99" s="30" t="n">
        <f aca="false">I98-I97</f>
        <v>-100</v>
      </c>
      <c r="J99" s="30" t="n">
        <f aca="false">J98-J97</f>
        <v>-100</v>
      </c>
      <c r="K99" s="30" t="n">
        <f aca="false">K98-K97</f>
        <v>-100</v>
      </c>
      <c r="L99" s="30" t="n">
        <f aca="false">L98-L97</f>
        <v>-100</v>
      </c>
      <c r="M99" s="30" t="n">
        <f aca="false">M98-M97</f>
        <v>-100</v>
      </c>
      <c r="N99" s="30" t="n">
        <f aca="false">N98-N97</f>
        <v>-100</v>
      </c>
      <c r="O99" s="31" t="n">
        <f aca="false">O98-O97</f>
        <v>-1090</v>
      </c>
    </row>
    <row r="100" customFormat="false" ht="15" hidden="false" customHeight="true" outlineLevel="0" collapsed="false">
      <c r="A100" s="34" t="s">
        <v>146</v>
      </c>
      <c r="B100" s="35" t="s">
        <v>130</v>
      </c>
      <c r="C100" s="36" t="n">
        <f aca="false">C88+C91+C94+C97</f>
        <v>360</v>
      </c>
      <c r="D100" s="36" t="n">
        <f aca="false">D88+D91+D94+D97</f>
        <v>360</v>
      </c>
      <c r="E100" s="36" t="n">
        <f aca="false">E88+E91+E94+E97</f>
        <v>360</v>
      </c>
      <c r="F100" s="36" t="n">
        <f aca="false">F88+F91+F94+F97</f>
        <v>360</v>
      </c>
      <c r="G100" s="36" t="n">
        <f aca="false">G88+G91+G94+G97</f>
        <v>360</v>
      </c>
      <c r="H100" s="36" t="n">
        <f aca="false">H88+H91+H94+H97</f>
        <v>360</v>
      </c>
      <c r="I100" s="36" t="n">
        <f aca="false">I88+I91+I94+I97</f>
        <v>360</v>
      </c>
      <c r="J100" s="36" t="n">
        <f aca="false">J88+J91+J94+J97</f>
        <v>360</v>
      </c>
      <c r="K100" s="36" t="n">
        <f aca="false">K88+K91+K94+K97</f>
        <v>360</v>
      </c>
      <c r="L100" s="36" t="n">
        <f aca="false">L88+L91+L94+L97</f>
        <v>360</v>
      </c>
      <c r="M100" s="36" t="n">
        <f aca="false">M88+M91+M94+M97</f>
        <v>360</v>
      </c>
      <c r="N100" s="36" t="n">
        <f aca="false">N88+N91+N94+N97</f>
        <v>360</v>
      </c>
      <c r="O100" s="36" t="n">
        <f aca="false">SUM(C100:N100)</f>
        <v>4320</v>
      </c>
    </row>
    <row r="101" customFormat="false" ht="15" hidden="false" customHeight="true" outlineLevel="0" collapsed="false">
      <c r="A101" s="34"/>
      <c r="B101" s="35" t="s">
        <v>131</v>
      </c>
      <c r="C101" s="36" t="n">
        <f aca="false">C89+C92+C95+C98</f>
        <v>133</v>
      </c>
      <c r="D101" s="36" t="n">
        <f aca="false">D89+D92+D95+D98</f>
        <v>65</v>
      </c>
      <c r="E101" s="36" t="n">
        <f aca="false">E89+E92+E95+E98</f>
        <v>110</v>
      </c>
      <c r="F101" s="36" t="n">
        <f aca="false">F89+F92+F95+F98</f>
        <v>0</v>
      </c>
      <c r="G101" s="36" t="n">
        <f aca="false">G89+G92+G95+G98</f>
        <v>0</v>
      </c>
      <c r="H101" s="36" t="n">
        <f aca="false">H89+H92+H95+H98</f>
        <v>0</v>
      </c>
      <c r="I101" s="36" t="n">
        <f aca="false">I89+I92+I95+I98</f>
        <v>0</v>
      </c>
      <c r="J101" s="36" t="n">
        <f aca="false">J89+J92+J95+J98</f>
        <v>0</v>
      </c>
      <c r="K101" s="36" t="n">
        <f aca="false">K89+K92+K95+K98</f>
        <v>0</v>
      </c>
      <c r="L101" s="36" t="n">
        <f aca="false">L89+L92+L95+L98</f>
        <v>0</v>
      </c>
      <c r="M101" s="36" t="n">
        <f aca="false">M89+M92+M95+M98</f>
        <v>0</v>
      </c>
      <c r="N101" s="36" t="n">
        <f aca="false">N89+N92+N95+N98</f>
        <v>0</v>
      </c>
      <c r="O101" s="36" t="n">
        <f aca="false">SUM(C101:N101)</f>
        <v>308</v>
      </c>
    </row>
    <row r="102" customFormat="false" ht="15" hidden="false" customHeight="true" outlineLevel="0" collapsed="false">
      <c r="A102" s="34"/>
      <c r="B102" s="35" t="s">
        <v>132</v>
      </c>
      <c r="C102" s="36" t="n">
        <f aca="false">C101-C100</f>
        <v>-227</v>
      </c>
      <c r="D102" s="36" t="n">
        <f aca="false">D101-D100</f>
        <v>-295</v>
      </c>
      <c r="E102" s="36" t="n">
        <f aca="false">E101-E100</f>
        <v>-250</v>
      </c>
      <c r="F102" s="36" t="n">
        <f aca="false">F101-F100</f>
        <v>-360</v>
      </c>
      <c r="G102" s="36" t="n">
        <f aca="false">G101-G100</f>
        <v>-360</v>
      </c>
      <c r="H102" s="36" t="n">
        <f aca="false">H101-H100</f>
        <v>-360</v>
      </c>
      <c r="I102" s="36" t="n">
        <f aca="false">I101-I100</f>
        <v>-360</v>
      </c>
      <c r="J102" s="36" t="n">
        <f aca="false">J101-J100</f>
        <v>-360</v>
      </c>
      <c r="K102" s="36" t="n">
        <f aca="false">K101-K100</f>
        <v>-360</v>
      </c>
      <c r="L102" s="36" t="n">
        <f aca="false">L101-L100</f>
        <v>-360</v>
      </c>
      <c r="M102" s="36" t="n">
        <f aca="false">M101-M100</f>
        <v>-360</v>
      </c>
      <c r="N102" s="36" t="n">
        <f aca="false">N101-N100</f>
        <v>-360</v>
      </c>
      <c r="O102" s="36" t="n">
        <f aca="false">O101-O100</f>
        <v>-4012</v>
      </c>
    </row>
    <row r="104" customFormat="false" ht="15" hidden="false" customHeight="true" outlineLevel="0" collapsed="false">
      <c r="A104" s="32" t="s">
        <v>147</v>
      </c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</row>
    <row r="105" customFormat="false" ht="15" hidden="false" customHeight="true" outlineLevel="0" collapsed="false">
      <c r="A105" s="33" t="str">
        <f aca="false">Setup!A43</f>
        <v>Gifts and Donations</v>
      </c>
      <c r="B105" s="29" t="s">
        <v>130</v>
      </c>
      <c r="C105" s="30" t="n">
        <f aca="false">Setup!C43</f>
        <v>100</v>
      </c>
      <c r="D105" s="30" t="n">
        <f aca="false">Setup!C43</f>
        <v>100</v>
      </c>
      <c r="E105" s="30" t="n">
        <f aca="false">Setup!C43</f>
        <v>100</v>
      </c>
      <c r="F105" s="30" t="n">
        <f aca="false">Setup!C43</f>
        <v>100</v>
      </c>
      <c r="G105" s="30" t="n">
        <f aca="false">Setup!C43</f>
        <v>100</v>
      </c>
      <c r="H105" s="30" t="n">
        <f aca="false">Setup!C43</f>
        <v>100</v>
      </c>
      <c r="I105" s="30" t="n">
        <f aca="false">Setup!C43</f>
        <v>100</v>
      </c>
      <c r="J105" s="30" t="n">
        <f aca="false">Setup!C43</f>
        <v>100</v>
      </c>
      <c r="K105" s="30" t="n">
        <f aca="false">Setup!C43</f>
        <v>100</v>
      </c>
      <c r="L105" s="30" t="n">
        <f aca="false">Setup!C43</f>
        <v>100</v>
      </c>
      <c r="M105" s="30" t="n">
        <f aca="false">Setup!C43</f>
        <v>100</v>
      </c>
      <c r="N105" s="30" t="n">
        <f aca="false">Setup!C43</f>
        <v>100</v>
      </c>
      <c r="O105" s="31" t="n">
        <f aca="false">SUM(C105:N105)</f>
        <v>1200</v>
      </c>
    </row>
    <row r="106" customFormat="false" ht="15" hidden="false" customHeight="true" outlineLevel="0" collapsed="false">
      <c r="A106" s="33"/>
      <c r="B106" s="29" t="s">
        <v>131</v>
      </c>
      <c r="C106" s="30" t="n">
        <f aca="false">SUMIFS(Transactions!$D$5:$D$504,Transactions!$C$5:$C$504,$A105,Transactions!$F$5:$F$504,1,Transactions!$G$5:$G$504,YEAR(Setup!$B$18))</f>
        <v>100</v>
      </c>
      <c r="D106" s="30" t="n">
        <f aca="false">SUMIFS(Transactions!$D$5:$D$504,Transactions!$C$5:$C$504,$A105,Transactions!$F$5:$F$504,2,Transactions!$G$5:$G$504,YEAR(Setup!$B$18))</f>
        <v>0</v>
      </c>
      <c r="E106" s="30" t="n">
        <f aca="false">SUMIFS(Transactions!$D$5:$D$504,Transactions!$C$5:$C$504,$A105,Transactions!$F$5:$F$504,3,Transactions!$G$5:$G$504,YEAR(Setup!$B$18))</f>
        <v>0</v>
      </c>
      <c r="F106" s="30" t="n">
        <f aca="false">SUMIFS(Transactions!$D$5:$D$504,Transactions!$C$5:$C$504,$A105,Transactions!$F$5:$F$504,4,Transactions!$G$5:$G$504,YEAR(Setup!$B$18))</f>
        <v>0</v>
      </c>
      <c r="G106" s="30" t="n">
        <f aca="false">SUMIFS(Transactions!$D$5:$D$504,Transactions!$C$5:$C$504,$A105,Transactions!$F$5:$F$504,5,Transactions!$G$5:$G$504,YEAR(Setup!$B$18))</f>
        <v>0</v>
      </c>
      <c r="H106" s="30" t="n">
        <f aca="false">SUMIFS(Transactions!$D$5:$D$504,Transactions!$C$5:$C$504,$A105,Transactions!$F$5:$F$504,6,Transactions!$G$5:$G$504,YEAR(Setup!$B$18))</f>
        <v>0</v>
      </c>
      <c r="I106" s="30" t="n">
        <f aca="false">SUMIFS(Transactions!$D$5:$D$504,Transactions!$C$5:$C$504,$A105,Transactions!$F$5:$F$504,7,Transactions!$G$5:$G$504,YEAR(Setup!$B$18))</f>
        <v>0</v>
      </c>
      <c r="J106" s="30" t="n">
        <f aca="false">SUMIFS(Transactions!$D$5:$D$504,Transactions!$C$5:$C$504,$A105,Transactions!$F$5:$F$504,8,Transactions!$G$5:$G$504,YEAR(Setup!$B$18))</f>
        <v>0</v>
      </c>
      <c r="K106" s="30" t="n">
        <f aca="false">SUMIFS(Transactions!$D$5:$D$504,Transactions!$C$5:$C$504,$A105,Transactions!$F$5:$F$504,9,Transactions!$G$5:$G$504,YEAR(Setup!$B$18))</f>
        <v>0</v>
      </c>
      <c r="L106" s="30" t="n">
        <f aca="false">SUMIFS(Transactions!$D$5:$D$504,Transactions!$C$5:$C$504,$A105,Transactions!$F$5:$F$504,10,Transactions!$G$5:$G$504,YEAR(Setup!$B$18))</f>
        <v>0</v>
      </c>
      <c r="M106" s="30" t="n">
        <f aca="false">SUMIFS(Transactions!$D$5:$D$504,Transactions!$C$5:$C$504,$A105,Transactions!$F$5:$F$504,11,Transactions!$G$5:$G$504,YEAR(Setup!$B$18))</f>
        <v>0</v>
      </c>
      <c r="N106" s="30" t="n">
        <f aca="false">SUMIFS(Transactions!$D$5:$D$504,Transactions!$C$5:$C$504,$A105,Transactions!$F$5:$F$504,12,Transactions!$G$5:$G$504,YEAR(Setup!$B$18))</f>
        <v>0</v>
      </c>
      <c r="O106" s="31" t="n">
        <f aca="false">SUM(C106:N106)</f>
        <v>100</v>
      </c>
    </row>
    <row r="107" customFormat="false" ht="15" hidden="false" customHeight="true" outlineLevel="0" collapsed="false">
      <c r="A107" s="33"/>
      <c r="B107" s="29" t="s">
        <v>132</v>
      </c>
      <c r="C107" s="30" t="n">
        <f aca="false">C106-C105</f>
        <v>0</v>
      </c>
      <c r="D107" s="30" t="n">
        <f aca="false">D106-D105</f>
        <v>-100</v>
      </c>
      <c r="E107" s="30" t="n">
        <f aca="false">E106-E105</f>
        <v>-100</v>
      </c>
      <c r="F107" s="30" t="n">
        <f aca="false">F106-F105</f>
        <v>-100</v>
      </c>
      <c r="G107" s="30" t="n">
        <f aca="false">G106-G105</f>
        <v>-100</v>
      </c>
      <c r="H107" s="30" t="n">
        <f aca="false">H106-H105</f>
        <v>-100</v>
      </c>
      <c r="I107" s="30" t="n">
        <f aca="false">I106-I105</f>
        <v>-100</v>
      </c>
      <c r="J107" s="30" t="n">
        <f aca="false">J106-J105</f>
        <v>-100</v>
      </c>
      <c r="K107" s="30" t="n">
        <f aca="false">K106-K105</f>
        <v>-100</v>
      </c>
      <c r="L107" s="30" t="n">
        <f aca="false">L106-L105</f>
        <v>-100</v>
      </c>
      <c r="M107" s="30" t="n">
        <f aca="false">M106-M105</f>
        <v>-100</v>
      </c>
      <c r="N107" s="30" t="n">
        <f aca="false">N106-N105</f>
        <v>-100</v>
      </c>
      <c r="O107" s="31" t="n">
        <f aca="false">O106-O105</f>
        <v>-1100</v>
      </c>
    </row>
    <row r="108" customFormat="false" ht="15" hidden="false" customHeight="true" outlineLevel="0" collapsed="false">
      <c r="A108" s="33" t="str">
        <f aca="false">Setup!A44</f>
        <v>Miscellaneous</v>
      </c>
      <c r="B108" s="29" t="s">
        <v>130</v>
      </c>
      <c r="C108" s="30" t="n">
        <f aca="false">Setup!C44</f>
        <v>80</v>
      </c>
      <c r="D108" s="30" t="n">
        <f aca="false">Setup!C44</f>
        <v>80</v>
      </c>
      <c r="E108" s="30" t="n">
        <f aca="false">Setup!C44</f>
        <v>80</v>
      </c>
      <c r="F108" s="30" t="n">
        <f aca="false">Setup!C44</f>
        <v>80</v>
      </c>
      <c r="G108" s="30" t="n">
        <f aca="false">Setup!C44</f>
        <v>80</v>
      </c>
      <c r="H108" s="30" t="n">
        <f aca="false">Setup!C44</f>
        <v>80</v>
      </c>
      <c r="I108" s="30" t="n">
        <f aca="false">Setup!C44</f>
        <v>80</v>
      </c>
      <c r="J108" s="30" t="n">
        <f aca="false">Setup!C44</f>
        <v>80</v>
      </c>
      <c r="K108" s="30" t="n">
        <f aca="false">Setup!C44</f>
        <v>80</v>
      </c>
      <c r="L108" s="30" t="n">
        <f aca="false">Setup!C44</f>
        <v>80</v>
      </c>
      <c r="M108" s="30" t="n">
        <f aca="false">Setup!C44</f>
        <v>80</v>
      </c>
      <c r="N108" s="30" t="n">
        <f aca="false">Setup!C44</f>
        <v>80</v>
      </c>
      <c r="O108" s="31" t="n">
        <f aca="false">SUM(C108:N108)</f>
        <v>960</v>
      </c>
    </row>
    <row r="109" customFormat="false" ht="15" hidden="false" customHeight="true" outlineLevel="0" collapsed="false">
      <c r="A109" s="33"/>
      <c r="B109" s="29" t="s">
        <v>131</v>
      </c>
      <c r="C109" s="30" t="n">
        <f aca="false">SUMIFS(Transactions!$D$5:$D$504,Transactions!$C$5:$C$504,$A108,Transactions!$F$5:$F$504,1,Transactions!$G$5:$G$504,YEAR(Setup!$B$18))</f>
        <v>0</v>
      </c>
      <c r="D109" s="30" t="n">
        <f aca="false">SUMIFS(Transactions!$D$5:$D$504,Transactions!$C$5:$C$504,$A108,Transactions!$F$5:$F$504,2,Transactions!$G$5:$G$504,YEAR(Setup!$B$18))</f>
        <v>55</v>
      </c>
      <c r="E109" s="30" t="n">
        <f aca="false">SUMIFS(Transactions!$D$5:$D$504,Transactions!$C$5:$C$504,$A108,Transactions!$F$5:$F$504,3,Transactions!$G$5:$G$504,YEAR(Setup!$B$18))</f>
        <v>0</v>
      </c>
      <c r="F109" s="30" t="n">
        <f aca="false">SUMIFS(Transactions!$D$5:$D$504,Transactions!$C$5:$C$504,$A108,Transactions!$F$5:$F$504,4,Transactions!$G$5:$G$504,YEAR(Setup!$B$18))</f>
        <v>0</v>
      </c>
      <c r="G109" s="30" t="n">
        <f aca="false">SUMIFS(Transactions!$D$5:$D$504,Transactions!$C$5:$C$504,$A108,Transactions!$F$5:$F$504,5,Transactions!$G$5:$G$504,YEAR(Setup!$B$18))</f>
        <v>0</v>
      </c>
      <c r="H109" s="30" t="n">
        <f aca="false">SUMIFS(Transactions!$D$5:$D$504,Transactions!$C$5:$C$504,$A108,Transactions!$F$5:$F$504,6,Transactions!$G$5:$G$504,YEAR(Setup!$B$18))</f>
        <v>0</v>
      </c>
      <c r="I109" s="30" t="n">
        <f aca="false">SUMIFS(Transactions!$D$5:$D$504,Transactions!$C$5:$C$504,$A108,Transactions!$F$5:$F$504,7,Transactions!$G$5:$G$504,YEAR(Setup!$B$18))</f>
        <v>0</v>
      </c>
      <c r="J109" s="30" t="n">
        <f aca="false">SUMIFS(Transactions!$D$5:$D$504,Transactions!$C$5:$C$504,$A108,Transactions!$F$5:$F$504,8,Transactions!$G$5:$G$504,YEAR(Setup!$B$18))</f>
        <v>0</v>
      </c>
      <c r="K109" s="30" t="n">
        <f aca="false">SUMIFS(Transactions!$D$5:$D$504,Transactions!$C$5:$C$504,$A108,Transactions!$F$5:$F$504,9,Transactions!$G$5:$G$504,YEAR(Setup!$B$18))</f>
        <v>0</v>
      </c>
      <c r="L109" s="30" t="n">
        <f aca="false">SUMIFS(Transactions!$D$5:$D$504,Transactions!$C$5:$C$504,$A108,Transactions!$F$5:$F$504,10,Transactions!$G$5:$G$504,YEAR(Setup!$B$18))</f>
        <v>0</v>
      </c>
      <c r="M109" s="30" t="n">
        <f aca="false">SUMIFS(Transactions!$D$5:$D$504,Transactions!$C$5:$C$504,$A108,Transactions!$F$5:$F$504,11,Transactions!$G$5:$G$504,YEAR(Setup!$B$18))</f>
        <v>0</v>
      </c>
      <c r="N109" s="30" t="n">
        <f aca="false">SUMIFS(Transactions!$D$5:$D$504,Transactions!$C$5:$C$504,$A108,Transactions!$F$5:$F$504,12,Transactions!$G$5:$G$504,YEAR(Setup!$B$18))</f>
        <v>0</v>
      </c>
      <c r="O109" s="31" t="n">
        <f aca="false">SUM(C109:N109)</f>
        <v>55</v>
      </c>
    </row>
    <row r="110" customFormat="false" ht="15" hidden="false" customHeight="true" outlineLevel="0" collapsed="false">
      <c r="A110" s="33"/>
      <c r="B110" s="29" t="s">
        <v>132</v>
      </c>
      <c r="C110" s="30" t="n">
        <f aca="false">C109-C108</f>
        <v>-80</v>
      </c>
      <c r="D110" s="30" t="n">
        <f aca="false">D109-D108</f>
        <v>-25</v>
      </c>
      <c r="E110" s="30" t="n">
        <f aca="false">E109-E108</f>
        <v>-80</v>
      </c>
      <c r="F110" s="30" t="n">
        <f aca="false">F109-F108</f>
        <v>-80</v>
      </c>
      <c r="G110" s="30" t="n">
        <f aca="false">G109-G108</f>
        <v>-80</v>
      </c>
      <c r="H110" s="30" t="n">
        <f aca="false">H109-H108</f>
        <v>-80</v>
      </c>
      <c r="I110" s="30" t="n">
        <f aca="false">I109-I108</f>
        <v>-80</v>
      </c>
      <c r="J110" s="30" t="n">
        <f aca="false">J109-J108</f>
        <v>-80</v>
      </c>
      <c r="K110" s="30" t="n">
        <f aca="false">K109-K108</f>
        <v>-80</v>
      </c>
      <c r="L110" s="30" t="n">
        <f aca="false">L109-L108</f>
        <v>-80</v>
      </c>
      <c r="M110" s="30" t="n">
        <f aca="false">M109-M108</f>
        <v>-80</v>
      </c>
      <c r="N110" s="30" t="n">
        <f aca="false">N109-N108</f>
        <v>-80</v>
      </c>
      <c r="O110" s="31" t="n">
        <f aca="false">O109-O108</f>
        <v>-905</v>
      </c>
    </row>
    <row r="111" customFormat="false" ht="15" hidden="false" customHeight="true" outlineLevel="0" collapsed="false">
      <c r="A111" s="34" t="s">
        <v>148</v>
      </c>
      <c r="B111" s="35" t="s">
        <v>130</v>
      </c>
      <c r="C111" s="36" t="n">
        <f aca="false">C105+C108</f>
        <v>180</v>
      </c>
      <c r="D111" s="36" t="n">
        <f aca="false">D105+D108</f>
        <v>180</v>
      </c>
      <c r="E111" s="36" t="n">
        <f aca="false">E105+E108</f>
        <v>180</v>
      </c>
      <c r="F111" s="36" t="n">
        <f aca="false">F105+F108</f>
        <v>180</v>
      </c>
      <c r="G111" s="36" t="n">
        <f aca="false">G105+G108</f>
        <v>180</v>
      </c>
      <c r="H111" s="36" t="n">
        <f aca="false">H105+H108</f>
        <v>180</v>
      </c>
      <c r="I111" s="36" t="n">
        <f aca="false">I105+I108</f>
        <v>180</v>
      </c>
      <c r="J111" s="36" t="n">
        <f aca="false">J105+J108</f>
        <v>180</v>
      </c>
      <c r="K111" s="36" t="n">
        <f aca="false">K105+K108</f>
        <v>180</v>
      </c>
      <c r="L111" s="36" t="n">
        <f aca="false">L105+L108</f>
        <v>180</v>
      </c>
      <c r="M111" s="36" t="n">
        <f aca="false">M105+M108</f>
        <v>180</v>
      </c>
      <c r="N111" s="36" t="n">
        <f aca="false">N105+N108</f>
        <v>180</v>
      </c>
      <c r="O111" s="36" t="n">
        <f aca="false">SUM(C111:N111)</f>
        <v>2160</v>
      </c>
    </row>
    <row r="112" customFormat="false" ht="15" hidden="false" customHeight="true" outlineLevel="0" collapsed="false">
      <c r="A112" s="34"/>
      <c r="B112" s="35" t="s">
        <v>131</v>
      </c>
      <c r="C112" s="36" t="n">
        <f aca="false">C106+C109</f>
        <v>100</v>
      </c>
      <c r="D112" s="36" t="n">
        <f aca="false">D106+D109</f>
        <v>55</v>
      </c>
      <c r="E112" s="36" t="n">
        <f aca="false">E106+E109</f>
        <v>0</v>
      </c>
      <c r="F112" s="36" t="n">
        <f aca="false">F106+F109</f>
        <v>0</v>
      </c>
      <c r="G112" s="36" t="n">
        <f aca="false">G106+G109</f>
        <v>0</v>
      </c>
      <c r="H112" s="36" t="n">
        <f aca="false">H106+H109</f>
        <v>0</v>
      </c>
      <c r="I112" s="36" t="n">
        <f aca="false">I106+I109</f>
        <v>0</v>
      </c>
      <c r="J112" s="36" t="n">
        <f aca="false">J106+J109</f>
        <v>0</v>
      </c>
      <c r="K112" s="36" t="n">
        <f aca="false">K106+K109</f>
        <v>0</v>
      </c>
      <c r="L112" s="36" t="n">
        <f aca="false">L106+L109</f>
        <v>0</v>
      </c>
      <c r="M112" s="36" t="n">
        <f aca="false">M106+M109</f>
        <v>0</v>
      </c>
      <c r="N112" s="36" t="n">
        <f aca="false">N106+N109</f>
        <v>0</v>
      </c>
      <c r="O112" s="36" t="n">
        <f aca="false">SUM(C112:N112)</f>
        <v>155</v>
      </c>
    </row>
    <row r="113" customFormat="false" ht="15" hidden="false" customHeight="true" outlineLevel="0" collapsed="false">
      <c r="A113" s="34"/>
      <c r="B113" s="35" t="s">
        <v>132</v>
      </c>
      <c r="C113" s="36" t="n">
        <f aca="false">C112-C111</f>
        <v>-80</v>
      </c>
      <c r="D113" s="36" t="n">
        <f aca="false">D112-D111</f>
        <v>-125</v>
      </c>
      <c r="E113" s="36" t="n">
        <f aca="false">E112-E111</f>
        <v>-180</v>
      </c>
      <c r="F113" s="36" t="n">
        <f aca="false">F112-F111</f>
        <v>-180</v>
      </c>
      <c r="G113" s="36" t="n">
        <f aca="false">G112-G111</f>
        <v>-180</v>
      </c>
      <c r="H113" s="36" t="n">
        <f aca="false">H112-H111</f>
        <v>-180</v>
      </c>
      <c r="I113" s="36" t="n">
        <f aca="false">I112-I111</f>
        <v>-180</v>
      </c>
      <c r="J113" s="36" t="n">
        <f aca="false">J112-J111</f>
        <v>-180</v>
      </c>
      <c r="K113" s="36" t="n">
        <f aca="false">K112-K111</f>
        <v>-180</v>
      </c>
      <c r="L113" s="36" t="n">
        <f aca="false">L112-L111</f>
        <v>-180</v>
      </c>
      <c r="M113" s="36" t="n">
        <f aca="false">M112-M111</f>
        <v>-180</v>
      </c>
      <c r="N113" s="36" t="n">
        <f aca="false">N112-N111</f>
        <v>-180</v>
      </c>
      <c r="O113" s="36" t="n">
        <f aca="false">O112-O111</f>
        <v>-2005</v>
      </c>
    </row>
    <row r="115" customFormat="false" ht="15" hidden="false" customHeight="true" outlineLevel="0" collapsed="false">
      <c r="A115" s="32" t="s">
        <v>149</v>
      </c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</row>
    <row r="116" customFormat="false" ht="15" hidden="false" customHeight="true" outlineLevel="0" collapsed="false">
      <c r="A116" s="34" t="s">
        <v>150</v>
      </c>
      <c r="B116" s="35" t="s">
        <v>130</v>
      </c>
      <c r="C116" s="36" t="n">
        <f aca="false">C19+C33+C44+C58+C69+C83+C100+C111</f>
        <v>5895</v>
      </c>
      <c r="D116" s="36" t="n">
        <f aca="false">D19+D33+D44+D58+D69+D83+D100+D111</f>
        <v>5895</v>
      </c>
      <c r="E116" s="36" t="n">
        <f aca="false">E19+E33+E44+E58+E69+E83+E100+E111</f>
        <v>5895</v>
      </c>
      <c r="F116" s="36" t="n">
        <f aca="false">F19+F33+F44+F58+F69+F83+F100+F111</f>
        <v>5895</v>
      </c>
      <c r="G116" s="36" t="n">
        <f aca="false">G19+G33+G44+G58+G69+G83+G100+G111</f>
        <v>5895</v>
      </c>
      <c r="H116" s="36" t="n">
        <f aca="false">H19+H33+H44+H58+H69+H83+H100+H111</f>
        <v>5895</v>
      </c>
      <c r="I116" s="36" t="n">
        <f aca="false">I19+I33+I44+I58+I69+I83+I100+I111</f>
        <v>5895</v>
      </c>
      <c r="J116" s="36" t="n">
        <f aca="false">J19+J33+J44+J58+J69+J83+J100+J111</f>
        <v>5895</v>
      </c>
      <c r="K116" s="36" t="n">
        <f aca="false">K19+K33+K44+K58+K69+K83+K100+K111</f>
        <v>5895</v>
      </c>
      <c r="L116" s="36" t="n">
        <f aca="false">L19+L33+L44+L58+L69+L83+L100+L111</f>
        <v>5895</v>
      </c>
      <c r="M116" s="36" t="n">
        <f aca="false">M19+M33+M44+M58+M69+M83+M100+M111</f>
        <v>5895</v>
      </c>
      <c r="N116" s="36" t="n">
        <f aca="false">N19+N33+N44+N58+N69+N83+N100+N111</f>
        <v>5895</v>
      </c>
      <c r="O116" s="36" t="n">
        <f aca="false">SUM(C116:N116)</f>
        <v>70740</v>
      </c>
    </row>
    <row r="117" customFormat="false" ht="15" hidden="false" customHeight="true" outlineLevel="0" collapsed="false">
      <c r="A117" s="34"/>
      <c r="B117" s="35" t="s">
        <v>131</v>
      </c>
      <c r="C117" s="36" t="n">
        <f aca="false">C20+C34+C45+C59+C70+C84+C101+C112</f>
        <v>4472</v>
      </c>
      <c r="D117" s="36" t="n">
        <f aca="false">D20+D34+D45+D59+D70+D84+D101+D112</f>
        <v>3872</v>
      </c>
      <c r="E117" s="36" t="n">
        <f aca="false">E20+E34+E45+E59+E70+E84+E101+E112</f>
        <v>4561</v>
      </c>
      <c r="F117" s="36" t="n">
        <f aca="false">F20+F34+F45+F59+F70+F84+F101+F112</f>
        <v>0</v>
      </c>
      <c r="G117" s="36" t="n">
        <f aca="false">G20+G34+G45+G59+G70+G84+G101+G112</f>
        <v>0</v>
      </c>
      <c r="H117" s="36" t="n">
        <f aca="false">H20+H34+H45+H59+H70+H84+H101+H112</f>
        <v>0</v>
      </c>
      <c r="I117" s="36" t="n">
        <f aca="false">I20+I34+I45+I59+I70+I84+I101+I112</f>
        <v>0</v>
      </c>
      <c r="J117" s="36" t="n">
        <f aca="false">J20+J34+J45+J59+J70+J84+J101+J112</f>
        <v>0</v>
      </c>
      <c r="K117" s="36" t="n">
        <f aca="false">K20+K34+K45+K59+K70+K84+K101+K112</f>
        <v>0</v>
      </c>
      <c r="L117" s="36" t="n">
        <f aca="false">L20+L34+L45+L59+L70+L84+L101+L112</f>
        <v>0</v>
      </c>
      <c r="M117" s="36" t="n">
        <f aca="false">M20+M34+M45+M59+M70+M84+M101+M112</f>
        <v>0</v>
      </c>
      <c r="N117" s="36" t="n">
        <f aca="false">N20+N34+N45+N59+N70+N84+N101+N112</f>
        <v>0</v>
      </c>
      <c r="O117" s="36" t="n">
        <f aca="false">SUM(C117:N117)</f>
        <v>12905</v>
      </c>
    </row>
    <row r="118" customFormat="false" ht="15" hidden="false" customHeight="true" outlineLevel="0" collapsed="false">
      <c r="A118" s="34"/>
      <c r="B118" s="35" t="s">
        <v>132</v>
      </c>
      <c r="C118" s="36" t="n">
        <f aca="false">C117-C116</f>
        <v>-1423</v>
      </c>
      <c r="D118" s="36" t="n">
        <f aca="false">D117-D116</f>
        <v>-2023</v>
      </c>
      <c r="E118" s="36" t="n">
        <f aca="false">E117-E116</f>
        <v>-1334</v>
      </c>
      <c r="F118" s="36" t="n">
        <f aca="false">F117-F116</f>
        <v>-5895</v>
      </c>
      <c r="G118" s="36" t="n">
        <f aca="false">G117-G116</f>
        <v>-5895</v>
      </c>
      <c r="H118" s="36" t="n">
        <f aca="false">H117-H116</f>
        <v>-5895</v>
      </c>
      <c r="I118" s="36" t="n">
        <f aca="false">I117-I116</f>
        <v>-5895</v>
      </c>
      <c r="J118" s="36" t="n">
        <f aca="false">J117-J116</f>
        <v>-5895</v>
      </c>
      <c r="K118" s="36" t="n">
        <f aca="false">K117-K116</f>
        <v>-5895</v>
      </c>
      <c r="L118" s="36" t="n">
        <f aca="false">L117-L116</f>
        <v>-5895</v>
      </c>
      <c r="M118" s="36" t="n">
        <f aca="false">M117-M116</f>
        <v>-5895</v>
      </c>
      <c r="N118" s="36" t="n">
        <f aca="false">N117-N116</f>
        <v>-5895</v>
      </c>
      <c r="O118" s="36" t="n">
        <f aca="false">O117-O116</f>
        <v>-57835</v>
      </c>
    </row>
    <row r="119" customFormat="false" ht="15" hidden="false" customHeight="true" outlineLevel="0" collapsed="false">
      <c r="A119" s="17" t="s">
        <v>151</v>
      </c>
      <c r="C119" s="18" t="n">
        <f aca="false">C5-C116</f>
        <v>1905</v>
      </c>
      <c r="D119" s="18" t="n">
        <f aca="false">D5-D116</f>
        <v>1905</v>
      </c>
      <c r="E119" s="18" t="n">
        <f aca="false">E5-E116</f>
        <v>1905</v>
      </c>
      <c r="F119" s="18" t="n">
        <f aca="false">F5-F116</f>
        <v>1905</v>
      </c>
      <c r="G119" s="18" t="n">
        <f aca="false">G5-G116</f>
        <v>1905</v>
      </c>
      <c r="H119" s="18" t="n">
        <f aca="false">H5-H116</f>
        <v>1905</v>
      </c>
      <c r="I119" s="18" t="n">
        <f aca="false">I5-I116</f>
        <v>1905</v>
      </c>
      <c r="J119" s="18" t="n">
        <f aca="false">J5-J116</f>
        <v>1905</v>
      </c>
      <c r="K119" s="18" t="n">
        <f aca="false">K5-K116</f>
        <v>1905</v>
      </c>
      <c r="L119" s="18" t="n">
        <f aca="false">L5-L116</f>
        <v>1905</v>
      </c>
      <c r="M119" s="18" t="n">
        <f aca="false">M5-M116</f>
        <v>1905</v>
      </c>
      <c r="N119" s="18" t="n">
        <f aca="false">N5-N116</f>
        <v>1905</v>
      </c>
      <c r="O119" s="18" t="n">
        <f aca="false">SUM(C119:N119)</f>
        <v>22860</v>
      </c>
    </row>
    <row r="120" customFormat="false" ht="15" hidden="false" customHeight="true" outlineLevel="0" collapsed="false">
      <c r="A120" s="17" t="s">
        <v>152</v>
      </c>
      <c r="C120" s="18" t="n">
        <f aca="false">C6-C117</f>
        <v>3328</v>
      </c>
      <c r="D120" s="18" t="n">
        <f aca="false">D6-D117</f>
        <v>4078</v>
      </c>
      <c r="E120" s="18" t="n">
        <f aca="false">E6-E117</f>
        <v>3039</v>
      </c>
      <c r="F120" s="18" t="n">
        <f aca="false">F6-F117</f>
        <v>0</v>
      </c>
      <c r="G120" s="18" t="n">
        <f aca="false">G6-G117</f>
        <v>0</v>
      </c>
      <c r="H120" s="18" t="n">
        <f aca="false">H6-H117</f>
        <v>0</v>
      </c>
      <c r="I120" s="18" t="n">
        <f aca="false">I6-I117</f>
        <v>0</v>
      </c>
      <c r="J120" s="18" t="n">
        <f aca="false">J6-J117</f>
        <v>0</v>
      </c>
      <c r="K120" s="18" t="n">
        <f aca="false">K6-K117</f>
        <v>0</v>
      </c>
      <c r="L120" s="18" t="n">
        <f aca="false">L6-L117</f>
        <v>0</v>
      </c>
      <c r="M120" s="18" t="n">
        <f aca="false">M6-M117</f>
        <v>0</v>
      </c>
      <c r="N120" s="18" t="n">
        <f aca="false">N6-N117</f>
        <v>0</v>
      </c>
      <c r="O120" s="18" t="n">
        <f aca="false">SUM(C120:N120)</f>
        <v>10445</v>
      </c>
    </row>
    <row r="121" customFormat="false" ht="15" hidden="false" customHeight="true" outlineLevel="0" collapsed="false">
      <c r="A121" s="17" t="s">
        <v>153</v>
      </c>
      <c r="C121" s="37" t="n">
        <f aca="false">IFERROR(C119/C5,0)</f>
        <v>0.244230769230769</v>
      </c>
      <c r="D121" s="37" t="n">
        <f aca="false">IFERROR(D119/D5,0)</f>
        <v>0.244230769230769</v>
      </c>
      <c r="E121" s="37" t="n">
        <f aca="false">IFERROR(E119/E5,0)</f>
        <v>0.244230769230769</v>
      </c>
      <c r="F121" s="37" t="n">
        <f aca="false">IFERROR(F119/F5,0)</f>
        <v>0.244230769230769</v>
      </c>
      <c r="G121" s="37" t="n">
        <f aca="false">IFERROR(G119/G5,0)</f>
        <v>0.244230769230769</v>
      </c>
      <c r="H121" s="37" t="n">
        <f aca="false">IFERROR(H119/H5,0)</f>
        <v>0.244230769230769</v>
      </c>
      <c r="I121" s="37" t="n">
        <f aca="false">IFERROR(I119/I5,0)</f>
        <v>0.244230769230769</v>
      </c>
      <c r="J121" s="37" t="n">
        <f aca="false">IFERROR(J119/J5,0)</f>
        <v>0.244230769230769</v>
      </c>
      <c r="K121" s="37" t="n">
        <f aca="false">IFERROR(K119/K5,0)</f>
        <v>0.244230769230769</v>
      </c>
      <c r="L121" s="37" t="n">
        <f aca="false">IFERROR(L119/L5,0)</f>
        <v>0.244230769230769</v>
      </c>
      <c r="M121" s="37" t="n">
        <f aca="false">IFERROR(M119/M5,0)</f>
        <v>0.244230769230769</v>
      </c>
      <c r="N121" s="37" t="n">
        <f aca="false">IFERROR(N119/N5,0)</f>
        <v>0.244230769230769</v>
      </c>
    </row>
    <row r="122" customFormat="false" ht="15" hidden="false" customHeight="true" outlineLevel="0" collapsed="false">
      <c r="A122" s="17" t="s">
        <v>154</v>
      </c>
      <c r="C122" s="37" t="n">
        <f aca="false">IFERROR(C120/C6,0)</f>
        <v>0.426666666666667</v>
      </c>
      <c r="D122" s="37" t="n">
        <f aca="false">IFERROR(D120/D6,0)</f>
        <v>0.512955974842767</v>
      </c>
      <c r="E122" s="37" t="n">
        <f aca="false">IFERROR(E120/E6,0)</f>
        <v>0.399868421052632</v>
      </c>
      <c r="F122" s="37" t="n">
        <f aca="false">IFERROR(F120/F6,0)</f>
        <v>0</v>
      </c>
      <c r="G122" s="37" t="n">
        <f aca="false">IFERROR(G120/G6,0)</f>
        <v>0</v>
      </c>
      <c r="H122" s="37" t="n">
        <f aca="false">IFERROR(H120/H6,0)</f>
        <v>0</v>
      </c>
      <c r="I122" s="37" t="n">
        <f aca="false">IFERROR(I120/I6,0)</f>
        <v>0</v>
      </c>
      <c r="J122" s="37" t="n">
        <f aca="false">IFERROR(J120/J6,0)</f>
        <v>0</v>
      </c>
      <c r="K122" s="37" t="n">
        <f aca="false">IFERROR(K120/K6,0)</f>
        <v>0</v>
      </c>
      <c r="L122" s="37" t="n">
        <f aca="false">IFERROR(L120/L6,0)</f>
        <v>0</v>
      </c>
      <c r="M122" s="37" t="n">
        <f aca="false">IFERROR(M120/M6,0)</f>
        <v>0</v>
      </c>
      <c r="N122" s="37" t="n">
        <f aca="false">IFERROR(N120/N6,0)</f>
        <v>0</v>
      </c>
    </row>
    <row r="123" customFormat="false" ht="15" hidden="false" customHeight="true" outlineLevel="0" collapsed="false">
      <c r="A123" s="17" t="s">
        <v>155</v>
      </c>
      <c r="C123" s="37" t="n">
        <f aca="false">Setup!$B$16</f>
        <v>0.2</v>
      </c>
      <c r="D123" s="37" t="n">
        <f aca="false">Setup!$B$16</f>
        <v>0.2</v>
      </c>
      <c r="E123" s="37" t="n">
        <f aca="false">Setup!$B$16</f>
        <v>0.2</v>
      </c>
      <c r="F123" s="37" t="n">
        <f aca="false">Setup!$B$16</f>
        <v>0.2</v>
      </c>
      <c r="G123" s="37" t="n">
        <f aca="false">Setup!$B$16</f>
        <v>0.2</v>
      </c>
      <c r="H123" s="37" t="n">
        <f aca="false">Setup!$B$16</f>
        <v>0.2</v>
      </c>
      <c r="I123" s="37" t="n">
        <f aca="false">Setup!$B$16</f>
        <v>0.2</v>
      </c>
      <c r="J123" s="37" t="n">
        <f aca="false">Setup!$B$16</f>
        <v>0.2</v>
      </c>
      <c r="K123" s="37" t="n">
        <f aca="false">Setup!$B$16</f>
        <v>0.2</v>
      </c>
      <c r="L123" s="37" t="n">
        <f aca="false">Setup!$B$16</f>
        <v>0.2</v>
      </c>
      <c r="M123" s="37" t="n">
        <f aca="false">Setup!$B$16</f>
        <v>0.2</v>
      </c>
      <c r="N123" s="37" t="n">
        <f aca="false">Setup!$B$16</f>
        <v>0.2</v>
      </c>
    </row>
    <row r="124" customFormat="false" ht="15" hidden="false" customHeight="true" outlineLevel="0" collapsed="false">
      <c r="A124" s="22" t="s">
        <v>156</v>
      </c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</row>
  </sheetData>
  <mergeCells count="44">
    <mergeCell ref="A1:O1"/>
    <mergeCell ref="A2:O2"/>
    <mergeCell ref="A5:A7"/>
    <mergeCell ref="A9:O9"/>
    <mergeCell ref="A10:A12"/>
    <mergeCell ref="A13:A15"/>
    <mergeCell ref="A16:A18"/>
    <mergeCell ref="A19:A21"/>
    <mergeCell ref="A23:O23"/>
    <mergeCell ref="A24:A26"/>
    <mergeCell ref="A27:A29"/>
    <mergeCell ref="A30:A32"/>
    <mergeCell ref="A33:A35"/>
    <mergeCell ref="A37:O37"/>
    <mergeCell ref="A38:A40"/>
    <mergeCell ref="A41:A43"/>
    <mergeCell ref="A44:A46"/>
    <mergeCell ref="A48:O48"/>
    <mergeCell ref="A49:A51"/>
    <mergeCell ref="A52:A54"/>
    <mergeCell ref="A55:A57"/>
    <mergeCell ref="A58:A60"/>
    <mergeCell ref="A62:O62"/>
    <mergeCell ref="A63:A65"/>
    <mergeCell ref="A66:A68"/>
    <mergeCell ref="A69:A71"/>
    <mergeCell ref="A73:O73"/>
    <mergeCell ref="A74:A76"/>
    <mergeCell ref="A77:A79"/>
    <mergeCell ref="A80:A82"/>
    <mergeCell ref="A83:A85"/>
    <mergeCell ref="A87:O87"/>
    <mergeCell ref="A88:A90"/>
    <mergeCell ref="A91:A93"/>
    <mergeCell ref="A94:A96"/>
    <mergeCell ref="A97:A99"/>
    <mergeCell ref="A100:A102"/>
    <mergeCell ref="A104:O104"/>
    <mergeCell ref="A105:A107"/>
    <mergeCell ref="A108:A110"/>
    <mergeCell ref="A111:A113"/>
    <mergeCell ref="A115:O115"/>
    <mergeCell ref="A116:A118"/>
    <mergeCell ref="A124:O124"/>
  </mergeCells>
  <conditionalFormatting sqref="C11:N11">
    <cfRule type="expression" priority="2" aboveAverage="0" equalAverage="0" bottom="0" percent="0" rank="0" text="" dxfId="0">
      <formula>C11&gt;C10</formula>
    </cfRule>
  </conditionalFormatting>
  <conditionalFormatting sqref="C14:N14">
    <cfRule type="expression" priority="3" aboveAverage="0" equalAverage="0" bottom="0" percent="0" rank="0" text="" dxfId="0">
      <formula>C14&gt;C13</formula>
    </cfRule>
  </conditionalFormatting>
  <conditionalFormatting sqref="C17:N17">
    <cfRule type="expression" priority="4" aboveAverage="0" equalAverage="0" bottom="0" percent="0" rank="0" text="" dxfId="0">
      <formula>C17&gt;C16</formula>
    </cfRule>
  </conditionalFormatting>
  <conditionalFormatting sqref="C20:N20">
    <cfRule type="expression" priority="5" aboveAverage="0" equalAverage="0" bottom="0" percent="0" rank="0" text="" dxfId="0">
      <formula>C20&gt;C19</formula>
    </cfRule>
  </conditionalFormatting>
  <conditionalFormatting sqref="C25:N25">
    <cfRule type="expression" priority="6" aboveAverage="0" equalAverage="0" bottom="0" percent="0" rank="0" text="" dxfId="0">
      <formula>C25&gt;C24</formula>
    </cfRule>
  </conditionalFormatting>
  <conditionalFormatting sqref="C28:N28">
    <cfRule type="expression" priority="7" aboveAverage="0" equalAverage="0" bottom="0" percent="0" rank="0" text="" dxfId="0">
      <formula>C28&gt;C27</formula>
    </cfRule>
  </conditionalFormatting>
  <conditionalFormatting sqref="C31:N31">
    <cfRule type="expression" priority="8" aboveAverage="0" equalAverage="0" bottom="0" percent="0" rank="0" text="" dxfId="0">
      <formula>C31&gt;C30</formula>
    </cfRule>
  </conditionalFormatting>
  <conditionalFormatting sqref="C34:N34">
    <cfRule type="expression" priority="9" aboveAverage="0" equalAverage="0" bottom="0" percent="0" rank="0" text="" dxfId="0">
      <formula>C34&gt;C33</formula>
    </cfRule>
  </conditionalFormatting>
  <conditionalFormatting sqref="C39:N39">
    <cfRule type="expression" priority="10" aboveAverage="0" equalAverage="0" bottom="0" percent="0" rank="0" text="" dxfId="0">
      <formula>C39&gt;C38</formula>
    </cfRule>
  </conditionalFormatting>
  <conditionalFormatting sqref="C42:N42">
    <cfRule type="expression" priority="11" aboveAverage="0" equalAverage="0" bottom="0" percent="0" rank="0" text="" dxfId="0">
      <formula>C42&gt;C41</formula>
    </cfRule>
  </conditionalFormatting>
  <conditionalFormatting sqref="C45:N45">
    <cfRule type="expression" priority="12" aboveAverage="0" equalAverage="0" bottom="0" percent="0" rank="0" text="" dxfId="0">
      <formula>C45&gt;C44</formula>
    </cfRule>
  </conditionalFormatting>
  <conditionalFormatting sqref="C50:N50">
    <cfRule type="expression" priority="13" aboveAverage="0" equalAverage="0" bottom="0" percent="0" rank="0" text="" dxfId="0">
      <formula>C50&gt;C49</formula>
    </cfRule>
  </conditionalFormatting>
  <conditionalFormatting sqref="C53:N53">
    <cfRule type="expression" priority="14" aboveAverage="0" equalAverage="0" bottom="0" percent="0" rank="0" text="" dxfId="0">
      <formula>C53&gt;C52</formula>
    </cfRule>
  </conditionalFormatting>
  <conditionalFormatting sqref="C56:N56">
    <cfRule type="expression" priority="15" aboveAverage="0" equalAverage="0" bottom="0" percent="0" rank="0" text="" dxfId="0">
      <formula>C56&gt;C55</formula>
    </cfRule>
  </conditionalFormatting>
  <conditionalFormatting sqref="C59:N59">
    <cfRule type="expression" priority="16" aboveAverage="0" equalAverage="0" bottom="0" percent="0" rank="0" text="" dxfId="0">
      <formula>C59&gt;C58</formula>
    </cfRule>
  </conditionalFormatting>
  <conditionalFormatting sqref="C64:N64">
    <cfRule type="expression" priority="17" aboveAverage="0" equalAverage="0" bottom="0" percent="0" rank="0" text="" dxfId="0">
      <formula>C64&gt;C63</formula>
    </cfRule>
  </conditionalFormatting>
  <conditionalFormatting sqref="C67:N67">
    <cfRule type="expression" priority="18" aboveAverage="0" equalAverage="0" bottom="0" percent="0" rank="0" text="" dxfId="0">
      <formula>C67&gt;C66</formula>
    </cfRule>
  </conditionalFormatting>
  <conditionalFormatting sqref="C70:N70">
    <cfRule type="expression" priority="19" aboveAverage="0" equalAverage="0" bottom="0" percent="0" rank="0" text="" dxfId="0">
      <formula>C70&gt;C69</formula>
    </cfRule>
  </conditionalFormatting>
  <conditionalFormatting sqref="C75:N75">
    <cfRule type="expression" priority="20" aboveAverage="0" equalAverage="0" bottom="0" percent="0" rank="0" text="" dxfId="0">
      <formula>C75&gt;C74</formula>
    </cfRule>
  </conditionalFormatting>
  <conditionalFormatting sqref="C78:N78">
    <cfRule type="expression" priority="21" aboveAverage="0" equalAverage="0" bottom="0" percent="0" rank="0" text="" dxfId="0">
      <formula>C78&gt;C77</formula>
    </cfRule>
  </conditionalFormatting>
  <conditionalFormatting sqref="C81:N81">
    <cfRule type="expression" priority="22" aboveAverage="0" equalAverage="0" bottom="0" percent="0" rank="0" text="" dxfId="0">
      <formula>C81&gt;C80</formula>
    </cfRule>
  </conditionalFormatting>
  <conditionalFormatting sqref="C84:N84">
    <cfRule type="expression" priority="23" aboveAverage="0" equalAverage="0" bottom="0" percent="0" rank="0" text="" dxfId="0">
      <formula>C84&gt;C83</formula>
    </cfRule>
  </conditionalFormatting>
  <conditionalFormatting sqref="C89:N89">
    <cfRule type="expression" priority="24" aboveAverage="0" equalAverage="0" bottom="0" percent="0" rank="0" text="" dxfId="0">
      <formula>C89&gt;C88</formula>
    </cfRule>
  </conditionalFormatting>
  <conditionalFormatting sqref="C92:N92">
    <cfRule type="expression" priority="25" aboveAverage="0" equalAverage="0" bottom="0" percent="0" rank="0" text="" dxfId="0">
      <formula>C92&gt;C91</formula>
    </cfRule>
  </conditionalFormatting>
  <conditionalFormatting sqref="C95:N95">
    <cfRule type="expression" priority="26" aboveAverage="0" equalAverage="0" bottom="0" percent="0" rank="0" text="" dxfId="0">
      <formula>C95&gt;C94</formula>
    </cfRule>
  </conditionalFormatting>
  <conditionalFormatting sqref="C98:N98">
    <cfRule type="expression" priority="27" aboveAverage="0" equalAverage="0" bottom="0" percent="0" rank="0" text="" dxfId="0">
      <formula>C98&gt;C97</formula>
    </cfRule>
  </conditionalFormatting>
  <conditionalFormatting sqref="C101:N101">
    <cfRule type="expression" priority="28" aboveAverage="0" equalAverage="0" bottom="0" percent="0" rank="0" text="" dxfId="0">
      <formula>C101&gt;C100</formula>
    </cfRule>
  </conditionalFormatting>
  <conditionalFormatting sqref="C106:N106">
    <cfRule type="expression" priority="29" aboveAverage="0" equalAverage="0" bottom="0" percent="0" rank="0" text="" dxfId="0">
      <formula>C106&gt;C105</formula>
    </cfRule>
  </conditionalFormatting>
  <conditionalFormatting sqref="C109:N109">
    <cfRule type="expression" priority="30" aboveAverage="0" equalAverage="0" bottom="0" percent="0" rank="0" text="" dxfId="0">
      <formula>C109&gt;C108</formula>
    </cfRule>
  </conditionalFormatting>
  <conditionalFormatting sqref="C112:N112">
    <cfRule type="expression" priority="31" aboveAverage="0" equalAverage="0" bottom="0" percent="0" rank="0" text="" dxfId="0">
      <formula>C112&gt;C111</formula>
    </cfRule>
  </conditionalFormatting>
  <conditionalFormatting sqref="C117:N117">
    <cfRule type="expression" priority="32" aboveAverage="0" equalAverage="0" bottom="0" percent="0" rank="0" text="" dxfId="0">
      <formula>C117&gt;C116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13" min="2" style="1" width="11"/>
  </cols>
  <sheetData>
    <row r="1" customFormat="false" ht="21.75" hidden="false" customHeight="true" outlineLevel="0" collapsed="false">
      <c r="A1" s="2" t="s">
        <v>157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true" outlineLevel="0" collapsed="false">
      <c r="A2" s="3" t="s">
        <v>158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.75" hidden="false" customHeight="true" outlineLevel="0" collapsed="false">
      <c r="A4" s="26" t="s">
        <v>39</v>
      </c>
      <c r="B4" s="27" t="s">
        <v>117</v>
      </c>
      <c r="C4" s="27" t="s">
        <v>118</v>
      </c>
      <c r="D4" s="27" t="s">
        <v>119</v>
      </c>
      <c r="E4" s="27" t="s">
        <v>120</v>
      </c>
      <c r="F4" s="27" t="s">
        <v>121</v>
      </c>
      <c r="G4" s="27" t="s">
        <v>122</v>
      </c>
      <c r="H4" s="27" t="s">
        <v>123</v>
      </c>
      <c r="I4" s="27" t="s">
        <v>124</v>
      </c>
      <c r="J4" s="27" t="s">
        <v>125</v>
      </c>
      <c r="K4" s="27" t="s">
        <v>126</v>
      </c>
      <c r="L4" s="27" t="s">
        <v>127</v>
      </c>
      <c r="M4" s="27" t="s">
        <v>128</v>
      </c>
    </row>
    <row r="5" customFormat="false" ht="15" hidden="false" customHeight="true" outlineLevel="0" collapsed="false">
      <c r="A5" s="32" t="s">
        <v>159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</row>
    <row r="6" customFormat="false" ht="15" hidden="false" customHeight="true" outlineLevel="0" collapsed="false">
      <c r="A6" s="10" t="s">
        <v>160</v>
      </c>
      <c r="B6" s="16" t="n">
        <v>8500</v>
      </c>
      <c r="C6" s="16" t="n">
        <v>8720</v>
      </c>
      <c r="D6" s="16" t="n">
        <v>8600</v>
      </c>
      <c r="E6" s="16" t="n">
        <v>8950</v>
      </c>
      <c r="F6" s="16" t="n">
        <v>9100</v>
      </c>
      <c r="G6" s="16" t="n">
        <v>9300</v>
      </c>
      <c r="H6" s="16" t="n">
        <v>9250</v>
      </c>
      <c r="I6" s="16" t="n">
        <v>9500</v>
      </c>
      <c r="J6" s="16" t="n">
        <v>9700</v>
      </c>
      <c r="K6" s="16" t="n">
        <v>9850</v>
      </c>
      <c r="L6" s="16" t="n">
        <v>10100</v>
      </c>
      <c r="M6" s="16" t="n">
        <v>10400</v>
      </c>
    </row>
    <row r="7" customFormat="false" ht="15" hidden="false" customHeight="true" outlineLevel="0" collapsed="false">
      <c r="A7" s="10" t="s">
        <v>161</v>
      </c>
      <c r="B7" s="16" t="n">
        <v>5000</v>
      </c>
      <c r="C7" s="16" t="n">
        <v>5200</v>
      </c>
      <c r="D7" s="16" t="n">
        <v>5400</v>
      </c>
      <c r="E7" s="16" t="n">
        <v>5600</v>
      </c>
      <c r="F7" s="16" t="n">
        <v>5800</v>
      </c>
      <c r="G7" s="16" t="n">
        <v>6000</v>
      </c>
      <c r="H7" s="16" t="n">
        <v>6200</v>
      </c>
      <c r="I7" s="16" t="n">
        <v>6400</v>
      </c>
      <c r="J7" s="16" t="n">
        <v>6600</v>
      </c>
      <c r="K7" s="16" t="n">
        <v>6800</v>
      </c>
      <c r="L7" s="16" t="n">
        <v>7000</v>
      </c>
      <c r="M7" s="16" t="n">
        <v>7200</v>
      </c>
    </row>
    <row r="8" customFormat="false" ht="15" hidden="false" customHeight="true" outlineLevel="0" collapsed="false">
      <c r="A8" s="10" t="s">
        <v>162</v>
      </c>
      <c r="B8" s="16" t="n">
        <v>12000</v>
      </c>
      <c r="C8" s="16" t="n">
        <v>12400</v>
      </c>
      <c r="D8" s="16" t="n">
        <v>12850</v>
      </c>
      <c r="E8" s="16" t="n">
        <v>12700</v>
      </c>
      <c r="F8" s="16" t="n">
        <v>13200</v>
      </c>
      <c r="G8" s="16" t="n">
        <v>13650</v>
      </c>
      <c r="H8" s="16" t="n">
        <v>14100</v>
      </c>
      <c r="I8" s="16" t="n">
        <v>13950</v>
      </c>
      <c r="J8" s="16" t="n">
        <v>14500</v>
      </c>
      <c r="K8" s="16" t="n">
        <v>15000</v>
      </c>
      <c r="L8" s="16" t="n">
        <v>15450</v>
      </c>
      <c r="M8" s="16" t="n">
        <v>16000</v>
      </c>
    </row>
    <row r="9" customFormat="false" ht="15" hidden="false" customHeight="true" outlineLevel="0" collapsed="false">
      <c r="A9" s="10" t="s">
        <v>163</v>
      </c>
      <c r="B9" s="16" t="n">
        <v>45000</v>
      </c>
      <c r="C9" s="16" t="n">
        <v>45700</v>
      </c>
      <c r="D9" s="16" t="n">
        <v>46500</v>
      </c>
      <c r="E9" s="16" t="n">
        <v>47100</v>
      </c>
      <c r="F9" s="16" t="n">
        <v>47900</v>
      </c>
      <c r="G9" s="16" t="n">
        <v>48800</v>
      </c>
      <c r="H9" s="16" t="n">
        <v>49500</v>
      </c>
      <c r="I9" s="16" t="n">
        <v>50200</v>
      </c>
      <c r="J9" s="16" t="n">
        <v>51100</v>
      </c>
      <c r="K9" s="16" t="n">
        <v>51900</v>
      </c>
      <c r="L9" s="16" t="n">
        <v>52700</v>
      </c>
      <c r="M9" s="16" t="n">
        <v>53600</v>
      </c>
    </row>
    <row r="10" customFormat="false" ht="15" hidden="false" customHeight="true" outlineLevel="0" collapsed="false">
      <c r="A10" s="10" t="s">
        <v>164</v>
      </c>
      <c r="B10" s="16" t="n">
        <v>450000</v>
      </c>
      <c r="C10" s="16" t="n">
        <v>450000</v>
      </c>
      <c r="D10" s="16" t="n">
        <v>450500</v>
      </c>
      <c r="E10" s="16" t="n">
        <v>450500</v>
      </c>
      <c r="F10" s="16" t="n">
        <v>451000</v>
      </c>
      <c r="G10" s="16" t="n">
        <v>451000</v>
      </c>
      <c r="H10" s="16" t="n">
        <v>451500</v>
      </c>
      <c r="I10" s="16" t="n">
        <v>452000</v>
      </c>
      <c r="J10" s="16" t="n">
        <v>452000</v>
      </c>
      <c r="K10" s="16" t="n">
        <v>452500</v>
      </c>
      <c r="L10" s="16" t="n">
        <v>453000</v>
      </c>
      <c r="M10" s="16" t="n">
        <v>453500</v>
      </c>
    </row>
    <row r="11" customFormat="false" ht="15" hidden="false" customHeight="true" outlineLevel="0" collapsed="false">
      <c r="A11" s="10" t="s">
        <v>165</v>
      </c>
      <c r="B11" s="16" t="n">
        <v>22000</v>
      </c>
      <c r="C11" s="16" t="n">
        <v>21850</v>
      </c>
      <c r="D11" s="16" t="n">
        <v>21700</v>
      </c>
      <c r="E11" s="16" t="n">
        <v>21550</v>
      </c>
      <c r="F11" s="16" t="n">
        <v>21400</v>
      </c>
      <c r="G11" s="16" t="n">
        <v>21250</v>
      </c>
      <c r="H11" s="16" t="n">
        <v>21100</v>
      </c>
      <c r="I11" s="16" t="n">
        <v>20950</v>
      </c>
      <c r="J11" s="16" t="n">
        <v>20800</v>
      </c>
      <c r="K11" s="16" t="n">
        <v>20650</v>
      </c>
      <c r="L11" s="16" t="n">
        <v>20500</v>
      </c>
      <c r="M11" s="16" t="n">
        <v>20350</v>
      </c>
    </row>
    <row r="12" customFormat="false" ht="15" hidden="false" customHeight="true" outlineLevel="0" collapsed="false">
      <c r="A12" s="10" t="s">
        <v>166</v>
      </c>
      <c r="B12" s="16" t="n">
        <v>2000</v>
      </c>
      <c r="C12" s="16" t="n">
        <v>2000</v>
      </c>
      <c r="D12" s="16" t="n">
        <v>2000</v>
      </c>
      <c r="E12" s="16" t="n">
        <v>2000</v>
      </c>
      <c r="F12" s="16" t="n">
        <v>2000</v>
      </c>
      <c r="G12" s="16" t="n">
        <v>2000</v>
      </c>
      <c r="H12" s="16" t="n">
        <v>2000</v>
      </c>
      <c r="I12" s="16" t="n">
        <v>2000</v>
      </c>
      <c r="J12" s="16" t="n">
        <v>2000</v>
      </c>
      <c r="K12" s="16" t="n">
        <v>2000</v>
      </c>
      <c r="L12" s="16" t="n">
        <v>2000</v>
      </c>
      <c r="M12" s="16" t="n">
        <v>2000</v>
      </c>
    </row>
    <row r="13" customFormat="false" ht="15" hidden="false" customHeight="true" outlineLevel="0" collapsed="false">
      <c r="A13" s="17" t="s">
        <v>167</v>
      </c>
      <c r="B13" s="18" t="n">
        <f aca="false">B6+B7+B8+B9+B10+B11+B12</f>
        <v>544500</v>
      </c>
      <c r="C13" s="18" t="n">
        <f aca="false">C6+C7+C8+C9+C10+C11+C12</f>
        <v>545870</v>
      </c>
      <c r="D13" s="18" t="n">
        <f aca="false">D6+D7+D8+D9+D10+D11+D12</f>
        <v>547550</v>
      </c>
      <c r="E13" s="18" t="n">
        <f aca="false">E6+E7+E8+E9+E10+E11+E12</f>
        <v>548400</v>
      </c>
      <c r="F13" s="18" t="n">
        <f aca="false">F6+F7+F8+F9+F10+F11+F12</f>
        <v>550400</v>
      </c>
      <c r="G13" s="18" t="n">
        <f aca="false">G6+G7+G8+G9+G10+G11+G12</f>
        <v>552000</v>
      </c>
      <c r="H13" s="18" t="n">
        <f aca="false">H6+H7+H8+H9+H10+H11+H12</f>
        <v>553650</v>
      </c>
      <c r="I13" s="18" t="n">
        <f aca="false">I6+I7+I8+I9+I10+I11+I12</f>
        <v>555000</v>
      </c>
      <c r="J13" s="18" t="n">
        <f aca="false">J6+J7+J8+J9+J10+J11+J12</f>
        <v>556700</v>
      </c>
      <c r="K13" s="18" t="n">
        <f aca="false">K6+K7+K8+K9+K10+K11+K12</f>
        <v>558700</v>
      </c>
      <c r="L13" s="18" t="n">
        <f aca="false">L6+L7+L8+L9+L10+L11+L12</f>
        <v>560750</v>
      </c>
      <c r="M13" s="18" t="n">
        <f aca="false">M6+M7+M8+M9+M10+M11+M12</f>
        <v>563050</v>
      </c>
    </row>
    <row r="15" customFormat="false" ht="15" hidden="false" customHeight="true" outlineLevel="0" collapsed="false">
      <c r="A15" s="32" t="s">
        <v>168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</row>
    <row r="16" customFormat="false" ht="15" hidden="false" customHeight="true" outlineLevel="0" collapsed="false">
      <c r="A16" s="10" t="s">
        <v>169</v>
      </c>
      <c r="B16" s="16" t="n">
        <v>340000</v>
      </c>
      <c r="C16" s="16" t="n">
        <v>339620</v>
      </c>
      <c r="D16" s="16" t="n">
        <v>339236</v>
      </c>
      <c r="E16" s="16" t="n">
        <v>338848</v>
      </c>
      <c r="F16" s="16" t="n">
        <v>338456</v>
      </c>
      <c r="G16" s="16" t="n">
        <v>338060</v>
      </c>
      <c r="H16" s="16" t="n">
        <v>337660</v>
      </c>
      <c r="I16" s="16" t="n">
        <v>337256</v>
      </c>
      <c r="J16" s="16" t="n">
        <v>336848</v>
      </c>
      <c r="K16" s="16" t="n">
        <v>336436</v>
      </c>
      <c r="L16" s="16" t="n">
        <v>336020</v>
      </c>
      <c r="M16" s="16" t="n">
        <v>335600</v>
      </c>
    </row>
    <row r="17" customFormat="false" ht="15" hidden="false" customHeight="true" outlineLevel="0" collapsed="false">
      <c r="A17" s="10" t="s">
        <v>170</v>
      </c>
      <c r="B17" s="16" t="n">
        <v>14000</v>
      </c>
      <c r="C17" s="16" t="n">
        <v>13700</v>
      </c>
      <c r="D17" s="16" t="n">
        <v>13400</v>
      </c>
      <c r="E17" s="16" t="n">
        <v>13100</v>
      </c>
      <c r="F17" s="16" t="n">
        <v>12800</v>
      </c>
      <c r="G17" s="16" t="n">
        <v>12500</v>
      </c>
      <c r="H17" s="16" t="n">
        <v>12200</v>
      </c>
      <c r="I17" s="16" t="n">
        <v>11900</v>
      </c>
      <c r="J17" s="16" t="n">
        <v>11600</v>
      </c>
      <c r="K17" s="16" t="n">
        <v>11300</v>
      </c>
      <c r="L17" s="16" t="n">
        <v>11000</v>
      </c>
      <c r="M17" s="16" t="n">
        <v>10700</v>
      </c>
    </row>
    <row r="18" customFormat="false" ht="15" hidden="false" customHeight="true" outlineLevel="0" collapsed="false">
      <c r="A18" s="10" t="s">
        <v>171</v>
      </c>
      <c r="B18" s="16" t="n">
        <v>26000</v>
      </c>
      <c r="C18" s="16" t="n">
        <v>25850</v>
      </c>
      <c r="D18" s="16" t="n">
        <v>25700</v>
      </c>
      <c r="E18" s="16" t="n">
        <v>25550</v>
      </c>
      <c r="F18" s="16" t="n">
        <v>25400</v>
      </c>
      <c r="G18" s="16" t="n">
        <v>25250</v>
      </c>
      <c r="H18" s="16" t="n">
        <v>25100</v>
      </c>
      <c r="I18" s="16" t="n">
        <v>24950</v>
      </c>
      <c r="J18" s="16" t="n">
        <v>24800</v>
      </c>
      <c r="K18" s="16" t="n">
        <v>24650</v>
      </c>
      <c r="L18" s="16" t="n">
        <v>24500</v>
      </c>
      <c r="M18" s="16" t="n">
        <v>24350</v>
      </c>
    </row>
    <row r="19" customFormat="false" ht="15" hidden="false" customHeight="true" outlineLevel="0" collapsed="false">
      <c r="A19" s="10" t="s">
        <v>172</v>
      </c>
      <c r="B19" s="16" t="n">
        <v>1200</v>
      </c>
      <c r="C19" s="16" t="n">
        <v>900</v>
      </c>
      <c r="D19" s="16" t="n">
        <v>1500</v>
      </c>
      <c r="E19" s="16" t="n">
        <v>1100</v>
      </c>
      <c r="F19" s="16" t="n">
        <v>800</v>
      </c>
      <c r="G19" s="16" t="n">
        <v>1300</v>
      </c>
      <c r="H19" s="16" t="n">
        <v>950</v>
      </c>
      <c r="I19" s="16" t="n">
        <v>1050</v>
      </c>
      <c r="J19" s="16" t="n">
        <v>700</v>
      </c>
      <c r="K19" s="16" t="n">
        <v>1150</v>
      </c>
      <c r="L19" s="16" t="n">
        <v>900</v>
      </c>
      <c r="M19" s="16" t="n">
        <v>600</v>
      </c>
    </row>
    <row r="20" customFormat="false" ht="15" hidden="false" customHeight="true" outlineLevel="0" collapsed="false">
      <c r="A20" s="10" t="s">
        <v>173</v>
      </c>
      <c r="B20" s="16" t="n">
        <v>500</v>
      </c>
      <c r="C20" s="16" t="n">
        <v>400</v>
      </c>
      <c r="D20" s="16" t="n">
        <v>300</v>
      </c>
      <c r="E20" s="16" t="n">
        <v>200</v>
      </c>
      <c r="F20" s="16" t="n">
        <v>100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</row>
    <row r="21" customFormat="false" ht="15" hidden="false" customHeight="true" outlineLevel="0" collapsed="false">
      <c r="A21" s="17" t="s">
        <v>174</v>
      </c>
      <c r="B21" s="18" t="n">
        <f aca="false">B16+B17+B18+B19+B20</f>
        <v>381700</v>
      </c>
      <c r="C21" s="18" t="n">
        <f aca="false">C16+C17+C18+C19+C20</f>
        <v>380470</v>
      </c>
      <c r="D21" s="18" t="n">
        <f aca="false">D16+D17+D18+D19+D20</f>
        <v>380136</v>
      </c>
      <c r="E21" s="18" t="n">
        <f aca="false">E16+E17+E18+E19+E20</f>
        <v>378798</v>
      </c>
      <c r="F21" s="18" t="n">
        <f aca="false">F16+F17+F18+F19+F20</f>
        <v>377556</v>
      </c>
      <c r="G21" s="18" t="n">
        <f aca="false">G16+G17+G18+G19+G20</f>
        <v>377110</v>
      </c>
      <c r="H21" s="18" t="n">
        <f aca="false">H16+H17+H18+H19+H20</f>
        <v>375910</v>
      </c>
      <c r="I21" s="18" t="n">
        <f aca="false">I16+I17+I18+I19+I20</f>
        <v>375156</v>
      </c>
      <c r="J21" s="18" t="n">
        <f aca="false">J16+J17+J18+J19+J20</f>
        <v>373948</v>
      </c>
      <c r="K21" s="18" t="n">
        <f aca="false">K16+K17+K18+K19+K20</f>
        <v>373536</v>
      </c>
      <c r="L21" s="18" t="n">
        <f aca="false">L16+L17+L18+L19+L20</f>
        <v>372420</v>
      </c>
      <c r="M21" s="18" t="n">
        <f aca="false">M16+M17+M18+M19+M20</f>
        <v>371250</v>
      </c>
    </row>
    <row r="23" customFormat="false" ht="15" hidden="false" customHeight="true" outlineLevel="0" collapsed="false">
      <c r="A23" s="17" t="s">
        <v>157</v>
      </c>
      <c r="B23" s="38" t="n">
        <f aca="false">B13-B21</f>
        <v>162800</v>
      </c>
      <c r="C23" s="38" t="n">
        <f aca="false">C13-C21</f>
        <v>165400</v>
      </c>
      <c r="D23" s="38" t="n">
        <f aca="false">D13-D21</f>
        <v>167414</v>
      </c>
      <c r="E23" s="38" t="n">
        <f aca="false">E13-E21</f>
        <v>169602</v>
      </c>
      <c r="F23" s="38" t="n">
        <f aca="false">F13-F21</f>
        <v>172844</v>
      </c>
      <c r="G23" s="38" t="n">
        <f aca="false">G13-G21</f>
        <v>174890</v>
      </c>
      <c r="H23" s="38" t="n">
        <f aca="false">H13-H21</f>
        <v>177740</v>
      </c>
      <c r="I23" s="38" t="n">
        <f aca="false">I13-I21</f>
        <v>179844</v>
      </c>
      <c r="J23" s="38" t="n">
        <f aca="false">J13-J21</f>
        <v>182752</v>
      </c>
      <c r="K23" s="38" t="n">
        <f aca="false">K13-K21</f>
        <v>185164</v>
      </c>
      <c r="L23" s="38" t="n">
        <f aca="false">L13-L21</f>
        <v>188330</v>
      </c>
      <c r="M23" s="38" t="n">
        <f aca="false">M13-M21</f>
        <v>191800</v>
      </c>
    </row>
    <row r="24" customFormat="false" ht="15" hidden="false" customHeight="true" outlineLevel="0" collapsed="false">
      <c r="A24" s="17" t="s">
        <v>175</v>
      </c>
      <c r="B24" s="21" t="str">
        <f aca="false">""</f>
        <v/>
      </c>
      <c r="C24" s="21" t="n">
        <f aca="false">C23-B23</f>
        <v>2600</v>
      </c>
      <c r="D24" s="21" t="n">
        <f aca="false">D23-C23</f>
        <v>2014</v>
      </c>
      <c r="E24" s="21" t="n">
        <f aca="false">E23-D23</f>
        <v>2188</v>
      </c>
      <c r="F24" s="21" t="n">
        <f aca="false">F23-E23</f>
        <v>3242</v>
      </c>
      <c r="G24" s="21" t="n">
        <f aca="false">G23-F23</f>
        <v>2046</v>
      </c>
      <c r="H24" s="21" t="n">
        <f aca="false">H23-G23</f>
        <v>2850</v>
      </c>
      <c r="I24" s="21" t="n">
        <f aca="false">I23-H23</f>
        <v>2104</v>
      </c>
      <c r="J24" s="21" t="n">
        <f aca="false">J23-I23</f>
        <v>2908</v>
      </c>
      <c r="K24" s="21" t="n">
        <f aca="false">K23-J23</f>
        <v>2412</v>
      </c>
      <c r="L24" s="21" t="n">
        <f aca="false">L23-K23</f>
        <v>3166</v>
      </c>
      <c r="M24" s="21" t="n">
        <f aca="false">M23-L23</f>
        <v>3470</v>
      </c>
    </row>
    <row r="26" customFormat="false" ht="15" hidden="false" customHeight="true" outlineLevel="0" collapsed="false">
      <c r="A26" s="22" t="s">
        <v>176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</row>
  </sheetData>
  <mergeCells count="5">
    <mergeCell ref="A1:M1"/>
    <mergeCell ref="A2:M2"/>
    <mergeCell ref="A5:M5"/>
    <mergeCell ref="A15:M15"/>
    <mergeCell ref="A26:M26"/>
  </mergeCells>
  <conditionalFormatting sqref="C24:M2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3"/>
    <col collapsed="false" customWidth="true" hidden="false" outlineLevel="0" max="3" min="3" style="1" width="12"/>
    <col collapsed="false" customWidth="true" hidden="false" outlineLevel="0" max="4" min="4" style="1" width="17"/>
    <col collapsed="false" customWidth="true" hidden="false" outlineLevel="0" max="6" min="5" style="1" width="14"/>
  </cols>
  <sheetData>
    <row r="1" customFormat="false" ht="21.75" hidden="false" customHeight="true" outlineLevel="0" collapsed="false">
      <c r="A1" s="2" t="s">
        <v>177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178</v>
      </c>
      <c r="B2" s="3"/>
      <c r="C2" s="3"/>
      <c r="D2" s="3"/>
      <c r="E2" s="3"/>
      <c r="F2" s="3"/>
    </row>
    <row r="4" customFormat="false" ht="15" hidden="false" customHeight="true" outlineLevel="0" collapsed="false">
      <c r="A4" s="13" t="s">
        <v>179</v>
      </c>
      <c r="B4" s="13"/>
      <c r="C4" s="13"/>
      <c r="D4" s="13"/>
      <c r="E4" s="13"/>
      <c r="F4" s="13"/>
    </row>
    <row r="5" customFormat="false" ht="27.75" hidden="false" customHeight="true" outlineLevel="0" collapsed="false">
      <c r="A5" s="14" t="s">
        <v>180</v>
      </c>
      <c r="B5" s="15" t="s">
        <v>181</v>
      </c>
      <c r="C5" s="15" t="s">
        <v>182</v>
      </c>
      <c r="D5" s="15" t="s">
        <v>183</v>
      </c>
      <c r="E5" s="15" t="s">
        <v>184</v>
      </c>
      <c r="F5" s="15" t="s">
        <v>185</v>
      </c>
    </row>
    <row r="6" customFormat="false" ht="15" hidden="false" customHeight="true" outlineLevel="0" collapsed="false">
      <c r="A6" s="8" t="s">
        <v>186</v>
      </c>
      <c r="B6" s="16" t="n">
        <v>4200</v>
      </c>
      <c r="C6" s="39" t="n">
        <v>0.2299</v>
      </c>
      <c r="D6" s="16" t="n">
        <v>130</v>
      </c>
      <c r="E6" s="25" t="n">
        <f aca="false">IF($B6="","",RANK($C6,$C$6:$C$11,0))</f>
        <v>1</v>
      </c>
      <c r="F6" s="25" t="n">
        <f aca="false">IF($B6="","",RANK($B6,$B$6:$B$11,1))</f>
        <v>3</v>
      </c>
    </row>
    <row r="7" customFormat="false" ht="15" hidden="false" customHeight="true" outlineLevel="0" collapsed="false">
      <c r="A7" s="8" t="s">
        <v>187</v>
      </c>
      <c r="B7" s="16" t="n">
        <v>1800</v>
      </c>
      <c r="C7" s="39" t="n">
        <v>0.1999</v>
      </c>
      <c r="D7" s="16" t="n">
        <v>60</v>
      </c>
      <c r="E7" s="25" t="n">
        <f aca="false">IF($B7="","",RANK($C7,$C$6:$C$11,0))</f>
        <v>2</v>
      </c>
      <c r="F7" s="25" t="n">
        <f aca="false">IF($B7="","",RANK($B7,$B$6:$B$11,1))</f>
        <v>1</v>
      </c>
    </row>
    <row r="8" customFormat="false" ht="15" hidden="false" customHeight="true" outlineLevel="0" collapsed="false">
      <c r="A8" s="8" t="s">
        <v>188</v>
      </c>
      <c r="B8" s="16" t="n">
        <v>14000</v>
      </c>
      <c r="C8" s="39" t="n">
        <v>0.065</v>
      </c>
      <c r="D8" s="16" t="n">
        <v>350</v>
      </c>
      <c r="E8" s="25" t="n">
        <f aca="false">IF($B8="","",RANK($C8,$C$6:$C$11,0))</f>
        <v>4</v>
      </c>
      <c r="F8" s="25" t="n">
        <f aca="false">IF($B8="","",RANK($B8,$B$6:$B$11,1))</f>
        <v>4</v>
      </c>
    </row>
    <row r="9" customFormat="false" ht="15" hidden="false" customHeight="true" outlineLevel="0" collapsed="false">
      <c r="A9" s="8" t="s">
        <v>189</v>
      </c>
      <c r="B9" s="16" t="n">
        <v>26000</v>
      </c>
      <c r="C9" s="39" t="n">
        <v>0.05</v>
      </c>
      <c r="D9" s="16" t="n">
        <v>220</v>
      </c>
      <c r="E9" s="25" t="n">
        <f aca="false">IF($B9="","",RANK($C9,$C$6:$C$11,0))</f>
        <v>5</v>
      </c>
      <c r="F9" s="25" t="n">
        <f aca="false">IF($B9="","",RANK($B9,$B$6:$B$11,1))</f>
        <v>5</v>
      </c>
    </row>
    <row r="10" customFormat="false" ht="15" hidden="false" customHeight="true" outlineLevel="0" collapsed="false">
      <c r="A10" s="8" t="s">
        <v>190</v>
      </c>
      <c r="B10" s="16" t="n">
        <v>3000</v>
      </c>
      <c r="C10" s="39" t="n">
        <v>0.105</v>
      </c>
      <c r="D10" s="16" t="n">
        <v>110</v>
      </c>
      <c r="E10" s="25" t="n">
        <f aca="false">IF($B10="","",RANK($C10,$C$6:$C$11,0))</f>
        <v>3</v>
      </c>
      <c r="F10" s="25" t="n">
        <f aca="false">IF($B10="","",RANK($B10,$B$6:$B$11,1))</f>
        <v>2</v>
      </c>
    </row>
    <row r="11" customFormat="false" ht="15" hidden="false" customHeight="true" outlineLevel="0" collapsed="false">
      <c r="A11" s="8"/>
      <c r="B11" s="16"/>
      <c r="C11" s="39"/>
      <c r="D11" s="16"/>
      <c r="E11" s="25" t="str">
        <f aca="false">IF($B11="","",RANK($C11,$C$6:$C$11,0))</f>
        <v/>
      </c>
      <c r="F11" s="25" t="str">
        <f aca="false">IF($B11="","",RANK($B11,$B$6:$B$11,1))</f>
        <v/>
      </c>
    </row>
    <row r="13" customFormat="false" ht="15" hidden="false" customHeight="true" outlineLevel="0" collapsed="false">
      <c r="A13" s="40" t="s">
        <v>191</v>
      </c>
      <c r="B13" s="40"/>
      <c r="C13" s="40"/>
      <c r="D13" s="16" t="n">
        <v>300</v>
      </c>
    </row>
    <row r="15" customFormat="false" ht="15" hidden="false" customHeight="true" outlineLevel="0" collapsed="false">
      <c r="A15" s="13" t="s">
        <v>192</v>
      </c>
      <c r="B15" s="13"/>
      <c r="C15" s="13"/>
      <c r="D15" s="13"/>
      <c r="E15" s="13"/>
      <c r="F15" s="13"/>
    </row>
    <row r="16" customFormat="false" ht="27.75" hidden="false" customHeight="true" outlineLevel="0" collapsed="false">
      <c r="A16" s="14" t="s">
        <v>180</v>
      </c>
      <c r="B16" s="15" t="s">
        <v>193</v>
      </c>
      <c r="C16" s="15" t="s">
        <v>194</v>
      </c>
      <c r="D16" s="15" t="s">
        <v>195</v>
      </c>
      <c r="E16" s="15" t="s">
        <v>196</v>
      </c>
      <c r="F16" s="15"/>
    </row>
    <row r="17" customFormat="false" ht="15" hidden="false" customHeight="true" outlineLevel="0" collapsed="false">
      <c r="A17" s="10" t="str">
        <f aca="false">IF($B6="","",$A6)</f>
        <v>Credit Card A</v>
      </c>
      <c r="B17" s="21" t="n">
        <f aca="false">IF($B6="","",$D6+IF(E6=1,$D$13,0))</f>
        <v>430</v>
      </c>
      <c r="C17" s="25" t="n">
        <f aca="false">IF($B6="","",IFERROR(ROUNDUP(NPER($C6/12,-B17,$B6),0),"check payment"))</f>
        <v>11</v>
      </c>
      <c r="D17" s="21" t="n">
        <f aca="false">IF($B6="","",IFERROR(ROUND(C17*B17-$B6,2),"check payment"))</f>
        <v>530</v>
      </c>
      <c r="E17" s="25" t="n">
        <f aca="false">IF($B6="","",IFERROR(INDEX('Payoff Schedule'!$B$18:$G$18,'Payoff Schedule'!$B$6),""))</f>
        <v>11</v>
      </c>
    </row>
    <row r="18" customFormat="false" ht="15" hidden="false" customHeight="true" outlineLevel="0" collapsed="false">
      <c r="A18" s="10" t="str">
        <f aca="false">IF($B7="","",$A7)</f>
        <v>Credit Card B</v>
      </c>
      <c r="B18" s="21" t="n">
        <f aca="false">IF($B7="","",$D7+IF(E7=1,$D$13,0))</f>
        <v>60</v>
      </c>
      <c r="C18" s="25" t="n">
        <f aca="false">IF($B7="","",IFERROR(ROUNDUP(NPER($C7/12,-B18,$B7),0),"check payment"))</f>
        <v>42</v>
      </c>
      <c r="D18" s="21" t="n">
        <f aca="false">IF($B7="","",IFERROR(ROUND(C18*B18-$B7,2),"check payment"))</f>
        <v>720</v>
      </c>
      <c r="E18" s="25" t="n">
        <f aca="false">IF($B7="","",IFERROR(INDEX('Payoff Schedule'!$B$18:$G$18,'Payoff Schedule'!$B$7),""))</f>
        <v>14</v>
      </c>
    </row>
    <row r="19" customFormat="false" ht="15" hidden="false" customHeight="true" outlineLevel="0" collapsed="false">
      <c r="A19" s="10" t="str">
        <f aca="false">IF($B8="","",$A8)</f>
        <v>Auto Loan</v>
      </c>
      <c r="B19" s="21" t="n">
        <f aca="false">IF($B8="","",$D8+IF(E8=1,$D$13,0))</f>
        <v>350</v>
      </c>
      <c r="C19" s="25" t="n">
        <f aca="false">IF($B8="","",IFERROR(ROUNDUP(NPER($C8/12,-B19,$B8),0),"check payment"))</f>
        <v>46</v>
      </c>
      <c r="D19" s="21" t="n">
        <f aca="false">IF($B8="","",IFERROR(ROUND(C19*B19-$B8,2),"check payment"))</f>
        <v>2100</v>
      </c>
      <c r="E19" s="25" t="n">
        <f aca="false">IF($B8="","",IFERROR(INDEX('Payoff Schedule'!$B$18:$G$18,'Payoff Schedule'!$B$8),""))</f>
        <v>27</v>
      </c>
    </row>
    <row r="20" customFormat="false" ht="15" hidden="false" customHeight="true" outlineLevel="0" collapsed="false">
      <c r="A20" s="10" t="str">
        <f aca="false">IF($B9="","",$A9)</f>
        <v>Student Loan</v>
      </c>
      <c r="B20" s="21" t="n">
        <f aca="false">IF($B9="","",$D9+IF(E9=1,$D$13,0))</f>
        <v>220</v>
      </c>
      <c r="C20" s="25" t="n">
        <f aca="false">IF($B9="","",IFERROR(ROUNDUP(NPER($C9/12,-B20,$B9),0),"check payment"))</f>
        <v>164</v>
      </c>
      <c r="D20" s="21" t="n">
        <f aca="false">IF($B9="","",IFERROR(ROUND(C20*B20-$B9,2),"check payment"))</f>
        <v>10080</v>
      </c>
      <c r="E20" s="25" t="n">
        <f aca="false">IF($B9="","",IFERROR(INDEX('Payoff Schedule'!$B$18:$G$18,'Payoff Schedule'!$B$9),""))</f>
        <v>48</v>
      </c>
    </row>
    <row r="21" customFormat="false" ht="15" hidden="false" customHeight="true" outlineLevel="0" collapsed="false">
      <c r="A21" s="10" t="str">
        <f aca="false">IF($B10="","",$A10)</f>
        <v>Personal Loan</v>
      </c>
      <c r="B21" s="21" t="n">
        <f aca="false">IF($B10="","",$D10+IF(E10=1,$D$13,0))</f>
        <v>110</v>
      </c>
      <c r="C21" s="25" t="n">
        <f aca="false">IF($B10="","",IFERROR(ROUNDUP(NPER($C10/12,-B21,$B10),0),"check payment"))</f>
        <v>32</v>
      </c>
      <c r="D21" s="21" t="n">
        <f aca="false">IF($B10="","",IFERROR(ROUND(C21*B21-$B10,2),"check payment"))</f>
        <v>520</v>
      </c>
      <c r="E21" s="25" t="n">
        <f aca="false">IF($B10="","",IFERROR(INDEX('Payoff Schedule'!$B$18:$G$18,'Payoff Schedule'!$B$10),""))</f>
        <v>17</v>
      </c>
    </row>
    <row r="22" customFormat="false" ht="15" hidden="false" customHeight="true" outlineLevel="0" collapsed="false">
      <c r="A22" s="10" t="str">
        <f aca="false">IF($B11="","",$A11)</f>
        <v/>
      </c>
      <c r="B22" s="21" t="str">
        <f aca="false">IF($B11="","",$D11+IF(E11=1,$D$13,0))</f>
        <v/>
      </c>
      <c r="C22" s="25" t="str">
        <f aca="false">IF($B11="","",IFERROR(ROUNDUP(NPER($C11/12,-B22,$B11),0),"check payment"))</f>
        <v/>
      </c>
      <c r="D22" s="21" t="str">
        <f aca="false">IF($B11="","",IFERROR(ROUND(C22*B22-$B11,2),"check payment"))</f>
        <v/>
      </c>
      <c r="E22" s="25" t="str">
        <f aca="false">IF($B11="","",IFERROR(INDEX('Payoff Schedule'!$B$18:$G$18,'Payoff Schedule'!$B$11),""))</f>
        <v/>
      </c>
    </row>
    <row r="23" customFormat="false" ht="15" hidden="false" customHeight="true" outlineLevel="0" collapsed="false">
      <c r="A23" s="17" t="s">
        <v>197</v>
      </c>
      <c r="C23" s="41" t="n">
        <f aca="false">MAX(C17:C22)</f>
        <v>164</v>
      </c>
      <c r="D23" s="18" t="n">
        <f aca="false">SUM(D17:D22)</f>
        <v>13950</v>
      </c>
    </row>
    <row r="25" customFormat="false" ht="15" hidden="false" customHeight="true" outlineLevel="0" collapsed="false">
      <c r="A25" s="13" t="s">
        <v>198</v>
      </c>
      <c r="B25" s="13"/>
      <c r="C25" s="13"/>
      <c r="D25" s="13"/>
      <c r="E25" s="13"/>
      <c r="F25" s="13"/>
    </row>
    <row r="26" customFormat="false" ht="27.75" hidden="false" customHeight="true" outlineLevel="0" collapsed="false">
      <c r="A26" s="14" t="s">
        <v>180</v>
      </c>
      <c r="B26" s="15" t="s">
        <v>193</v>
      </c>
      <c r="C26" s="15" t="s">
        <v>194</v>
      </c>
      <c r="D26" s="15" t="s">
        <v>195</v>
      </c>
      <c r="E26" s="15" t="s">
        <v>196</v>
      </c>
      <c r="F26" s="15"/>
    </row>
    <row r="27" customFormat="false" ht="15" hidden="false" customHeight="true" outlineLevel="0" collapsed="false">
      <c r="A27" s="10" t="str">
        <f aca="false">IF($B6="","",$A6)</f>
        <v>Credit Card A</v>
      </c>
      <c r="B27" s="21" t="n">
        <f aca="false">IF($B6="","",$D6+IF(F6=1,$D$13,0))</f>
        <v>130</v>
      </c>
      <c r="C27" s="25" t="n">
        <f aca="false">IF($B6="","",IFERROR(ROUNDUP(NPER($C6/12,-B27,$B6),0),"check payment"))</f>
        <v>51</v>
      </c>
      <c r="D27" s="21" t="n">
        <f aca="false">IF($B6="","",IFERROR(ROUND(C27*B27-$B6,2),"check payment"))</f>
        <v>2430</v>
      </c>
      <c r="E27" s="25" t="n">
        <f aca="false">IF($B6="","",IFERROR(INDEX('Payoff Schedule'!$Y$18:$AD$18,'Payoff Schedule'!$C$6),""))</f>
        <v>18</v>
      </c>
    </row>
    <row r="28" customFormat="false" ht="15" hidden="false" customHeight="true" outlineLevel="0" collapsed="false">
      <c r="A28" s="10" t="str">
        <f aca="false">IF($B7="","",$A7)</f>
        <v>Credit Card B</v>
      </c>
      <c r="B28" s="21" t="n">
        <f aca="false">IF($B7="","",$D7+IF(F7=1,$D$13,0))</f>
        <v>360</v>
      </c>
      <c r="C28" s="25" t="n">
        <f aca="false">IF($B7="","",IFERROR(ROUNDUP(NPER($C7/12,-B28,$B7),0),"check payment"))</f>
        <v>6</v>
      </c>
      <c r="D28" s="21" t="n">
        <f aca="false">IF($B7="","",IFERROR(ROUND(C28*B28-$B7,2),"check payment"))</f>
        <v>360</v>
      </c>
      <c r="E28" s="25" t="n">
        <f aca="false">IF($B7="","",IFERROR(INDEX('Payoff Schedule'!$Y$18:$AD$18,'Payoff Schedule'!$C$7),""))</f>
        <v>6</v>
      </c>
    </row>
    <row r="29" customFormat="false" ht="15" hidden="false" customHeight="true" outlineLevel="0" collapsed="false">
      <c r="A29" s="10" t="str">
        <f aca="false">IF($B8="","",$A8)</f>
        <v>Auto Loan</v>
      </c>
      <c r="B29" s="21" t="n">
        <f aca="false">IF($B8="","",$D8+IF(F8=1,$D$13,0))</f>
        <v>350</v>
      </c>
      <c r="C29" s="25" t="n">
        <f aca="false">IF($B8="","",IFERROR(ROUNDUP(NPER($C8/12,-B29,$B8),0),"check payment"))</f>
        <v>46</v>
      </c>
      <c r="D29" s="21" t="n">
        <f aca="false">IF($B8="","",IFERROR(ROUND(C29*B29-$B8,2),"check payment"))</f>
        <v>2100</v>
      </c>
      <c r="E29" s="25" t="n">
        <f aca="false">IF($B8="","",IFERROR(INDEX('Payoff Schedule'!$Y$18:$AD$18,'Payoff Schedule'!$C$8),""))</f>
        <v>28</v>
      </c>
    </row>
    <row r="30" customFormat="false" ht="15" hidden="false" customHeight="true" outlineLevel="0" collapsed="false">
      <c r="A30" s="10" t="str">
        <f aca="false">IF($B9="","",$A9)</f>
        <v>Student Loan</v>
      </c>
      <c r="B30" s="21" t="n">
        <f aca="false">IF($B9="","",$D9+IF(F9=1,$D$13,0))</f>
        <v>220</v>
      </c>
      <c r="C30" s="25" t="n">
        <f aca="false">IF($B9="","",IFERROR(ROUNDUP(NPER($C9/12,-B30,$B9),0),"check payment"))</f>
        <v>164</v>
      </c>
      <c r="D30" s="21" t="n">
        <f aca="false">IF($B9="","",IFERROR(ROUND(C30*B30-$B9,2),"check payment"))</f>
        <v>10080</v>
      </c>
      <c r="E30" s="25" t="n">
        <f aca="false">IF($B9="","",IFERROR(INDEX('Payoff Schedule'!$Y$18:$AD$18,'Payoff Schedule'!$C$9),""))</f>
        <v>48</v>
      </c>
    </row>
    <row r="31" customFormat="false" ht="15" hidden="false" customHeight="true" outlineLevel="0" collapsed="false">
      <c r="A31" s="10" t="str">
        <f aca="false">IF($B10="","",$A10)</f>
        <v>Personal Loan</v>
      </c>
      <c r="B31" s="21" t="n">
        <f aca="false">IF($B10="","",$D10+IF(F10=1,$D$13,0))</f>
        <v>110</v>
      </c>
      <c r="C31" s="25" t="n">
        <f aca="false">IF($B10="","",IFERROR(ROUNDUP(NPER($C10/12,-B31,$B10),0),"check payment"))</f>
        <v>32</v>
      </c>
      <c r="D31" s="21" t="n">
        <f aca="false">IF($B10="","",IFERROR(ROUND(C31*B31-$B10,2),"check payment"))</f>
        <v>520</v>
      </c>
      <c r="E31" s="25" t="n">
        <f aca="false">IF($B10="","",IFERROR(INDEX('Payoff Schedule'!$Y$18:$AD$18,'Payoff Schedule'!$C$10),""))</f>
        <v>11</v>
      </c>
    </row>
    <row r="32" customFormat="false" ht="15" hidden="false" customHeight="true" outlineLevel="0" collapsed="false">
      <c r="A32" s="10" t="str">
        <f aca="false">IF($B11="","",$A11)</f>
        <v/>
      </c>
      <c r="B32" s="21" t="str">
        <f aca="false">IF($B11="","",$D11+IF(F11=1,$D$13,0))</f>
        <v/>
      </c>
      <c r="C32" s="25" t="str">
        <f aca="false">IF($B11="","",IFERROR(ROUNDUP(NPER($C11/12,-B32,$B11),0),"check payment"))</f>
        <v/>
      </c>
      <c r="D32" s="21" t="str">
        <f aca="false">IF($B11="","",IFERROR(ROUND(C32*B32-$B11,2),"check payment"))</f>
        <v/>
      </c>
      <c r="E32" s="25" t="str">
        <f aca="false">IF($B11="","",IFERROR(INDEX('Payoff Schedule'!$Y$18:$AD$18,'Payoff Schedule'!$C$11),""))</f>
        <v/>
      </c>
    </row>
    <row r="33" customFormat="false" ht="15" hidden="false" customHeight="true" outlineLevel="0" collapsed="false">
      <c r="A33" s="17" t="s">
        <v>199</v>
      </c>
      <c r="C33" s="41" t="n">
        <f aca="false">MAX(C27:C32)</f>
        <v>164</v>
      </c>
      <c r="D33" s="18" t="n">
        <f aca="false">SUM(D27:D32)</f>
        <v>15490</v>
      </c>
    </row>
    <row r="35" customFormat="false" ht="15" hidden="false" customHeight="true" outlineLevel="0" collapsed="false">
      <c r="A35" s="42" t="s">
        <v>200</v>
      </c>
      <c r="B35" s="42"/>
      <c r="C35" s="42"/>
      <c r="D35" s="18" t="n">
        <f aca="false">D33-D23</f>
        <v>1540</v>
      </c>
    </row>
    <row r="37" customFormat="false" ht="25.5" hidden="false" customHeight="true" outlineLevel="0" collapsed="false">
      <c r="A37" s="22" t="s">
        <v>201</v>
      </c>
      <c r="B37" s="22"/>
      <c r="C37" s="22"/>
      <c r="D37" s="22"/>
      <c r="E37" s="22"/>
      <c r="F37" s="22"/>
    </row>
    <row r="38" customFormat="false" ht="25.5" hidden="false" customHeight="true" outlineLevel="0" collapsed="false">
      <c r="A38" s="22" t="s">
        <v>202</v>
      </c>
      <c r="B38" s="22"/>
      <c r="C38" s="22"/>
      <c r="D38" s="22"/>
      <c r="E38" s="22"/>
      <c r="F38" s="22"/>
    </row>
    <row r="40" customFormat="false" ht="15" hidden="false" customHeight="true" outlineLevel="0" collapsed="false">
      <c r="A40" s="13" t="s">
        <v>203</v>
      </c>
      <c r="B40" s="13"/>
      <c r="C40" s="13"/>
      <c r="D40" s="13"/>
      <c r="E40" s="13"/>
      <c r="F40" s="13"/>
    </row>
    <row r="41" customFormat="false" ht="15" hidden="false" customHeight="true" outlineLevel="0" collapsed="false">
      <c r="A41" s="14"/>
      <c r="B41" s="15" t="s">
        <v>204</v>
      </c>
      <c r="C41" s="15" t="s">
        <v>205</v>
      </c>
      <c r="D41" s="15" t="s">
        <v>206</v>
      </c>
    </row>
    <row r="42" customFormat="false" ht="15" hidden="false" customHeight="true" outlineLevel="0" collapsed="false">
      <c r="A42" s="10" t="s">
        <v>207</v>
      </c>
      <c r="B42" s="21" t="n">
        <f aca="false">'Payoff Schedule'!B20</f>
        <v>1170</v>
      </c>
      <c r="C42" s="21" t="n">
        <f aca="false">'Payoff Schedule'!Y20</f>
        <v>1170</v>
      </c>
    </row>
    <row r="43" customFormat="false" ht="15" hidden="false" customHeight="true" outlineLevel="0" collapsed="false">
      <c r="A43" s="10" t="s">
        <v>208</v>
      </c>
      <c r="B43" s="25" t="n">
        <f aca="false">'Payoff Schedule'!B21</f>
        <v>48</v>
      </c>
      <c r="C43" s="25" t="n">
        <f aca="false">'Payoff Schedule'!Y21</f>
        <v>48</v>
      </c>
      <c r="D43" s="41" t="n">
        <f aca="false">IFERROR(B43-C43,"")</f>
        <v>0</v>
      </c>
    </row>
    <row r="44" customFormat="false" ht="15" hidden="false" customHeight="true" outlineLevel="0" collapsed="false">
      <c r="A44" s="10" t="s">
        <v>209</v>
      </c>
      <c r="B44" s="21" t="n">
        <f aca="false">'Payoff Schedule'!B22</f>
        <v>6298.12</v>
      </c>
      <c r="C44" s="21" t="n">
        <f aca="false">'Payoff Schedule'!Y22</f>
        <v>6538.99</v>
      </c>
      <c r="D44" s="18" t="n">
        <f aca="false">IFERROR(B44-C44,"")</f>
        <v>-240.869999999995</v>
      </c>
    </row>
    <row r="45" customFormat="false" ht="15" hidden="false" customHeight="true" outlineLevel="0" collapsed="false">
      <c r="A45" s="10" t="s">
        <v>210</v>
      </c>
      <c r="B45" s="21" t="n">
        <f aca="false">'Payoff Schedule'!B23</f>
        <v>55298.12</v>
      </c>
      <c r="C45" s="21" t="n">
        <f aca="false">'Payoff Schedule'!Y23</f>
        <v>55538.99</v>
      </c>
      <c r="D45" s="18" t="n">
        <f aca="false">IFERROR(B45-C45,"")</f>
        <v>-240.869999999995</v>
      </c>
    </row>
    <row r="46" customFormat="false" ht="15" hidden="false" customHeight="true" outlineLevel="0" collapsed="false">
      <c r="A46" s="10" t="s">
        <v>211</v>
      </c>
      <c r="B46" s="21" t="n">
        <f aca="false">'Payoff Schedule'!B24</f>
        <v>0</v>
      </c>
      <c r="C46" s="21" t="n">
        <f aca="false">'Payoff Schedule'!Y24</f>
        <v>0</v>
      </c>
    </row>
  </sheetData>
  <mergeCells count="10">
    <mergeCell ref="A1:F1"/>
    <mergeCell ref="A2:F2"/>
    <mergeCell ref="A4:F4"/>
    <mergeCell ref="A13:C13"/>
    <mergeCell ref="A15:F15"/>
    <mergeCell ref="A25:F25"/>
    <mergeCell ref="A35:C35"/>
    <mergeCell ref="A37:F37"/>
    <mergeCell ref="A38:F38"/>
    <mergeCell ref="A40:F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Q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7" min="1" style="1" width="10"/>
  </cols>
  <sheetData>
    <row r="1" customFormat="false" ht="21.75" hidden="false" customHeight="true" outlineLevel="0" collapsed="false">
      <c r="A1" s="2" t="s">
        <v>212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true" outlineLevel="0" collapsed="false">
      <c r="A2" s="3" t="s">
        <v>213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44" customFormat="false" ht="15" hidden="false" customHeight="true" outlineLevel="0" collapsed="false">
      <c r="A44" s="26" t="s">
        <v>214</v>
      </c>
      <c r="B44" s="26" t="s">
        <v>215</v>
      </c>
    </row>
    <row r="45" customFormat="false" ht="15" hidden="false" customHeight="true" outlineLevel="0" collapsed="false">
      <c r="A45" s="10" t="s">
        <v>44</v>
      </c>
      <c r="B45" s="21" t="n">
        <f aca="false">'Monthly Budget'!O20</f>
        <v>6029</v>
      </c>
    </row>
    <row r="46" customFormat="false" ht="15" hidden="false" customHeight="true" outlineLevel="0" collapsed="false">
      <c r="A46" s="10" t="s">
        <v>48</v>
      </c>
      <c r="B46" s="21" t="n">
        <f aca="false">'Monthly Budget'!O34</f>
        <v>1293</v>
      </c>
    </row>
    <row r="47" customFormat="false" ht="15" hidden="false" customHeight="true" outlineLevel="0" collapsed="false">
      <c r="A47" s="10" t="s">
        <v>52</v>
      </c>
      <c r="B47" s="21" t="n">
        <f aca="false">'Monthly Budget'!O45</f>
        <v>1190</v>
      </c>
    </row>
    <row r="48" customFormat="false" ht="15" hidden="false" customHeight="true" outlineLevel="0" collapsed="false">
      <c r="A48" s="10" t="s">
        <v>55</v>
      </c>
      <c r="B48" s="21" t="n">
        <f aca="false">'Monthly Budget'!O59</f>
        <v>1305</v>
      </c>
    </row>
    <row r="49" customFormat="false" ht="15" hidden="false" customHeight="true" outlineLevel="0" collapsed="false">
      <c r="A49" s="10" t="s">
        <v>59</v>
      </c>
      <c r="B49" s="21" t="n">
        <f aca="false">'Monthly Budget'!O70</f>
        <v>1125</v>
      </c>
    </row>
    <row r="50" customFormat="false" ht="15" hidden="false" customHeight="true" outlineLevel="0" collapsed="false">
      <c r="A50" s="10" t="s">
        <v>62</v>
      </c>
      <c r="B50" s="21" t="n">
        <f aca="false">'Monthly Budget'!O84</f>
        <v>1500</v>
      </c>
    </row>
    <row r="51" customFormat="false" ht="15" hidden="false" customHeight="true" outlineLevel="0" collapsed="false">
      <c r="A51" s="10" t="s">
        <v>66</v>
      </c>
      <c r="B51" s="21" t="n">
        <f aca="false">'Monthly Budget'!O101</f>
        <v>308</v>
      </c>
    </row>
    <row r="52" customFormat="false" ht="15" hidden="false" customHeight="true" outlineLevel="0" collapsed="false">
      <c r="A52" s="10" t="s">
        <v>71</v>
      </c>
      <c r="B52" s="21" t="n">
        <f aca="false">'Monthly Budget'!O112</f>
        <v>155</v>
      </c>
    </row>
    <row r="54" customFormat="false" ht="15" hidden="false" customHeight="true" outlineLevel="0" collapsed="false">
      <c r="A54" s="12" t="s">
        <v>216</v>
      </c>
    </row>
  </sheetData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AS3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2" min="2" style="0" width="11.5"/>
    <col collapsed="false" customWidth="true" hidden="false" outlineLevel="0" max="23" min="23" style="0" width="3"/>
    <col collapsed="false" customWidth="true" hidden="false" outlineLevel="0" max="24" min="24" style="0" width="36"/>
    <col collapsed="false" customWidth="true" hidden="false" outlineLevel="0" max="45" min="25" style="0" width="11.5"/>
  </cols>
  <sheetData>
    <row r="1" customFormat="false" ht="21.75" hidden="false" customHeight="true" outlineLevel="0" collapsed="false">
      <c r="A1" s="2" t="s">
        <v>217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5" hidden="false" customHeight="false" outlineLevel="0" collapsed="false">
      <c r="A2" s="3" t="s">
        <v>218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4" customFormat="false" ht="15" hidden="false" customHeight="false" outlineLevel="0" collapsed="false">
      <c r="A4" s="13" t="s">
        <v>219</v>
      </c>
      <c r="B4" s="13"/>
      <c r="C4" s="13"/>
    </row>
    <row r="5" customFormat="false" ht="27.75" hidden="false" customHeight="true" outlineLevel="0" collapsed="false">
      <c r="A5" s="14" t="s">
        <v>59</v>
      </c>
      <c r="B5" s="15" t="s">
        <v>220</v>
      </c>
      <c r="C5" s="15" t="s">
        <v>221</v>
      </c>
    </row>
    <row r="6" customFormat="false" ht="15" hidden="false" customHeight="false" outlineLevel="0" collapsed="false">
      <c r="A6" s="10" t="str">
        <f aca="false">IF('Debt Payoff'!$B$6="","",'Debt Payoff'!$A$6)</f>
        <v>Credit Card A</v>
      </c>
      <c r="B6" s="25" t="n">
        <f aca="false">IFERROR(IF('Debt Payoff'!$B$6="","",RANK('Debt Payoff'!$C$6,'Debt Payoff'!$C$6:$C$11,0)+COUNTIF('Debt Payoff'!$C$6,'Debt Payoff'!$C$6)-1),"")</f>
        <v>1</v>
      </c>
      <c r="C6" s="25" t="n">
        <f aca="false">IFERROR(IF('Debt Payoff'!$B$6="","",RANK('Debt Payoff'!$B$6,'Debt Payoff'!$B$6:$B$11,1)+COUNTIF('Debt Payoff'!$B$6,'Debt Payoff'!$B$6)-1),"")</f>
        <v>3</v>
      </c>
    </row>
    <row r="7" customFormat="false" ht="15" hidden="false" customHeight="false" outlineLevel="0" collapsed="false">
      <c r="A7" s="10" t="str">
        <f aca="false">IF('Debt Payoff'!$B$7="","",'Debt Payoff'!$A$7)</f>
        <v>Credit Card B</v>
      </c>
      <c r="B7" s="25" t="n">
        <f aca="false">IFERROR(IF('Debt Payoff'!$B$7="","",RANK('Debt Payoff'!$C$7,'Debt Payoff'!$C$6:$C$11,0)+COUNTIF('Debt Payoff'!$C$6:$C$7,'Debt Payoff'!$C$7)-1),"")</f>
        <v>2</v>
      </c>
      <c r="C7" s="25" t="n">
        <f aca="false">IFERROR(IF('Debt Payoff'!$B$7="","",RANK('Debt Payoff'!$B$7,'Debt Payoff'!$B$6:$B$11,1)+COUNTIF('Debt Payoff'!$B$6:$B$7,'Debt Payoff'!$B$7)-1),"")</f>
        <v>1</v>
      </c>
    </row>
    <row r="8" customFormat="false" ht="15" hidden="false" customHeight="false" outlineLevel="0" collapsed="false">
      <c r="A8" s="10" t="str">
        <f aca="false">IF('Debt Payoff'!$B$8="","",'Debt Payoff'!$A$8)</f>
        <v>Auto Loan</v>
      </c>
      <c r="B8" s="25" t="n">
        <f aca="false">IFERROR(IF('Debt Payoff'!$B$8="","",RANK('Debt Payoff'!$C$8,'Debt Payoff'!$C$6:$C$11,0)+COUNTIF('Debt Payoff'!$C$6:$C$8,'Debt Payoff'!$C$8)-1),"")</f>
        <v>4</v>
      </c>
      <c r="C8" s="25" t="n">
        <f aca="false">IFERROR(IF('Debt Payoff'!$B$8="","",RANK('Debt Payoff'!$B$8,'Debt Payoff'!$B$6:$B$11,1)+COUNTIF('Debt Payoff'!$B$6:$B$8,'Debt Payoff'!$B$8)-1),"")</f>
        <v>4</v>
      </c>
    </row>
    <row r="9" customFormat="false" ht="15" hidden="false" customHeight="false" outlineLevel="0" collapsed="false">
      <c r="A9" s="10" t="str">
        <f aca="false">IF('Debt Payoff'!$B$9="","",'Debt Payoff'!$A$9)</f>
        <v>Student Loan</v>
      </c>
      <c r="B9" s="25" t="n">
        <f aca="false">IFERROR(IF('Debt Payoff'!$B$9="","",RANK('Debt Payoff'!$C$9,'Debt Payoff'!$C$6:$C$11,0)+COUNTIF('Debt Payoff'!$C$6:$C$9,'Debt Payoff'!$C$9)-1),"")</f>
        <v>5</v>
      </c>
      <c r="C9" s="25" t="n">
        <f aca="false">IFERROR(IF('Debt Payoff'!$B$9="","",RANK('Debt Payoff'!$B$9,'Debt Payoff'!$B$6:$B$11,1)+COUNTIF('Debt Payoff'!$B$6:$B$9,'Debt Payoff'!$B$9)-1),"")</f>
        <v>5</v>
      </c>
    </row>
    <row r="10" customFormat="false" ht="15" hidden="false" customHeight="false" outlineLevel="0" collapsed="false">
      <c r="A10" s="10" t="str">
        <f aca="false">IF('Debt Payoff'!$B$10="","",'Debt Payoff'!$A$10)</f>
        <v>Personal Loan</v>
      </c>
      <c r="B10" s="25" t="n">
        <f aca="false">IFERROR(IF('Debt Payoff'!$B$10="","",RANK('Debt Payoff'!$C$10,'Debt Payoff'!$C$6:$C$11,0)+COUNTIF('Debt Payoff'!$C$6:$C$10,'Debt Payoff'!$C$10)-1),"")</f>
        <v>3</v>
      </c>
      <c r="C10" s="25" t="n">
        <f aca="false">IFERROR(IF('Debt Payoff'!$B$10="","",RANK('Debt Payoff'!$B$10,'Debt Payoff'!$B$6:$B$11,1)+COUNTIF('Debt Payoff'!$B$6:$B$10,'Debt Payoff'!$B$10)-1),"")</f>
        <v>2</v>
      </c>
    </row>
    <row r="11" customFormat="false" ht="15" hidden="false" customHeight="false" outlineLevel="0" collapsed="false">
      <c r="A11" s="10" t="str">
        <f aca="false">IF('Debt Payoff'!$B$11="","",'Debt Payoff'!$A$11)</f>
        <v/>
      </c>
      <c r="B11" s="25" t="str">
        <f aca="false">IFERROR(IF('Debt Payoff'!$B$11="","",RANK('Debt Payoff'!$C$11,'Debt Payoff'!$C$6:$C$11,0)+COUNTIF('Debt Payoff'!$C$6:$C$11,'Debt Payoff'!$C$11)-1),"")</f>
        <v/>
      </c>
      <c r="C11" s="25" t="str">
        <f aca="false">IFERROR(IF('Debt Payoff'!$B$11="","",RANK('Debt Payoff'!$B$11,'Debt Payoff'!$B$6:$B$11,1)+COUNTIF('Debt Payoff'!$B$6:$B$11,'Debt Payoff'!$B$11)-1),"")</f>
        <v/>
      </c>
    </row>
    <row r="13" customFormat="false" ht="15" hidden="false" customHeight="false" outlineLevel="0" collapsed="false">
      <c r="A13" s="13" t="s">
        <v>222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X13" s="13" t="s">
        <v>223</v>
      </c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</row>
    <row r="14" customFormat="false" ht="15" hidden="false" customHeight="false" outlineLevel="0" collapsed="false">
      <c r="A14" s="17" t="s">
        <v>224</v>
      </c>
      <c r="B14" s="25" t="str">
        <f aca="false">IFERROR(INDEX('Debt Payoff'!$A$6:$A$11,MATCH(1,$B$6:$B$11,0)),"")</f>
        <v>Credit Card A</v>
      </c>
      <c r="C14" s="25" t="str">
        <f aca="false">IFERROR(INDEX('Debt Payoff'!$A$6:$A$11,MATCH(2,$B$6:$B$11,0)),"")</f>
        <v>Credit Card B</v>
      </c>
      <c r="D14" s="25" t="str">
        <f aca="false">IFERROR(INDEX('Debt Payoff'!$A$6:$A$11,MATCH(3,$B$6:$B$11,0)),"")</f>
        <v>Personal Loan</v>
      </c>
      <c r="E14" s="25" t="str">
        <f aca="false">IFERROR(INDEX('Debt Payoff'!$A$6:$A$11,MATCH(4,$B$6:$B$11,0)),"")</f>
        <v>Auto Loan</v>
      </c>
      <c r="F14" s="25" t="str">
        <f aca="false">IFERROR(INDEX('Debt Payoff'!$A$6:$A$11,MATCH(5,$B$6:$B$11,0)),"")</f>
        <v>Student Loan</v>
      </c>
      <c r="G14" s="25" t="str">
        <f aca="false">IFERROR(INDEX('Debt Payoff'!$A$6:$A$11,MATCH(6,$B$6:$B$11,0)),"")</f>
        <v/>
      </c>
      <c r="X14" s="17" t="s">
        <v>224</v>
      </c>
      <c r="Y14" s="25" t="str">
        <f aca="false">IFERROR(INDEX('Debt Payoff'!$A$6:$A$11,MATCH(1,$C$6:$C$11,0)),"")</f>
        <v>Credit Card B</v>
      </c>
      <c r="Z14" s="25" t="str">
        <f aca="false">IFERROR(INDEX('Debt Payoff'!$A$6:$A$11,MATCH(2,$C$6:$C$11,0)),"")</f>
        <v>Personal Loan</v>
      </c>
      <c r="AA14" s="25" t="str">
        <f aca="false">IFERROR(INDEX('Debt Payoff'!$A$6:$A$11,MATCH(3,$C$6:$C$11,0)),"")</f>
        <v>Credit Card A</v>
      </c>
      <c r="AB14" s="25" t="str">
        <f aca="false">IFERROR(INDEX('Debt Payoff'!$A$6:$A$11,MATCH(4,$C$6:$C$11,0)),"")</f>
        <v>Auto Loan</v>
      </c>
      <c r="AC14" s="25" t="str">
        <f aca="false">IFERROR(INDEX('Debt Payoff'!$A$6:$A$11,MATCH(5,$C$6:$C$11,0)),"")</f>
        <v>Student Loan</v>
      </c>
      <c r="AD14" s="25" t="str">
        <f aca="false">IFERROR(INDEX('Debt Payoff'!$A$6:$A$11,MATCH(6,$C$6:$C$11,0)),"")</f>
        <v/>
      </c>
    </row>
    <row r="15" customFormat="false" ht="15" hidden="false" customHeight="false" outlineLevel="0" collapsed="false">
      <c r="A15" s="17" t="s">
        <v>225</v>
      </c>
      <c r="B15" s="43" t="n">
        <f aca="false">IFERROR(INDEX('Debt Payoff'!$C$6:$C$11,MATCH(1,$B$6:$B$11,0))/12,0)</f>
        <v>0.0191583333333333</v>
      </c>
      <c r="C15" s="43" t="n">
        <f aca="false">IFERROR(INDEX('Debt Payoff'!$C$6:$C$11,MATCH(2,$B$6:$B$11,0))/12,0)</f>
        <v>0.0166583333333333</v>
      </c>
      <c r="D15" s="43" t="n">
        <f aca="false">IFERROR(INDEX('Debt Payoff'!$C$6:$C$11,MATCH(3,$B$6:$B$11,0))/12,0)</f>
        <v>0.00875</v>
      </c>
      <c r="E15" s="43" t="n">
        <f aca="false">IFERROR(INDEX('Debt Payoff'!$C$6:$C$11,MATCH(4,$B$6:$B$11,0))/12,0)</f>
        <v>0.00541666666666667</v>
      </c>
      <c r="F15" s="43" t="n">
        <f aca="false">IFERROR(INDEX('Debt Payoff'!$C$6:$C$11,MATCH(5,$B$6:$B$11,0))/12,0)</f>
        <v>0.00416666666666667</v>
      </c>
      <c r="G15" s="43" t="n">
        <f aca="false">IFERROR(INDEX('Debt Payoff'!$C$6:$C$11,MATCH(6,$B$6:$B$11,0))/12,0)</f>
        <v>0</v>
      </c>
      <c r="X15" s="17" t="s">
        <v>225</v>
      </c>
      <c r="Y15" s="43" t="n">
        <f aca="false">IFERROR(INDEX('Debt Payoff'!$C$6:$C$11,MATCH(1,$C$6:$C$11,0))/12,0)</f>
        <v>0.0166583333333333</v>
      </c>
      <c r="Z15" s="43" t="n">
        <f aca="false">IFERROR(INDEX('Debt Payoff'!$C$6:$C$11,MATCH(2,$C$6:$C$11,0))/12,0)</f>
        <v>0.00875</v>
      </c>
      <c r="AA15" s="43" t="n">
        <f aca="false">IFERROR(INDEX('Debt Payoff'!$C$6:$C$11,MATCH(3,$C$6:$C$11,0))/12,0)</f>
        <v>0.0191583333333333</v>
      </c>
      <c r="AB15" s="43" t="n">
        <f aca="false">IFERROR(INDEX('Debt Payoff'!$C$6:$C$11,MATCH(4,$C$6:$C$11,0))/12,0)</f>
        <v>0.00541666666666667</v>
      </c>
      <c r="AC15" s="43" t="n">
        <f aca="false">IFERROR(INDEX('Debt Payoff'!$C$6:$C$11,MATCH(5,$C$6:$C$11,0))/12,0)</f>
        <v>0.00416666666666667</v>
      </c>
      <c r="AD15" s="43" t="n">
        <f aca="false">IFERROR(INDEX('Debt Payoff'!$C$6:$C$11,MATCH(6,$C$6:$C$11,0))/12,0)</f>
        <v>0</v>
      </c>
    </row>
    <row r="16" customFormat="false" ht="15" hidden="false" customHeight="false" outlineLevel="0" collapsed="false">
      <c r="A16" s="17" t="s">
        <v>226</v>
      </c>
      <c r="B16" s="21" t="n">
        <f aca="false">IFERROR(INDEX('Debt Payoff'!$D$6:$D$11,MATCH(1,$B$6:$B$11,0)),0)</f>
        <v>130</v>
      </c>
      <c r="C16" s="21" t="n">
        <f aca="false">IFERROR(INDEX('Debt Payoff'!$D$6:$D$11,MATCH(2,$B$6:$B$11,0)),0)</f>
        <v>60</v>
      </c>
      <c r="D16" s="21" t="n">
        <f aca="false">IFERROR(INDEX('Debt Payoff'!$D$6:$D$11,MATCH(3,$B$6:$B$11,0)),0)</f>
        <v>110</v>
      </c>
      <c r="E16" s="21" t="n">
        <f aca="false">IFERROR(INDEX('Debt Payoff'!$D$6:$D$11,MATCH(4,$B$6:$B$11,0)),0)</f>
        <v>350</v>
      </c>
      <c r="F16" s="21" t="n">
        <f aca="false">IFERROR(INDEX('Debt Payoff'!$D$6:$D$11,MATCH(5,$B$6:$B$11,0)),0)</f>
        <v>220</v>
      </c>
      <c r="G16" s="21" t="n">
        <f aca="false">IFERROR(INDEX('Debt Payoff'!$D$6:$D$11,MATCH(6,$B$6:$B$11,0)),0)</f>
        <v>0</v>
      </c>
      <c r="X16" s="17" t="s">
        <v>226</v>
      </c>
      <c r="Y16" s="21" t="n">
        <f aca="false">IFERROR(INDEX('Debt Payoff'!$D$6:$D$11,MATCH(1,$C$6:$C$11,0)),0)</f>
        <v>60</v>
      </c>
      <c r="Z16" s="21" t="n">
        <f aca="false">IFERROR(INDEX('Debt Payoff'!$D$6:$D$11,MATCH(2,$C$6:$C$11,0)),0)</f>
        <v>110</v>
      </c>
      <c r="AA16" s="21" t="n">
        <f aca="false">IFERROR(INDEX('Debt Payoff'!$D$6:$D$11,MATCH(3,$C$6:$C$11,0)),0)</f>
        <v>130</v>
      </c>
      <c r="AB16" s="21" t="n">
        <f aca="false">IFERROR(INDEX('Debt Payoff'!$D$6:$D$11,MATCH(4,$C$6:$C$11,0)),0)</f>
        <v>350</v>
      </c>
      <c r="AC16" s="21" t="n">
        <f aca="false">IFERROR(INDEX('Debt Payoff'!$D$6:$D$11,MATCH(5,$C$6:$C$11,0)),0)</f>
        <v>220</v>
      </c>
      <c r="AD16" s="21" t="n">
        <f aca="false">IFERROR(INDEX('Debt Payoff'!$D$6:$D$11,MATCH(6,$C$6:$C$11,0)),0)</f>
        <v>0</v>
      </c>
    </row>
    <row r="17" customFormat="false" ht="15" hidden="false" customHeight="false" outlineLevel="0" collapsed="false">
      <c r="A17" s="17" t="s">
        <v>227</v>
      </c>
      <c r="B17" s="21" t="n">
        <f aca="false">IFERROR(INDEX('Debt Payoff'!$B$6:$B$11,MATCH(1,$B$6:$B$11,0)),0)</f>
        <v>4200</v>
      </c>
      <c r="C17" s="21" t="n">
        <f aca="false">IFERROR(INDEX('Debt Payoff'!$B$6:$B$11,MATCH(2,$B$6:$B$11,0)),0)</f>
        <v>1800</v>
      </c>
      <c r="D17" s="21" t="n">
        <f aca="false">IFERROR(INDEX('Debt Payoff'!$B$6:$B$11,MATCH(3,$B$6:$B$11,0)),0)</f>
        <v>3000</v>
      </c>
      <c r="E17" s="21" t="n">
        <f aca="false">IFERROR(INDEX('Debt Payoff'!$B$6:$B$11,MATCH(4,$B$6:$B$11,0)),0)</f>
        <v>14000</v>
      </c>
      <c r="F17" s="21" t="n">
        <f aca="false">IFERROR(INDEX('Debt Payoff'!$B$6:$B$11,MATCH(5,$B$6:$B$11,0)),0)</f>
        <v>26000</v>
      </c>
      <c r="G17" s="21" t="n">
        <f aca="false">IFERROR(INDEX('Debt Payoff'!$B$6:$B$11,MATCH(6,$B$6:$B$11,0)),0)</f>
        <v>0</v>
      </c>
      <c r="X17" s="17" t="s">
        <v>227</v>
      </c>
      <c r="Y17" s="21" t="n">
        <f aca="false">IFERROR(INDEX('Debt Payoff'!$B$6:$B$11,MATCH(1,$C$6:$C$11,0)),0)</f>
        <v>1800</v>
      </c>
      <c r="Z17" s="21" t="n">
        <f aca="false">IFERROR(INDEX('Debt Payoff'!$B$6:$B$11,MATCH(2,$C$6:$C$11,0)),0)</f>
        <v>3000</v>
      </c>
      <c r="AA17" s="21" t="n">
        <f aca="false">IFERROR(INDEX('Debt Payoff'!$B$6:$B$11,MATCH(3,$C$6:$C$11,0)),0)</f>
        <v>4200</v>
      </c>
      <c r="AB17" s="21" t="n">
        <f aca="false">IFERROR(INDEX('Debt Payoff'!$B$6:$B$11,MATCH(4,$C$6:$C$11,0)),0)</f>
        <v>14000</v>
      </c>
      <c r="AC17" s="21" t="n">
        <f aca="false">IFERROR(INDEX('Debt Payoff'!$B$6:$B$11,MATCH(5,$C$6:$C$11,0)),0)</f>
        <v>26000</v>
      </c>
      <c r="AD17" s="21" t="n">
        <f aca="false">IFERROR(INDEX('Debt Payoff'!$B$6:$B$11,MATCH(6,$C$6:$C$11,0)),0)</f>
        <v>0</v>
      </c>
    </row>
    <row r="18" customFormat="false" ht="15" hidden="false" customHeight="false" outlineLevel="0" collapsed="false">
      <c r="A18" s="17" t="s">
        <v>228</v>
      </c>
      <c r="B18" s="25" t="n">
        <f aca="false">IF(B14="","",IF(ROUND(B386*(1+B$15),2)-O386&gt;0,"360+",COUNTIF(B27:B386,"&gt;0")))</f>
        <v>11</v>
      </c>
      <c r="C18" s="25" t="n">
        <f aca="false">IF(C14="","",IF(ROUND(C386*(1+C$15),2)-P386&gt;0,"360+",COUNTIF(C27:C386,"&gt;0")))</f>
        <v>14</v>
      </c>
      <c r="D18" s="25" t="n">
        <f aca="false">IF(D14="","",IF(ROUND(D386*(1+D$15),2)-Q386&gt;0,"360+",COUNTIF(D27:D386,"&gt;0")))</f>
        <v>17</v>
      </c>
      <c r="E18" s="25" t="n">
        <f aca="false">IF(E14="","",IF(ROUND(E386*(1+E$15),2)-R386&gt;0,"360+",COUNTIF(E27:E386,"&gt;0")))</f>
        <v>27</v>
      </c>
      <c r="F18" s="25" t="n">
        <f aca="false">IF(F14="","",IF(ROUND(F386*(1+F$15),2)-S386&gt;0,"360+",COUNTIF(F27:F386,"&gt;0")))</f>
        <v>48</v>
      </c>
      <c r="G18" s="25" t="str">
        <f aca="false">IF(G14="","",IF(ROUND(G386*(1+G$15),2)-T386&gt;0,"360+",COUNTIF(G27:G386,"&gt;0")))</f>
        <v/>
      </c>
      <c r="X18" s="17" t="s">
        <v>228</v>
      </c>
      <c r="Y18" s="25" t="n">
        <f aca="false">IF(Y14="","",IF(ROUND(Y386*(1+Y$15),2)-AL386&gt;0,"360+",COUNTIF(Y27:Y386,"&gt;0")))</f>
        <v>6</v>
      </c>
      <c r="Z18" s="25" t="n">
        <f aca="false">IF(Z14="","",IF(ROUND(Z386*(1+Z$15),2)-AM386&gt;0,"360+",COUNTIF(Z27:Z386,"&gt;0")))</f>
        <v>11</v>
      </c>
      <c r="AA18" s="25" t="n">
        <f aca="false">IF(AA14="","",IF(ROUND(AA386*(1+AA$15),2)-AN386&gt;0,"360+",COUNTIF(AA27:AA386,"&gt;0")))</f>
        <v>18</v>
      </c>
      <c r="AB18" s="25" t="n">
        <f aca="false">IF(AB14="","",IF(ROUND(AB386*(1+AB$15),2)-AO386&gt;0,"360+",COUNTIF(AB27:AB386,"&gt;0")))</f>
        <v>28</v>
      </c>
      <c r="AC18" s="25" t="n">
        <f aca="false">IF(AC14="","",IF(ROUND(AC386*(1+AC$15),2)-AP386&gt;0,"360+",COUNTIF(AC27:AC386,"&gt;0")))</f>
        <v>48</v>
      </c>
      <c r="AD18" s="25" t="str">
        <f aca="false">IF(AD14="","",IF(ROUND(AD386*(1+AD$15),2)-AQ386&gt;0,"360+",COUNTIF(AD27:AD386,"&gt;0")))</f>
        <v/>
      </c>
    </row>
    <row r="20" customFormat="false" ht="15" hidden="false" customHeight="false" outlineLevel="0" collapsed="false">
      <c r="A20" s="17" t="s">
        <v>229</v>
      </c>
      <c r="B20" s="18" t="n">
        <f aca="false">SUM(B16:G16)+'Debt Payoff'!$D$13</f>
        <v>1170</v>
      </c>
      <c r="X20" s="17" t="s">
        <v>229</v>
      </c>
      <c r="Y20" s="18" t="n">
        <f aca="false">SUM(Y16:AD16)+'Debt Payoff'!$D$13</f>
        <v>1170</v>
      </c>
    </row>
    <row r="21" customFormat="false" ht="15" hidden="false" customHeight="false" outlineLevel="0" collapsed="false">
      <c r="A21" s="17" t="s">
        <v>208</v>
      </c>
      <c r="B21" s="41" t="n">
        <f aca="false">IF(B24&gt;0,"360+",COUNTIF(U27:U386,"&gt;0"))</f>
        <v>48</v>
      </c>
      <c r="X21" s="17" t="s">
        <v>208</v>
      </c>
      <c r="Y21" s="41" t="n">
        <f aca="false">IF(Y24&gt;0,"360+",COUNTIF(AR27:AR386,"&gt;0"))</f>
        <v>48</v>
      </c>
    </row>
    <row r="22" customFormat="false" ht="15" hidden="false" customHeight="false" outlineLevel="0" collapsed="false">
      <c r="A22" s="17" t="s">
        <v>209</v>
      </c>
      <c r="B22" s="18" t="n">
        <f aca="false">SUM(O27:T386)-(SUM(B17:G17)-B24)</f>
        <v>6298.12</v>
      </c>
      <c r="X22" s="17" t="s">
        <v>209</v>
      </c>
      <c r="Y22" s="18" t="n">
        <f aca="false">SUM(AL27:AQ386)-(SUM(Y17:AD17)-Y24)</f>
        <v>6538.99</v>
      </c>
    </row>
    <row r="23" customFormat="false" ht="15" hidden="false" customHeight="false" outlineLevel="0" collapsed="false">
      <c r="A23" s="17" t="s">
        <v>210</v>
      </c>
      <c r="B23" s="18" t="n">
        <f aca="false">SUM(O27:T386)</f>
        <v>55298.12</v>
      </c>
      <c r="X23" s="17" t="s">
        <v>210</v>
      </c>
      <c r="Y23" s="18" t="n">
        <f aca="false">SUM(AL27:AQ386)</f>
        <v>55538.99</v>
      </c>
    </row>
    <row r="24" customFormat="false" ht="15" hidden="false" customHeight="false" outlineLevel="0" collapsed="false">
      <c r="A24" s="17" t="s">
        <v>230</v>
      </c>
      <c r="B24" s="18" t="n">
        <f aca="false">(ROUND(B386*(1+B$15),2)-O386)+(ROUND(C386*(1+C$15),2)-P386)+(ROUND(D386*(1+D$15),2)-Q386)+(ROUND(E386*(1+E$15),2)-R386)+(ROUND(F386*(1+F$15),2)-S386)+(ROUND(G386*(1+G$15),2)-T386)</f>
        <v>0</v>
      </c>
      <c r="X24" s="17" t="s">
        <v>230</v>
      </c>
      <c r="Y24" s="18" t="n">
        <f aca="false">(ROUND(Y386*(1+Y$15),2)-AL386)+(ROUND(Z386*(1+Z$15),2)-AM386)+(ROUND(AA386*(1+AA$15),2)-AN386)+(ROUND(AB386*(1+AB$15),2)-AO386)+(ROUND(AC386*(1+AC$15),2)-AP386)+(ROUND(AD386*(1+AD$15),2)-AQ386)</f>
        <v>0</v>
      </c>
    </row>
    <row r="26" customFormat="false" ht="27.75" hidden="false" customHeight="true" outlineLevel="0" collapsed="false">
      <c r="A26" s="15" t="s">
        <v>231</v>
      </c>
      <c r="B26" s="15" t="s">
        <v>232</v>
      </c>
      <c r="C26" s="15" t="s">
        <v>233</v>
      </c>
      <c r="D26" s="15" t="s">
        <v>234</v>
      </c>
      <c r="E26" s="15" t="s">
        <v>235</v>
      </c>
      <c r="F26" s="15" t="s">
        <v>236</v>
      </c>
      <c r="G26" s="15" t="s">
        <v>237</v>
      </c>
      <c r="H26" s="15" t="s">
        <v>238</v>
      </c>
      <c r="I26" s="15" t="s">
        <v>239</v>
      </c>
      <c r="J26" s="15" t="s">
        <v>240</v>
      </c>
      <c r="K26" s="15" t="s">
        <v>241</v>
      </c>
      <c r="L26" s="15" t="s">
        <v>242</v>
      </c>
      <c r="M26" s="15" t="s">
        <v>243</v>
      </c>
      <c r="N26" s="15" t="s">
        <v>244</v>
      </c>
      <c r="O26" s="15" t="s">
        <v>245</v>
      </c>
      <c r="P26" s="15" t="s">
        <v>246</v>
      </c>
      <c r="Q26" s="15" t="s">
        <v>247</v>
      </c>
      <c r="R26" s="15" t="s">
        <v>248</v>
      </c>
      <c r="S26" s="15" t="s">
        <v>249</v>
      </c>
      <c r="T26" s="15" t="s">
        <v>250</v>
      </c>
      <c r="U26" s="15" t="s">
        <v>251</v>
      </c>
      <c r="V26" s="15" t="s">
        <v>210</v>
      </c>
      <c r="X26" s="15" t="s">
        <v>231</v>
      </c>
      <c r="Y26" s="15" t="s">
        <v>232</v>
      </c>
      <c r="Z26" s="15" t="s">
        <v>233</v>
      </c>
      <c r="AA26" s="15" t="s">
        <v>234</v>
      </c>
      <c r="AB26" s="15" t="s">
        <v>235</v>
      </c>
      <c r="AC26" s="15" t="s">
        <v>236</v>
      </c>
      <c r="AD26" s="15" t="s">
        <v>237</v>
      </c>
      <c r="AE26" s="15" t="s">
        <v>238</v>
      </c>
      <c r="AF26" s="15" t="s">
        <v>239</v>
      </c>
      <c r="AG26" s="15" t="s">
        <v>240</v>
      </c>
      <c r="AH26" s="15" t="s">
        <v>241</v>
      </c>
      <c r="AI26" s="15" t="s">
        <v>242</v>
      </c>
      <c r="AJ26" s="15" t="s">
        <v>243</v>
      </c>
      <c r="AK26" s="15" t="s">
        <v>244</v>
      </c>
      <c r="AL26" s="15" t="s">
        <v>245</v>
      </c>
      <c r="AM26" s="15" t="s">
        <v>246</v>
      </c>
      <c r="AN26" s="15" t="s">
        <v>247</v>
      </c>
      <c r="AO26" s="15" t="s">
        <v>248</v>
      </c>
      <c r="AP26" s="15" t="s">
        <v>249</v>
      </c>
      <c r="AQ26" s="15" t="s">
        <v>250</v>
      </c>
      <c r="AR26" s="15" t="s">
        <v>251</v>
      </c>
      <c r="AS26" s="15" t="s">
        <v>210</v>
      </c>
    </row>
    <row r="27" customFormat="false" ht="15" hidden="false" customHeight="false" outlineLevel="0" collapsed="false">
      <c r="A27" s="25" t="n">
        <v>1</v>
      </c>
      <c r="B27" s="21" t="n">
        <f aca="false">B$17</f>
        <v>4200</v>
      </c>
      <c r="C27" s="21" t="n">
        <f aca="false">C$17</f>
        <v>1800</v>
      </c>
      <c r="D27" s="21" t="n">
        <f aca="false">D$17</f>
        <v>3000</v>
      </c>
      <c r="E27" s="21" t="n">
        <f aca="false">E$17</f>
        <v>14000</v>
      </c>
      <c r="F27" s="21" t="n">
        <f aca="false">F$17</f>
        <v>26000</v>
      </c>
      <c r="G27" s="21" t="n">
        <f aca="false">G$17</f>
        <v>0</v>
      </c>
      <c r="H27" s="21" t="n">
        <f aca="false">MIN(B$16,ROUND(B27*(1+B$15),2))</f>
        <v>130</v>
      </c>
      <c r="I27" s="21" t="n">
        <f aca="false">MIN(C$16,ROUND(C27*(1+C$15),2))</f>
        <v>60</v>
      </c>
      <c r="J27" s="21" t="n">
        <f aca="false">MIN(D$16,ROUND(D27*(1+D$15),2))</f>
        <v>110</v>
      </c>
      <c r="K27" s="21" t="n">
        <f aca="false">MIN(E$16,ROUND(E27*(1+E$15),2))</f>
        <v>350</v>
      </c>
      <c r="L27" s="21" t="n">
        <f aca="false">MIN(F$16,ROUND(F27*(1+F$15),2))</f>
        <v>220</v>
      </c>
      <c r="M27" s="21" t="n">
        <f aca="false">MIN(G$16,ROUND(G27*(1+G$15),2))</f>
        <v>0</v>
      </c>
      <c r="N27" s="21" t="n">
        <f aca="false">B$20-SUM(H27:M27)</f>
        <v>300</v>
      </c>
      <c r="O27" s="21" t="n">
        <f aca="false">MIN(ROUND(B27*(1+B$15),2),H27+MAX(0,N27))</f>
        <v>430</v>
      </c>
      <c r="P27" s="21" t="n">
        <f aca="false">MIN(ROUND(C27*(1+C$15),2),I27+MAX(0,N27-O27+H27))</f>
        <v>60</v>
      </c>
      <c r="Q27" s="21" t="n">
        <f aca="false">MIN(ROUND(D27*(1+D$15),2),J27+MAX(0,N27-O27+H27-P27+I27))</f>
        <v>110</v>
      </c>
      <c r="R27" s="21" t="n">
        <f aca="false">MIN(ROUND(E27*(1+E$15),2),K27+MAX(0,N27-O27+H27-P27+I27-Q27+J27))</f>
        <v>350</v>
      </c>
      <c r="S27" s="21" t="n">
        <f aca="false">MIN(ROUND(F27*(1+F$15),2),L27+MAX(0,N27-O27+H27-P27+I27-Q27+J27-R27+K27))</f>
        <v>220</v>
      </c>
      <c r="T27" s="21" t="n">
        <f aca="false">MIN(ROUND(G27*(1+G$15),2),M27+MAX(0,N27-O27+H27-P27+I27-Q27+J27-R27+K27-S27+L27))</f>
        <v>0</v>
      </c>
      <c r="U27" s="21" t="n">
        <f aca="false">SUM(B27:G27)</f>
        <v>49000</v>
      </c>
      <c r="V27" s="21" t="n">
        <f aca="false">SUM(O27:T27)</f>
        <v>1170</v>
      </c>
      <c r="X27" s="25" t="n">
        <v>1</v>
      </c>
      <c r="Y27" s="21" t="n">
        <f aca="false">Y$17</f>
        <v>1800</v>
      </c>
      <c r="Z27" s="21" t="n">
        <f aca="false">Z$17</f>
        <v>3000</v>
      </c>
      <c r="AA27" s="21" t="n">
        <f aca="false">AA$17</f>
        <v>4200</v>
      </c>
      <c r="AB27" s="21" t="n">
        <f aca="false">AB$17</f>
        <v>14000</v>
      </c>
      <c r="AC27" s="21" t="n">
        <f aca="false">AC$17</f>
        <v>26000</v>
      </c>
      <c r="AD27" s="21" t="n">
        <f aca="false">AD$17</f>
        <v>0</v>
      </c>
      <c r="AE27" s="21" t="n">
        <f aca="false">MIN(Y$16,ROUND(Y27*(1+Y$15),2))</f>
        <v>60</v>
      </c>
      <c r="AF27" s="21" t="n">
        <f aca="false">MIN(Z$16,ROUND(Z27*(1+Z$15),2))</f>
        <v>110</v>
      </c>
      <c r="AG27" s="21" t="n">
        <f aca="false">MIN(AA$16,ROUND(AA27*(1+AA$15),2))</f>
        <v>130</v>
      </c>
      <c r="AH27" s="21" t="n">
        <f aca="false">MIN(AB$16,ROUND(AB27*(1+AB$15),2))</f>
        <v>350</v>
      </c>
      <c r="AI27" s="21" t="n">
        <f aca="false">MIN(AC$16,ROUND(AC27*(1+AC$15),2))</f>
        <v>220</v>
      </c>
      <c r="AJ27" s="21" t="n">
        <f aca="false">MIN(AD$16,ROUND(AD27*(1+AD$15),2))</f>
        <v>0</v>
      </c>
      <c r="AK27" s="21" t="n">
        <f aca="false">Y$20-SUM(AE27:AJ27)</f>
        <v>300</v>
      </c>
      <c r="AL27" s="21" t="n">
        <f aca="false">MIN(ROUND(Y27*(1+Y$15),2),AE27+MAX(0,AK27))</f>
        <v>360</v>
      </c>
      <c r="AM27" s="21" t="n">
        <f aca="false">MIN(ROUND(Z27*(1+Z$15),2),AF27+MAX(0,AK27-AL27+AE27))</f>
        <v>110</v>
      </c>
      <c r="AN27" s="21" t="n">
        <f aca="false">MIN(ROUND(AA27*(1+AA$15),2),AG27+MAX(0,AK27-AL27+AE27-AM27+AF27))</f>
        <v>130</v>
      </c>
      <c r="AO27" s="21" t="n">
        <f aca="false">MIN(ROUND(AB27*(1+AB$15),2),AH27+MAX(0,AK27-AL27+AE27-AM27+AF27-AN27+AG27))</f>
        <v>350</v>
      </c>
      <c r="AP27" s="21" t="n">
        <f aca="false">MIN(ROUND(AC27*(1+AC$15),2),AI27+MAX(0,AK27-AL27+AE27-AM27+AF27-AN27+AG27-AO27+AH27))</f>
        <v>220</v>
      </c>
      <c r="AQ27" s="21" t="n">
        <f aca="false">MIN(ROUND(AD27*(1+AD$15),2),AJ27+MAX(0,AK27-AL27+AE27-AM27+AF27-AN27+AG27-AO27+AH27-AP27+AI27))</f>
        <v>0</v>
      </c>
      <c r="AR27" s="21" t="n">
        <f aca="false">SUM(Y27:AD27)</f>
        <v>49000</v>
      </c>
      <c r="AS27" s="21" t="n">
        <f aca="false">SUM(AL27:AQ27)</f>
        <v>1170</v>
      </c>
    </row>
    <row r="28" customFormat="false" ht="15" hidden="false" customHeight="false" outlineLevel="0" collapsed="false">
      <c r="A28" s="25" t="n">
        <f aca="false">A27+1</f>
        <v>2</v>
      </c>
      <c r="B28" s="21" t="n">
        <f aca="false">MAX(0,ROUND(B27*(1+B$15),2)-O27)</f>
        <v>3850.47</v>
      </c>
      <c r="C28" s="21" t="n">
        <f aca="false">MAX(0,ROUND(C27*(1+C$15),2)-P27)</f>
        <v>1769.99</v>
      </c>
      <c r="D28" s="21" t="n">
        <f aca="false">MAX(0,ROUND(D27*(1+D$15),2)-Q27)</f>
        <v>2916.25</v>
      </c>
      <c r="E28" s="21" t="n">
        <f aca="false">MAX(0,ROUND(E27*(1+E$15),2)-R27)</f>
        <v>13725.83</v>
      </c>
      <c r="F28" s="21" t="n">
        <f aca="false">MAX(0,ROUND(F27*(1+F$15),2)-S27)</f>
        <v>25888.33</v>
      </c>
      <c r="G28" s="21" t="n">
        <f aca="false">MAX(0,ROUND(G27*(1+G$15),2)-T27)</f>
        <v>0</v>
      </c>
      <c r="H28" s="21" t="n">
        <f aca="false">MIN(B$16,ROUND(B28*(1+B$15),2))</f>
        <v>130</v>
      </c>
      <c r="I28" s="21" t="n">
        <f aca="false">MIN(C$16,ROUND(C28*(1+C$15),2))</f>
        <v>60</v>
      </c>
      <c r="J28" s="21" t="n">
        <f aca="false">MIN(D$16,ROUND(D28*(1+D$15),2))</f>
        <v>110</v>
      </c>
      <c r="K28" s="21" t="n">
        <f aca="false">MIN(E$16,ROUND(E28*(1+E$15),2))</f>
        <v>350</v>
      </c>
      <c r="L28" s="21" t="n">
        <f aca="false">MIN(F$16,ROUND(F28*(1+F$15),2))</f>
        <v>220</v>
      </c>
      <c r="M28" s="21" t="n">
        <f aca="false">MIN(G$16,ROUND(G28*(1+G$15),2))</f>
        <v>0</v>
      </c>
      <c r="N28" s="21" t="n">
        <f aca="false">B$20-SUM(H28:M28)</f>
        <v>300</v>
      </c>
      <c r="O28" s="21" t="n">
        <f aca="false">MIN(ROUND(B28*(1+B$15),2),H28+MAX(0,N28))</f>
        <v>430</v>
      </c>
      <c r="P28" s="21" t="n">
        <f aca="false">MIN(ROUND(C28*(1+C$15),2),I28+MAX(0,N28-O28+H28))</f>
        <v>60</v>
      </c>
      <c r="Q28" s="21" t="n">
        <f aca="false">MIN(ROUND(D28*(1+D$15),2),J28+MAX(0,N28-O28+H28-P28+I28))</f>
        <v>110</v>
      </c>
      <c r="R28" s="21" t="n">
        <f aca="false">MIN(ROUND(E28*(1+E$15),2),K28+MAX(0,N28-O28+H28-P28+I28-Q28+J28))</f>
        <v>350</v>
      </c>
      <c r="S28" s="21" t="n">
        <f aca="false">MIN(ROUND(F28*(1+F$15),2),L28+MAX(0,N28-O28+H28-P28+I28-Q28+J28-R28+K28))</f>
        <v>220</v>
      </c>
      <c r="T28" s="21" t="n">
        <f aca="false">MIN(ROUND(G28*(1+G$15),2),M28+MAX(0,N28-O28+H28-P28+I28-Q28+J28-R28+K28-S28+L28))</f>
        <v>0</v>
      </c>
      <c r="U28" s="21" t="n">
        <f aca="false">SUM(B28:G28)</f>
        <v>48150.87</v>
      </c>
      <c r="V28" s="21" t="n">
        <f aca="false">SUM(O28:T28)</f>
        <v>1170</v>
      </c>
      <c r="X28" s="25" t="n">
        <f aca="false">X27+1</f>
        <v>2</v>
      </c>
      <c r="Y28" s="21" t="n">
        <f aca="false">MAX(0,ROUND(Y27*(1+Y$15),2)-AL27)</f>
        <v>1469.99</v>
      </c>
      <c r="Z28" s="21" t="n">
        <f aca="false">MAX(0,ROUND(Z27*(1+Z$15),2)-AM27)</f>
        <v>2916.25</v>
      </c>
      <c r="AA28" s="21" t="n">
        <f aca="false">MAX(0,ROUND(AA27*(1+AA$15),2)-AN27)</f>
        <v>4150.47</v>
      </c>
      <c r="AB28" s="21" t="n">
        <f aca="false">MAX(0,ROUND(AB27*(1+AB$15),2)-AO27)</f>
        <v>13725.83</v>
      </c>
      <c r="AC28" s="21" t="n">
        <f aca="false">MAX(0,ROUND(AC27*(1+AC$15),2)-AP27)</f>
        <v>25888.33</v>
      </c>
      <c r="AD28" s="21" t="n">
        <f aca="false">MAX(0,ROUND(AD27*(1+AD$15),2)-AQ27)</f>
        <v>0</v>
      </c>
      <c r="AE28" s="21" t="n">
        <f aca="false">MIN(Y$16,ROUND(Y28*(1+Y$15),2))</f>
        <v>60</v>
      </c>
      <c r="AF28" s="21" t="n">
        <f aca="false">MIN(Z$16,ROUND(Z28*(1+Z$15),2))</f>
        <v>110</v>
      </c>
      <c r="AG28" s="21" t="n">
        <f aca="false">MIN(AA$16,ROUND(AA28*(1+AA$15),2))</f>
        <v>130</v>
      </c>
      <c r="AH28" s="21" t="n">
        <f aca="false">MIN(AB$16,ROUND(AB28*(1+AB$15),2))</f>
        <v>350</v>
      </c>
      <c r="AI28" s="21" t="n">
        <f aca="false">MIN(AC$16,ROUND(AC28*(1+AC$15),2))</f>
        <v>220</v>
      </c>
      <c r="AJ28" s="21" t="n">
        <f aca="false">MIN(AD$16,ROUND(AD28*(1+AD$15),2))</f>
        <v>0</v>
      </c>
      <c r="AK28" s="21" t="n">
        <f aca="false">Y$20-SUM(AE28:AJ28)</f>
        <v>300</v>
      </c>
      <c r="AL28" s="21" t="n">
        <f aca="false">MIN(ROUND(Y28*(1+Y$15),2),AE28+MAX(0,AK28))</f>
        <v>360</v>
      </c>
      <c r="AM28" s="21" t="n">
        <f aca="false">MIN(ROUND(Z28*(1+Z$15),2),AF28+MAX(0,AK28-AL28+AE28))</f>
        <v>110</v>
      </c>
      <c r="AN28" s="21" t="n">
        <f aca="false">MIN(ROUND(AA28*(1+AA$15),2),AG28+MAX(0,AK28-AL28+AE28-AM28+AF28))</f>
        <v>130</v>
      </c>
      <c r="AO28" s="21" t="n">
        <f aca="false">MIN(ROUND(AB28*(1+AB$15),2),AH28+MAX(0,AK28-AL28+AE28-AM28+AF28-AN28+AG28))</f>
        <v>350</v>
      </c>
      <c r="AP28" s="21" t="n">
        <f aca="false">MIN(ROUND(AC28*(1+AC$15),2),AI28+MAX(0,AK28-AL28+AE28-AM28+AF28-AN28+AG28-AO28+AH28))</f>
        <v>220</v>
      </c>
      <c r="AQ28" s="21" t="n">
        <f aca="false">MIN(ROUND(AD28*(1+AD$15),2),AJ28+MAX(0,AK28-AL28+AE28-AM28+AF28-AN28+AG28-AO28+AH28-AP28+AI28))</f>
        <v>0</v>
      </c>
      <c r="AR28" s="21" t="n">
        <f aca="false">SUM(Y28:AD28)</f>
        <v>48150.87</v>
      </c>
      <c r="AS28" s="21" t="n">
        <f aca="false">SUM(AL28:AQ28)</f>
        <v>1170</v>
      </c>
    </row>
    <row r="29" customFormat="false" ht="15" hidden="false" customHeight="false" outlineLevel="0" collapsed="false">
      <c r="A29" s="25" t="n">
        <f aca="false">A28+1</f>
        <v>3</v>
      </c>
      <c r="B29" s="21" t="n">
        <f aca="false">MAX(0,ROUND(B28*(1+B$15),2)-O28)</f>
        <v>3494.24</v>
      </c>
      <c r="C29" s="21" t="n">
        <f aca="false">MAX(0,ROUND(C28*(1+C$15),2)-P28)</f>
        <v>1739.48</v>
      </c>
      <c r="D29" s="21" t="n">
        <f aca="false">MAX(0,ROUND(D28*(1+D$15),2)-Q28)</f>
        <v>2831.77</v>
      </c>
      <c r="E29" s="21" t="n">
        <f aca="false">MAX(0,ROUND(E28*(1+E$15),2)-R28)</f>
        <v>13450.18</v>
      </c>
      <c r="F29" s="21" t="n">
        <f aca="false">MAX(0,ROUND(F28*(1+F$15),2)-S28)</f>
        <v>25776.2</v>
      </c>
      <c r="G29" s="21" t="n">
        <f aca="false">MAX(0,ROUND(G28*(1+G$15),2)-T28)</f>
        <v>0</v>
      </c>
      <c r="H29" s="21" t="n">
        <f aca="false">MIN(B$16,ROUND(B29*(1+B$15),2))</f>
        <v>130</v>
      </c>
      <c r="I29" s="21" t="n">
        <f aca="false">MIN(C$16,ROUND(C29*(1+C$15),2))</f>
        <v>60</v>
      </c>
      <c r="J29" s="21" t="n">
        <f aca="false">MIN(D$16,ROUND(D29*(1+D$15),2))</f>
        <v>110</v>
      </c>
      <c r="K29" s="21" t="n">
        <f aca="false">MIN(E$16,ROUND(E29*(1+E$15),2))</f>
        <v>350</v>
      </c>
      <c r="L29" s="21" t="n">
        <f aca="false">MIN(F$16,ROUND(F29*(1+F$15),2))</f>
        <v>220</v>
      </c>
      <c r="M29" s="21" t="n">
        <f aca="false">MIN(G$16,ROUND(G29*(1+G$15),2))</f>
        <v>0</v>
      </c>
      <c r="N29" s="21" t="n">
        <f aca="false">B$20-SUM(H29:M29)</f>
        <v>300</v>
      </c>
      <c r="O29" s="21" t="n">
        <f aca="false">MIN(ROUND(B29*(1+B$15),2),H29+MAX(0,N29))</f>
        <v>430</v>
      </c>
      <c r="P29" s="21" t="n">
        <f aca="false">MIN(ROUND(C29*(1+C$15),2),I29+MAX(0,N29-O29+H29))</f>
        <v>60</v>
      </c>
      <c r="Q29" s="21" t="n">
        <f aca="false">MIN(ROUND(D29*(1+D$15),2),J29+MAX(0,N29-O29+H29-P29+I29))</f>
        <v>110</v>
      </c>
      <c r="R29" s="21" t="n">
        <f aca="false">MIN(ROUND(E29*(1+E$15),2),K29+MAX(0,N29-O29+H29-P29+I29-Q29+J29))</f>
        <v>350</v>
      </c>
      <c r="S29" s="21" t="n">
        <f aca="false">MIN(ROUND(F29*(1+F$15),2),L29+MAX(0,N29-O29+H29-P29+I29-Q29+J29-R29+K29))</f>
        <v>220</v>
      </c>
      <c r="T29" s="21" t="n">
        <f aca="false">MIN(ROUND(G29*(1+G$15),2),M29+MAX(0,N29-O29+H29-P29+I29-Q29+J29-R29+K29-S29+L29))</f>
        <v>0</v>
      </c>
      <c r="U29" s="21" t="n">
        <f aca="false">SUM(B29:G29)</f>
        <v>47291.87</v>
      </c>
      <c r="V29" s="21" t="n">
        <f aca="false">SUM(O29:T29)</f>
        <v>1170</v>
      </c>
      <c r="X29" s="25" t="n">
        <f aca="false">X28+1</f>
        <v>3</v>
      </c>
      <c r="Y29" s="21" t="n">
        <f aca="false">MAX(0,ROUND(Y28*(1+Y$15),2)-AL28)</f>
        <v>1134.48</v>
      </c>
      <c r="Z29" s="21" t="n">
        <f aca="false">MAX(0,ROUND(Z28*(1+Z$15),2)-AM28)</f>
        <v>2831.77</v>
      </c>
      <c r="AA29" s="21" t="n">
        <f aca="false">MAX(0,ROUND(AA28*(1+AA$15),2)-AN28)</f>
        <v>4099.99</v>
      </c>
      <c r="AB29" s="21" t="n">
        <f aca="false">MAX(0,ROUND(AB28*(1+AB$15),2)-AO28)</f>
        <v>13450.18</v>
      </c>
      <c r="AC29" s="21" t="n">
        <f aca="false">MAX(0,ROUND(AC28*(1+AC$15),2)-AP28)</f>
        <v>25776.2</v>
      </c>
      <c r="AD29" s="21" t="n">
        <f aca="false">MAX(0,ROUND(AD28*(1+AD$15),2)-AQ28)</f>
        <v>0</v>
      </c>
      <c r="AE29" s="21" t="n">
        <f aca="false">MIN(Y$16,ROUND(Y29*(1+Y$15),2))</f>
        <v>60</v>
      </c>
      <c r="AF29" s="21" t="n">
        <f aca="false">MIN(Z$16,ROUND(Z29*(1+Z$15),2))</f>
        <v>110</v>
      </c>
      <c r="AG29" s="21" t="n">
        <f aca="false">MIN(AA$16,ROUND(AA29*(1+AA$15),2))</f>
        <v>130</v>
      </c>
      <c r="AH29" s="21" t="n">
        <f aca="false">MIN(AB$16,ROUND(AB29*(1+AB$15),2))</f>
        <v>350</v>
      </c>
      <c r="AI29" s="21" t="n">
        <f aca="false">MIN(AC$16,ROUND(AC29*(1+AC$15),2))</f>
        <v>220</v>
      </c>
      <c r="AJ29" s="21" t="n">
        <f aca="false">MIN(AD$16,ROUND(AD29*(1+AD$15),2))</f>
        <v>0</v>
      </c>
      <c r="AK29" s="21" t="n">
        <f aca="false">Y$20-SUM(AE29:AJ29)</f>
        <v>300</v>
      </c>
      <c r="AL29" s="21" t="n">
        <f aca="false">MIN(ROUND(Y29*(1+Y$15),2),AE29+MAX(0,AK29))</f>
        <v>360</v>
      </c>
      <c r="AM29" s="21" t="n">
        <f aca="false">MIN(ROUND(Z29*(1+Z$15),2),AF29+MAX(0,AK29-AL29+AE29))</f>
        <v>110</v>
      </c>
      <c r="AN29" s="21" t="n">
        <f aca="false">MIN(ROUND(AA29*(1+AA$15),2),AG29+MAX(0,AK29-AL29+AE29-AM29+AF29))</f>
        <v>130</v>
      </c>
      <c r="AO29" s="21" t="n">
        <f aca="false">MIN(ROUND(AB29*(1+AB$15),2),AH29+MAX(0,AK29-AL29+AE29-AM29+AF29-AN29+AG29))</f>
        <v>350</v>
      </c>
      <c r="AP29" s="21" t="n">
        <f aca="false">MIN(ROUND(AC29*(1+AC$15),2),AI29+MAX(0,AK29-AL29+AE29-AM29+AF29-AN29+AG29-AO29+AH29))</f>
        <v>220</v>
      </c>
      <c r="AQ29" s="21" t="n">
        <f aca="false">MIN(ROUND(AD29*(1+AD$15),2),AJ29+MAX(0,AK29-AL29+AE29-AM29+AF29-AN29+AG29-AO29+AH29-AP29+AI29))</f>
        <v>0</v>
      </c>
      <c r="AR29" s="21" t="n">
        <f aca="false">SUM(Y29:AD29)</f>
        <v>47292.62</v>
      </c>
      <c r="AS29" s="21" t="n">
        <f aca="false">SUM(AL29:AQ29)</f>
        <v>1170</v>
      </c>
    </row>
    <row r="30" customFormat="false" ht="15" hidden="false" customHeight="false" outlineLevel="0" collapsed="false">
      <c r="A30" s="25" t="n">
        <f aca="false">A29+1</f>
        <v>4</v>
      </c>
      <c r="B30" s="21" t="n">
        <f aca="false">MAX(0,ROUND(B29*(1+B$15),2)-O29)</f>
        <v>3131.18</v>
      </c>
      <c r="C30" s="21" t="n">
        <f aca="false">MAX(0,ROUND(C29*(1+C$15),2)-P29)</f>
        <v>1708.46</v>
      </c>
      <c r="D30" s="21" t="n">
        <f aca="false">MAX(0,ROUND(D29*(1+D$15),2)-Q29)</f>
        <v>2746.55</v>
      </c>
      <c r="E30" s="21" t="n">
        <f aca="false">MAX(0,ROUND(E29*(1+E$15),2)-R29)</f>
        <v>13173.04</v>
      </c>
      <c r="F30" s="21" t="n">
        <f aca="false">MAX(0,ROUND(F29*(1+F$15),2)-S29)</f>
        <v>25663.6</v>
      </c>
      <c r="G30" s="21" t="n">
        <f aca="false">MAX(0,ROUND(G29*(1+G$15),2)-T29)</f>
        <v>0</v>
      </c>
      <c r="H30" s="21" t="n">
        <f aca="false">MIN(B$16,ROUND(B30*(1+B$15),2))</f>
        <v>130</v>
      </c>
      <c r="I30" s="21" t="n">
        <f aca="false">MIN(C$16,ROUND(C30*(1+C$15),2))</f>
        <v>60</v>
      </c>
      <c r="J30" s="21" t="n">
        <f aca="false">MIN(D$16,ROUND(D30*(1+D$15),2))</f>
        <v>110</v>
      </c>
      <c r="K30" s="21" t="n">
        <f aca="false">MIN(E$16,ROUND(E30*(1+E$15),2))</f>
        <v>350</v>
      </c>
      <c r="L30" s="21" t="n">
        <f aca="false">MIN(F$16,ROUND(F30*(1+F$15),2))</f>
        <v>220</v>
      </c>
      <c r="M30" s="21" t="n">
        <f aca="false">MIN(G$16,ROUND(G30*(1+G$15),2))</f>
        <v>0</v>
      </c>
      <c r="N30" s="21" t="n">
        <f aca="false">B$20-SUM(H30:M30)</f>
        <v>300</v>
      </c>
      <c r="O30" s="21" t="n">
        <f aca="false">MIN(ROUND(B30*(1+B$15),2),H30+MAX(0,N30))</f>
        <v>430</v>
      </c>
      <c r="P30" s="21" t="n">
        <f aca="false">MIN(ROUND(C30*(1+C$15),2),I30+MAX(0,N30-O30+H30))</f>
        <v>60</v>
      </c>
      <c r="Q30" s="21" t="n">
        <f aca="false">MIN(ROUND(D30*(1+D$15),2),J30+MAX(0,N30-O30+H30-P30+I30))</f>
        <v>110</v>
      </c>
      <c r="R30" s="21" t="n">
        <f aca="false">MIN(ROUND(E30*(1+E$15),2),K30+MAX(0,N30-O30+H30-P30+I30-Q30+J30))</f>
        <v>350</v>
      </c>
      <c r="S30" s="21" t="n">
        <f aca="false">MIN(ROUND(F30*(1+F$15),2),L30+MAX(0,N30-O30+H30-P30+I30-Q30+J30-R30+K30))</f>
        <v>220</v>
      </c>
      <c r="T30" s="21" t="n">
        <f aca="false">MIN(ROUND(G30*(1+G$15),2),M30+MAX(0,N30-O30+H30-P30+I30-Q30+J30-R30+K30-S30+L30))</f>
        <v>0</v>
      </c>
      <c r="U30" s="21" t="n">
        <f aca="false">SUM(B30:G30)</f>
        <v>46422.83</v>
      </c>
      <c r="V30" s="21" t="n">
        <f aca="false">SUM(O30:T30)</f>
        <v>1170</v>
      </c>
      <c r="X30" s="25" t="n">
        <f aca="false">X29+1</f>
        <v>4</v>
      </c>
      <c r="Y30" s="21" t="n">
        <f aca="false">MAX(0,ROUND(Y29*(1+Y$15),2)-AL29)</f>
        <v>793.38</v>
      </c>
      <c r="Z30" s="21" t="n">
        <f aca="false">MAX(0,ROUND(Z29*(1+Z$15),2)-AM29)</f>
        <v>2746.55</v>
      </c>
      <c r="AA30" s="21" t="n">
        <f aca="false">MAX(0,ROUND(AA29*(1+AA$15),2)-AN29)</f>
        <v>4048.54</v>
      </c>
      <c r="AB30" s="21" t="n">
        <f aca="false">MAX(0,ROUND(AB29*(1+AB$15),2)-AO29)</f>
        <v>13173.04</v>
      </c>
      <c r="AC30" s="21" t="n">
        <f aca="false">MAX(0,ROUND(AC29*(1+AC$15),2)-AP29)</f>
        <v>25663.6</v>
      </c>
      <c r="AD30" s="21" t="n">
        <f aca="false">MAX(0,ROUND(AD29*(1+AD$15),2)-AQ29)</f>
        <v>0</v>
      </c>
      <c r="AE30" s="21" t="n">
        <f aca="false">MIN(Y$16,ROUND(Y30*(1+Y$15),2))</f>
        <v>60</v>
      </c>
      <c r="AF30" s="21" t="n">
        <f aca="false">MIN(Z$16,ROUND(Z30*(1+Z$15),2))</f>
        <v>110</v>
      </c>
      <c r="AG30" s="21" t="n">
        <f aca="false">MIN(AA$16,ROUND(AA30*(1+AA$15),2))</f>
        <v>130</v>
      </c>
      <c r="AH30" s="21" t="n">
        <f aca="false">MIN(AB$16,ROUND(AB30*(1+AB$15),2))</f>
        <v>350</v>
      </c>
      <c r="AI30" s="21" t="n">
        <f aca="false">MIN(AC$16,ROUND(AC30*(1+AC$15),2))</f>
        <v>220</v>
      </c>
      <c r="AJ30" s="21" t="n">
        <f aca="false">MIN(AD$16,ROUND(AD30*(1+AD$15),2))</f>
        <v>0</v>
      </c>
      <c r="AK30" s="21" t="n">
        <f aca="false">Y$20-SUM(AE30:AJ30)</f>
        <v>300</v>
      </c>
      <c r="AL30" s="21" t="n">
        <f aca="false">MIN(ROUND(Y30*(1+Y$15),2),AE30+MAX(0,AK30))</f>
        <v>360</v>
      </c>
      <c r="AM30" s="21" t="n">
        <f aca="false">MIN(ROUND(Z30*(1+Z$15),2),AF30+MAX(0,AK30-AL30+AE30))</f>
        <v>110</v>
      </c>
      <c r="AN30" s="21" t="n">
        <f aca="false">MIN(ROUND(AA30*(1+AA$15),2),AG30+MAX(0,AK30-AL30+AE30-AM30+AF30))</f>
        <v>130</v>
      </c>
      <c r="AO30" s="21" t="n">
        <f aca="false">MIN(ROUND(AB30*(1+AB$15),2),AH30+MAX(0,AK30-AL30+AE30-AM30+AF30-AN30+AG30))</f>
        <v>350</v>
      </c>
      <c r="AP30" s="21" t="n">
        <f aca="false">MIN(ROUND(AC30*(1+AC$15),2),AI30+MAX(0,AK30-AL30+AE30-AM30+AF30-AN30+AG30-AO30+AH30))</f>
        <v>220</v>
      </c>
      <c r="AQ30" s="21" t="n">
        <f aca="false">MIN(ROUND(AD30*(1+AD$15),2),AJ30+MAX(0,AK30-AL30+AE30-AM30+AF30-AN30+AG30-AO30+AH30-AP30+AI30))</f>
        <v>0</v>
      </c>
      <c r="AR30" s="21" t="n">
        <f aca="false">SUM(Y30:AD30)</f>
        <v>46425.11</v>
      </c>
      <c r="AS30" s="21" t="n">
        <f aca="false">SUM(AL30:AQ30)</f>
        <v>1170</v>
      </c>
    </row>
    <row r="31" customFormat="false" ht="15" hidden="false" customHeight="false" outlineLevel="0" collapsed="false">
      <c r="A31" s="25" t="n">
        <f aca="false">A30+1</f>
        <v>5</v>
      </c>
      <c r="B31" s="21" t="n">
        <f aca="false">MAX(0,ROUND(B30*(1+B$15),2)-O30)</f>
        <v>2761.17</v>
      </c>
      <c r="C31" s="21" t="n">
        <f aca="false">MAX(0,ROUND(C30*(1+C$15),2)-P30)</f>
        <v>1676.92</v>
      </c>
      <c r="D31" s="21" t="n">
        <f aca="false">MAX(0,ROUND(D30*(1+D$15),2)-Q30)</f>
        <v>2660.58</v>
      </c>
      <c r="E31" s="21" t="n">
        <f aca="false">MAX(0,ROUND(E30*(1+E$15),2)-R30)</f>
        <v>12894.39</v>
      </c>
      <c r="F31" s="21" t="n">
        <f aca="false">MAX(0,ROUND(F30*(1+F$15),2)-S30)</f>
        <v>25550.53</v>
      </c>
      <c r="G31" s="21" t="n">
        <f aca="false">MAX(0,ROUND(G30*(1+G$15),2)-T30)</f>
        <v>0</v>
      </c>
      <c r="H31" s="21" t="n">
        <f aca="false">MIN(B$16,ROUND(B31*(1+B$15),2))</f>
        <v>130</v>
      </c>
      <c r="I31" s="21" t="n">
        <f aca="false">MIN(C$16,ROUND(C31*(1+C$15),2))</f>
        <v>60</v>
      </c>
      <c r="J31" s="21" t="n">
        <f aca="false">MIN(D$16,ROUND(D31*(1+D$15),2))</f>
        <v>110</v>
      </c>
      <c r="K31" s="21" t="n">
        <f aca="false">MIN(E$16,ROUND(E31*(1+E$15),2))</f>
        <v>350</v>
      </c>
      <c r="L31" s="21" t="n">
        <f aca="false">MIN(F$16,ROUND(F31*(1+F$15),2))</f>
        <v>220</v>
      </c>
      <c r="M31" s="21" t="n">
        <f aca="false">MIN(G$16,ROUND(G31*(1+G$15),2))</f>
        <v>0</v>
      </c>
      <c r="N31" s="21" t="n">
        <f aca="false">B$20-SUM(H31:M31)</f>
        <v>300</v>
      </c>
      <c r="O31" s="21" t="n">
        <f aca="false">MIN(ROUND(B31*(1+B$15),2),H31+MAX(0,N31))</f>
        <v>430</v>
      </c>
      <c r="P31" s="21" t="n">
        <f aca="false">MIN(ROUND(C31*(1+C$15),2),I31+MAX(0,N31-O31+H31))</f>
        <v>60</v>
      </c>
      <c r="Q31" s="21" t="n">
        <f aca="false">MIN(ROUND(D31*(1+D$15),2),J31+MAX(0,N31-O31+H31-P31+I31))</f>
        <v>110</v>
      </c>
      <c r="R31" s="21" t="n">
        <f aca="false">MIN(ROUND(E31*(1+E$15),2),K31+MAX(0,N31-O31+H31-P31+I31-Q31+J31))</f>
        <v>350</v>
      </c>
      <c r="S31" s="21" t="n">
        <f aca="false">MIN(ROUND(F31*(1+F$15),2),L31+MAX(0,N31-O31+H31-P31+I31-Q31+J31-R31+K31))</f>
        <v>220</v>
      </c>
      <c r="T31" s="21" t="n">
        <f aca="false">MIN(ROUND(G31*(1+G$15),2),M31+MAX(0,N31-O31+H31-P31+I31-Q31+J31-R31+K31-S31+L31))</f>
        <v>0</v>
      </c>
      <c r="U31" s="21" t="n">
        <f aca="false">SUM(B31:G31)</f>
        <v>45543.59</v>
      </c>
      <c r="V31" s="21" t="n">
        <f aca="false">SUM(O31:T31)</f>
        <v>1170</v>
      </c>
      <c r="X31" s="25" t="n">
        <f aca="false">X30+1</f>
        <v>5</v>
      </c>
      <c r="Y31" s="21" t="n">
        <f aca="false">MAX(0,ROUND(Y30*(1+Y$15),2)-AL30)</f>
        <v>446.6</v>
      </c>
      <c r="Z31" s="21" t="n">
        <f aca="false">MAX(0,ROUND(Z30*(1+Z$15),2)-AM30)</f>
        <v>2660.58</v>
      </c>
      <c r="AA31" s="21" t="n">
        <f aca="false">MAX(0,ROUND(AA30*(1+AA$15),2)-AN30)</f>
        <v>3996.1</v>
      </c>
      <c r="AB31" s="21" t="n">
        <f aca="false">MAX(0,ROUND(AB30*(1+AB$15),2)-AO30)</f>
        <v>12894.39</v>
      </c>
      <c r="AC31" s="21" t="n">
        <f aca="false">MAX(0,ROUND(AC30*(1+AC$15),2)-AP30)</f>
        <v>25550.53</v>
      </c>
      <c r="AD31" s="21" t="n">
        <f aca="false">MAX(0,ROUND(AD30*(1+AD$15),2)-AQ30)</f>
        <v>0</v>
      </c>
      <c r="AE31" s="21" t="n">
        <f aca="false">MIN(Y$16,ROUND(Y31*(1+Y$15),2))</f>
        <v>60</v>
      </c>
      <c r="AF31" s="21" t="n">
        <f aca="false">MIN(Z$16,ROUND(Z31*(1+Z$15),2))</f>
        <v>110</v>
      </c>
      <c r="AG31" s="21" t="n">
        <f aca="false">MIN(AA$16,ROUND(AA31*(1+AA$15),2))</f>
        <v>130</v>
      </c>
      <c r="AH31" s="21" t="n">
        <f aca="false">MIN(AB$16,ROUND(AB31*(1+AB$15),2))</f>
        <v>350</v>
      </c>
      <c r="AI31" s="21" t="n">
        <f aca="false">MIN(AC$16,ROUND(AC31*(1+AC$15),2))</f>
        <v>220</v>
      </c>
      <c r="AJ31" s="21" t="n">
        <f aca="false">MIN(AD$16,ROUND(AD31*(1+AD$15),2))</f>
        <v>0</v>
      </c>
      <c r="AK31" s="21" t="n">
        <f aca="false">Y$20-SUM(AE31:AJ31)</f>
        <v>300</v>
      </c>
      <c r="AL31" s="21" t="n">
        <f aca="false">MIN(ROUND(Y31*(1+Y$15),2),AE31+MAX(0,AK31))</f>
        <v>360</v>
      </c>
      <c r="AM31" s="21" t="n">
        <f aca="false">MIN(ROUND(Z31*(1+Z$15),2),AF31+MAX(0,AK31-AL31+AE31))</f>
        <v>110</v>
      </c>
      <c r="AN31" s="21" t="n">
        <f aca="false">MIN(ROUND(AA31*(1+AA$15),2),AG31+MAX(0,AK31-AL31+AE31-AM31+AF31))</f>
        <v>130</v>
      </c>
      <c r="AO31" s="21" t="n">
        <f aca="false">MIN(ROUND(AB31*(1+AB$15),2),AH31+MAX(0,AK31-AL31+AE31-AM31+AF31-AN31+AG31))</f>
        <v>350</v>
      </c>
      <c r="AP31" s="21" t="n">
        <f aca="false">MIN(ROUND(AC31*(1+AC$15),2),AI31+MAX(0,AK31-AL31+AE31-AM31+AF31-AN31+AG31-AO31+AH31))</f>
        <v>220</v>
      </c>
      <c r="AQ31" s="21" t="n">
        <f aca="false">MIN(ROUND(AD31*(1+AD$15),2),AJ31+MAX(0,AK31-AL31+AE31-AM31+AF31-AN31+AG31-AO31+AH31-AP31+AI31))</f>
        <v>0</v>
      </c>
      <c r="AR31" s="21" t="n">
        <f aca="false">SUM(Y31:AD31)</f>
        <v>45548.2</v>
      </c>
      <c r="AS31" s="21" t="n">
        <f aca="false">SUM(AL31:AQ31)</f>
        <v>1170</v>
      </c>
    </row>
    <row r="32" customFormat="false" ht="15" hidden="false" customHeight="false" outlineLevel="0" collapsed="false">
      <c r="A32" s="25" t="n">
        <f aca="false">A31+1</f>
        <v>6</v>
      </c>
      <c r="B32" s="21" t="n">
        <f aca="false">MAX(0,ROUND(B31*(1+B$15),2)-O31)</f>
        <v>2384.07</v>
      </c>
      <c r="C32" s="21" t="n">
        <f aca="false">MAX(0,ROUND(C31*(1+C$15),2)-P31)</f>
        <v>1644.85</v>
      </c>
      <c r="D32" s="21" t="n">
        <f aca="false">MAX(0,ROUND(D31*(1+D$15),2)-Q31)</f>
        <v>2573.86</v>
      </c>
      <c r="E32" s="21" t="n">
        <f aca="false">MAX(0,ROUND(E31*(1+E$15),2)-R31)</f>
        <v>12614.23</v>
      </c>
      <c r="F32" s="21" t="n">
        <f aca="false">MAX(0,ROUND(F31*(1+F$15),2)-S31)</f>
        <v>25436.99</v>
      </c>
      <c r="G32" s="21" t="n">
        <f aca="false">MAX(0,ROUND(G31*(1+G$15),2)-T31)</f>
        <v>0</v>
      </c>
      <c r="H32" s="21" t="n">
        <f aca="false">MIN(B$16,ROUND(B32*(1+B$15),2))</f>
        <v>130</v>
      </c>
      <c r="I32" s="21" t="n">
        <f aca="false">MIN(C$16,ROUND(C32*(1+C$15),2))</f>
        <v>60</v>
      </c>
      <c r="J32" s="21" t="n">
        <f aca="false">MIN(D$16,ROUND(D32*(1+D$15),2))</f>
        <v>110</v>
      </c>
      <c r="K32" s="21" t="n">
        <f aca="false">MIN(E$16,ROUND(E32*(1+E$15),2))</f>
        <v>350</v>
      </c>
      <c r="L32" s="21" t="n">
        <f aca="false">MIN(F$16,ROUND(F32*(1+F$15),2))</f>
        <v>220</v>
      </c>
      <c r="M32" s="21" t="n">
        <f aca="false">MIN(G$16,ROUND(G32*(1+G$15),2))</f>
        <v>0</v>
      </c>
      <c r="N32" s="21" t="n">
        <f aca="false">B$20-SUM(H32:M32)</f>
        <v>300</v>
      </c>
      <c r="O32" s="21" t="n">
        <f aca="false">MIN(ROUND(B32*(1+B$15),2),H32+MAX(0,N32))</f>
        <v>430</v>
      </c>
      <c r="P32" s="21" t="n">
        <f aca="false">MIN(ROUND(C32*(1+C$15),2),I32+MAX(0,N32-O32+H32))</f>
        <v>60</v>
      </c>
      <c r="Q32" s="21" t="n">
        <f aca="false">MIN(ROUND(D32*(1+D$15),2),J32+MAX(0,N32-O32+H32-P32+I32))</f>
        <v>110</v>
      </c>
      <c r="R32" s="21" t="n">
        <f aca="false">MIN(ROUND(E32*(1+E$15),2),K32+MAX(0,N32-O32+H32-P32+I32-Q32+J32))</f>
        <v>350</v>
      </c>
      <c r="S32" s="21" t="n">
        <f aca="false">MIN(ROUND(F32*(1+F$15),2),L32+MAX(0,N32-O32+H32-P32+I32-Q32+J32-R32+K32))</f>
        <v>220</v>
      </c>
      <c r="T32" s="21" t="n">
        <f aca="false">MIN(ROUND(G32*(1+G$15),2),M32+MAX(0,N32-O32+H32-P32+I32-Q32+J32-R32+K32-S32+L32))</f>
        <v>0</v>
      </c>
      <c r="U32" s="21" t="n">
        <f aca="false">SUM(B32:G32)</f>
        <v>44654</v>
      </c>
      <c r="V32" s="21" t="n">
        <f aca="false">SUM(O32:T32)</f>
        <v>1170</v>
      </c>
      <c r="X32" s="25" t="n">
        <f aca="false">X31+1</f>
        <v>6</v>
      </c>
      <c r="Y32" s="21" t="n">
        <f aca="false">MAX(0,ROUND(Y31*(1+Y$15),2)-AL31)</f>
        <v>94.04</v>
      </c>
      <c r="Z32" s="21" t="n">
        <f aca="false">MAX(0,ROUND(Z31*(1+Z$15),2)-AM31)</f>
        <v>2573.86</v>
      </c>
      <c r="AA32" s="21" t="n">
        <f aca="false">MAX(0,ROUND(AA31*(1+AA$15),2)-AN31)</f>
        <v>3942.66</v>
      </c>
      <c r="AB32" s="21" t="n">
        <f aca="false">MAX(0,ROUND(AB31*(1+AB$15),2)-AO31)</f>
        <v>12614.23</v>
      </c>
      <c r="AC32" s="21" t="n">
        <f aca="false">MAX(0,ROUND(AC31*(1+AC$15),2)-AP31)</f>
        <v>25436.99</v>
      </c>
      <c r="AD32" s="21" t="n">
        <f aca="false">MAX(0,ROUND(AD31*(1+AD$15),2)-AQ31)</f>
        <v>0</v>
      </c>
      <c r="AE32" s="21" t="n">
        <f aca="false">MIN(Y$16,ROUND(Y32*(1+Y$15),2))</f>
        <v>60</v>
      </c>
      <c r="AF32" s="21" t="n">
        <f aca="false">MIN(Z$16,ROUND(Z32*(1+Z$15),2))</f>
        <v>110</v>
      </c>
      <c r="AG32" s="21" t="n">
        <f aca="false">MIN(AA$16,ROUND(AA32*(1+AA$15),2))</f>
        <v>130</v>
      </c>
      <c r="AH32" s="21" t="n">
        <f aca="false">MIN(AB$16,ROUND(AB32*(1+AB$15),2))</f>
        <v>350</v>
      </c>
      <c r="AI32" s="21" t="n">
        <f aca="false">MIN(AC$16,ROUND(AC32*(1+AC$15),2))</f>
        <v>220</v>
      </c>
      <c r="AJ32" s="21" t="n">
        <f aca="false">MIN(AD$16,ROUND(AD32*(1+AD$15),2))</f>
        <v>0</v>
      </c>
      <c r="AK32" s="21" t="n">
        <f aca="false">Y$20-SUM(AE32:AJ32)</f>
        <v>300</v>
      </c>
      <c r="AL32" s="21" t="n">
        <f aca="false">MIN(ROUND(Y32*(1+Y$15),2),AE32+MAX(0,AK32))</f>
        <v>95.61</v>
      </c>
      <c r="AM32" s="21" t="n">
        <f aca="false">MIN(ROUND(Z32*(1+Z$15),2),AF32+MAX(0,AK32-AL32+AE32))</f>
        <v>374.39</v>
      </c>
      <c r="AN32" s="21" t="n">
        <f aca="false">MIN(ROUND(AA32*(1+AA$15),2),AG32+MAX(0,AK32-AL32+AE32-AM32+AF32))</f>
        <v>130</v>
      </c>
      <c r="AO32" s="21" t="n">
        <f aca="false">MIN(ROUND(AB32*(1+AB$15),2),AH32+MAX(0,AK32-AL32+AE32-AM32+AF32-AN32+AG32))</f>
        <v>350</v>
      </c>
      <c r="AP32" s="21" t="n">
        <f aca="false">MIN(ROUND(AC32*(1+AC$15),2),AI32+MAX(0,AK32-AL32+AE32-AM32+AF32-AN32+AG32-AO32+AH32))</f>
        <v>220</v>
      </c>
      <c r="AQ32" s="21" t="n">
        <f aca="false">MIN(ROUND(AD32*(1+AD$15),2),AJ32+MAX(0,AK32-AL32+AE32-AM32+AF32-AN32+AG32-AO32+AH32-AP32+AI32))</f>
        <v>0</v>
      </c>
      <c r="AR32" s="21" t="n">
        <f aca="false">SUM(Y32:AD32)</f>
        <v>44661.78</v>
      </c>
      <c r="AS32" s="21" t="n">
        <f aca="false">SUM(AL32:AQ32)</f>
        <v>1170</v>
      </c>
    </row>
    <row r="33" customFormat="false" ht="15" hidden="false" customHeight="false" outlineLevel="0" collapsed="false">
      <c r="A33" s="25" t="n">
        <f aca="false">A32+1</f>
        <v>7</v>
      </c>
      <c r="B33" s="21" t="n">
        <f aca="false">MAX(0,ROUND(B32*(1+B$15),2)-O32)</f>
        <v>1999.74</v>
      </c>
      <c r="C33" s="21" t="n">
        <f aca="false">MAX(0,ROUND(C32*(1+C$15),2)-P32)</f>
        <v>1612.25</v>
      </c>
      <c r="D33" s="21" t="n">
        <f aca="false">MAX(0,ROUND(D32*(1+D$15),2)-Q32)</f>
        <v>2486.38</v>
      </c>
      <c r="E33" s="21" t="n">
        <f aca="false">MAX(0,ROUND(E32*(1+E$15),2)-R32)</f>
        <v>12332.56</v>
      </c>
      <c r="F33" s="21" t="n">
        <f aca="false">MAX(0,ROUND(F32*(1+F$15),2)-S32)</f>
        <v>25322.98</v>
      </c>
      <c r="G33" s="21" t="n">
        <f aca="false">MAX(0,ROUND(G32*(1+G$15),2)-T32)</f>
        <v>0</v>
      </c>
      <c r="H33" s="21" t="n">
        <f aca="false">MIN(B$16,ROUND(B33*(1+B$15),2))</f>
        <v>130</v>
      </c>
      <c r="I33" s="21" t="n">
        <f aca="false">MIN(C$16,ROUND(C33*(1+C$15),2))</f>
        <v>60</v>
      </c>
      <c r="J33" s="21" t="n">
        <f aca="false">MIN(D$16,ROUND(D33*(1+D$15),2))</f>
        <v>110</v>
      </c>
      <c r="K33" s="21" t="n">
        <f aca="false">MIN(E$16,ROUND(E33*(1+E$15),2))</f>
        <v>350</v>
      </c>
      <c r="L33" s="21" t="n">
        <f aca="false">MIN(F$16,ROUND(F33*(1+F$15),2))</f>
        <v>220</v>
      </c>
      <c r="M33" s="21" t="n">
        <f aca="false">MIN(G$16,ROUND(G33*(1+G$15),2))</f>
        <v>0</v>
      </c>
      <c r="N33" s="21" t="n">
        <f aca="false">B$20-SUM(H33:M33)</f>
        <v>300</v>
      </c>
      <c r="O33" s="21" t="n">
        <f aca="false">MIN(ROUND(B33*(1+B$15),2),H33+MAX(0,N33))</f>
        <v>430</v>
      </c>
      <c r="P33" s="21" t="n">
        <f aca="false">MIN(ROUND(C33*(1+C$15),2),I33+MAX(0,N33-O33+H33))</f>
        <v>60</v>
      </c>
      <c r="Q33" s="21" t="n">
        <f aca="false">MIN(ROUND(D33*(1+D$15),2),J33+MAX(0,N33-O33+H33-P33+I33))</f>
        <v>110</v>
      </c>
      <c r="R33" s="21" t="n">
        <f aca="false">MIN(ROUND(E33*(1+E$15),2),K33+MAX(0,N33-O33+H33-P33+I33-Q33+J33))</f>
        <v>350</v>
      </c>
      <c r="S33" s="21" t="n">
        <f aca="false">MIN(ROUND(F33*(1+F$15),2),L33+MAX(0,N33-O33+H33-P33+I33-Q33+J33-R33+K33))</f>
        <v>220</v>
      </c>
      <c r="T33" s="21" t="n">
        <f aca="false">MIN(ROUND(G33*(1+G$15),2),M33+MAX(0,N33-O33+H33-P33+I33-Q33+J33-R33+K33-S33+L33))</f>
        <v>0</v>
      </c>
      <c r="U33" s="21" t="n">
        <f aca="false">SUM(B33:G33)</f>
        <v>43753.91</v>
      </c>
      <c r="V33" s="21" t="n">
        <f aca="false">SUM(O33:T33)</f>
        <v>1170</v>
      </c>
      <c r="X33" s="25" t="n">
        <f aca="false">X32+1</f>
        <v>7</v>
      </c>
      <c r="Y33" s="21" t="n">
        <f aca="false">MAX(0,ROUND(Y32*(1+Y$15),2)-AL32)</f>
        <v>0</v>
      </c>
      <c r="Z33" s="21" t="n">
        <f aca="false">MAX(0,ROUND(Z32*(1+Z$15),2)-AM32)</f>
        <v>2221.99</v>
      </c>
      <c r="AA33" s="21" t="n">
        <f aca="false">MAX(0,ROUND(AA32*(1+AA$15),2)-AN32)</f>
        <v>3888.19</v>
      </c>
      <c r="AB33" s="21" t="n">
        <f aca="false">MAX(0,ROUND(AB32*(1+AB$15),2)-AO32)</f>
        <v>12332.56</v>
      </c>
      <c r="AC33" s="21" t="n">
        <f aca="false">MAX(0,ROUND(AC32*(1+AC$15),2)-AP32)</f>
        <v>25322.98</v>
      </c>
      <c r="AD33" s="21" t="n">
        <f aca="false">MAX(0,ROUND(AD32*(1+AD$15),2)-AQ32)</f>
        <v>0</v>
      </c>
      <c r="AE33" s="21" t="n">
        <f aca="false">MIN(Y$16,ROUND(Y33*(1+Y$15),2))</f>
        <v>0</v>
      </c>
      <c r="AF33" s="21" t="n">
        <f aca="false">MIN(Z$16,ROUND(Z33*(1+Z$15),2))</f>
        <v>110</v>
      </c>
      <c r="AG33" s="21" t="n">
        <f aca="false">MIN(AA$16,ROUND(AA33*(1+AA$15),2))</f>
        <v>130</v>
      </c>
      <c r="AH33" s="21" t="n">
        <f aca="false">MIN(AB$16,ROUND(AB33*(1+AB$15),2))</f>
        <v>350</v>
      </c>
      <c r="AI33" s="21" t="n">
        <f aca="false">MIN(AC$16,ROUND(AC33*(1+AC$15),2))</f>
        <v>220</v>
      </c>
      <c r="AJ33" s="21" t="n">
        <f aca="false">MIN(AD$16,ROUND(AD33*(1+AD$15),2))</f>
        <v>0</v>
      </c>
      <c r="AK33" s="21" t="n">
        <f aca="false">Y$20-SUM(AE33:AJ33)</f>
        <v>360</v>
      </c>
      <c r="AL33" s="21" t="n">
        <f aca="false">MIN(ROUND(Y33*(1+Y$15),2),AE33+MAX(0,AK33))</f>
        <v>0</v>
      </c>
      <c r="AM33" s="21" t="n">
        <f aca="false">MIN(ROUND(Z33*(1+Z$15),2),AF33+MAX(0,AK33-AL33+AE33))</f>
        <v>470</v>
      </c>
      <c r="AN33" s="21" t="n">
        <f aca="false">MIN(ROUND(AA33*(1+AA$15),2),AG33+MAX(0,AK33-AL33+AE33-AM33+AF33))</f>
        <v>130</v>
      </c>
      <c r="AO33" s="21" t="n">
        <f aca="false">MIN(ROUND(AB33*(1+AB$15),2),AH33+MAX(0,AK33-AL33+AE33-AM33+AF33-AN33+AG33))</f>
        <v>350</v>
      </c>
      <c r="AP33" s="21" t="n">
        <f aca="false">MIN(ROUND(AC33*(1+AC$15),2),AI33+MAX(0,AK33-AL33+AE33-AM33+AF33-AN33+AG33-AO33+AH33))</f>
        <v>220</v>
      </c>
      <c r="AQ33" s="21" t="n">
        <f aca="false">MIN(ROUND(AD33*(1+AD$15),2),AJ33+MAX(0,AK33-AL33+AE33-AM33+AF33-AN33+AG33-AO33+AH33-AP33+AI33))</f>
        <v>0</v>
      </c>
      <c r="AR33" s="21" t="n">
        <f aca="false">SUM(Y33:AD33)</f>
        <v>43765.72</v>
      </c>
      <c r="AS33" s="21" t="n">
        <f aca="false">SUM(AL33:AQ33)</f>
        <v>1170</v>
      </c>
    </row>
    <row r="34" customFormat="false" ht="15" hidden="false" customHeight="false" outlineLevel="0" collapsed="false">
      <c r="A34" s="25" t="n">
        <f aca="false">A33+1</f>
        <v>8</v>
      </c>
      <c r="B34" s="21" t="n">
        <f aca="false">MAX(0,ROUND(B33*(1+B$15),2)-O33)</f>
        <v>1608.05</v>
      </c>
      <c r="C34" s="21" t="n">
        <f aca="false">MAX(0,ROUND(C33*(1+C$15),2)-P33)</f>
        <v>1579.11</v>
      </c>
      <c r="D34" s="21" t="n">
        <f aca="false">MAX(0,ROUND(D33*(1+D$15),2)-Q33)</f>
        <v>2398.14</v>
      </c>
      <c r="E34" s="21" t="n">
        <f aca="false">MAX(0,ROUND(E33*(1+E$15),2)-R33)</f>
        <v>12049.36</v>
      </c>
      <c r="F34" s="21" t="n">
        <f aca="false">MAX(0,ROUND(F33*(1+F$15),2)-S33)</f>
        <v>25208.49</v>
      </c>
      <c r="G34" s="21" t="n">
        <f aca="false">MAX(0,ROUND(G33*(1+G$15),2)-T33)</f>
        <v>0</v>
      </c>
      <c r="H34" s="21" t="n">
        <f aca="false">MIN(B$16,ROUND(B34*(1+B$15),2))</f>
        <v>130</v>
      </c>
      <c r="I34" s="21" t="n">
        <f aca="false">MIN(C$16,ROUND(C34*(1+C$15),2))</f>
        <v>60</v>
      </c>
      <c r="J34" s="21" t="n">
        <f aca="false">MIN(D$16,ROUND(D34*(1+D$15),2))</f>
        <v>110</v>
      </c>
      <c r="K34" s="21" t="n">
        <f aca="false">MIN(E$16,ROUND(E34*(1+E$15),2))</f>
        <v>350</v>
      </c>
      <c r="L34" s="21" t="n">
        <f aca="false">MIN(F$16,ROUND(F34*(1+F$15),2))</f>
        <v>220</v>
      </c>
      <c r="M34" s="21" t="n">
        <f aca="false">MIN(G$16,ROUND(G34*(1+G$15),2))</f>
        <v>0</v>
      </c>
      <c r="N34" s="21" t="n">
        <f aca="false">B$20-SUM(H34:M34)</f>
        <v>300</v>
      </c>
      <c r="O34" s="21" t="n">
        <f aca="false">MIN(ROUND(B34*(1+B$15),2),H34+MAX(0,N34))</f>
        <v>430</v>
      </c>
      <c r="P34" s="21" t="n">
        <f aca="false">MIN(ROUND(C34*(1+C$15),2),I34+MAX(0,N34-O34+H34))</f>
        <v>60</v>
      </c>
      <c r="Q34" s="21" t="n">
        <f aca="false">MIN(ROUND(D34*(1+D$15),2),J34+MAX(0,N34-O34+H34-P34+I34))</f>
        <v>110</v>
      </c>
      <c r="R34" s="21" t="n">
        <f aca="false">MIN(ROUND(E34*(1+E$15),2),K34+MAX(0,N34-O34+H34-P34+I34-Q34+J34))</f>
        <v>350</v>
      </c>
      <c r="S34" s="21" t="n">
        <f aca="false">MIN(ROUND(F34*(1+F$15),2),L34+MAX(0,N34-O34+H34-P34+I34-Q34+J34-R34+K34))</f>
        <v>220</v>
      </c>
      <c r="T34" s="21" t="n">
        <f aca="false">MIN(ROUND(G34*(1+G$15),2),M34+MAX(0,N34-O34+H34-P34+I34-Q34+J34-R34+K34-S34+L34))</f>
        <v>0</v>
      </c>
      <c r="U34" s="21" t="n">
        <f aca="false">SUM(B34:G34)</f>
        <v>42843.15</v>
      </c>
      <c r="V34" s="21" t="n">
        <f aca="false">SUM(O34:T34)</f>
        <v>1170</v>
      </c>
      <c r="X34" s="25" t="n">
        <f aca="false">X33+1</f>
        <v>8</v>
      </c>
      <c r="Y34" s="21" t="n">
        <f aca="false">MAX(0,ROUND(Y33*(1+Y$15),2)-AL33)</f>
        <v>0</v>
      </c>
      <c r="Z34" s="21" t="n">
        <f aca="false">MAX(0,ROUND(Z33*(1+Z$15),2)-AM33)</f>
        <v>1771.43</v>
      </c>
      <c r="AA34" s="21" t="n">
        <f aca="false">MAX(0,ROUND(AA33*(1+AA$15),2)-AN33)</f>
        <v>3832.68</v>
      </c>
      <c r="AB34" s="21" t="n">
        <f aca="false">MAX(0,ROUND(AB33*(1+AB$15),2)-AO33)</f>
        <v>12049.36</v>
      </c>
      <c r="AC34" s="21" t="n">
        <f aca="false">MAX(0,ROUND(AC33*(1+AC$15),2)-AP33)</f>
        <v>25208.49</v>
      </c>
      <c r="AD34" s="21" t="n">
        <f aca="false">MAX(0,ROUND(AD33*(1+AD$15),2)-AQ33)</f>
        <v>0</v>
      </c>
      <c r="AE34" s="21" t="n">
        <f aca="false">MIN(Y$16,ROUND(Y34*(1+Y$15),2))</f>
        <v>0</v>
      </c>
      <c r="AF34" s="21" t="n">
        <f aca="false">MIN(Z$16,ROUND(Z34*(1+Z$15),2))</f>
        <v>110</v>
      </c>
      <c r="AG34" s="21" t="n">
        <f aca="false">MIN(AA$16,ROUND(AA34*(1+AA$15),2))</f>
        <v>130</v>
      </c>
      <c r="AH34" s="21" t="n">
        <f aca="false">MIN(AB$16,ROUND(AB34*(1+AB$15),2))</f>
        <v>350</v>
      </c>
      <c r="AI34" s="21" t="n">
        <f aca="false">MIN(AC$16,ROUND(AC34*(1+AC$15),2))</f>
        <v>220</v>
      </c>
      <c r="AJ34" s="21" t="n">
        <f aca="false">MIN(AD$16,ROUND(AD34*(1+AD$15),2))</f>
        <v>0</v>
      </c>
      <c r="AK34" s="21" t="n">
        <f aca="false">Y$20-SUM(AE34:AJ34)</f>
        <v>360</v>
      </c>
      <c r="AL34" s="21" t="n">
        <f aca="false">MIN(ROUND(Y34*(1+Y$15),2),AE34+MAX(0,AK34))</f>
        <v>0</v>
      </c>
      <c r="AM34" s="21" t="n">
        <f aca="false">MIN(ROUND(Z34*(1+Z$15),2),AF34+MAX(0,AK34-AL34+AE34))</f>
        <v>470</v>
      </c>
      <c r="AN34" s="21" t="n">
        <f aca="false">MIN(ROUND(AA34*(1+AA$15),2),AG34+MAX(0,AK34-AL34+AE34-AM34+AF34))</f>
        <v>130</v>
      </c>
      <c r="AO34" s="21" t="n">
        <f aca="false">MIN(ROUND(AB34*(1+AB$15),2),AH34+MAX(0,AK34-AL34+AE34-AM34+AF34-AN34+AG34))</f>
        <v>350</v>
      </c>
      <c r="AP34" s="21" t="n">
        <f aca="false">MIN(ROUND(AC34*(1+AC$15),2),AI34+MAX(0,AK34-AL34+AE34-AM34+AF34-AN34+AG34-AO34+AH34))</f>
        <v>220</v>
      </c>
      <c r="AQ34" s="21" t="n">
        <f aca="false">MIN(ROUND(AD34*(1+AD$15),2),AJ34+MAX(0,AK34-AL34+AE34-AM34+AF34-AN34+AG34-AO34+AH34-AP34+AI34))</f>
        <v>0</v>
      </c>
      <c r="AR34" s="21" t="n">
        <f aca="false">SUM(Y34:AD34)</f>
        <v>42861.96</v>
      </c>
      <c r="AS34" s="21" t="n">
        <f aca="false">SUM(AL34:AQ34)</f>
        <v>1170</v>
      </c>
    </row>
    <row r="35" customFormat="false" ht="15" hidden="false" customHeight="false" outlineLevel="0" collapsed="false">
      <c r="A35" s="25" t="n">
        <f aca="false">A34+1</f>
        <v>9</v>
      </c>
      <c r="B35" s="21" t="n">
        <f aca="false">MAX(0,ROUND(B34*(1+B$15),2)-O34)</f>
        <v>1208.86</v>
      </c>
      <c r="C35" s="21" t="n">
        <f aca="false">MAX(0,ROUND(C34*(1+C$15),2)-P34)</f>
        <v>1545.42</v>
      </c>
      <c r="D35" s="21" t="n">
        <f aca="false">MAX(0,ROUND(D34*(1+D$15),2)-Q34)</f>
        <v>2309.12</v>
      </c>
      <c r="E35" s="21" t="n">
        <f aca="false">MAX(0,ROUND(E34*(1+E$15),2)-R34)</f>
        <v>11764.63</v>
      </c>
      <c r="F35" s="21" t="n">
        <f aca="false">MAX(0,ROUND(F34*(1+F$15),2)-S34)</f>
        <v>25093.53</v>
      </c>
      <c r="G35" s="21" t="n">
        <f aca="false">MAX(0,ROUND(G34*(1+G$15),2)-T34)</f>
        <v>0</v>
      </c>
      <c r="H35" s="21" t="n">
        <f aca="false">MIN(B$16,ROUND(B35*(1+B$15),2))</f>
        <v>130</v>
      </c>
      <c r="I35" s="21" t="n">
        <f aca="false">MIN(C$16,ROUND(C35*(1+C$15),2))</f>
        <v>60</v>
      </c>
      <c r="J35" s="21" t="n">
        <f aca="false">MIN(D$16,ROUND(D35*(1+D$15),2))</f>
        <v>110</v>
      </c>
      <c r="K35" s="21" t="n">
        <f aca="false">MIN(E$16,ROUND(E35*(1+E$15),2))</f>
        <v>350</v>
      </c>
      <c r="L35" s="21" t="n">
        <f aca="false">MIN(F$16,ROUND(F35*(1+F$15),2))</f>
        <v>220</v>
      </c>
      <c r="M35" s="21" t="n">
        <f aca="false">MIN(G$16,ROUND(G35*(1+G$15),2))</f>
        <v>0</v>
      </c>
      <c r="N35" s="21" t="n">
        <f aca="false">B$20-SUM(H35:M35)</f>
        <v>300</v>
      </c>
      <c r="O35" s="21" t="n">
        <f aca="false">MIN(ROUND(B35*(1+B$15),2),H35+MAX(0,N35))</f>
        <v>430</v>
      </c>
      <c r="P35" s="21" t="n">
        <f aca="false">MIN(ROUND(C35*(1+C$15),2),I35+MAX(0,N35-O35+H35))</f>
        <v>60</v>
      </c>
      <c r="Q35" s="21" t="n">
        <f aca="false">MIN(ROUND(D35*(1+D$15),2),J35+MAX(0,N35-O35+H35-P35+I35))</f>
        <v>110</v>
      </c>
      <c r="R35" s="21" t="n">
        <f aca="false">MIN(ROUND(E35*(1+E$15),2),K35+MAX(0,N35-O35+H35-P35+I35-Q35+J35))</f>
        <v>350</v>
      </c>
      <c r="S35" s="21" t="n">
        <f aca="false">MIN(ROUND(F35*(1+F$15),2),L35+MAX(0,N35-O35+H35-P35+I35-Q35+J35-R35+K35))</f>
        <v>220</v>
      </c>
      <c r="T35" s="21" t="n">
        <f aca="false">MIN(ROUND(G35*(1+G$15),2),M35+MAX(0,N35-O35+H35-P35+I35-Q35+J35-R35+K35-S35+L35))</f>
        <v>0</v>
      </c>
      <c r="U35" s="21" t="n">
        <f aca="false">SUM(B35:G35)</f>
        <v>41921.56</v>
      </c>
      <c r="V35" s="21" t="n">
        <f aca="false">SUM(O35:T35)</f>
        <v>1170</v>
      </c>
      <c r="X35" s="25" t="n">
        <f aca="false">X34+1</f>
        <v>9</v>
      </c>
      <c r="Y35" s="21" t="n">
        <f aca="false">MAX(0,ROUND(Y34*(1+Y$15),2)-AL34)</f>
        <v>0</v>
      </c>
      <c r="Z35" s="21" t="n">
        <f aca="false">MAX(0,ROUND(Z34*(1+Z$15),2)-AM34)</f>
        <v>1316.93</v>
      </c>
      <c r="AA35" s="21" t="n">
        <f aca="false">MAX(0,ROUND(AA34*(1+AA$15),2)-AN34)</f>
        <v>3776.11</v>
      </c>
      <c r="AB35" s="21" t="n">
        <f aca="false">MAX(0,ROUND(AB34*(1+AB$15),2)-AO34)</f>
        <v>11764.63</v>
      </c>
      <c r="AC35" s="21" t="n">
        <f aca="false">MAX(0,ROUND(AC34*(1+AC$15),2)-AP34)</f>
        <v>25093.53</v>
      </c>
      <c r="AD35" s="21" t="n">
        <f aca="false">MAX(0,ROUND(AD34*(1+AD$15),2)-AQ34)</f>
        <v>0</v>
      </c>
      <c r="AE35" s="21" t="n">
        <f aca="false">MIN(Y$16,ROUND(Y35*(1+Y$15),2))</f>
        <v>0</v>
      </c>
      <c r="AF35" s="21" t="n">
        <f aca="false">MIN(Z$16,ROUND(Z35*(1+Z$15),2))</f>
        <v>110</v>
      </c>
      <c r="AG35" s="21" t="n">
        <f aca="false">MIN(AA$16,ROUND(AA35*(1+AA$15),2))</f>
        <v>130</v>
      </c>
      <c r="AH35" s="21" t="n">
        <f aca="false">MIN(AB$16,ROUND(AB35*(1+AB$15),2))</f>
        <v>350</v>
      </c>
      <c r="AI35" s="21" t="n">
        <f aca="false">MIN(AC$16,ROUND(AC35*(1+AC$15),2))</f>
        <v>220</v>
      </c>
      <c r="AJ35" s="21" t="n">
        <f aca="false">MIN(AD$16,ROUND(AD35*(1+AD$15),2))</f>
        <v>0</v>
      </c>
      <c r="AK35" s="21" t="n">
        <f aca="false">Y$20-SUM(AE35:AJ35)</f>
        <v>360</v>
      </c>
      <c r="AL35" s="21" t="n">
        <f aca="false">MIN(ROUND(Y35*(1+Y$15),2),AE35+MAX(0,AK35))</f>
        <v>0</v>
      </c>
      <c r="AM35" s="21" t="n">
        <f aca="false">MIN(ROUND(Z35*(1+Z$15),2),AF35+MAX(0,AK35-AL35+AE35))</f>
        <v>470</v>
      </c>
      <c r="AN35" s="21" t="n">
        <f aca="false">MIN(ROUND(AA35*(1+AA$15),2),AG35+MAX(0,AK35-AL35+AE35-AM35+AF35))</f>
        <v>130</v>
      </c>
      <c r="AO35" s="21" t="n">
        <f aca="false">MIN(ROUND(AB35*(1+AB$15),2),AH35+MAX(0,AK35-AL35+AE35-AM35+AF35-AN35+AG35))</f>
        <v>350</v>
      </c>
      <c r="AP35" s="21" t="n">
        <f aca="false">MIN(ROUND(AC35*(1+AC$15),2),AI35+MAX(0,AK35-AL35+AE35-AM35+AF35-AN35+AG35-AO35+AH35))</f>
        <v>220</v>
      </c>
      <c r="AQ35" s="21" t="n">
        <f aca="false">MIN(ROUND(AD35*(1+AD$15),2),AJ35+MAX(0,AK35-AL35+AE35-AM35+AF35-AN35+AG35-AO35+AH35-AP35+AI35))</f>
        <v>0</v>
      </c>
      <c r="AR35" s="21" t="n">
        <f aca="false">SUM(Y35:AD35)</f>
        <v>41951.2</v>
      </c>
      <c r="AS35" s="21" t="n">
        <f aca="false">SUM(AL35:AQ35)</f>
        <v>1170</v>
      </c>
    </row>
    <row r="36" customFormat="false" ht="15" hidden="false" customHeight="false" outlineLevel="0" collapsed="false">
      <c r="A36" s="25" t="n">
        <f aca="false">A35+1</f>
        <v>10</v>
      </c>
      <c r="B36" s="21" t="n">
        <f aca="false">MAX(0,ROUND(B35*(1+B$15),2)-O35)</f>
        <v>802.02</v>
      </c>
      <c r="C36" s="21" t="n">
        <f aca="false">MAX(0,ROUND(C35*(1+C$15),2)-P35)</f>
        <v>1511.16</v>
      </c>
      <c r="D36" s="21" t="n">
        <f aca="false">MAX(0,ROUND(D35*(1+D$15),2)-Q35)</f>
        <v>2219.32</v>
      </c>
      <c r="E36" s="21" t="n">
        <f aca="false">MAX(0,ROUND(E35*(1+E$15),2)-R35)</f>
        <v>11478.36</v>
      </c>
      <c r="F36" s="21" t="n">
        <f aca="false">MAX(0,ROUND(F35*(1+F$15),2)-S35)</f>
        <v>24978.09</v>
      </c>
      <c r="G36" s="21" t="n">
        <f aca="false">MAX(0,ROUND(G35*(1+G$15),2)-T35)</f>
        <v>0</v>
      </c>
      <c r="H36" s="21" t="n">
        <f aca="false">MIN(B$16,ROUND(B36*(1+B$15),2))</f>
        <v>130</v>
      </c>
      <c r="I36" s="21" t="n">
        <f aca="false">MIN(C$16,ROUND(C36*(1+C$15),2))</f>
        <v>60</v>
      </c>
      <c r="J36" s="21" t="n">
        <f aca="false">MIN(D$16,ROUND(D36*(1+D$15),2))</f>
        <v>110</v>
      </c>
      <c r="K36" s="21" t="n">
        <f aca="false">MIN(E$16,ROUND(E36*(1+E$15),2))</f>
        <v>350</v>
      </c>
      <c r="L36" s="21" t="n">
        <f aca="false">MIN(F$16,ROUND(F36*(1+F$15),2))</f>
        <v>220</v>
      </c>
      <c r="M36" s="21" t="n">
        <f aca="false">MIN(G$16,ROUND(G36*(1+G$15),2))</f>
        <v>0</v>
      </c>
      <c r="N36" s="21" t="n">
        <f aca="false">B$20-SUM(H36:M36)</f>
        <v>300</v>
      </c>
      <c r="O36" s="21" t="n">
        <f aca="false">MIN(ROUND(B36*(1+B$15),2),H36+MAX(0,N36))</f>
        <v>430</v>
      </c>
      <c r="P36" s="21" t="n">
        <f aca="false">MIN(ROUND(C36*(1+C$15),2),I36+MAX(0,N36-O36+H36))</f>
        <v>60</v>
      </c>
      <c r="Q36" s="21" t="n">
        <f aca="false">MIN(ROUND(D36*(1+D$15),2),J36+MAX(0,N36-O36+H36-P36+I36))</f>
        <v>110</v>
      </c>
      <c r="R36" s="21" t="n">
        <f aca="false">MIN(ROUND(E36*(1+E$15),2),K36+MAX(0,N36-O36+H36-P36+I36-Q36+J36))</f>
        <v>350</v>
      </c>
      <c r="S36" s="21" t="n">
        <f aca="false">MIN(ROUND(F36*(1+F$15),2),L36+MAX(0,N36-O36+H36-P36+I36-Q36+J36-R36+K36))</f>
        <v>220</v>
      </c>
      <c r="T36" s="21" t="n">
        <f aca="false">MIN(ROUND(G36*(1+G$15),2),M36+MAX(0,N36-O36+H36-P36+I36-Q36+J36-R36+K36-S36+L36))</f>
        <v>0</v>
      </c>
      <c r="U36" s="21" t="n">
        <f aca="false">SUM(B36:G36)</f>
        <v>40988.95</v>
      </c>
      <c r="V36" s="21" t="n">
        <f aca="false">SUM(O36:T36)</f>
        <v>1170</v>
      </c>
      <c r="X36" s="25" t="n">
        <f aca="false">X35+1</f>
        <v>10</v>
      </c>
      <c r="Y36" s="21" t="n">
        <f aca="false">MAX(0,ROUND(Y35*(1+Y$15),2)-AL35)</f>
        <v>0</v>
      </c>
      <c r="Z36" s="21" t="n">
        <f aca="false">MAX(0,ROUND(Z35*(1+Z$15),2)-AM35)</f>
        <v>858.45</v>
      </c>
      <c r="AA36" s="21" t="n">
        <f aca="false">MAX(0,ROUND(AA35*(1+AA$15),2)-AN35)</f>
        <v>3718.45</v>
      </c>
      <c r="AB36" s="21" t="n">
        <f aca="false">MAX(0,ROUND(AB35*(1+AB$15),2)-AO35)</f>
        <v>11478.36</v>
      </c>
      <c r="AC36" s="21" t="n">
        <f aca="false">MAX(0,ROUND(AC35*(1+AC$15),2)-AP35)</f>
        <v>24978.09</v>
      </c>
      <c r="AD36" s="21" t="n">
        <f aca="false">MAX(0,ROUND(AD35*(1+AD$15),2)-AQ35)</f>
        <v>0</v>
      </c>
      <c r="AE36" s="21" t="n">
        <f aca="false">MIN(Y$16,ROUND(Y36*(1+Y$15),2))</f>
        <v>0</v>
      </c>
      <c r="AF36" s="21" t="n">
        <f aca="false">MIN(Z$16,ROUND(Z36*(1+Z$15),2))</f>
        <v>110</v>
      </c>
      <c r="AG36" s="21" t="n">
        <f aca="false">MIN(AA$16,ROUND(AA36*(1+AA$15),2))</f>
        <v>130</v>
      </c>
      <c r="AH36" s="21" t="n">
        <f aca="false">MIN(AB$16,ROUND(AB36*(1+AB$15),2))</f>
        <v>350</v>
      </c>
      <c r="AI36" s="21" t="n">
        <f aca="false">MIN(AC$16,ROUND(AC36*(1+AC$15),2))</f>
        <v>220</v>
      </c>
      <c r="AJ36" s="21" t="n">
        <f aca="false">MIN(AD$16,ROUND(AD36*(1+AD$15),2))</f>
        <v>0</v>
      </c>
      <c r="AK36" s="21" t="n">
        <f aca="false">Y$20-SUM(AE36:AJ36)</f>
        <v>360</v>
      </c>
      <c r="AL36" s="21" t="n">
        <f aca="false">MIN(ROUND(Y36*(1+Y$15),2),AE36+MAX(0,AK36))</f>
        <v>0</v>
      </c>
      <c r="AM36" s="21" t="n">
        <f aca="false">MIN(ROUND(Z36*(1+Z$15),2),AF36+MAX(0,AK36-AL36+AE36))</f>
        <v>470</v>
      </c>
      <c r="AN36" s="21" t="n">
        <f aca="false">MIN(ROUND(AA36*(1+AA$15),2),AG36+MAX(0,AK36-AL36+AE36-AM36+AF36))</f>
        <v>130</v>
      </c>
      <c r="AO36" s="21" t="n">
        <f aca="false">MIN(ROUND(AB36*(1+AB$15),2),AH36+MAX(0,AK36-AL36+AE36-AM36+AF36-AN36+AG36))</f>
        <v>350</v>
      </c>
      <c r="AP36" s="21" t="n">
        <f aca="false">MIN(ROUND(AC36*(1+AC$15),2),AI36+MAX(0,AK36-AL36+AE36-AM36+AF36-AN36+AG36-AO36+AH36))</f>
        <v>220</v>
      </c>
      <c r="AQ36" s="21" t="n">
        <f aca="false">MIN(ROUND(AD36*(1+AD$15),2),AJ36+MAX(0,AK36-AL36+AE36-AM36+AF36-AN36+AG36-AO36+AH36-AP36+AI36))</f>
        <v>0</v>
      </c>
      <c r="AR36" s="21" t="n">
        <f aca="false">SUM(Y36:AD36)</f>
        <v>41033.35</v>
      </c>
      <c r="AS36" s="21" t="n">
        <f aca="false">SUM(AL36:AQ36)</f>
        <v>1170</v>
      </c>
    </row>
    <row r="37" customFormat="false" ht="15" hidden="false" customHeight="false" outlineLevel="0" collapsed="false">
      <c r="A37" s="25" t="n">
        <f aca="false">A36+1</f>
        <v>11</v>
      </c>
      <c r="B37" s="21" t="n">
        <f aca="false">MAX(0,ROUND(B36*(1+B$15),2)-O36)</f>
        <v>387.39</v>
      </c>
      <c r="C37" s="21" t="n">
        <f aca="false">MAX(0,ROUND(C36*(1+C$15),2)-P36)</f>
        <v>1476.33</v>
      </c>
      <c r="D37" s="21" t="n">
        <f aca="false">MAX(0,ROUND(D36*(1+D$15),2)-Q36)</f>
        <v>2128.74</v>
      </c>
      <c r="E37" s="21" t="n">
        <f aca="false">MAX(0,ROUND(E36*(1+E$15),2)-R36)</f>
        <v>11190.53</v>
      </c>
      <c r="F37" s="21" t="n">
        <f aca="false">MAX(0,ROUND(F36*(1+F$15),2)-S36)</f>
        <v>24862.17</v>
      </c>
      <c r="G37" s="21" t="n">
        <f aca="false">MAX(0,ROUND(G36*(1+G$15),2)-T36)</f>
        <v>0</v>
      </c>
      <c r="H37" s="21" t="n">
        <f aca="false">MIN(B$16,ROUND(B37*(1+B$15),2))</f>
        <v>130</v>
      </c>
      <c r="I37" s="21" t="n">
        <f aca="false">MIN(C$16,ROUND(C37*(1+C$15),2))</f>
        <v>60</v>
      </c>
      <c r="J37" s="21" t="n">
        <f aca="false">MIN(D$16,ROUND(D37*(1+D$15),2))</f>
        <v>110</v>
      </c>
      <c r="K37" s="21" t="n">
        <f aca="false">MIN(E$16,ROUND(E37*(1+E$15),2))</f>
        <v>350</v>
      </c>
      <c r="L37" s="21" t="n">
        <f aca="false">MIN(F$16,ROUND(F37*(1+F$15),2))</f>
        <v>220</v>
      </c>
      <c r="M37" s="21" t="n">
        <f aca="false">MIN(G$16,ROUND(G37*(1+G$15),2))</f>
        <v>0</v>
      </c>
      <c r="N37" s="21" t="n">
        <f aca="false">B$20-SUM(H37:M37)</f>
        <v>300</v>
      </c>
      <c r="O37" s="21" t="n">
        <f aca="false">MIN(ROUND(B37*(1+B$15),2),H37+MAX(0,N37))</f>
        <v>394.81</v>
      </c>
      <c r="P37" s="21" t="n">
        <f aca="false">MIN(ROUND(C37*(1+C$15),2),I37+MAX(0,N37-O37+H37))</f>
        <v>95.19</v>
      </c>
      <c r="Q37" s="21" t="n">
        <f aca="false">MIN(ROUND(D37*(1+D$15),2),J37+MAX(0,N37-O37+H37-P37+I37))</f>
        <v>110</v>
      </c>
      <c r="R37" s="21" t="n">
        <f aca="false">MIN(ROUND(E37*(1+E$15),2),K37+MAX(0,N37-O37+H37-P37+I37-Q37+J37))</f>
        <v>350</v>
      </c>
      <c r="S37" s="21" t="n">
        <f aca="false">MIN(ROUND(F37*(1+F$15),2),L37+MAX(0,N37-O37+H37-P37+I37-Q37+J37-R37+K37))</f>
        <v>220</v>
      </c>
      <c r="T37" s="21" t="n">
        <f aca="false">MIN(ROUND(G37*(1+G$15),2),M37+MAX(0,N37-O37+H37-P37+I37-Q37+J37-R37+K37-S37+L37))</f>
        <v>0</v>
      </c>
      <c r="U37" s="21" t="n">
        <f aca="false">SUM(B37:G37)</f>
        <v>40045.16</v>
      </c>
      <c r="V37" s="21" t="n">
        <f aca="false">SUM(O37:T37)</f>
        <v>1170</v>
      </c>
      <c r="X37" s="25" t="n">
        <f aca="false">X36+1</f>
        <v>11</v>
      </c>
      <c r="Y37" s="21" t="n">
        <f aca="false">MAX(0,ROUND(Y36*(1+Y$15),2)-AL36)</f>
        <v>0</v>
      </c>
      <c r="Z37" s="21" t="n">
        <f aca="false">MAX(0,ROUND(Z36*(1+Z$15),2)-AM36)</f>
        <v>395.96</v>
      </c>
      <c r="AA37" s="21" t="n">
        <f aca="false">MAX(0,ROUND(AA36*(1+AA$15),2)-AN36)</f>
        <v>3659.69</v>
      </c>
      <c r="AB37" s="21" t="n">
        <f aca="false">MAX(0,ROUND(AB36*(1+AB$15),2)-AO36)</f>
        <v>11190.53</v>
      </c>
      <c r="AC37" s="21" t="n">
        <f aca="false">MAX(0,ROUND(AC36*(1+AC$15),2)-AP36)</f>
        <v>24862.17</v>
      </c>
      <c r="AD37" s="21" t="n">
        <f aca="false">MAX(0,ROUND(AD36*(1+AD$15),2)-AQ36)</f>
        <v>0</v>
      </c>
      <c r="AE37" s="21" t="n">
        <f aca="false">MIN(Y$16,ROUND(Y37*(1+Y$15),2))</f>
        <v>0</v>
      </c>
      <c r="AF37" s="21" t="n">
        <f aca="false">MIN(Z$16,ROUND(Z37*(1+Z$15),2))</f>
        <v>110</v>
      </c>
      <c r="AG37" s="21" t="n">
        <f aca="false">MIN(AA$16,ROUND(AA37*(1+AA$15),2))</f>
        <v>130</v>
      </c>
      <c r="AH37" s="21" t="n">
        <f aca="false">MIN(AB$16,ROUND(AB37*(1+AB$15),2))</f>
        <v>350</v>
      </c>
      <c r="AI37" s="21" t="n">
        <f aca="false">MIN(AC$16,ROUND(AC37*(1+AC$15),2))</f>
        <v>220</v>
      </c>
      <c r="AJ37" s="21" t="n">
        <f aca="false">MIN(AD$16,ROUND(AD37*(1+AD$15),2))</f>
        <v>0</v>
      </c>
      <c r="AK37" s="21" t="n">
        <f aca="false">Y$20-SUM(AE37:AJ37)</f>
        <v>360</v>
      </c>
      <c r="AL37" s="21" t="n">
        <f aca="false">MIN(ROUND(Y37*(1+Y$15),2),AE37+MAX(0,AK37))</f>
        <v>0</v>
      </c>
      <c r="AM37" s="21" t="n">
        <f aca="false">MIN(ROUND(Z37*(1+Z$15),2),AF37+MAX(0,AK37-AL37+AE37))</f>
        <v>399.42</v>
      </c>
      <c r="AN37" s="21" t="n">
        <f aca="false">MIN(ROUND(AA37*(1+AA$15),2),AG37+MAX(0,AK37-AL37+AE37-AM37+AF37))</f>
        <v>200.58</v>
      </c>
      <c r="AO37" s="21" t="n">
        <f aca="false">MIN(ROUND(AB37*(1+AB$15),2),AH37+MAX(0,AK37-AL37+AE37-AM37+AF37-AN37+AG37))</f>
        <v>350</v>
      </c>
      <c r="AP37" s="21" t="n">
        <f aca="false">MIN(ROUND(AC37*(1+AC$15),2),AI37+MAX(0,AK37-AL37+AE37-AM37+AF37-AN37+AG37-AO37+AH37))</f>
        <v>220</v>
      </c>
      <c r="AQ37" s="21" t="n">
        <f aca="false">MIN(ROUND(AD37*(1+AD$15),2),AJ37+MAX(0,AK37-AL37+AE37-AM37+AF37-AN37+AG37-AO37+AH37-AP37+AI37))</f>
        <v>0</v>
      </c>
      <c r="AR37" s="21" t="n">
        <f aca="false">SUM(Y37:AD37)</f>
        <v>40108.35</v>
      </c>
      <c r="AS37" s="21" t="n">
        <f aca="false">SUM(AL37:AQ37)</f>
        <v>1170</v>
      </c>
    </row>
    <row r="38" customFormat="false" ht="15" hidden="false" customHeight="false" outlineLevel="0" collapsed="false">
      <c r="A38" s="25" t="n">
        <f aca="false">A37+1</f>
        <v>12</v>
      </c>
      <c r="B38" s="21" t="n">
        <f aca="false">MAX(0,ROUND(B37*(1+B$15),2)-O37)</f>
        <v>0</v>
      </c>
      <c r="C38" s="21" t="n">
        <f aca="false">MAX(0,ROUND(C37*(1+C$15),2)-P37)</f>
        <v>1405.73</v>
      </c>
      <c r="D38" s="21" t="n">
        <f aca="false">MAX(0,ROUND(D37*(1+D$15),2)-Q37)</f>
        <v>2037.37</v>
      </c>
      <c r="E38" s="21" t="n">
        <f aca="false">MAX(0,ROUND(E37*(1+E$15),2)-R37)</f>
        <v>10901.15</v>
      </c>
      <c r="F38" s="21" t="n">
        <f aca="false">MAX(0,ROUND(F37*(1+F$15),2)-S37)</f>
        <v>24745.76</v>
      </c>
      <c r="G38" s="21" t="n">
        <f aca="false">MAX(0,ROUND(G37*(1+G$15),2)-T37)</f>
        <v>0</v>
      </c>
      <c r="H38" s="21" t="n">
        <f aca="false">MIN(B$16,ROUND(B38*(1+B$15),2))</f>
        <v>0</v>
      </c>
      <c r="I38" s="21" t="n">
        <f aca="false">MIN(C$16,ROUND(C38*(1+C$15),2))</f>
        <v>60</v>
      </c>
      <c r="J38" s="21" t="n">
        <f aca="false">MIN(D$16,ROUND(D38*(1+D$15),2))</f>
        <v>110</v>
      </c>
      <c r="K38" s="21" t="n">
        <f aca="false">MIN(E$16,ROUND(E38*(1+E$15),2))</f>
        <v>350</v>
      </c>
      <c r="L38" s="21" t="n">
        <f aca="false">MIN(F$16,ROUND(F38*(1+F$15),2))</f>
        <v>220</v>
      </c>
      <c r="M38" s="21" t="n">
        <f aca="false">MIN(G$16,ROUND(G38*(1+G$15),2))</f>
        <v>0</v>
      </c>
      <c r="N38" s="21" t="n">
        <f aca="false">B$20-SUM(H38:M38)</f>
        <v>430</v>
      </c>
      <c r="O38" s="21" t="n">
        <f aca="false">MIN(ROUND(B38*(1+B$15),2),H38+MAX(0,N38))</f>
        <v>0</v>
      </c>
      <c r="P38" s="21" t="n">
        <f aca="false">MIN(ROUND(C38*(1+C$15),2),I38+MAX(0,N38-O38+H38))</f>
        <v>490</v>
      </c>
      <c r="Q38" s="21" t="n">
        <f aca="false">MIN(ROUND(D38*(1+D$15),2),J38+MAX(0,N38-O38+H38-P38+I38))</f>
        <v>110</v>
      </c>
      <c r="R38" s="21" t="n">
        <f aca="false">MIN(ROUND(E38*(1+E$15),2),K38+MAX(0,N38-O38+H38-P38+I38-Q38+J38))</f>
        <v>350</v>
      </c>
      <c r="S38" s="21" t="n">
        <f aca="false">MIN(ROUND(F38*(1+F$15),2),L38+MAX(0,N38-O38+H38-P38+I38-Q38+J38-R38+K38))</f>
        <v>220</v>
      </c>
      <c r="T38" s="21" t="n">
        <f aca="false">MIN(ROUND(G38*(1+G$15),2),M38+MAX(0,N38-O38+H38-P38+I38-Q38+J38-R38+K38-S38+L38))</f>
        <v>0</v>
      </c>
      <c r="U38" s="21" t="n">
        <f aca="false">SUM(B38:G38)</f>
        <v>39090.01</v>
      </c>
      <c r="V38" s="21" t="n">
        <f aca="false">SUM(O38:T38)</f>
        <v>1170</v>
      </c>
      <c r="X38" s="25" t="n">
        <f aca="false">X37+1</f>
        <v>12</v>
      </c>
      <c r="Y38" s="21" t="n">
        <f aca="false">MAX(0,ROUND(Y37*(1+Y$15),2)-AL37)</f>
        <v>0</v>
      </c>
      <c r="Z38" s="21" t="n">
        <f aca="false">MAX(0,ROUND(Z37*(1+Z$15),2)-AM37)</f>
        <v>0</v>
      </c>
      <c r="AA38" s="21" t="n">
        <f aca="false">MAX(0,ROUND(AA37*(1+AA$15),2)-AN37)</f>
        <v>3529.22</v>
      </c>
      <c r="AB38" s="21" t="n">
        <f aca="false">MAX(0,ROUND(AB37*(1+AB$15),2)-AO37)</f>
        <v>10901.15</v>
      </c>
      <c r="AC38" s="21" t="n">
        <f aca="false">MAX(0,ROUND(AC37*(1+AC$15),2)-AP37)</f>
        <v>24745.76</v>
      </c>
      <c r="AD38" s="21" t="n">
        <f aca="false">MAX(0,ROUND(AD37*(1+AD$15),2)-AQ37)</f>
        <v>0</v>
      </c>
      <c r="AE38" s="21" t="n">
        <f aca="false">MIN(Y$16,ROUND(Y38*(1+Y$15),2))</f>
        <v>0</v>
      </c>
      <c r="AF38" s="21" t="n">
        <f aca="false">MIN(Z$16,ROUND(Z38*(1+Z$15),2))</f>
        <v>0</v>
      </c>
      <c r="AG38" s="21" t="n">
        <f aca="false">MIN(AA$16,ROUND(AA38*(1+AA$15),2))</f>
        <v>130</v>
      </c>
      <c r="AH38" s="21" t="n">
        <f aca="false">MIN(AB$16,ROUND(AB38*(1+AB$15),2))</f>
        <v>350</v>
      </c>
      <c r="AI38" s="21" t="n">
        <f aca="false">MIN(AC$16,ROUND(AC38*(1+AC$15),2))</f>
        <v>220</v>
      </c>
      <c r="AJ38" s="21" t="n">
        <f aca="false">MIN(AD$16,ROUND(AD38*(1+AD$15),2))</f>
        <v>0</v>
      </c>
      <c r="AK38" s="21" t="n">
        <f aca="false">Y$20-SUM(AE38:AJ38)</f>
        <v>470</v>
      </c>
      <c r="AL38" s="21" t="n">
        <f aca="false">MIN(ROUND(Y38*(1+Y$15),2),AE38+MAX(0,AK38))</f>
        <v>0</v>
      </c>
      <c r="AM38" s="21" t="n">
        <f aca="false">MIN(ROUND(Z38*(1+Z$15),2),AF38+MAX(0,AK38-AL38+AE38))</f>
        <v>0</v>
      </c>
      <c r="AN38" s="21" t="n">
        <f aca="false">MIN(ROUND(AA38*(1+AA$15),2),AG38+MAX(0,AK38-AL38+AE38-AM38+AF38))</f>
        <v>600</v>
      </c>
      <c r="AO38" s="21" t="n">
        <f aca="false">MIN(ROUND(AB38*(1+AB$15),2),AH38+MAX(0,AK38-AL38+AE38-AM38+AF38-AN38+AG38))</f>
        <v>350</v>
      </c>
      <c r="AP38" s="21" t="n">
        <f aca="false">MIN(ROUND(AC38*(1+AC$15),2),AI38+MAX(0,AK38-AL38+AE38-AM38+AF38-AN38+AG38-AO38+AH38))</f>
        <v>220</v>
      </c>
      <c r="AQ38" s="21" t="n">
        <f aca="false">MIN(ROUND(AD38*(1+AD$15),2),AJ38+MAX(0,AK38-AL38+AE38-AM38+AF38-AN38+AG38-AO38+AH38-AP38+AI38))</f>
        <v>0</v>
      </c>
      <c r="AR38" s="21" t="n">
        <f aca="false">SUM(Y38:AD38)</f>
        <v>39176.13</v>
      </c>
      <c r="AS38" s="21" t="n">
        <f aca="false">SUM(AL38:AQ38)</f>
        <v>1170</v>
      </c>
    </row>
    <row r="39" customFormat="false" ht="15" hidden="false" customHeight="false" outlineLevel="0" collapsed="false">
      <c r="A39" s="25" t="n">
        <f aca="false">A38+1</f>
        <v>13</v>
      </c>
      <c r="B39" s="21" t="n">
        <f aca="false">MAX(0,ROUND(B38*(1+B$15),2)-O38)</f>
        <v>0</v>
      </c>
      <c r="C39" s="21" t="n">
        <f aca="false">MAX(0,ROUND(C38*(1+C$15),2)-P38)</f>
        <v>939.15</v>
      </c>
      <c r="D39" s="21" t="n">
        <f aca="false">MAX(0,ROUND(D38*(1+D$15),2)-Q38)</f>
        <v>1945.2</v>
      </c>
      <c r="E39" s="21" t="n">
        <f aca="false">MAX(0,ROUND(E38*(1+E$15),2)-R38)</f>
        <v>10610.2</v>
      </c>
      <c r="F39" s="21" t="n">
        <f aca="false">MAX(0,ROUND(F38*(1+F$15),2)-S38)</f>
        <v>24628.87</v>
      </c>
      <c r="G39" s="21" t="n">
        <f aca="false">MAX(0,ROUND(G38*(1+G$15),2)-T38)</f>
        <v>0</v>
      </c>
      <c r="H39" s="21" t="n">
        <f aca="false">MIN(B$16,ROUND(B39*(1+B$15),2))</f>
        <v>0</v>
      </c>
      <c r="I39" s="21" t="n">
        <f aca="false">MIN(C$16,ROUND(C39*(1+C$15),2))</f>
        <v>60</v>
      </c>
      <c r="J39" s="21" t="n">
        <f aca="false">MIN(D$16,ROUND(D39*(1+D$15),2))</f>
        <v>110</v>
      </c>
      <c r="K39" s="21" t="n">
        <f aca="false">MIN(E$16,ROUND(E39*(1+E$15),2))</f>
        <v>350</v>
      </c>
      <c r="L39" s="21" t="n">
        <f aca="false">MIN(F$16,ROUND(F39*(1+F$15),2))</f>
        <v>220</v>
      </c>
      <c r="M39" s="21" t="n">
        <f aca="false">MIN(G$16,ROUND(G39*(1+G$15),2))</f>
        <v>0</v>
      </c>
      <c r="N39" s="21" t="n">
        <f aca="false">B$20-SUM(H39:M39)</f>
        <v>430</v>
      </c>
      <c r="O39" s="21" t="n">
        <f aca="false">MIN(ROUND(B39*(1+B$15),2),H39+MAX(0,N39))</f>
        <v>0</v>
      </c>
      <c r="P39" s="21" t="n">
        <f aca="false">MIN(ROUND(C39*(1+C$15),2),I39+MAX(0,N39-O39+H39))</f>
        <v>490</v>
      </c>
      <c r="Q39" s="21" t="n">
        <f aca="false">MIN(ROUND(D39*(1+D$15),2),J39+MAX(0,N39-O39+H39-P39+I39))</f>
        <v>110</v>
      </c>
      <c r="R39" s="21" t="n">
        <f aca="false">MIN(ROUND(E39*(1+E$15),2),K39+MAX(0,N39-O39+H39-P39+I39-Q39+J39))</f>
        <v>350</v>
      </c>
      <c r="S39" s="21" t="n">
        <f aca="false">MIN(ROUND(F39*(1+F$15),2),L39+MAX(0,N39-O39+H39-P39+I39-Q39+J39-R39+K39))</f>
        <v>220</v>
      </c>
      <c r="T39" s="21" t="n">
        <f aca="false">MIN(ROUND(G39*(1+G$15),2),M39+MAX(0,N39-O39+H39-P39+I39-Q39+J39-R39+K39-S39+L39))</f>
        <v>0</v>
      </c>
      <c r="U39" s="21" t="n">
        <f aca="false">SUM(B39:G39)</f>
        <v>38123.42</v>
      </c>
      <c r="V39" s="21" t="n">
        <f aca="false">SUM(O39:T39)</f>
        <v>1170</v>
      </c>
      <c r="X39" s="25" t="n">
        <f aca="false">X38+1</f>
        <v>13</v>
      </c>
      <c r="Y39" s="21" t="n">
        <f aca="false">MAX(0,ROUND(Y38*(1+Y$15),2)-AL38)</f>
        <v>0</v>
      </c>
      <c r="Z39" s="21" t="n">
        <f aca="false">MAX(0,ROUND(Z38*(1+Z$15),2)-AM38)</f>
        <v>0</v>
      </c>
      <c r="AA39" s="21" t="n">
        <f aca="false">MAX(0,ROUND(AA38*(1+AA$15),2)-AN38)</f>
        <v>2996.83</v>
      </c>
      <c r="AB39" s="21" t="n">
        <f aca="false">MAX(0,ROUND(AB38*(1+AB$15),2)-AO38)</f>
        <v>10610.2</v>
      </c>
      <c r="AC39" s="21" t="n">
        <f aca="false">MAX(0,ROUND(AC38*(1+AC$15),2)-AP38)</f>
        <v>24628.87</v>
      </c>
      <c r="AD39" s="21" t="n">
        <f aca="false">MAX(0,ROUND(AD38*(1+AD$15),2)-AQ38)</f>
        <v>0</v>
      </c>
      <c r="AE39" s="21" t="n">
        <f aca="false">MIN(Y$16,ROUND(Y39*(1+Y$15),2))</f>
        <v>0</v>
      </c>
      <c r="AF39" s="21" t="n">
        <f aca="false">MIN(Z$16,ROUND(Z39*(1+Z$15),2))</f>
        <v>0</v>
      </c>
      <c r="AG39" s="21" t="n">
        <f aca="false">MIN(AA$16,ROUND(AA39*(1+AA$15),2))</f>
        <v>130</v>
      </c>
      <c r="AH39" s="21" t="n">
        <f aca="false">MIN(AB$16,ROUND(AB39*(1+AB$15),2))</f>
        <v>350</v>
      </c>
      <c r="AI39" s="21" t="n">
        <f aca="false">MIN(AC$16,ROUND(AC39*(1+AC$15),2))</f>
        <v>220</v>
      </c>
      <c r="AJ39" s="21" t="n">
        <f aca="false">MIN(AD$16,ROUND(AD39*(1+AD$15),2))</f>
        <v>0</v>
      </c>
      <c r="AK39" s="21" t="n">
        <f aca="false">Y$20-SUM(AE39:AJ39)</f>
        <v>470</v>
      </c>
      <c r="AL39" s="21" t="n">
        <f aca="false">MIN(ROUND(Y39*(1+Y$15),2),AE39+MAX(0,AK39))</f>
        <v>0</v>
      </c>
      <c r="AM39" s="21" t="n">
        <f aca="false">MIN(ROUND(Z39*(1+Z$15),2),AF39+MAX(0,AK39-AL39+AE39))</f>
        <v>0</v>
      </c>
      <c r="AN39" s="21" t="n">
        <f aca="false">MIN(ROUND(AA39*(1+AA$15),2),AG39+MAX(0,AK39-AL39+AE39-AM39+AF39))</f>
        <v>600</v>
      </c>
      <c r="AO39" s="21" t="n">
        <f aca="false">MIN(ROUND(AB39*(1+AB$15),2),AH39+MAX(0,AK39-AL39+AE39-AM39+AF39-AN39+AG39))</f>
        <v>350</v>
      </c>
      <c r="AP39" s="21" t="n">
        <f aca="false">MIN(ROUND(AC39*(1+AC$15),2),AI39+MAX(0,AK39-AL39+AE39-AM39+AF39-AN39+AG39-AO39+AH39))</f>
        <v>220</v>
      </c>
      <c r="AQ39" s="21" t="n">
        <f aca="false">MIN(ROUND(AD39*(1+AD$15),2),AJ39+MAX(0,AK39-AL39+AE39-AM39+AF39-AN39+AG39-AO39+AH39-AP39+AI39))</f>
        <v>0</v>
      </c>
      <c r="AR39" s="21" t="n">
        <f aca="false">SUM(Y39:AD39)</f>
        <v>38235.9</v>
      </c>
      <c r="AS39" s="21" t="n">
        <f aca="false">SUM(AL39:AQ39)</f>
        <v>1170</v>
      </c>
    </row>
    <row r="40" customFormat="false" ht="15" hidden="false" customHeight="false" outlineLevel="0" collapsed="false">
      <c r="A40" s="25" t="n">
        <f aca="false">A39+1</f>
        <v>14</v>
      </c>
      <c r="B40" s="21" t="n">
        <f aca="false">MAX(0,ROUND(B39*(1+B$15),2)-O39)</f>
        <v>0</v>
      </c>
      <c r="C40" s="21" t="n">
        <f aca="false">MAX(0,ROUND(C39*(1+C$15),2)-P39)</f>
        <v>464.79</v>
      </c>
      <c r="D40" s="21" t="n">
        <f aca="false">MAX(0,ROUND(D39*(1+D$15),2)-Q39)</f>
        <v>1852.22</v>
      </c>
      <c r="E40" s="21" t="n">
        <f aca="false">MAX(0,ROUND(E39*(1+E$15),2)-R39)</f>
        <v>10317.67</v>
      </c>
      <c r="F40" s="21" t="n">
        <f aca="false">MAX(0,ROUND(F39*(1+F$15),2)-S39)</f>
        <v>24511.49</v>
      </c>
      <c r="G40" s="21" t="n">
        <f aca="false">MAX(0,ROUND(G39*(1+G$15),2)-T39)</f>
        <v>0</v>
      </c>
      <c r="H40" s="21" t="n">
        <f aca="false">MIN(B$16,ROUND(B40*(1+B$15),2))</f>
        <v>0</v>
      </c>
      <c r="I40" s="21" t="n">
        <f aca="false">MIN(C$16,ROUND(C40*(1+C$15),2))</f>
        <v>60</v>
      </c>
      <c r="J40" s="21" t="n">
        <f aca="false">MIN(D$16,ROUND(D40*(1+D$15),2))</f>
        <v>110</v>
      </c>
      <c r="K40" s="21" t="n">
        <f aca="false">MIN(E$16,ROUND(E40*(1+E$15),2))</f>
        <v>350</v>
      </c>
      <c r="L40" s="21" t="n">
        <f aca="false">MIN(F$16,ROUND(F40*(1+F$15),2))</f>
        <v>220</v>
      </c>
      <c r="M40" s="21" t="n">
        <f aca="false">MIN(G$16,ROUND(G40*(1+G$15),2))</f>
        <v>0</v>
      </c>
      <c r="N40" s="21" t="n">
        <f aca="false">B$20-SUM(H40:M40)</f>
        <v>430</v>
      </c>
      <c r="O40" s="21" t="n">
        <f aca="false">MIN(ROUND(B40*(1+B$15),2),H40+MAX(0,N40))</f>
        <v>0</v>
      </c>
      <c r="P40" s="21" t="n">
        <f aca="false">MIN(ROUND(C40*(1+C$15),2),I40+MAX(0,N40-O40+H40))</f>
        <v>472.53</v>
      </c>
      <c r="Q40" s="21" t="n">
        <f aca="false">MIN(ROUND(D40*(1+D$15),2),J40+MAX(0,N40-O40+H40-P40+I40))</f>
        <v>127.47</v>
      </c>
      <c r="R40" s="21" t="n">
        <f aca="false">MIN(ROUND(E40*(1+E$15),2),K40+MAX(0,N40-O40+H40-P40+I40-Q40+J40))</f>
        <v>350</v>
      </c>
      <c r="S40" s="21" t="n">
        <f aca="false">MIN(ROUND(F40*(1+F$15),2),L40+MAX(0,N40-O40+H40-P40+I40-Q40+J40-R40+K40))</f>
        <v>220</v>
      </c>
      <c r="T40" s="21" t="n">
        <f aca="false">MIN(ROUND(G40*(1+G$15),2),M40+MAX(0,N40-O40+H40-P40+I40-Q40+J40-R40+K40-S40+L40))</f>
        <v>0</v>
      </c>
      <c r="U40" s="21" t="n">
        <f aca="false">SUM(B40:G40)</f>
        <v>37146.17</v>
      </c>
      <c r="V40" s="21" t="n">
        <f aca="false">SUM(O40:T40)</f>
        <v>1170</v>
      </c>
      <c r="X40" s="25" t="n">
        <f aca="false">X39+1</f>
        <v>14</v>
      </c>
      <c r="Y40" s="21" t="n">
        <f aca="false">MAX(0,ROUND(Y39*(1+Y$15),2)-AL39)</f>
        <v>0</v>
      </c>
      <c r="Z40" s="21" t="n">
        <f aca="false">MAX(0,ROUND(Z39*(1+Z$15),2)-AM39)</f>
        <v>0</v>
      </c>
      <c r="AA40" s="21" t="n">
        <f aca="false">MAX(0,ROUND(AA39*(1+AA$15),2)-AN39)</f>
        <v>2454.24</v>
      </c>
      <c r="AB40" s="21" t="n">
        <f aca="false">MAX(0,ROUND(AB39*(1+AB$15),2)-AO39)</f>
        <v>10317.67</v>
      </c>
      <c r="AC40" s="21" t="n">
        <f aca="false">MAX(0,ROUND(AC39*(1+AC$15),2)-AP39)</f>
        <v>24511.49</v>
      </c>
      <c r="AD40" s="21" t="n">
        <f aca="false">MAX(0,ROUND(AD39*(1+AD$15),2)-AQ39)</f>
        <v>0</v>
      </c>
      <c r="AE40" s="21" t="n">
        <f aca="false">MIN(Y$16,ROUND(Y40*(1+Y$15),2))</f>
        <v>0</v>
      </c>
      <c r="AF40" s="21" t="n">
        <f aca="false">MIN(Z$16,ROUND(Z40*(1+Z$15),2))</f>
        <v>0</v>
      </c>
      <c r="AG40" s="21" t="n">
        <f aca="false">MIN(AA$16,ROUND(AA40*(1+AA$15),2))</f>
        <v>130</v>
      </c>
      <c r="AH40" s="21" t="n">
        <f aca="false">MIN(AB$16,ROUND(AB40*(1+AB$15),2))</f>
        <v>350</v>
      </c>
      <c r="AI40" s="21" t="n">
        <f aca="false">MIN(AC$16,ROUND(AC40*(1+AC$15),2))</f>
        <v>220</v>
      </c>
      <c r="AJ40" s="21" t="n">
        <f aca="false">MIN(AD$16,ROUND(AD40*(1+AD$15),2))</f>
        <v>0</v>
      </c>
      <c r="AK40" s="21" t="n">
        <f aca="false">Y$20-SUM(AE40:AJ40)</f>
        <v>470</v>
      </c>
      <c r="AL40" s="21" t="n">
        <f aca="false">MIN(ROUND(Y40*(1+Y$15),2),AE40+MAX(0,AK40))</f>
        <v>0</v>
      </c>
      <c r="AM40" s="21" t="n">
        <f aca="false">MIN(ROUND(Z40*(1+Z$15),2),AF40+MAX(0,AK40-AL40+AE40))</f>
        <v>0</v>
      </c>
      <c r="AN40" s="21" t="n">
        <f aca="false">MIN(ROUND(AA40*(1+AA$15),2),AG40+MAX(0,AK40-AL40+AE40-AM40+AF40))</f>
        <v>600</v>
      </c>
      <c r="AO40" s="21" t="n">
        <f aca="false">MIN(ROUND(AB40*(1+AB$15),2),AH40+MAX(0,AK40-AL40+AE40-AM40+AF40-AN40+AG40))</f>
        <v>350</v>
      </c>
      <c r="AP40" s="21" t="n">
        <f aca="false">MIN(ROUND(AC40*(1+AC$15),2),AI40+MAX(0,AK40-AL40+AE40-AM40+AF40-AN40+AG40-AO40+AH40))</f>
        <v>220</v>
      </c>
      <c r="AQ40" s="21" t="n">
        <f aca="false">MIN(ROUND(AD40*(1+AD$15),2),AJ40+MAX(0,AK40-AL40+AE40-AM40+AF40-AN40+AG40-AO40+AH40-AP40+AI40))</f>
        <v>0</v>
      </c>
      <c r="AR40" s="21" t="n">
        <f aca="false">SUM(Y40:AD40)</f>
        <v>37283.4</v>
      </c>
      <c r="AS40" s="21" t="n">
        <f aca="false">SUM(AL40:AQ40)</f>
        <v>1170</v>
      </c>
    </row>
    <row r="41" customFormat="false" ht="15" hidden="false" customHeight="false" outlineLevel="0" collapsed="false">
      <c r="A41" s="25" t="n">
        <f aca="false">A40+1</f>
        <v>15</v>
      </c>
      <c r="B41" s="21" t="n">
        <f aca="false">MAX(0,ROUND(B40*(1+B$15),2)-O40)</f>
        <v>0</v>
      </c>
      <c r="C41" s="21" t="n">
        <f aca="false">MAX(0,ROUND(C40*(1+C$15),2)-P40)</f>
        <v>0</v>
      </c>
      <c r="D41" s="21" t="n">
        <f aca="false">MAX(0,ROUND(D40*(1+D$15),2)-Q40)</f>
        <v>1740.96</v>
      </c>
      <c r="E41" s="21" t="n">
        <f aca="false">MAX(0,ROUND(E40*(1+E$15),2)-R40)</f>
        <v>10023.56</v>
      </c>
      <c r="F41" s="21" t="n">
        <f aca="false">MAX(0,ROUND(F40*(1+F$15),2)-S40)</f>
        <v>24393.62</v>
      </c>
      <c r="G41" s="21" t="n">
        <f aca="false">MAX(0,ROUND(G40*(1+G$15),2)-T40)</f>
        <v>0</v>
      </c>
      <c r="H41" s="21" t="n">
        <f aca="false">MIN(B$16,ROUND(B41*(1+B$15),2))</f>
        <v>0</v>
      </c>
      <c r="I41" s="21" t="n">
        <f aca="false">MIN(C$16,ROUND(C41*(1+C$15),2))</f>
        <v>0</v>
      </c>
      <c r="J41" s="21" t="n">
        <f aca="false">MIN(D$16,ROUND(D41*(1+D$15),2))</f>
        <v>110</v>
      </c>
      <c r="K41" s="21" t="n">
        <f aca="false">MIN(E$16,ROUND(E41*(1+E$15),2))</f>
        <v>350</v>
      </c>
      <c r="L41" s="21" t="n">
        <f aca="false">MIN(F$16,ROUND(F41*(1+F$15),2))</f>
        <v>220</v>
      </c>
      <c r="M41" s="21" t="n">
        <f aca="false">MIN(G$16,ROUND(G41*(1+G$15),2))</f>
        <v>0</v>
      </c>
      <c r="N41" s="21" t="n">
        <f aca="false">B$20-SUM(H41:M41)</f>
        <v>490</v>
      </c>
      <c r="O41" s="21" t="n">
        <f aca="false">MIN(ROUND(B41*(1+B$15),2),H41+MAX(0,N41))</f>
        <v>0</v>
      </c>
      <c r="P41" s="21" t="n">
        <f aca="false">MIN(ROUND(C41*(1+C$15),2),I41+MAX(0,N41-O41+H41))</f>
        <v>0</v>
      </c>
      <c r="Q41" s="21" t="n">
        <f aca="false">MIN(ROUND(D41*(1+D$15),2),J41+MAX(0,N41-O41+H41-P41+I41))</f>
        <v>600</v>
      </c>
      <c r="R41" s="21" t="n">
        <f aca="false">MIN(ROUND(E41*(1+E$15),2),K41+MAX(0,N41-O41+H41-P41+I41-Q41+J41))</f>
        <v>350</v>
      </c>
      <c r="S41" s="21" t="n">
        <f aca="false">MIN(ROUND(F41*(1+F$15),2),L41+MAX(0,N41-O41+H41-P41+I41-Q41+J41-R41+K41))</f>
        <v>220</v>
      </c>
      <c r="T41" s="21" t="n">
        <f aca="false">MIN(ROUND(G41*(1+G$15),2),M41+MAX(0,N41-O41+H41-P41+I41-Q41+J41-R41+K41-S41+L41))</f>
        <v>0</v>
      </c>
      <c r="U41" s="21" t="n">
        <f aca="false">SUM(B41:G41)</f>
        <v>36158.14</v>
      </c>
      <c r="V41" s="21" t="n">
        <f aca="false">SUM(O41:T41)</f>
        <v>1170</v>
      </c>
      <c r="X41" s="25" t="n">
        <f aca="false">X40+1</f>
        <v>15</v>
      </c>
      <c r="Y41" s="21" t="n">
        <f aca="false">MAX(0,ROUND(Y40*(1+Y$15),2)-AL40)</f>
        <v>0</v>
      </c>
      <c r="Z41" s="21" t="n">
        <f aca="false">MAX(0,ROUND(Z40*(1+Z$15),2)-AM40)</f>
        <v>0</v>
      </c>
      <c r="AA41" s="21" t="n">
        <f aca="false">MAX(0,ROUND(AA40*(1+AA$15),2)-AN40)</f>
        <v>1901.26</v>
      </c>
      <c r="AB41" s="21" t="n">
        <f aca="false">MAX(0,ROUND(AB40*(1+AB$15),2)-AO40)</f>
        <v>10023.56</v>
      </c>
      <c r="AC41" s="21" t="n">
        <f aca="false">MAX(0,ROUND(AC40*(1+AC$15),2)-AP40)</f>
        <v>24393.62</v>
      </c>
      <c r="AD41" s="21" t="n">
        <f aca="false">MAX(0,ROUND(AD40*(1+AD$15),2)-AQ40)</f>
        <v>0</v>
      </c>
      <c r="AE41" s="21" t="n">
        <f aca="false">MIN(Y$16,ROUND(Y41*(1+Y$15),2))</f>
        <v>0</v>
      </c>
      <c r="AF41" s="21" t="n">
        <f aca="false">MIN(Z$16,ROUND(Z41*(1+Z$15),2))</f>
        <v>0</v>
      </c>
      <c r="AG41" s="21" t="n">
        <f aca="false">MIN(AA$16,ROUND(AA41*(1+AA$15),2))</f>
        <v>130</v>
      </c>
      <c r="AH41" s="21" t="n">
        <f aca="false">MIN(AB$16,ROUND(AB41*(1+AB$15),2))</f>
        <v>350</v>
      </c>
      <c r="AI41" s="21" t="n">
        <f aca="false">MIN(AC$16,ROUND(AC41*(1+AC$15),2))</f>
        <v>220</v>
      </c>
      <c r="AJ41" s="21" t="n">
        <f aca="false">MIN(AD$16,ROUND(AD41*(1+AD$15),2))</f>
        <v>0</v>
      </c>
      <c r="AK41" s="21" t="n">
        <f aca="false">Y$20-SUM(AE41:AJ41)</f>
        <v>470</v>
      </c>
      <c r="AL41" s="21" t="n">
        <f aca="false">MIN(ROUND(Y41*(1+Y$15),2),AE41+MAX(0,AK41))</f>
        <v>0</v>
      </c>
      <c r="AM41" s="21" t="n">
        <f aca="false">MIN(ROUND(Z41*(1+Z$15),2),AF41+MAX(0,AK41-AL41+AE41))</f>
        <v>0</v>
      </c>
      <c r="AN41" s="21" t="n">
        <f aca="false">MIN(ROUND(AA41*(1+AA$15),2),AG41+MAX(0,AK41-AL41+AE41-AM41+AF41))</f>
        <v>600</v>
      </c>
      <c r="AO41" s="21" t="n">
        <f aca="false">MIN(ROUND(AB41*(1+AB$15),2),AH41+MAX(0,AK41-AL41+AE41-AM41+AF41-AN41+AG41))</f>
        <v>350</v>
      </c>
      <c r="AP41" s="21" t="n">
        <f aca="false">MIN(ROUND(AC41*(1+AC$15),2),AI41+MAX(0,AK41-AL41+AE41-AM41+AF41-AN41+AG41-AO41+AH41))</f>
        <v>220</v>
      </c>
      <c r="AQ41" s="21" t="n">
        <f aca="false">MIN(ROUND(AD41*(1+AD$15),2),AJ41+MAX(0,AK41-AL41+AE41-AM41+AF41-AN41+AG41-AO41+AH41-AP41+AI41))</f>
        <v>0</v>
      </c>
      <c r="AR41" s="21" t="n">
        <f aca="false">SUM(Y41:AD41)</f>
        <v>36318.44</v>
      </c>
      <c r="AS41" s="21" t="n">
        <f aca="false">SUM(AL41:AQ41)</f>
        <v>1170</v>
      </c>
    </row>
    <row r="42" customFormat="false" ht="15" hidden="false" customHeight="false" outlineLevel="0" collapsed="false">
      <c r="A42" s="25" t="n">
        <f aca="false">A41+1</f>
        <v>16</v>
      </c>
      <c r="B42" s="21" t="n">
        <f aca="false">MAX(0,ROUND(B41*(1+B$15),2)-O41)</f>
        <v>0</v>
      </c>
      <c r="C42" s="21" t="n">
        <f aca="false">MAX(0,ROUND(C41*(1+C$15),2)-P41)</f>
        <v>0</v>
      </c>
      <c r="D42" s="21" t="n">
        <f aca="false">MAX(0,ROUND(D41*(1+D$15),2)-Q41)</f>
        <v>1156.19</v>
      </c>
      <c r="E42" s="21" t="n">
        <f aca="false">MAX(0,ROUND(E41*(1+E$15),2)-R41)</f>
        <v>9727.85</v>
      </c>
      <c r="F42" s="21" t="n">
        <f aca="false">MAX(0,ROUND(F41*(1+F$15),2)-S41)</f>
        <v>24275.26</v>
      </c>
      <c r="G42" s="21" t="n">
        <f aca="false">MAX(0,ROUND(G41*(1+G$15),2)-T41)</f>
        <v>0</v>
      </c>
      <c r="H42" s="21" t="n">
        <f aca="false">MIN(B$16,ROUND(B42*(1+B$15),2))</f>
        <v>0</v>
      </c>
      <c r="I42" s="21" t="n">
        <f aca="false">MIN(C$16,ROUND(C42*(1+C$15),2))</f>
        <v>0</v>
      </c>
      <c r="J42" s="21" t="n">
        <f aca="false">MIN(D$16,ROUND(D42*(1+D$15),2))</f>
        <v>110</v>
      </c>
      <c r="K42" s="21" t="n">
        <f aca="false">MIN(E$16,ROUND(E42*(1+E$15),2))</f>
        <v>350</v>
      </c>
      <c r="L42" s="21" t="n">
        <f aca="false">MIN(F$16,ROUND(F42*(1+F$15),2))</f>
        <v>220</v>
      </c>
      <c r="M42" s="21" t="n">
        <f aca="false">MIN(G$16,ROUND(G42*(1+G$15),2))</f>
        <v>0</v>
      </c>
      <c r="N42" s="21" t="n">
        <f aca="false">B$20-SUM(H42:M42)</f>
        <v>490</v>
      </c>
      <c r="O42" s="21" t="n">
        <f aca="false">MIN(ROUND(B42*(1+B$15),2),H42+MAX(0,N42))</f>
        <v>0</v>
      </c>
      <c r="P42" s="21" t="n">
        <f aca="false">MIN(ROUND(C42*(1+C$15),2),I42+MAX(0,N42-O42+H42))</f>
        <v>0</v>
      </c>
      <c r="Q42" s="21" t="n">
        <f aca="false">MIN(ROUND(D42*(1+D$15),2),J42+MAX(0,N42-O42+H42-P42+I42))</f>
        <v>600</v>
      </c>
      <c r="R42" s="21" t="n">
        <f aca="false">MIN(ROUND(E42*(1+E$15),2),K42+MAX(0,N42-O42+H42-P42+I42-Q42+J42))</f>
        <v>350</v>
      </c>
      <c r="S42" s="21" t="n">
        <f aca="false">MIN(ROUND(F42*(1+F$15),2),L42+MAX(0,N42-O42+H42-P42+I42-Q42+J42-R42+K42))</f>
        <v>220</v>
      </c>
      <c r="T42" s="21" t="n">
        <f aca="false">MIN(ROUND(G42*(1+G$15),2),M42+MAX(0,N42-O42+H42-P42+I42-Q42+J42-R42+K42-S42+L42))</f>
        <v>0</v>
      </c>
      <c r="U42" s="21" t="n">
        <f aca="false">SUM(B42:G42)</f>
        <v>35159.3</v>
      </c>
      <c r="V42" s="21" t="n">
        <f aca="false">SUM(O42:T42)</f>
        <v>1170</v>
      </c>
      <c r="X42" s="25" t="n">
        <f aca="false">X41+1</f>
        <v>16</v>
      </c>
      <c r="Y42" s="21" t="n">
        <f aca="false">MAX(0,ROUND(Y41*(1+Y$15),2)-AL41)</f>
        <v>0</v>
      </c>
      <c r="Z42" s="21" t="n">
        <f aca="false">MAX(0,ROUND(Z41*(1+Z$15),2)-AM41)</f>
        <v>0</v>
      </c>
      <c r="AA42" s="21" t="n">
        <f aca="false">MAX(0,ROUND(AA41*(1+AA$15),2)-AN41)</f>
        <v>1337.68</v>
      </c>
      <c r="AB42" s="21" t="n">
        <f aca="false">MAX(0,ROUND(AB41*(1+AB$15),2)-AO41)</f>
        <v>9727.85</v>
      </c>
      <c r="AC42" s="21" t="n">
        <f aca="false">MAX(0,ROUND(AC41*(1+AC$15),2)-AP41)</f>
        <v>24275.26</v>
      </c>
      <c r="AD42" s="21" t="n">
        <f aca="false">MAX(0,ROUND(AD41*(1+AD$15),2)-AQ41)</f>
        <v>0</v>
      </c>
      <c r="AE42" s="21" t="n">
        <f aca="false">MIN(Y$16,ROUND(Y42*(1+Y$15),2))</f>
        <v>0</v>
      </c>
      <c r="AF42" s="21" t="n">
        <f aca="false">MIN(Z$16,ROUND(Z42*(1+Z$15),2))</f>
        <v>0</v>
      </c>
      <c r="AG42" s="21" t="n">
        <f aca="false">MIN(AA$16,ROUND(AA42*(1+AA$15),2))</f>
        <v>130</v>
      </c>
      <c r="AH42" s="21" t="n">
        <f aca="false">MIN(AB$16,ROUND(AB42*(1+AB$15),2))</f>
        <v>350</v>
      </c>
      <c r="AI42" s="21" t="n">
        <f aca="false">MIN(AC$16,ROUND(AC42*(1+AC$15),2))</f>
        <v>220</v>
      </c>
      <c r="AJ42" s="21" t="n">
        <f aca="false">MIN(AD$16,ROUND(AD42*(1+AD$15),2))</f>
        <v>0</v>
      </c>
      <c r="AK42" s="21" t="n">
        <f aca="false">Y$20-SUM(AE42:AJ42)</f>
        <v>470</v>
      </c>
      <c r="AL42" s="21" t="n">
        <f aca="false">MIN(ROUND(Y42*(1+Y$15),2),AE42+MAX(0,AK42))</f>
        <v>0</v>
      </c>
      <c r="AM42" s="21" t="n">
        <f aca="false">MIN(ROUND(Z42*(1+Z$15),2),AF42+MAX(0,AK42-AL42+AE42))</f>
        <v>0</v>
      </c>
      <c r="AN42" s="21" t="n">
        <f aca="false">MIN(ROUND(AA42*(1+AA$15),2),AG42+MAX(0,AK42-AL42+AE42-AM42+AF42))</f>
        <v>600</v>
      </c>
      <c r="AO42" s="21" t="n">
        <f aca="false">MIN(ROUND(AB42*(1+AB$15),2),AH42+MAX(0,AK42-AL42+AE42-AM42+AF42-AN42+AG42))</f>
        <v>350</v>
      </c>
      <c r="AP42" s="21" t="n">
        <f aca="false">MIN(ROUND(AC42*(1+AC$15),2),AI42+MAX(0,AK42-AL42+AE42-AM42+AF42-AN42+AG42-AO42+AH42))</f>
        <v>220</v>
      </c>
      <c r="AQ42" s="21" t="n">
        <f aca="false">MIN(ROUND(AD42*(1+AD$15),2),AJ42+MAX(0,AK42-AL42+AE42-AM42+AF42-AN42+AG42-AO42+AH42-AP42+AI42))</f>
        <v>0</v>
      </c>
      <c r="AR42" s="21" t="n">
        <f aca="false">SUM(Y42:AD42)</f>
        <v>35340.79</v>
      </c>
      <c r="AS42" s="21" t="n">
        <f aca="false">SUM(AL42:AQ42)</f>
        <v>1170</v>
      </c>
    </row>
    <row r="43" customFormat="false" ht="15" hidden="false" customHeight="false" outlineLevel="0" collapsed="false">
      <c r="A43" s="25" t="n">
        <f aca="false">A42+1</f>
        <v>17</v>
      </c>
      <c r="B43" s="21" t="n">
        <f aca="false">MAX(0,ROUND(B42*(1+B$15),2)-O42)</f>
        <v>0</v>
      </c>
      <c r="C43" s="21" t="n">
        <f aca="false">MAX(0,ROUND(C42*(1+C$15),2)-P42)</f>
        <v>0</v>
      </c>
      <c r="D43" s="21" t="n">
        <f aca="false">MAX(0,ROUND(D42*(1+D$15),2)-Q42)</f>
        <v>566.31</v>
      </c>
      <c r="E43" s="21" t="n">
        <f aca="false">MAX(0,ROUND(E42*(1+E$15),2)-R42)</f>
        <v>9430.54</v>
      </c>
      <c r="F43" s="21" t="n">
        <f aca="false">MAX(0,ROUND(F42*(1+F$15),2)-S42)</f>
        <v>24156.41</v>
      </c>
      <c r="G43" s="21" t="n">
        <f aca="false">MAX(0,ROUND(G42*(1+G$15),2)-T42)</f>
        <v>0</v>
      </c>
      <c r="H43" s="21" t="n">
        <f aca="false">MIN(B$16,ROUND(B43*(1+B$15),2))</f>
        <v>0</v>
      </c>
      <c r="I43" s="21" t="n">
        <f aca="false">MIN(C$16,ROUND(C43*(1+C$15),2))</f>
        <v>0</v>
      </c>
      <c r="J43" s="21" t="n">
        <f aca="false">MIN(D$16,ROUND(D43*(1+D$15),2))</f>
        <v>110</v>
      </c>
      <c r="K43" s="21" t="n">
        <f aca="false">MIN(E$16,ROUND(E43*(1+E$15),2))</f>
        <v>350</v>
      </c>
      <c r="L43" s="21" t="n">
        <f aca="false">MIN(F$16,ROUND(F43*(1+F$15),2))</f>
        <v>220</v>
      </c>
      <c r="M43" s="21" t="n">
        <f aca="false">MIN(G$16,ROUND(G43*(1+G$15),2))</f>
        <v>0</v>
      </c>
      <c r="N43" s="21" t="n">
        <f aca="false">B$20-SUM(H43:M43)</f>
        <v>490</v>
      </c>
      <c r="O43" s="21" t="n">
        <f aca="false">MIN(ROUND(B43*(1+B$15),2),H43+MAX(0,N43))</f>
        <v>0</v>
      </c>
      <c r="P43" s="21" t="n">
        <f aca="false">MIN(ROUND(C43*(1+C$15),2),I43+MAX(0,N43-O43+H43))</f>
        <v>0</v>
      </c>
      <c r="Q43" s="21" t="n">
        <f aca="false">MIN(ROUND(D43*(1+D$15),2),J43+MAX(0,N43-O43+H43-P43+I43))</f>
        <v>571.27</v>
      </c>
      <c r="R43" s="21" t="n">
        <f aca="false">MIN(ROUND(E43*(1+E$15),2),K43+MAX(0,N43-O43+H43-P43+I43-Q43+J43))</f>
        <v>378.73</v>
      </c>
      <c r="S43" s="21" t="n">
        <f aca="false">MIN(ROUND(F43*(1+F$15),2),L43+MAX(0,N43-O43+H43-P43+I43-Q43+J43-R43+K43))</f>
        <v>220</v>
      </c>
      <c r="T43" s="21" t="n">
        <f aca="false">MIN(ROUND(G43*(1+G$15),2),M43+MAX(0,N43-O43+H43-P43+I43-Q43+J43-R43+K43-S43+L43))</f>
        <v>0</v>
      </c>
      <c r="U43" s="21" t="n">
        <f aca="false">SUM(B43:G43)</f>
        <v>34153.26</v>
      </c>
      <c r="V43" s="21" t="n">
        <f aca="false">SUM(O43:T43)</f>
        <v>1170</v>
      </c>
      <c r="X43" s="25" t="n">
        <f aca="false">X42+1</f>
        <v>17</v>
      </c>
      <c r="Y43" s="21" t="n">
        <f aca="false">MAX(0,ROUND(Y42*(1+Y$15),2)-AL42)</f>
        <v>0</v>
      </c>
      <c r="Z43" s="21" t="n">
        <f aca="false">MAX(0,ROUND(Z42*(1+Z$15),2)-AM42)</f>
        <v>0</v>
      </c>
      <c r="AA43" s="21" t="n">
        <f aca="false">MAX(0,ROUND(AA42*(1+AA$15),2)-AN42)</f>
        <v>763.31</v>
      </c>
      <c r="AB43" s="21" t="n">
        <f aca="false">MAX(0,ROUND(AB42*(1+AB$15),2)-AO42)</f>
        <v>9430.54</v>
      </c>
      <c r="AC43" s="21" t="n">
        <f aca="false">MAX(0,ROUND(AC42*(1+AC$15),2)-AP42)</f>
        <v>24156.41</v>
      </c>
      <c r="AD43" s="21" t="n">
        <f aca="false">MAX(0,ROUND(AD42*(1+AD$15),2)-AQ42)</f>
        <v>0</v>
      </c>
      <c r="AE43" s="21" t="n">
        <f aca="false">MIN(Y$16,ROUND(Y43*(1+Y$15),2))</f>
        <v>0</v>
      </c>
      <c r="AF43" s="21" t="n">
        <f aca="false">MIN(Z$16,ROUND(Z43*(1+Z$15),2))</f>
        <v>0</v>
      </c>
      <c r="AG43" s="21" t="n">
        <f aca="false">MIN(AA$16,ROUND(AA43*(1+AA$15),2))</f>
        <v>130</v>
      </c>
      <c r="AH43" s="21" t="n">
        <f aca="false">MIN(AB$16,ROUND(AB43*(1+AB$15),2))</f>
        <v>350</v>
      </c>
      <c r="AI43" s="21" t="n">
        <f aca="false">MIN(AC$16,ROUND(AC43*(1+AC$15),2))</f>
        <v>220</v>
      </c>
      <c r="AJ43" s="21" t="n">
        <f aca="false">MIN(AD$16,ROUND(AD43*(1+AD$15),2))</f>
        <v>0</v>
      </c>
      <c r="AK43" s="21" t="n">
        <f aca="false">Y$20-SUM(AE43:AJ43)</f>
        <v>470</v>
      </c>
      <c r="AL43" s="21" t="n">
        <f aca="false">MIN(ROUND(Y43*(1+Y$15),2),AE43+MAX(0,AK43))</f>
        <v>0</v>
      </c>
      <c r="AM43" s="21" t="n">
        <f aca="false">MIN(ROUND(Z43*(1+Z$15),2),AF43+MAX(0,AK43-AL43+AE43))</f>
        <v>0</v>
      </c>
      <c r="AN43" s="21" t="n">
        <f aca="false">MIN(ROUND(AA43*(1+AA$15),2),AG43+MAX(0,AK43-AL43+AE43-AM43+AF43))</f>
        <v>600</v>
      </c>
      <c r="AO43" s="21" t="n">
        <f aca="false">MIN(ROUND(AB43*(1+AB$15),2),AH43+MAX(0,AK43-AL43+AE43-AM43+AF43-AN43+AG43))</f>
        <v>350</v>
      </c>
      <c r="AP43" s="21" t="n">
        <f aca="false">MIN(ROUND(AC43*(1+AC$15),2),AI43+MAX(0,AK43-AL43+AE43-AM43+AF43-AN43+AG43-AO43+AH43))</f>
        <v>220</v>
      </c>
      <c r="AQ43" s="21" t="n">
        <f aca="false">MIN(ROUND(AD43*(1+AD$15),2),AJ43+MAX(0,AK43-AL43+AE43-AM43+AF43-AN43+AG43-AO43+AH43-AP43+AI43))</f>
        <v>0</v>
      </c>
      <c r="AR43" s="21" t="n">
        <f aca="false">SUM(Y43:AD43)</f>
        <v>34350.26</v>
      </c>
      <c r="AS43" s="21" t="n">
        <f aca="false">SUM(AL43:AQ43)</f>
        <v>1170</v>
      </c>
    </row>
    <row r="44" customFormat="false" ht="15" hidden="false" customHeight="false" outlineLevel="0" collapsed="false">
      <c r="A44" s="25" t="n">
        <f aca="false">A43+1</f>
        <v>18</v>
      </c>
      <c r="B44" s="21" t="n">
        <f aca="false">MAX(0,ROUND(B43*(1+B$15),2)-O43)</f>
        <v>0</v>
      </c>
      <c r="C44" s="21" t="n">
        <f aca="false">MAX(0,ROUND(C43*(1+C$15),2)-P43)</f>
        <v>0</v>
      </c>
      <c r="D44" s="21" t="n">
        <f aca="false">MAX(0,ROUND(D43*(1+D$15),2)-Q43)</f>
        <v>0</v>
      </c>
      <c r="E44" s="21" t="n">
        <f aca="false">MAX(0,ROUND(E43*(1+E$15),2)-R43)</f>
        <v>9102.89</v>
      </c>
      <c r="F44" s="21" t="n">
        <f aca="false">MAX(0,ROUND(F43*(1+F$15),2)-S43)</f>
        <v>24037.06</v>
      </c>
      <c r="G44" s="21" t="n">
        <f aca="false">MAX(0,ROUND(G43*(1+G$15),2)-T43)</f>
        <v>0</v>
      </c>
      <c r="H44" s="21" t="n">
        <f aca="false">MIN(B$16,ROUND(B44*(1+B$15),2))</f>
        <v>0</v>
      </c>
      <c r="I44" s="21" t="n">
        <f aca="false">MIN(C$16,ROUND(C44*(1+C$15),2))</f>
        <v>0</v>
      </c>
      <c r="J44" s="21" t="n">
        <f aca="false">MIN(D$16,ROUND(D44*(1+D$15),2))</f>
        <v>0</v>
      </c>
      <c r="K44" s="21" t="n">
        <f aca="false">MIN(E$16,ROUND(E44*(1+E$15),2))</f>
        <v>350</v>
      </c>
      <c r="L44" s="21" t="n">
        <f aca="false">MIN(F$16,ROUND(F44*(1+F$15),2))</f>
        <v>220</v>
      </c>
      <c r="M44" s="21" t="n">
        <f aca="false">MIN(G$16,ROUND(G44*(1+G$15),2))</f>
        <v>0</v>
      </c>
      <c r="N44" s="21" t="n">
        <f aca="false">B$20-SUM(H44:M44)</f>
        <v>600</v>
      </c>
      <c r="O44" s="21" t="n">
        <f aca="false">MIN(ROUND(B44*(1+B$15),2),H44+MAX(0,N44))</f>
        <v>0</v>
      </c>
      <c r="P44" s="21" t="n">
        <f aca="false">MIN(ROUND(C44*(1+C$15),2),I44+MAX(0,N44-O44+H44))</f>
        <v>0</v>
      </c>
      <c r="Q44" s="21" t="n">
        <f aca="false">MIN(ROUND(D44*(1+D$15),2),J44+MAX(0,N44-O44+H44-P44+I44))</f>
        <v>0</v>
      </c>
      <c r="R44" s="21" t="n">
        <f aca="false">MIN(ROUND(E44*(1+E$15),2),K44+MAX(0,N44-O44+H44-P44+I44-Q44+J44))</f>
        <v>950</v>
      </c>
      <c r="S44" s="21" t="n">
        <f aca="false">MIN(ROUND(F44*(1+F$15),2),L44+MAX(0,N44-O44+H44-P44+I44-Q44+J44-R44+K44))</f>
        <v>220</v>
      </c>
      <c r="T44" s="21" t="n">
        <f aca="false">MIN(ROUND(G44*(1+G$15),2),M44+MAX(0,N44-O44+H44-P44+I44-Q44+J44-R44+K44-S44+L44))</f>
        <v>0</v>
      </c>
      <c r="U44" s="21" t="n">
        <f aca="false">SUM(B44:G44)</f>
        <v>33139.95</v>
      </c>
      <c r="V44" s="21" t="n">
        <f aca="false">SUM(O44:T44)</f>
        <v>1170</v>
      </c>
      <c r="X44" s="25" t="n">
        <f aca="false">X43+1</f>
        <v>18</v>
      </c>
      <c r="Y44" s="21" t="n">
        <f aca="false">MAX(0,ROUND(Y43*(1+Y$15),2)-AL43)</f>
        <v>0</v>
      </c>
      <c r="Z44" s="21" t="n">
        <f aca="false">MAX(0,ROUND(Z43*(1+Z$15),2)-AM43)</f>
        <v>0</v>
      </c>
      <c r="AA44" s="21" t="n">
        <f aca="false">MAX(0,ROUND(AA43*(1+AA$15),2)-AN43)</f>
        <v>177.93</v>
      </c>
      <c r="AB44" s="21" t="n">
        <f aca="false">MAX(0,ROUND(AB43*(1+AB$15),2)-AO43)</f>
        <v>9131.62</v>
      </c>
      <c r="AC44" s="21" t="n">
        <f aca="false">MAX(0,ROUND(AC43*(1+AC$15),2)-AP43)</f>
        <v>24037.06</v>
      </c>
      <c r="AD44" s="21" t="n">
        <f aca="false">MAX(0,ROUND(AD43*(1+AD$15),2)-AQ43)</f>
        <v>0</v>
      </c>
      <c r="AE44" s="21" t="n">
        <f aca="false">MIN(Y$16,ROUND(Y44*(1+Y$15),2))</f>
        <v>0</v>
      </c>
      <c r="AF44" s="21" t="n">
        <f aca="false">MIN(Z$16,ROUND(Z44*(1+Z$15),2))</f>
        <v>0</v>
      </c>
      <c r="AG44" s="21" t="n">
        <f aca="false">MIN(AA$16,ROUND(AA44*(1+AA$15),2))</f>
        <v>130</v>
      </c>
      <c r="AH44" s="21" t="n">
        <f aca="false">MIN(AB$16,ROUND(AB44*(1+AB$15),2))</f>
        <v>350</v>
      </c>
      <c r="AI44" s="21" t="n">
        <f aca="false">MIN(AC$16,ROUND(AC44*(1+AC$15),2))</f>
        <v>220</v>
      </c>
      <c r="AJ44" s="21" t="n">
        <f aca="false">MIN(AD$16,ROUND(AD44*(1+AD$15),2))</f>
        <v>0</v>
      </c>
      <c r="AK44" s="21" t="n">
        <f aca="false">Y$20-SUM(AE44:AJ44)</f>
        <v>470</v>
      </c>
      <c r="AL44" s="21" t="n">
        <f aca="false">MIN(ROUND(Y44*(1+Y$15),2),AE44+MAX(0,AK44))</f>
        <v>0</v>
      </c>
      <c r="AM44" s="21" t="n">
        <f aca="false">MIN(ROUND(Z44*(1+Z$15),2),AF44+MAX(0,AK44-AL44+AE44))</f>
        <v>0</v>
      </c>
      <c r="AN44" s="21" t="n">
        <f aca="false">MIN(ROUND(AA44*(1+AA$15),2),AG44+MAX(0,AK44-AL44+AE44-AM44+AF44))</f>
        <v>181.34</v>
      </c>
      <c r="AO44" s="21" t="n">
        <f aca="false">MIN(ROUND(AB44*(1+AB$15),2),AH44+MAX(0,AK44-AL44+AE44-AM44+AF44-AN44+AG44))</f>
        <v>768.66</v>
      </c>
      <c r="AP44" s="21" t="n">
        <f aca="false">MIN(ROUND(AC44*(1+AC$15),2),AI44+MAX(0,AK44-AL44+AE44-AM44+AF44-AN44+AG44-AO44+AH44))</f>
        <v>220</v>
      </c>
      <c r="AQ44" s="21" t="n">
        <f aca="false">MIN(ROUND(AD44*(1+AD$15),2),AJ44+MAX(0,AK44-AL44+AE44-AM44+AF44-AN44+AG44-AO44+AH44-AP44+AI44))</f>
        <v>0</v>
      </c>
      <c r="AR44" s="21" t="n">
        <f aca="false">SUM(Y44:AD44)</f>
        <v>33346.61</v>
      </c>
      <c r="AS44" s="21" t="n">
        <f aca="false">SUM(AL44:AQ44)</f>
        <v>1170</v>
      </c>
    </row>
    <row r="45" customFormat="false" ht="15" hidden="false" customHeight="false" outlineLevel="0" collapsed="false">
      <c r="A45" s="25" t="n">
        <f aca="false">A44+1</f>
        <v>19</v>
      </c>
      <c r="B45" s="21" t="n">
        <f aca="false">MAX(0,ROUND(B44*(1+B$15),2)-O44)</f>
        <v>0</v>
      </c>
      <c r="C45" s="21" t="n">
        <f aca="false">MAX(0,ROUND(C44*(1+C$15),2)-P44)</f>
        <v>0</v>
      </c>
      <c r="D45" s="21" t="n">
        <f aca="false">MAX(0,ROUND(D44*(1+D$15),2)-Q44)</f>
        <v>0</v>
      </c>
      <c r="E45" s="21" t="n">
        <f aca="false">MAX(0,ROUND(E44*(1+E$15),2)-R44)</f>
        <v>8202.2</v>
      </c>
      <c r="F45" s="21" t="n">
        <f aca="false">MAX(0,ROUND(F44*(1+F$15),2)-S44)</f>
        <v>23917.21</v>
      </c>
      <c r="G45" s="21" t="n">
        <f aca="false">MAX(0,ROUND(G44*(1+G$15),2)-T44)</f>
        <v>0</v>
      </c>
      <c r="H45" s="21" t="n">
        <f aca="false">MIN(B$16,ROUND(B45*(1+B$15),2))</f>
        <v>0</v>
      </c>
      <c r="I45" s="21" t="n">
        <f aca="false">MIN(C$16,ROUND(C45*(1+C$15),2))</f>
        <v>0</v>
      </c>
      <c r="J45" s="21" t="n">
        <f aca="false">MIN(D$16,ROUND(D45*(1+D$15),2))</f>
        <v>0</v>
      </c>
      <c r="K45" s="21" t="n">
        <f aca="false">MIN(E$16,ROUND(E45*(1+E$15),2))</f>
        <v>350</v>
      </c>
      <c r="L45" s="21" t="n">
        <f aca="false">MIN(F$16,ROUND(F45*(1+F$15),2))</f>
        <v>220</v>
      </c>
      <c r="M45" s="21" t="n">
        <f aca="false">MIN(G$16,ROUND(G45*(1+G$15),2))</f>
        <v>0</v>
      </c>
      <c r="N45" s="21" t="n">
        <f aca="false">B$20-SUM(H45:M45)</f>
        <v>600</v>
      </c>
      <c r="O45" s="21" t="n">
        <f aca="false">MIN(ROUND(B45*(1+B$15),2),H45+MAX(0,N45))</f>
        <v>0</v>
      </c>
      <c r="P45" s="21" t="n">
        <f aca="false">MIN(ROUND(C45*(1+C$15),2),I45+MAX(0,N45-O45+H45))</f>
        <v>0</v>
      </c>
      <c r="Q45" s="21" t="n">
        <f aca="false">MIN(ROUND(D45*(1+D$15),2),J45+MAX(0,N45-O45+H45-P45+I45))</f>
        <v>0</v>
      </c>
      <c r="R45" s="21" t="n">
        <f aca="false">MIN(ROUND(E45*(1+E$15),2),K45+MAX(0,N45-O45+H45-P45+I45-Q45+J45))</f>
        <v>950</v>
      </c>
      <c r="S45" s="21" t="n">
        <f aca="false">MIN(ROUND(F45*(1+F$15),2),L45+MAX(0,N45-O45+H45-P45+I45-Q45+J45-R45+K45))</f>
        <v>220</v>
      </c>
      <c r="T45" s="21" t="n">
        <f aca="false">MIN(ROUND(G45*(1+G$15),2),M45+MAX(0,N45-O45+H45-P45+I45-Q45+J45-R45+K45-S45+L45))</f>
        <v>0</v>
      </c>
      <c r="U45" s="21" t="n">
        <f aca="false">SUM(B45:G45)</f>
        <v>32119.41</v>
      </c>
      <c r="V45" s="21" t="n">
        <f aca="false">SUM(O45:T45)</f>
        <v>1170</v>
      </c>
      <c r="X45" s="25" t="n">
        <f aca="false">X44+1</f>
        <v>19</v>
      </c>
      <c r="Y45" s="21" t="n">
        <f aca="false">MAX(0,ROUND(Y44*(1+Y$15),2)-AL44)</f>
        <v>0</v>
      </c>
      <c r="Z45" s="21" t="n">
        <f aca="false">MAX(0,ROUND(Z44*(1+Z$15),2)-AM44)</f>
        <v>0</v>
      </c>
      <c r="AA45" s="21" t="n">
        <f aca="false">MAX(0,ROUND(AA44*(1+AA$15),2)-AN44)</f>
        <v>0</v>
      </c>
      <c r="AB45" s="21" t="n">
        <f aca="false">MAX(0,ROUND(AB44*(1+AB$15),2)-AO44)</f>
        <v>8412.42</v>
      </c>
      <c r="AC45" s="21" t="n">
        <f aca="false">MAX(0,ROUND(AC44*(1+AC$15),2)-AP44)</f>
        <v>23917.21</v>
      </c>
      <c r="AD45" s="21" t="n">
        <f aca="false">MAX(0,ROUND(AD44*(1+AD$15),2)-AQ44)</f>
        <v>0</v>
      </c>
      <c r="AE45" s="21" t="n">
        <f aca="false">MIN(Y$16,ROUND(Y45*(1+Y$15),2))</f>
        <v>0</v>
      </c>
      <c r="AF45" s="21" t="n">
        <f aca="false">MIN(Z$16,ROUND(Z45*(1+Z$15),2))</f>
        <v>0</v>
      </c>
      <c r="AG45" s="21" t="n">
        <f aca="false">MIN(AA$16,ROUND(AA45*(1+AA$15),2))</f>
        <v>0</v>
      </c>
      <c r="AH45" s="21" t="n">
        <f aca="false">MIN(AB$16,ROUND(AB45*(1+AB$15),2))</f>
        <v>350</v>
      </c>
      <c r="AI45" s="21" t="n">
        <f aca="false">MIN(AC$16,ROUND(AC45*(1+AC$15),2))</f>
        <v>220</v>
      </c>
      <c r="AJ45" s="21" t="n">
        <f aca="false">MIN(AD$16,ROUND(AD45*(1+AD$15),2))</f>
        <v>0</v>
      </c>
      <c r="AK45" s="21" t="n">
        <f aca="false">Y$20-SUM(AE45:AJ45)</f>
        <v>600</v>
      </c>
      <c r="AL45" s="21" t="n">
        <f aca="false">MIN(ROUND(Y45*(1+Y$15),2),AE45+MAX(0,AK45))</f>
        <v>0</v>
      </c>
      <c r="AM45" s="21" t="n">
        <f aca="false">MIN(ROUND(Z45*(1+Z$15),2),AF45+MAX(0,AK45-AL45+AE45))</f>
        <v>0</v>
      </c>
      <c r="AN45" s="21" t="n">
        <f aca="false">MIN(ROUND(AA45*(1+AA$15),2),AG45+MAX(0,AK45-AL45+AE45-AM45+AF45))</f>
        <v>0</v>
      </c>
      <c r="AO45" s="21" t="n">
        <f aca="false">MIN(ROUND(AB45*(1+AB$15),2),AH45+MAX(0,AK45-AL45+AE45-AM45+AF45-AN45+AG45))</f>
        <v>950</v>
      </c>
      <c r="AP45" s="21" t="n">
        <f aca="false">MIN(ROUND(AC45*(1+AC$15),2),AI45+MAX(0,AK45-AL45+AE45-AM45+AF45-AN45+AG45-AO45+AH45))</f>
        <v>220</v>
      </c>
      <c r="AQ45" s="21" t="n">
        <f aca="false">MIN(ROUND(AD45*(1+AD$15),2),AJ45+MAX(0,AK45-AL45+AE45-AM45+AF45-AN45+AG45-AO45+AH45-AP45+AI45))</f>
        <v>0</v>
      </c>
      <c r="AR45" s="21" t="n">
        <f aca="false">SUM(Y45:AD45)</f>
        <v>32329.63</v>
      </c>
      <c r="AS45" s="21" t="n">
        <f aca="false">SUM(AL45:AQ45)</f>
        <v>1170</v>
      </c>
    </row>
    <row r="46" customFormat="false" ht="15" hidden="false" customHeight="false" outlineLevel="0" collapsed="false">
      <c r="A46" s="25" t="n">
        <f aca="false">A45+1</f>
        <v>20</v>
      </c>
      <c r="B46" s="21" t="n">
        <f aca="false">MAX(0,ROUND(B45*(1+B$15),2)-O45)</f>
        <v>0</v>
      </c>
      <c r="C46" s="21" t="n">
        <f aca="false">MAX(0,ROUND(C45*(1+C$15),2)-P45)</f>
        <v>0</v>
      </c>
      <c r="D46" s="21" t="n">
        <f aca="false">MAX(0,ROUND(D45*(1+D$15),2)-Q45)</f>
        <v>0</v>
      </c>
      <c r="E46" s="21" t="n">
        <f aca="false">MAX(0,ROUND(E45*(1+E$15),2)-R45)</f>
        <v>7296.63</v>
      </c>
      <c r="F46" s="21" t="n">
        <f aca="false">MAX(0,ROUND(F45*(1+F$15),2)-S45)</f>
        <v>23796.87</v>
      </c>
      <c r="G46" s="21" t="n">
        <f aca="false">MAX(0,ROUND(G45*(1+G$15),2)-T45)</f>
        <v>0</v>
      </c>
      <c r="H46" s="21" t="n">
        <f aca="false">MIN(B$16,ROUND(B46*(1+B$15),2))</f>
        <v>0</v>
      </c>
      <c r="I46" s="21" t="n">
        <f aca="false">MIN(C$16,ROUND(C46*(1+C$15),2))</f>
        <v>0</v>
      </c>
      <c r="J46" s="21" t="n">
        <f aca="false">MIN(D$16,ROUND(D46*(1+D$15),2))</f>
        <v>0</v>
      </c>
      <c r="K46" s="21" t="n">
        <f aca="false">MIN(E$16,ROUND(E46*(1+E$15),2))</f>
        <v>350</v>
      </c>
      <c r="L46" s="21" t="n">
        <f aca="false">MIN(F$16,ROUND(F46*(1+F$15),2))</f>
        <v>220</v>
      </c>
      <c r="M46" s="21" t="n">
        <f aca="false">MIN(G$16,ROUND(G46*(1+G$15),2))</f>
        <v>0</v>
      </c>
      <c r="N46" s="21" t="n">
        <f aca="false">B$20-SUM(H46:M46)</f>
        <v>600</v>
      </c>
      <c r="O46" s="21" t="n">
        <f aca="false">MIN(ROUND(B46*(1+B$15),2),H46+MAX(0,N46))</f>
        <v>0</v>
      </c>
      <c r="P46" s="21" t="n">
        <f aca="false">MIN(ROUND(C46*(1+C$15),2),I46+MAX(0,N46-O46+H46))</f>
        <v>0</v>
      </c>
      <c r="Q46" s="21" t="n">
        <f aca="false">MIN(ROUND(D46*(1+D$15),2),J46+MAX(0,N46-O46+H46-P46+I46))</f>
        <v>0</v>
      </c>
      <c r="R46" s="21" t="n">
        <f aca="false">MIN(ROUND(E46*(1+E$15),2),K46+MAX(0,N46-O46+H46-P46+I46-Q46+J46))</f>
        <v>950</v>
      </c>
      <c r="S46" s="21" t="n">
        <f aca="false">MIN(ROUND(F46*(1+F$15),2),L46+MAX(0,N46-O46+H46-P46+I46-Q46+J46-R46+K46))</f>
        <v>220</v>
      </c>
      <c r="T46" s="21" t="n">
        <f aca="false">MIN(ROUND(G46*(1+G$15),2),M46+MAX(0,N46-O46+H46-P46+I46-Q46+J46-R46+K46-S46+L46))</f>
        <v>0</v>
      </c>
      <c r="U46" s="21" t="n">
        <f aca="false">SUM(B46:G46)</f>
        <v>31093.5</v>
      </c>
      <c r="V46" s="21" t="n">
        <f aca="false">SUM(O46:T46)</f>
        <v>1170</v>
      </c>
      <c r="X46" s="25" t="n">
        <f aca="false">X45+1</f>
        <v>20</v>
      </c>
      <c r="Y46" s="21" t="n">
        <f aca="false">MAX(0,ROUND(Y45*(1+Y$15),2)-AL45)</f>
        <v>0</v>
      </c>
      <c r="Z46" s="21" t="n">
        <f aca="false">MAX(0,ROUND(Z45*(1+Z$15),2)-AM45)</f>
        <v>0</v>
      </c>
      <c r="AA46" s="21" t="n">
        <f aca="false">MAX(0,ROUND(AA45*(1+AA$15),2)-AN45)</f>
        <v>0</v>
      </c>
      <c r="AB46" s="21" t="n">
        <f aca="false">MAX(0,ROUND(AB45*(1+AB$15),2)-AO45)</f>
        <v>7507.99</v>
      </c>
      <c r="AC46" s="21" t="n">
        <f aca="false">MAX(0,ROUND(AC45*(1+AC$15),2)-AP45)</f>
        <v>23796.87</v>
      </c>
      <c r="AD46" s="21" t="n">
        <f aca="false">MAX(0,ROUND(AD45*(1+AD$15),2)-AQ45)</f>
        <v>0</v>
      </c>
      <c r="AE46" s="21" t="n">
        <f aca="false">MIN(Y$16,ROUND(Y46*(1+Y$15),2))</f>
        <v>0</v>
      </c>
      <c r="AF46" s="21" t="n">
        <f aca="false">MIN(Z$16,ROUND(Z46*(1+Z$15),2))</f>
        <v>0</v>
      </c>
      <c r="AG46" s="21" t="n">
        <f aca="false">MIN(AA$16,ROUND(AA46*(1+AA$15),2))</f>
        <v>0</v>
      </c>
      <c r="AH46" s="21" t="n">
        <f aca="false">MIN(AB$16,ROUND(AB46*(1+AB$15),2))</f>
        <v>350</v>
      </c>
      <c r="AI46" s="21" t="n">
        <f aca="false">MIN(AC$16,ROUND(AC46*(1+AC$15),2))</f>
        <v>220</v>
      </c>
      <c r="AJ46" s="21" t="n">
        <f aca="false">MIN(AD$16,ROUND(AD46*(1+AD$15),2))</f>
        <v>0</v>
      </c>
      <c r="AK46" s="21" t="n">
        <f aca="false">Y$20-SUM(AE46:AJ46)</f>
        <v>600</v>
      </c>
      <c r="AL46" s="21" t="n">
        <f aca="false">MIN(ROUND(Y46*(1+Y$15),2),AE46+MAX(0,AK46))</f>
        <v>0</v>
      </c>
      <c r="AM46" s="21" t="n">
        <f aca="false">MIN(ROUND(Z46*(1+Z$15),2),AF46+MAX(0,AK46-AL46+AE46))</f>
        <v>0</v>
      </c>
      <c r="AN46" s="21" t="n">
        <f aca="false">MIN(ROUND(AA46*(1+AA$15),2),AG46+MAX(0,AK46-AL46+AE46-AM46+AF46))</f>
        <v>0</v>
      </c>
      <c r="AO46" s="21" t="n">
        <f aca="false">MIN(ROUND(AB46*(1+AB$15),2),AH46+MAX(0,AK46-AL46+AE46-AM46+AF46-AN46+AG46))</f>
        <v>950</v>
      </c>
      <c r="AP46" s="21" t="n">
        <f aca="false">MIN(ROUND(AC46*(1+AC$15),2),AI46+MAX(0,AK46-AL46+AE46-AM46+AF46-AN46+AG46-AO46+AH46))</f>
        <v>220</v>
      </c>
      <c r="AQ46" s="21" t="n">
        <f aca="false">MIN(ROUND(AD46*(1+AD$15),2),AJ46+MAX(0,AK46-AL46+AE46-AM46+AF46-AN46+AG46-AO46+AH46-AP46+AI46))</f>
        <v>0</v>
      </c>
      <c r="AR46" s="21" t="n">
        <f aca="false">SUM(Y46:AD46)</f>
        <v>31304.86</v>
      </c>
      <c r="AS46" s="21" t="n">
        <f aca="false">SUM(AL46:AQ46)</f>
        <v>1170</v>
      </c>
    </row>
    <row r="47" customFormat="false" ht="15" hidden="false" customHeight="false" outlineLevel="0" collapsed="false">
      <c r="A47" s="25" t="n">
        <f aca="false">A46+1</f>
        <v>21</v>
      </c>
      <c r="B47" s="21" t="n">
        <f aca="false">MAX(0,ROUND(B46*(1+B$15),2)-O46)</f>
        <v>0</v>
      </c>
      <c r="C47" s="21" t="n">
        <f aca="false">MAX(0,ROUND(C46*(1+C$15),2)-P46)</f>
        <v>0</v>
      </c>
      <c r="D47" s="21" t="n">
        <f aca="false">MAX(0,ROUND(D46*(1+D$15),2)-Q46)</f>
        <v>0</v>
      </c>
      <c r="E47" s="21" t="n">
        <f aca="false">MAX(0,ROUND(E46*(1+E$15),2)-R46)</f>
        <v>6386.15</v>
      </c>
      <c r="F47" s="21" t="n">
        <f aca="false">MAX(0,ROUND(F46*(1+F$15),2)-S46)</f>
        <v>23676.02</v>
      </c>
      <c r="G47" s="21" t="n">
        <f aca="false">MAX(0,ROUND(G46*(1+G$15),2)-T46)</f>
        <v>0</v>
      </c>
      <c r="H47" s="21" t="n">
        <f aca="false">MIN(B$16,ROUND(B47*(1+B$15),2))</f>
        <v>0</v>
      </c>
      <c r="I47" s="21" t="n">
        <f aca="false">MIN(C$16,ROUND(C47*(1+C$15),2))</f>
        <v>0</v>
      </c>
      <c r="J47" s="21" t="n">
        <f aca="false">MIN(D$16,ROUND(D47*(1+D$15),2))</f>
        <v>0</v>
      </c>
      <c r="K47" s="21" t="n">
        <f aca="false">MIN(E$16,ROUND(E47*(1+E$15),2))</f>
        <v>350</v>
      </c>
      <c r="L47" s="21" t="n">
        <f aca="false">MIN(F$16,ROUND(F47*(1+F$15),2))</f>
        <v>220</v>
      </c>
      <c r="M47" s="21" t="n">
        <f aca="false">MIN(G$16,ROUND(G47*(1+G$15),2))</f>
        <v>0</v>
      </c>
      <c r="N47" s="21" t="n">
        <f aca="false">B$20-SUM(H47:M47)</f>
        <v>600</v>
      </c>
      <c r="O47" s="21" t="n">
        <f aca="false">MIN(ROUND(B47*(1+B$15),2),H47+MAX(0,N47))</f>
        <v>0</v>
      </c>
      <c r="P47" s="21" t="n">
        <f aca="false">MIN(ROUND(C47*(1+C$15),2),I47+MAX(0,N47-O47+H47))</f>
        <v>0</v>
      </c>
      <c r="Q47" s="21" t="n">
        <f aca="false">MIN(ROUND(D47*(1+D$15),2),J47+MAX(0,N47-O47+H47-P47+I47))</f>
        <v>0</v>
      </c>
      <c r="R47" s="21" t="n">
        <f aca="false">MIN(ROUND(E47*(1+E$15),2),K47+MAX(0,N47-O47+H47-P47+I47-Q47+J47))</f>
        <v>950</v>
      </c>
      <c r="S47" s="21" t="n">
        <f aca="false">MIN(ROUND(F47*(1+F$15),2),L47+MAX(0,N47-O47+H47-P47+I47-Q47+J47-R47+K47))</f>
        <v>220</v>
      </c>
      <c r="T47" s="21" t="n">
        <f aca="false">MIN(ROUND(G47*(1+G$15),2),M47+MAX(0,N47-O47+H47-P47+I47-Q47+J47-R47+K47-S47+L47))</f>
        <v>0</v>
      </c>
      <c r="U47" s="21" t="n">
        <f aca="false">SUM(B47:G47)</f>
        <v>30062.17</v>
      </c>
      <c r="V47" s="21" t="n">
        <f aca="false">SUM(O47:T47)</f>
        <v>1170</v>
      </c>
      <c r="X47" s="25" t="n">
        <f aca="false">X46+1</f>
        <v>21</v>
      </c>
      <c r="Y47" s="21" t="n">
        <f aca="false">MAX(0,ROUND(Y46*(1+Y$15),2)-AL46)</f>
        <v>0</v>
      </c>
      <c r="Z47" s="21" t="n">
        <f aca="false">MAX(0,ROUND(Z46*(1+Z$15),2)-AM46)</f>
        <v>0</v>
      </c>
      <c r="AA47" s="21" t="n">
        <f aca="false">MAX(0,ROUND(AA46*(1+AA$15),2)-AN46)</f>
        <v>0</v>
      </c>
      <c r="AB47" s="21" t="n">
        <f aca="false">MAX(0,ROUND(AB46*(1+AB$15),2)-AO46)</f>
        <v>6598.66</v>
      </c>
      <c r="AC47" s="21" t="n">
        <f aca="false">MAX(0,ROUND(AC46*(1+AC$15),2)-AP46)</f>
        <v>23676.02</v>
      </c>
      <c r="AD47" s="21" t="n">
        <f aca="false">MAX(0,ROUND(AD46*(1+AD$15),2)-AQ46)</f>
        <v>0</v>
      </c>
      <c r="AE47" s="21" t="n">
        <f aca="false">MIN(Y$16,ROUND(Y47*(1+Y$15),2))</f>
        <v>0</v>
      </c>
      <c r="AF47" s="21" t="n">
        <f aca="false">MIN(Z$16,ROUND(Z47*(1+Z$15),2))</f>
        <v>0</v>
      </c>
      <c r="AG47" s="21" t="n">
        <f aca="false">MIN(AA$16,ROUND(AA47*(1+AA$15),2))</f>
        <v>0</v>
      </c>
      <c r="AH47" s="21" t="n">
        <f aca="false">MIN(AB$16,ROUND(AB47*(1+AB$15),2))</f>
        <v>350</v>
      </c>
      <c r="AI47" s="21" t="n">
        <f aca="false">MIN(AC$16,ROUND(AC47*(1+AC$15),2))</f>
        <v>220</v>
      </c>
      <c r="AJ47" s="21" t="n">
        <f aca="false">MIN(AD$16,ROUND(AD47*(1+AD$15),2))</f>
        <v>0</v>
      </c>
      <c r="AK47" s="21" t="n">
        <f aca="false">Y$20-SUM(AE47:AJ47)</f>
        <v>600</v>
      </c>
      <c r="AL47" s="21" t="n">
        <f aca="false">MIN(ROUND(Y47*(1+Y$15),2),AE47+MAX(0,AK47))</f>
        <v>0</v>
      </c>
      <c r="AM47" s="21" t="n">
        <f aca="false">MIN(ROUND(Z47*(1+Z$15),2),AF47+MAX(0,AK47-AL47+AE47))</f>
        <v>0</v>
      </c>
      <c r="AN47" s="21" t="n">
        <f aca="false">MIN(ROUND(AA47*(1+AA$15),2),AG47+MAX(0,AK47-AL47+AE47-AM47+AF47))</f>
        <v>0</v>
      </c>
      <c r="AO47" s="21" t="n">
        <f aca="false">MIN(ROUND(AB47*(1+AB$15),2),AH47+MAX(0,AK47-AL47+AE47-AM47+AF47-AN47+AG47))</f>
        <v>950</v>
      </c>
      <c r="AP47" s="21" t="n">
        <f aca="false">MIN(ROUND(AC47*(1+AC$15),2),AI47+MAX(0,AK47-AL47+AE47-AM47+AF47-AN47+AG47-AO47+AH47))</f>
        <v>220</v>
      </c>
      <c r="AQ47" s="21" t="n">
        <f aca="false">MIN(ROUND(AD47*(1+AD$15),2),AJ47+MAX(0,AK47-AL47+AE47-AM47+AF47-AN47+AG47-AO47+AH47-AP47+AI47))</f>
        <v>0</v>
      </c>
      <c r="AR47" s="21" t="n">
        <f aca="false">SUM(Y47:AD47)</f>
        <v>30274.68</v>
      </c>
      <c r="AS47" s="21" t="n">
        <f aca="false">SUM(AL47:AQ47)</f>
        <v>1170</v>
      </c>
    </row>
    <row r="48" customFormat="false" ht="15" hidden="false" customHeight="false" outlineLevel="0" collapsed="false">
      <c r="A48" s="25" t="n">
        <f aca="false">A47+1</f>
        <v>22</v>
      </c>
      <c r="B48" s="21" t="n">
        <f aca="false">MAX(0,ROUND(B47*(1+B$15),2)-O47)</f>
        <v>0</v>
      </c>
      <c r="C48" s="21" t="n">
        <f aca="false">MAX(0,ROUND(C47*(1+C$15),2)-P47)</f>
        <v>0</v>
      </c>
      <c r="D48" s="21" t="n">
        <f aca="false">MAX(0,ROUND(D47*(1+D$15),2)-Q47)</f>
        <v>0</v>
      </c>
      <c r="E48" s="21" t="n">
        <f aca="false">MAX(0,ROUND(E47*(1+E$15),2)-R47)</f>
        <v>5470.74</v>
      </c>
      <c r="F48" s="21" t="n">
        <f aca="false">MAX(0,ROUND(F47*(1+F$15),2)-S47)</f>
        <v>23554.67</v>
      </c>
      <c r="G48" s="21" t="n">
        <f aca="false">MAX(0,ROUND(G47*(1+G$15),2)-T47)</f>
        <v>0</v>
      </c>
      <c r="H48" s="21" t="n">
        <f aca="false">MIN(B$16,ROUND(B48*(1+B$15),2))</f>
        <v>0</v>
      </c>
      <c r="I48" s="21" t="n">
        <f aca="false">MIN(C$16,ROUND(C48*(1+C$15),2))</f>
        <v>0</v>
      </c>
      <c r="J48" s="21" t="n">
        <f aca="false">MIN(D$16,ROUND(D48*(1+D$15),2))</f>
        <v>0</v>
      </c>
      <c r="K48" s="21" t="n">
        <f aca="false">MIN(E$16,ROUND(E48*(1+E$15),2))</f>
        <v>350</v>
      </c>
      <c r="L48" s="21" t="n">
        <f aca="false">MIN(F$16,ROUND(F48*(1+F$15),2))</f>
        <v>220</v>
      </c>
      <c r="M48" s="21" t="n">
        <f aca="false">MIN(G$16,ROUND(G48*(1+G$15),2))</f>
        <v>0</v>
      </c>
      <c r="N48" s="21" t="n">
        <f aca="false">B$20-SUM(H48:M48)</f>
        <v>600</v>
      </c>
      <c r="O48" s="21" t="n">
        <f aca="false">MIN(ROUND(B48*(1+B$15),2),H48+MAX(0,N48))</f>
        <v>0</v>
      </c>
      <c r="P48" s="21" t="n">
        <f aca="false">MIN(ROUND(C48*(1+C$15),2),I48+MAX(0,N48-O48+H48))</f>
        <v>0</v>
      </c>
      <c r="Q48" s="21" t="n">
        <f aca="false">MIN(ROUND(D48*(1+D$15),2),J48+MAX(0,N48-O48+H48-P48+I48))</f>
        <v>0</v>
      </c>
      <c r="R48" s="21" t="n">
        <f aca="false">MIN(ROUND(E48*(1+E$15),2),K48+MAX(0,N48-O48+H48-P48+I48-Q48+J48))</f>
        <v>950</v>
      </c>
      <c r="S48" s="21" t="n">
        <f aca="false">MIN(ROUND(F48*(1+F$15),2),L48+MAX(0,N48-O48+H48-P48+I48-Q48+J48-R48+K48))</f>
        <v>220</v>
      </c>
      <c r="T48" s="21" t="n">
        <f aca="false">MIN(ROUND(G48*(1+G$15),2),M48+MAX(0,N48-O48+H48-P48+I48-Q48+J48-R48+K48-S48+L48))</f>
        <v>0</v>
      </c>
      <c r="U48" s="21" t="n">
        <f aca="false">SUM(B48:G48)</f>
        <v>29025.41</v>
      </c>
      <c r="V48" s="21" t="n">
        <f aca="false">SUM(O48:T48)</f>
        <v>1170</v>
      </c>
      <c r="X48" s="25" t="n">
        <f aca="false">X47+1</f>
        <v>22</v>
      </c>
      <c r="Y48" s="21" t="n">
        <f aca="false">MAX(0,ROUND(Y47*(1+Y$15),2)-AL47)</f>
        <v>0</v>
      </c>
      <c r="Z48" s="21" t="n">
        <f aca="false">MAX(0,ROUND(Z47*(1+Z$15),2)-AM47)</f>
        <v>0</v>
      </c>
      <c r="AA48" s="21" t="n">
        <f aca="false">MAX(0,ROUND(AA47*(1+AA$15),2)-AN47)</f>
        <v>0</v>
      </c>
      <c r="AB48" s="21" t="n">
        <f aca="false">MAX(0,ROUND(AB47*(1+AB$15),2)-AO47)</f>
        <v>5684.4</v>
      </c>
      <c r="AC48" s="21" t="n">
        <f aca="false">MAX(0,ROUND(AC47*(1+AC$15),2)-AP47)</f>
        <v>23554.67</v>
      </c>
      <c r="AD48" s="21" t="n">
        <f aca="false">MAX(0,ROUND(AD47*(1+AD$15),2)-AQ47)</f>
        <v>0</v>
      </c>
      <c r="AE48" s="21" t="n">
        <f aca="false">MIN(Y$16,ROUND(Y48*(1+Y$15),2))</f>
        <v>0</v>
      </c>
      <c r="AF48" s="21" t="n">
        <f aca="false">MIN(Z$16,ROUND(Z48*(1+Z$15),2))</f>
        <v>0</v>
      </c>
      <c r="AG48" s="21" t="n">
        <f aca="false">MIN(AA$16,ROUND(AA48*(1+AA$15),2))</f>
        <v>0</v>
      </c>
      <c r="AH48" s="21" t="n">
        <f aca="false">MIN(AB$16,ROUND(AB48*(1+AB$15),2))</f>
        <v>350</v>
      </c>
      <c r="AI48" s="21" t="n">
        <f aca="false">MIN(AC$16,ROUND(AC48*(1+AC$15),2))</f>
        <v>220</v>
      </c>
      <c r="AJ48" s="21" t="n">
        <f aca="false">MIN(AD$16,ROUND(AD48*(1+AD$15),2))</f>
        <v>0</v>
      </c>
      <c r="AK48" s="21" t="n">
        <f aca="false">Y$20-SUM(AE48:AJ48)</f>
        <v>600</v>
      </c>
      <c r="AL48" s="21" t="n">
        <f aca="false">MIN(ROUND(Y48*(1+Y$15),2),AE48+MAX(0,AK48))</f>
        <v>0</v>
      </c>
      <c r="AM48" s="21" t="n">
        <f aca="false">MIN(ROUND(Z48*(1+Z$15),2),AF48+MAX(0,AK48-AL48+AE48))</f>
        <v>0</v>
      </c>
      <c r="AN48" s="21" t="n">
        <f aca="false">MIN(ROUND(AA48*(1+AA$15),2),AG48+MAX(0,AK48-AL48+AE48-AM48+AF48))</f>
        <v>0</v>
      </c>
      <c r="AO48" s="21" t="n">
        <f aca="false">MIN(ROUND(AB48*(1+AB$15),2),AH48+MAX(0,AK48-AL48+AE48-AM48+AF48-AN48+AG48))</f>
        <v>950</v>
      </c>
      <c r="AP48" s="21" t="n">
        <f aca="false">MIN(ROUND(AC48*(1+AC$15),2),AI48+MAX(0,AK48-AL48+AE48-AM48+AF48-AN48+AG48-AO48+AH48))</f>
        <v>220</v>
      </c>
      <c r="AQ48" s="21" t="n">
        <f aca="false">MIN(ROUND(AD48*(1+AD$15),2),AJ48+MAX(0,AK48-AL48+AE48-AM48+AF48-AN48+AG48-AO48+AH48-AP48+AI48))</f>
        <v>0</v>
      </c>
      <c r="AR48" s="21" t="n">
        <f aca="false">SUM(Y48:AD48)</f>
        <v>29239.07</v>
      </c>
      <c r="AS48" s="21" t="n">
        <f aca="false">SUM(AL48:AQ48)</f>
        <v>1170</v>
      </c>
    </row>
    <row r="49" customFormat="false" ht="15" hidden="false" customHeight="false" outlineLevel="0" collapsed="false">
      <c r="A49" s="25" t="n">
        <f aca="false">A48+1</f>
        <v>23</v>
      </c>
      <c r="B49" s="21" t="n">
        <f aca="false">MAX(0,ROUND(B48*(1+B$15),2)-O48)</f>
        <v>0</v>
      </c>
      <c r="C49" s="21" t="n">
        <f aca="false">MAX(0,ROUND(C48*(1+C$15),2)-P48)</f>
        <v>0</v>
      </c>
      <c r="D49" s="21" t="n">
        <f aca="false">MAX(0,ROUND(D48*(1+D$15),2)-Q48)</f>
        <v>0</v>
      </c>
      <c r="E49" s="21" t="n">
        <f aca="false">MAX(0,ROUND(E48*(1+E$15),2)-R48)</f>
        <v>4550.37</v>
      </c>
      <c r="F49" s="21" t="n">
        <f aca="false">MAX(0,ROUND(F48*(1+F$15),2)-S48)</f>
        <v>23432.81</v>
      </c>
      <c r="G49" s="21" t="n">
        <f aca="false">MAX(0,ROUND(G48*(1+G$15),2)-T48)</f>
        <v>0</v>
      </c>
      <c r="H49" s="21" t="n">
        <f aca="false">MIN(B$16,ROUND(B49*(1+B$15),2))</f>
        <v>0</v>
      </c>
      <c r="I49" s="21" t="n">
        <f aca="false">MIN(C$16,ROUND(C49*(1+C$15),2))</f>
        <v>0</v>
      </c>
      <c r="J49" s="21" t="n">
        <f aca="false">MIN(D$16,ROUND(D49*(1+D$15),2))</f>
        <v>0</v>
      </c>
      <c r="K49" s="21" t="n">
        <f aca="false">MIN(E$16,ROUND(E49*(1+E$15),2))</f>
        <v>350</v>
      </c>
      <c r="L49" s="21" t="n">
        <f aca="false">MIN(F$16,ROUND(F49*(1+F$15),2))</f>
        <v>220</v>
      </c>
      <c r="M49" s="21" t="n">
        <f aca="false">MIN(G$16,ROUND(G49*(1+G$15),2))</f>
        <v>0</v>
      </c>
      <c r="N49" s="21" t="n">
        <f aca="false">B$20-SUM(H49:M49)</f>
        <v>600</v>
      </c>
      <c r="O49" s="21" t="n">
        <f aca="false">MIN(ROUND(B49*(1+B$15),2),H49+MAX(0,N49))</f>
        <v>0</v>
      </c>
      <c r="P49" s="21" t="n">
        <f aca="false">MIN(ROUND(C49*(1+C$15),2),I49+MAX(0,N49-O49+H49))</f>
        <v>0</v>
      </c>
      <c r="Q49" s="21" t="n">
        <f aca="false">MIN(ROUND(D49*(1+D$15),2),J49+MAX(0,N49-O49+H49-P49+I49))</f>
        <v>0</v>
      </c>
      <c r="R49" s="21" t="n">
        <f aca="false">MIN(ROUND(E49*(1+E$15),2),K49+MAX(0,N49-O49+H49-P49+I49-Q49+J49))</f>
        <v>950</v>
      </c>
      <c r="S49" s="21" t="n">
        <f aca="false">MIN(ROUND(F49*(1+F$15),2),L49+MAX(0,N49-O49+H49-P49+I49-Q49+J49-R49+K49))</f>
        <v>220</v>
      </c>
      <c r="T49" s="21" t="n">
        <f aca="false">MIN(ROUND(G49*(1+G$15),2),M49+MAX(0,N49-O49+H49-P49+I49-Q49+J49-R49+K49-S49+L49))</f>
        <v>0</v>
      </c>
      <c r="U49" s="21" t="n">
        <f aca="false">SUM(B49:G49)</f>
        <v>27983.18</v>
      </c>
      <c r="V49" s="21" t="n">
        <f aca="false">SUM(O49:T49)</f>
        <v>1170</v>
      </c>
      <c r="X49" s="25" t="n">
        <f aca="false">X48+1</f>
        <v>23</v>
      </c>
      <c r="Y49" s="21" t="n">
        <f aca="false">MAX(0,ROUND(Y48*(1+Y$15),2)-AL48)</f>
        <v>0</v>
      </c>
      <c r="Z49" s="21" t="n">
        <f aca="false">MAX(0,ROUND(Z48*(1+Z$15),2)-AM48)</f>
        <v>0</v>
      </c>
      <c r="AA49" s="21" t="n">
        <f aca="false">MAX(0,ROUND(AA48*(1+AA$15),2)-AN48)</f>
        <v>0</v>
      </c>
      <c r="AB49" s="21" t="n">
        <f aca="false">MAX(0,ROUND(AB48*(1+AB$15),2)-AO48)</f>
        <v>4765.19</v>
      </c>
      <c r="AC49" s="21" t="n">
        <f aca="false">MAX(0,ROUND(AC48*(1+AC$15),2)-AP48)</f>
        <v>23432.81</v>
      </c>
      <c r="AD49" s="21" t="n">
        <f aca="false">MAX(0,ROUND(AD48*(1+AD$15),2)-AQ48)</f>
        <v>0</v>
      </c>
      <c r="AE49" s="21" t="n">
        <f aca="false">MIN(Y$16,ROUND(Y49*(1+Y$15),2))</f>
        <v>0</v>
      </c>
      <c r="AF49" s="21" t="n">
        <f aca="false">MIN(Z$16,ROUND(Z49*(1+Z$15),2))</f>
        <v>0</v>
      </c>
      <c r="AG49" s="21" t="n">
        <f aca="false">MIN(AA$16,ROUND(AA49*(1+AA$15),2))</f>
        <v>0</v>
      </c>
      <c r="AH49" s="21" t="n">
        <f aca="false">MIN(AB$16,ROUND(AB49*(1+AB$15),2))</f>
        <v>350</v>
      </c>
      <c r="AI49" s="21" t="n">
        <f aca="false">MIN(AC$16,ROUND(AC49*(1+AC$15),2))</f>
        <v>220</v>
      </c>
      <c r="AJ49" s="21" t="n">
        <f aca="false">MIN(AD$16,ROUND(AD49*(1+AD$15),2))</f>
        <v>0</v>
      </c>
      <c r="AK49" s="21" t="n">
        <f aca="false">Y$20-SUM(AE49:AJ49)</f>
        <v>600</v>
      </c>
      <c r="AL49" s="21" t="n">
        <f aca="false">MIN(ROUND(Y49*(1+Y$15),2),AE49+MAX(0,AK49))</f>
        <v>0</v>
      </c>
      <c r="AM49" s="21" t="n">
        <f aca="false">MIN(ROUND(Z49*(1+Z$15),2),AF49+MAX(0,AK49-AL49+AE49))</f>
        <v>0</v>
      </c>
      <c r="AN49" s="21" t="n">
        <f aca="false">MIN(ROUND(AA49*(1+AA$15),2),AG49+MAX(0,AK49-AL49+AE49-AM49+AF49))</f>
        <v>0</v>
      </c>
      <c r="AO49" s="21" t="n">
        <f aca="false">MIN(ROUND(AB49*(1+AB$15),2),AH49+MAX(0,AK49-AL49+AE49-AM49+AF49-AN49+AG49))</f>
        <v>950</v>
      </c>
      <c r="AP49" s="21" t="n">
        <f aca="false">MIN(ROUND(AC49*(1+AC$15),2),AI49+MAX(0,AK49-AL49+AE49-AM49+AF49-AN49+AG49-AO49+AH49))</f>
        <v>220</v>
      </c>
      <c r="AQ49" s="21" t="n">
        <f aca="false">MIN(ROUND(AD49*(1+AD$15),2),AJ49+MAX(0,AK49-AL49+AE49-AM49+AF49-AN49+AG49-AO49+AH49-AP49+AI49))</f>
        <v>0</v>
      </c>
      <c r="AR49" s="21" t="n">
        <f aca="false">SUM(Y49:AD49)</f>
        <v>28198</v>
      </c>
      <c r="AS49" s="21" t="n">
        <f aca="false">SUM(AL49:AQ49)</f>
        <v>1170</v>
      </c>
    </row>
    <row r="50" customFormat="false" ht="15" hidden="false" customHeight="false" outlineLevel="0" collapsed="false">
      <c r="A50" s="25" t="n">
        <f aca="false">A49+1</f>
        <v>24</v>
      </c>
      <c r="B50" s="21" t="n">
        <f aca="false">MAX(0,ROUND(B49*(1+B$15),2)-O49)</f>
        <v>0</v>
      </c>
      <c r="C50" s="21" t="n">
        <f aca="false">MAX(0,ROUND(C49*(1+C$15),2)-P49)</f>
        <v>0</v>
      </c>
      <c r="D50" s="21" t="n">
        <f aca="false">MAX(0,ROUND(D49*(1+D$15),2)-Q49)</f>
        <v>0</v>
      </c>
      <c r="E50" s="21" t="n">
        <f aca="false">MAX(0,ROUND(E49*(1+E$15),2)-R49)</f>
        <v>3625.02</v>
      </c>
      <c r="F50" s="21" t="n">
        <f aca="false">MAX(0,ROUND(F49*(1+F$15),2)-S49)</f>
        <v>23310.45</v>
      </c>
      <c r="G50" s="21" t="n">
        <f aca="false">MAX(0,ROUND(G49*(1+G$15),2)-T49)</f>
        <v>0</v>
      </c>
      <c r="H50" s="21" t="n">
        <f aca="false">MIN(B$16,ROUND(B50*(1+B$15),2))</f>
        <v>0</v>
      </c>
      <c r="I50" s="21" t="n">
        <f aca="false">MIN(C$16,ROUND(C50*(1+C$15),2))</f>
        <v>0</v>
      </c>
      <c r="J50" s="21" t="n">
        <f aca="false">MIN(D$16,ROUND(D50*(1+D$15),2))</f>
        <v>0</v>
      </c>
      <c r="K50" s="21" t="n">
        <f aca="false">MIN(E$16,ROUND(E50*(1+E$15),2))</f>
        <v>350</v>
      </c>
      <c r="L50" s="21" t="n">
        <f aca="false">MIN(F$16,ROUND(F50*(1+F$15),2))</f>
        <v>220</v>
      </c>
      <c r="M50" s="21" t="n">
        <f aca="false">MIN(G$16,ROUND(G50*(1+G$15),2))</f>
        <v>0</v>
      </c>
      <c r="N50" s="21" t="n">
        <f aca="false">B$20-SUM(H50:M50)</f>
        <v>600</v>
      </c>
      <c r="O50" s="21" t="n">
        <f aca="false">MIN(ROUND(B50*(1+B$15),2),H50+MAX(0,N50))</f>
        <v>0</v>
      </c>
      <c r="P50" s="21" t="n">
        <f aca="false">MIN(ROUND(C50*(1+C$15),2),I50+MAX(0,N50-O50+H50))</f>
        <v>0</v>
      </c>
      <c r="Q50" s="21" t="n">
        <f aca="false">MIN(ROUND(D50*(1+D$15),2),J50+MAX(0,N50-O50+H50-P50+I50))</f>
        <v>0</v>
      </c>
      <c r="R50" s="21" t="n">
        <f aca="false">MIN(ROUND(E50*(1+E$15),2),K50+MAX(0,N50-O50+H50-P50+I50-Q50+J50))</f>
        <v>950</v>
      </c>
      <c r="S50" s="21" t="n">
        <f aca="false">MIN(ROUND(F50*(1+F$15),2),L50+MAX(0,N50-O50+H50-P50+I50-Q50+J50-R50+K50))</f>
        <v>220</v>
      </c>
      <c r="T50" s="21" t="n">
        <f aca="false">MIN(ROUND(G50*(1+G$15),2),M50+MAX(0,N50-O50+H50-P50+I50-Q50+J50-R50+K50-S50+L50))</f>
        <v>0</v>
      </c>
      <c r="U50" s="21" t="n">
        <f aca="false">SUM(B50:G50)</f>
        <v>26935.47</v>
      </c>
      <c r="V50" s="21" t="n">
        <f aca="false">SUM(O50:T50)</f>
        <v>1170</v>
      </c>
      <c r="X50" s="25" t="n">
        <f aca="false">X49+1</f>
        <v>24</v>
      </c>
      <c r="Y50" s="21" t="n">
        <f aca="false">MAX(0,ROUND(Y49*(1+Y$15),2)-AL49)</f>
        <v>0</v>
      </c>
      <c r="Z50" s="21" t="n">
        <f aca="false">MAX(0,ROUND(Z49*(1+Z$15),2)-AM49)</f>
        <v>0</v>
      </c>
      <c r="AA50" s="21" t="n">
        <f aca="false">MAX(0,ROUND(AA49*(1+AA$15),2)-AN49)</f>
        <v>0</v>
      </c>
      <c r="AB50" s="21" t="n">
        <f aca="false">MAX(0,ROUND(AB49*(1+AB$15),2)-AO49)</f>
        <v>3841</v>
      </c>
      <c r="AC50" s="21" t="n">
        <f aca="false">MAX(0,ROUND(AC49*(1+AC$15),2)-AP49)</f>
        <v>23310.45</v>
      </c>
      <c r="AD50" s="21" t="n">
        <f aca="false">MAX(0,ROUND(AD49*(1+AD$15),2)-AQ49)</f>
        <v>0</v>
      </c>
      <c r="AE50" s="21" t="n">
        <f aca="false">MIN(Y$16,ROUND(Y50*(1+Y$15),2))</f>
        <v>0</v>
      </c>
      <c r="AF50" s="21" t="n">
        <f aca="false">MIN(Z$16,ROUND(Z50*(1+Z$15),2))</f>
        <v>0</v>
      </c>
      <c r="AG50" s="21" t="n">
        <f aca="false">MIN(AA$16,ROUND(AA50*(1+AA$15),2))</f>
        <v>0</v>
      </c>
      <c r="AH50" s="21" t="n">
        <f aca="false">MIN(AB$16,ROUND(AB50*(1+AB$15),2))</f>
        <v>350</v>
      </c>
      <c r="AI50" s="21" t="n">
        <f aca="false">MIN(AC$16,ROUND(AC50*(1+AC$15),2))</f>
        <v>220</v>
      </c>
      <c r="AJ50" s="21" t="n">
        <f aca="false">MIN(AD$16,ROUND(AD50*(1+AD$15),2))</f>
        <v>0</v>
      </c>
      <c r="AK50" s="21" t="n">
        <f aca="false">Y$20-SUM(AE50:AJ50)</f>
        <v>600</v>
      </c>
      <c r="AL50" s="21" t="n">
        <f aca="false">MIN(ROUND(Y50*(1+Y$15),2),AE50+MAX(0,AK50))</f>
        <v>0</v>
      </c>
      <c r="AM50" s="21" t="n">
        <f aca="false">MIN(ROUND(Z50*(1+Z$15),2),AF50+MAX(0,AK50-AL50+AE50))</f>
        <v>0</v>
      </c>
      <c r="AN50" s="21" t="n">
        <f aca="false">MIN(ROUND(AA50*(1+AA$15),2),AG50+MAX(0,AK50-AL50+AE50-AM50+AF50))</f>
        <v>0</v>
      </c>
      <c r="AO50" s="21" t="n">
        <f aca="false">MIN(ROUND(AB50*(1+AB$15),2),AH50+MAX(0,AK50-AL50+AE50-AM50+AF50-AN50+AG50))</f>
        <v>950</v>
      </c>
      <c r="AP50" s="21" t="n">
        <f aca="false">MIN(ROUND(AC50*(1+AC$15),2),AI50+MAX(0,AK50-AL50+AE50-AM50+AF50-AN50+AG50-AO50+AH50))</f>
        <v>220</v>
      </c>
      <c r="AQ50" s="21" t="n">
        <f aca="false">MIN(ROUND(AD50*(1+AD$15),2),AJ50+MAX(0,AK50-AL50+AE50-AM50+AF50-AN50+AG50-AO50+AH50-AP50+AI50))</f>
        <v>0</v>
      </c>
      <c r="AR50" s="21" t="n">
        <f aca="false">SUM(Y50:AD50)</f>
        <v>27151.45</v>
      </c>
      <c r="AS50" s="21" t="n">
        <f aca="false">SUM(AL50:AQ50)</f>
        <v>1170</v>
      </c>
    </row>
    <row r="51" customFormat="false" ht="15" hidden="false" customHeight="false" outlineLevel="0" collapsed="false">
      <c r="A51" s="25" t="n">
        <f aca="false">A50+1</f>
        <v>25</v>
      </c>
      <c r="B51" s="21" t="n">
        <f aca="false">MAX(0,ROUND(B50*(1+B$15),2)-O50)</f>
        <v>0</v>
      </c>
      <c r="C51" s="21" t="n">
        <f aca="false">MAX(0,ROUND(C50*(1+C$15),2)-P50)</f>
        <v>0</v>
      </c>
      <c r="D51" s="21" t="n">
        <f aca="false">MAX(0,ROUND(D50*(1+D$15),2)-Q50)</f>
        <v>0</v>
      </c>
      <c r="E51" s="21" t="n">
        <f aca="false">MAX(0,ROUND(E50*(1+E$15),2)-R50)</f>
        <v>2694.66</v>
      </c>
      <c r="F51" s="21" t="n">
        <f aca="false">MAX(0,ROUND(F50*(1+F$15),2)-S50)</f>
        <v>23187.58</v>
      </c>
      <c r="G51" s="21" t="n">
        <f aca="false">MAX(0,ROUND(G50*(1+G$15),2)-T50)</f>
        <v>0</v>
      </c>
      <c r="H51" s="21" t="n">
        <f aca="false">MIN(B$16,ROUND(B51*(1+B$15),2))</f>
        <v>0</v>
      </c>
      <c r="I51" s="21" t="n">
        <f aca="false">MIN(C$16,ROUND(C51*(1+C$15),2))</f>
        <v>0</v>
      </c>
      <c r="J51" s="21" t="n">
        <f aca="false">MIN(D$16,ROUND(D51*(1+D$15),2))</f>
        <v>0</v>
      </c>
      <c r="K51" s="21" t="n">
        <f aca="false">MIN(E$16,ROUND(E51*(1+E$15),2))</f>
        <v>350</v>
      </c>
      <c r="L51" s="21" t="n">
        <f aca="false">MIN(F$16,ROUND(F51*(1+F$15),2))</f>
        <v>220</v>
      </c>
      <c r="M51" s="21" t="n">
        <f aca="false">MIN(G$16,ROUND(G51*(1+G$15),2))</f>
        <v>0</v>
      </c>
      <c r="N51" s="21" t="n">
        <f aca="false">B$20-SUM(H51:M51)</f>
        <v>600</v>
      </c>
      <c r="O51" s="21" t="n">
        <f aca="false">MIN(ROUND(B51*(1+B$15),2),H51+MAX(0,N51))</f>
        <v>0</v>
      </c>
      <c r="P51" s="21" t="n">
        <f aca="false">MIN(ROUND(C51*(1+C$15),2),I51+MAX(0,N51-O51+H51))</f>
        <v>0</v>
      </c>
      <c r="Q51" s="21" t="n">
        <f aca="false">MIN(ROUND(D51*(1+D$15),2),J51+MAX(0,N51-O51+H51-P51+I51))</f>
        <v>0</v>
      </c>
      <c r="R51" s="21" t="n">
        <f aca="false">MIN(ROUND(E51*(1+E$15),2),K51+MAX(0,N51-O51+H51-P51+I51-Q51+J51))</f>
        <v>950</v>
      </c>
      <c r="S51" s="21" t="n">
        <f aca="false">MIN(ROUND(F51*(1+F$15),2),L51+MAX(0,N51-O51+H51-P51+I51-Q51+J51-R51+K51))</f>
        <v>220</v>
      </c>
      <c r="T51" s="21" t="n">
        <f aca="false">MIN(ROUND(G51*(1+G$15),2),M51+MAX(0,N51-O51+H51-P51+I51-Q51+J51-R51+K51-S51+L51))</f>
        <v>0</v>
      </c>
      <c r="U51" s="21" t="n">
        <f aca="false">SUM(B51:G51)</f>
        <v>25882.24</v>
      </c>
      <c r="V51" s="21" t="n">
        <f aca="false">SUM(O51:T51)</f>
        <v>1170</v>
      </c>
      <c r="X51" s="25" t="n">
        <f aca="false">X50+1</f>
        <v>25</v>
      </c>
      <c r="Y51" s="21" t="n">
        <f aca="false">MAX(0,ROUND(Y50*(1+Y$15),2)-AL50)</f>
        <v>0</v>
      </c>
      <c r="Z51" s="21" t="n">
        <f aca="false">MAX(0,ROUND(Z50*(1+Z$15),2)-AM50)</f>
        <v>0</v>
      </c>
      <c r="AA51" s="21" t="n">
        <f aca="false">MAX(0,ROUND(AA50*(1+AA$15),2)-AN50)</f>
        <v>0</v>
      </c>
      <c r="AB51" s="21" t="n">
        <f aca="false">MAX(0,ROUND(AB50*(1+AB$15),2)-AO50)</f>
        <v>2911.81</v>
      </c>
      <c r="AC51" s="21" t="n">
        <f aca="false">MAX(0,ROUND(AC50*(1+AC$15),2)-AP50)</f>
        <v>23187.58</v>
      </c>
      <c r="AD51" s="21" t="n">
        <f aca="false">MAX(0,ROUND(AD50*(1+AD$15),2)-AQ50)</f>
        <v>0</v>
      </c>
      <c r="AE51" s="21" t="n">
        <f aca="false">MIN(Y$16,ROUND(Y51*(1+Y$15),2))</f>
        <v>0</v>
      </c>
      <c r="AF51" s="21" t="n">
        <f aca="false">MIN(Z$16,ROUND(Z51*(1+Z$15),2))</f>
        <v>0</v>
      </c>
      <c r="AG51" s="21" t="n">
        <f aca="false">MIN(AA$16,ROUND(AA51*(1+AA$15),2))</f>
        <v>0</v>
      </c>
      <c r="AH51" s="21" t="n">
        <f aca="false">MIN(AB$16,ROUND(AB51*(1+AB$15),2))</f>
        <v>350</v>
      </c>
      <c r="AI51" s="21" t="n">
        <f aca="false">MIN(AC$16,ROUND(AC51*(1+AC$15),2))</f>
        <v>220</v>
      </c>
      <c r="AJ51" s="21" t="n">
        <f aca="false">MIN(AD$16,ROUND(AD51*(1+AD$15),2))</f>
        <v>0</v>
      </c>
      <c r="AK51" s="21" t="n">
        <f aca="false">Y$20-SUM(AE51:AJ51)</f>
        <v>600</v>
      </c>
      <c r="AL51" s="21" t="n">
        <f aca="false">MIN(ROUND(Y51*(1+Y$15),2),AE51+MAX(0,AK51))</f>
        <v>0</v>
      </c>
      <c r="AM51" s="21" t="n">
        <f aca="false">MIN(ROUND(Z51*(1+Z$15),2),AF51+MAX(0,AK51-AL51+AE51))</f>
        <v>0</v>
      </c>
      <c r="AN51" s="21" t="n">
        <f aca="false">MIN(ROUND(AA51*(1+AA$15),2),AG51+MAX(0,AK51-AL51+AE51-AM51+AF51))</f>
        <v>0</v>
      </c>
      <c r="AO51" s="21" t="n">
        <f aca="false">MIN(ROUND(AB51*(1+AB$15),2),AH51+MAX(0,AK51-AL51+AE51-AM51+AF51-AN51+AG51))</f>
        <v>950</v>
      </c>
      <c r="AP51" s="21" t="n">
        <f aca="false">MIN(ROUND(AC51*(1+AC$15),2),AI51+MAX(0,AK51-AL51+AE51-AM51+AF51-AN51+AG51-AO51+AH51))</f>
        <v>220</v>
      </c>
      <c r="AQ51" s="21" t="n">
        <f aca="false">MIN(ROUND(AD51*(1+AD$15),2),AJ51+MAX(0,AK51-AL51+AE51-AM51+AF51-AN51+AG51-AO51+AH51-AP51+AI51))</f>
        <v>0</v>
      </c>
      <c r="AR51" s="21" t="n">
        <f aca="false">SUM(Y51:AD51)</f>
        <v>26099.39</v>
      </c>
      <c r="AS51" s="21" t="n">
        <f aca="false">SUM(AL51:AQ51)</f>
        <v>1170</v>
      </c>
    </row>
    <row r="52" customFormat="false" ht="15" hidden="false" customHeight="false" outlineLevel="0" collapsed="false">
      <c r="A52" s="25" t="n">
        <f aca="false">A51+1</f>
        <v>26</v>
      </c>
      <c r="B52" s="21" t="n">
        <f aca="false">MAX(0,ROUND(B51*(1+B$15),2)-O51)</f>
        <v>0</v>
      </c>
      <c r="C52" s="21" t="n">
        <f aca="false">MAX(0,ROUND(C51*(1+C$15),2)-P51)</f>
        <v>0</v>
      </c>
      <c r="D52" s="21" t="n">
        <f aca="false">MAX(0,ROUND(D51*(1+D$15),2)-Q51)</f>
        <v>0</v>
      </c>
      <c r="E52" s="21" t="n">
        <f aca="false">MAX(0,ROUND(E51*(1+E$15),2)-R51)</f>
        <v>1759.26</v>
      </c>
      <c r="F52" s="21" t="n">
        <f aca="false">MAX(0,ROUND(F51*(1+F$15),2)-S51)</f>
        <v>23064.19</v>
      </c>
      <c r="G52" s="21" t="n">
        <f aca="false">MAX(0,ROUND(G51*(1+G$15),2)-T51)</f>
        <v>0</v>
      </c>
      <c r="H52" s="21" t="n">
        <f aca="false">MIN(B$16,ROUND(B52*(1+B$15),2))</f>
        <v>0</v>
      </c>
      <c r="I52" s="21" t="n">
        <f aca="false">MIN(C$16,ROUND(C52*(1+C$15),2))</f>
        <v>0</v>
      </c>
      <c r="J52" s="21" t="n">
        <f aca="false">MIN(D$16,ROUND(D52*(1+D$15),2))</f>
        <v>0</v>
      </c>
      <c r="K52" s="21" t="n">
        <f aca="false">MIN(E$16,ROUND(E52*(1+E$15),2))</f>
        <v>350</v>
      </c>
      <c r="L52" s="21" t="n">
        <f aca="false">MIN(F$16,ROUND(F52*(1+F$15),2))</f>
        <v>220</v>
      </c>
      <c r="M52" s="21" t="n">
        <f aca="false">MIN(G$16,ROUND(G52*(1+G$15),2))</f>
        <v>0</v>
      </c>
      <c r="N52" s="21" t="n">
        <f aca="false">B$20-SUM(H52:M52)</f>
        <v>600</v>
      </c>
      <c r="O52" s="21" t="n">
        <f aca="false">MIN(ROUND(B52*(1+B$15),2),H52+MAX(0,N52))</f>
        <v>0</v>
      </c>
      <c r="P52" s="21" t="n">
        <f aca="false">MIN(ROUND(C52*(1+C$15),2),I52+MAX(0,N52-O52+H52))</f>
        <v>0</v>
      </c>
      <c r="Q52" s="21" t="n">
        <f aca="false">MIN(ROUND(D52*(1+D$15),2),J52+MAX(0,N52-O52+H52-P52+I52))</f>
        <v>0</v>
      </c>
      <c r="R52" s="21" t="n">
        <f aca="false">MIN(ROUND(E52*(1+E$15),2),K52+MAX(0,N52-O52+H52-P52+I52-Q52+J52))</f>
        <v>950</v>
      </c>
      <c r="S52" s="21" t="n">
        <f aca="false">MIN(ROUND(F52*(1+F$15),2),L52+MAX(0,N52-O52+H52-P52+I52-Q52+J52-R52+K52))</f>
        <v>220</v>
      </c>
      <c r="T52" s="21" t="n">
        <f aca="false">MIN(ROUND(G52*(1+G$15),2),M52+MAX(0,N52-O52+H52-P52+I52-Q52+J52-R52+K52-S52+L52))</f>
        <v>0</v>
      </c>
      <c r="U52" s="21" t="n">
        <f aca="false">SUM(B52:G52)</f>
        <v>24823.45</v>
      </c>
      <c r="V52" s="21" t="n">
        <f aca="false">SUM(O52:T52)</f>
        <v>1170</v>
      </c>
      <c r="X52" s="25" t="n">
        <f aca="false">X51+1</f>
        <v>26</v>
      </c>
      <c r="Y52" s="21" t="n">
        <f aca="false">MAX(0,ROUND(Y51*(1+Y$15),2)-AL51)</f>
        <v>0</v>
      </c>
      <c r="Z52" s="21" t="n">
        <f aca="false">MAX(0,ROUND(Z51*(1+Z$15),2)-AM51)</f>
        <v>0</v>
      </c>
      <c r="AA52" s="21" t="n">
        <f aca="false">MAX(0,ROUND(AA51*(1+AA$15),2)-AN51)</f>
        <v>0</v>
      </c>
      <c r="AB52" s="21" t="n">
        <f aca="false">MAX(0,ROUND(AB51*(1+AB$15),2)-AO51)</f>
        <v>1977.58</v>
      </c>
      <c r="AC52" s="21" t="n">
        <f aca="false">MAX(0,ROUND(AC51*(1+AC$15),2)-AP51)</f>
        <v>23064.19</v>
      </c>
      <c r="AD52" s="21" t="n">
        <f aca="false">MAX(0,ROUND(AD51*(1+AD$15),2)-AQ51)</f>
        <v>0</v>
      </c>
      <c r="AE52" s="21" t="n">
        <f aca="false">MIN(Y$16,ROUND(Y52*(1+Y$15),2))</f>
        <v>0</v>
      </c>
      <c r="AF52" s="21" t="n">
        <f aca="false">MIN(Z$16,ROUND(Z52*(1+Z$15),2))</f>
        <v>0</v>
      </c>
      <c r="AG52" s="21" t="n">
        <f aca="false">MIN(AA$16,ROUND(AA52*(1+AA$15),2))</f>
        <v>0</v>
      </c>
      <c r="AH52" s="21" t="n">
        <f aca="false">MIN(AB$16,ROUND(AB52*(1+AB$15),2))</f>
        <v>350</v>
      </c>
      <c r="AI52" s="21" t="n">
        <f aca="false">MIN(AC$16,ROUND(AC52*(1+AC$15),2))</f>
        <v>220</v>
      </c>
      <c r="AJ52" s="21" t="n">
        <f aca="false">MIN(AD$16,ROUND(AD52*(1+AD$15),2))</f>
        <v>0</v>
      </c>
      <c r="AK52" s="21" t="n">
        <f aca="false">Y$20-SUM(AE52:AJ52)</f>
        <v>600</v>
      </c>
      <c r="AL52" s="21" t="n">
        <f aca="false">MIN(ROUND(Y52*(1+Y$15),2),AE52+MAX(0,AK52))</f>
        <v>0</v>
      </c>
      <c r="AM52" s="21" t="n">
        <f aca="false">MIN(ROUND(Z52*(1+Z$15),2),AF52+MAX(0,AK52-AL52+AE52))</f>
        <v>0</v>
      </c>
      <c r="AN52" s="21" t="n">
        <f aca="false">MIN(ROUND(AA52*(1+AA$15),2),AG52+MAX(0,AK52-AL52+AE52-AM52+AF52))</f>
        <v>0</v>
      </c>
      <c r="AO52" s="21" t="n">
        <f aca="false">MIN(ROUND(AB52*(1+AB$15),2),AH52+MAX(0,AK52-AL52+AE52-AM52+AF52-AN52+AG52))</f>
        <v>950</v>
      </c>
      <c r="AP52" s="21" t="n">
        <f aca="false">MIN(ROUND(AC52*(1+AC$15),2),AI52+MAX(0,AK52-AL52+AE52-AM52+AF52-AN52+AG52-AO52+AH52))</f>
        <v>220</v>
      </c>
      <c r="AQ52" s="21" t="n">
        <f aca="false">MIN(ROUND(AD52*(1+AD$15),2),AJ52+MAX(0,AK52-AL52+AE52-AM52+AF52-AN52+AG52-AO52+AH52-AP52+AI52))</f>
        <v>0</v>
      </c>
      <c r="AR52" s="21" t="n">
        <f aca="false">SUM(Y52:AD52)</f>
        <v>25041.77</v>
      </c>
      <c r="AS52" s="21" t="n">
        <f aca="false">SUM(AL52:AQ52)</f>
        <v>1170</v>
      </c>
    </row>
    <row r="53" customFormat="false" ht="15" hidden="false" customHeight="false" outlineLevel="0" collapsed="false">
      <c r="A53" s="25" t="n">
        <f aca="false">A52+1</f>
        <v>27</v>
      </c>
      <c r="B53" s="21" t="n">
        <f aca="false">MAX(0,ROUND(B52*(1+B$15),2)-O52)</f>
        <v>0</v>
      </c>
      <c r="C53" s="21" t="n">
        <f aca="false">MAX(0,ROUND(C52*(1+C$15),2)-P52)</f>
        <v>0</v>
      </c>
      <c r="D53" s="21" t="n">
        <f aca="false">MAX(0,ROUND(D52*(1+D$15),2)-Q52)</f>
        <v>0</v>
      </c>
      <c r="E53" s="21" t="n">
        <f aca="false">MAX(0,ROUND(E52*(1+E$15),2)-R52)</f>
        <v>818.79</v>
      </c>
      <c r="F53" s="21" t="n">
        <f aca="false">MAX(0,ROUND(F52*(1+F$15),2)-S52)</f>
        <v>22940.29</v>
      </c>
      <c r="G53" s="21" t="n">
        <f aca="false">MAX(0,ROUND(G52*(1+G$15),2)-T52)</f>
        <v>0</v>
      </c>
      <c r="H53" s="21" t="n">
        <f aca="false">MIN(B$16,ROUND(B53*(1+B$15),2))</f>
        <v>0</v>
      </c>
      <c r="I53" s="21" t="n">
        <f aca="false">MIN(C$16,ROUND(C53*(1+C$15),2))</f>
        <v>0</v>
      </c>
      <c r="J53" s="21" t="n">
        <f aca="false">MIN(D$16,ROUND(D53*(1+D$15),2))</f>
        <v>0</v>
      </c>
      <c r="K53" s="21" t="n">
        <f aca="false">MIN(E$16,ROUND(E53*(1+E$15),2))</f>
        <v>350</v>
      </c>
      <c r="L53" s="21" t="n">
        <f aca="false">MIN(F$16,ROUND(F53*(1+F$15),2))</f>
        <v>220</v>
      </c>
      <c r="M53" s="21" t="n">
        <f aca="false">MIN(G$16,ROUND(G53*(1+G$15),2))</f>
        <v>0</v>
      </c>
      <c r="N53" s="21" t="n">
        <f aca="false">B$20-SUM(H53:M53)</f>
        <v>600</v>
      </c>
      <c r="O53" s="21" t="n">
        <f aca="false">MIN(ROUND(B53*(1+B$15),2),H53+MAX(0,N53))</f>
        <v>0</v>
      </c>
      <c r="P53" s="21" t="n">
        <f aca="false">MIN(ROUND(C53*(1+C$15),2),I53+MAX(0,N53-O53+H53))</f>
        <v>0</v>
      </c>
      <c r="Q53" s="21" t="n">
        <f aca="false">MIN(ROUND(D53*(1+D$15),2),J53+MAX(0,N53-O53+H53-P53+I53))</f>
        <v>0</v>
      </c>
      <c r="R53" s="21" t="n">
        <f aca="false">MIN(ROUND(E53*(1+E$15),2),K53+MAX(0,N53-O53+H53-P53+I53-Q53+J53))</f>
        <v>823.23</v>
      </c>
      <c r="S53" s="21" t="n">
        <f aca="false">MIN(ROUND(F53*(1+F$15),2),L53+MAX(0,N53-O53+H53-P53+I53-Q53+J53-R53+K53))</f>
        <v>346.77</v>
      </c>
      <c r="T53" s="21" t="n">
        <f aca="false">MIN(ROUND(G53*(1+G$15),2),M53+MAX(0,N53-O53+H53-P53+I53-Q53+J53-R53+K53-S53+L53))</f>
        <v>0</v>
      </c>
      <c r="U53" s="21" t="n">
        <f aca="false">SUM(B53:G53)</f>
        <v>23759.08</v>
      </c>
      <c r="V53" s="21" t="n">
        <f aca="false">SUM(O53:T53)</f>
        <v>1170</v>
      </c>
      <c r="X53" s="25" t="n">
        <f aca="false">X52+1</f>
        <v>27</v>
      </c>
      <c r="Y53" s="21" t="n">
        <f aca="false">MAX(0,ROUND(Y52*(1+Y$15),2)-AL52)</f>
        <v>0</v>
      </c>
      <c r="Z53" s="21" t="n">
        <f aca="false">MAX(0,ROUND(Z52*(1+Z$15),2)-AM52)</f>
        <v>0</v>
      </c>
      <c r="AA53" s="21" t="n">
        <f aca="false">MAX(0,ROUND(AA52*(1+AA$15),2)-AN52)</f>
        <v>0</v>
      </c>
      <c r="AB53" s="21" t="n">
        <f aca="false">MAX(0,ROUND(AB52*(1+AB$15),2)-AO52)</f>
        <v>1038.29</v>
      </c>
      <c r="AC53" s="21" t="n">
        <f aca="false">MAX(0,ROUND(AC52*(1+AC$15),2)-AP52)</f>
        <v>22940.29</v>
      </c>
      <c r="AD53" s="21" t="n">
        <f aca="false">MAX(0,ROUND(AD52*(1+AD$15),2)-AQ52)</f>
        <v>0</v>
      </c>
      <c r="AE53" s="21" t="n">
        <f aca="false">MIN(Y$16,ROUND(Y53*(1+Y$15),2))</f>
        <v>0</v>
      </c>
      <c r="AF53" s="21" t="n">
        <f aca="false">MIN(Z$16,ROUND(Z53*(1+Z$15),2))</f>
        <v>0</v>
      </c>
      <c r="AG53" s="21" t="n">
        <f aca="false">MIN(AA$16,ROUND(AA53*(1+AA$15),2))</f>
        <v>0</v>
      </c>
      <c r="AH53" s="21" t="n">
        <f aca="false">MIN(AB$16,ROUND(AB53*(1+AB$15),2))</f>
        <v>350</v>
      </c>
      <c r="AI53" s="21" t="n">
        <f aca="false">MIN(AC$16,ROUND(AC53*(1+AC$15),2))</f>
        <v>220</v>
      </c>
      <c r="AJ53" s="21" t="n">
        <f aca="false">MIN(AD$16,ROUND(AD53*(1+AD$15),2))</f>
        <v>0</v>
      </c>
      <c r="AK53" s="21" t="n">
        <f aca="false">Y$20-SUM(AE53:AJ53)</f>
        <v>600</v>
      </c>
      <c r="AL53" s="21" t="n">
        <f aca="false">MIN(ROUND(Y53*(1+Y$15),2),AE53+MAX(0,AK53))</f>
        <v>0</v>
      </c>
      <c r="AM53" s="21" t="n">
        <f aca="false">MIN(ROUND(Z53*(1+Z$15),2),AF53+MAX(0,AK53-AL53+AE53))</f>
        <v>0</v>
      </c>
      <c r="AN53" s="21" t="n">
        <f aca="false">MIN(ROUND(AA53*(1+AA$15),2),AG53+MAX(0,AK53-AL53+AE53-AM53+AF53))</f>
        <v>0</v>
      </c>
      <c r="AO53" s="21" t="n">
        <f aca="false">MIN(ROUND(AB53*(1+AB$15),2),AH53+MAX(0,AK53-AL53+AE53-AM53+AF53-AN53+AG53))</f>
        <v>950</v>
      </c>
      <c r="AP53" s="21" t="n">
        <f aca="false">MIN(ROUND(AC53*(1+AC$15),2),AI53+MAX(0,AK53-AL53+AE53-AM53+AF53-AN53+AG53-AO53+AH53))</f>
        <v>220</v>
      </c>
      <c r="AQ53" s="21" t="n">
        <f aca="false">MIN(ROUND(AD53*(1+AD$15),2),AJ53+MAX(0,AK53-AL53+AE53-AM53+AF53-AN53+AG53-AO53+AH53-AP53+AI53))</f>
        <v>0</v>
      </c>
      <c r="AR53" s="21" t="n">
        <f aca="false">SUM(Y53:AD53)</f>
        <v>23978.58</v>
      </c>
      <c r="AS53" s="21" t="n">
        <f aca="false">SUM(AL53:AQ53)</f>
        <v>1170</v>
      </c>
    </row>
    <row r="54" customFormat="false" ht="15" hidden="false" customHeight="false" outlineLevel="0" collapsed="false">
      <c r="A54" s="25" t="n">
        <f aca="false">A53+1</f>
        <v>28</v>
      </c>
      <c r="B54" s="21" t="n">
        <f aca="false">MAX(0,ROUND(B53*(1+B$15),2)-O53)</f>
        <v>0</v>
      </c>
      <c r="C54" s="21" t="n">
        <f aca="false">MAX(0,ROUND(C53*(1+C$15),2)-P53)</f>
        <v>0</v>
      </c>
      <c r="D54" s="21" t="n">
        <f aca="false">MAX(0,ROUND(D53*(1+D$15),2)-Q53)</f>
        <v>0</v>
      </c>
      <c r="E54" s="21" t="n">
        <f aca="false">MAX(0,ROUND(E53*(1+E$15),2)-R53)</f>
        <v>0</v>
      </c>
      <c r="F54" s="21" t="n">
        <f aca="false">MAX(0,ROUND(F53*(1+F$15),2)-S53)</f>
        <v>22689.1</v>
      </c>
      <c r="G54" s="21" t="n">
        <f aca="false">MAX(0,ROUND(G53*(1+G$15),2)-T53)</f>
        <v>0</v>
      </c>
      <c r="H54" s="21" t="n">
        <f aca="false">MIN(B$16,ROUND(B54*(1+B$15),2))</f>
        <v>0</v>
      </c>
      <c r="I54" s="21" t="n">
        <f aca="false">MIN(C$16,ROUND(C54*(1+C$15),2))</f>
        <v>0</v>
      </c>
      <c r="J54" s="21" t="n">
        <f aca="false">MIN(D$16,ROUND(D54*(1+D$15),2))</f>
        <v>0</v>
      </c>
      <c r="K54" s="21" t="n">
        <f aca="false">MIN(E$16,ROUND(E54*(1+E$15),2))</f>
        <v>0</v>
      </c>
      <c r="L54" s="21" t="n">
        <f aca="false">MIN(F$16,ROUND(F54*(1+F$15),2))</f>
        <v>220</v>
      </c>
      <c r="M54" s="21" t="n">
        <f aca="false">MIN(G$16,ROUND(G54*(1+G$15),2))</f>
        <v>0</v>
      </c>
      <c r="N54" s="21" t="n">
        <f aca="false">B$20-SUM(H54:M54)</f>
        <v>950</v>
      </c>
      <c r="O54" s="21" t="n">
        <f aca="false">MIN(ROUND(B54*(1+B$15),2),H54+MAX(0,N54))</f>
        <v>0</v>
      </c>
      <c r="P54" s="21" t="n">
        <f aca="false">MIN(ROUND(C54*(1+C$15),2),I54+MAX(0,N54-O54+H54))</f>
        <v>0</v>
      </c>
      <c r="Q54" s="21" t="n">
        <f aca="false">MIN(ROUND(D54*(1+D$15),2),J54+MAX(0,N54-O54+H54-P54+I54))</f>
        <v>0</v>
      </c>
      <c r="R54" s="21" t="n">
        <f aca="false">MIN(ROUND(E54*(1+E$15),2),K54+MAX(0,N54-O54+H54-P54+I54-Q54+J54))</f>
        <v>0</v>
      </c>
      <c r="S54" s="21" t="n">
        <f aca="false">MIN(ROUND(F54*(1+F$15),2),L54+MAX(0,N54-O54+H54-P54+I54-Q54+J54-R54+K54))</f>
        <v>1170</v>
      </c>
      <c r="T54" s="21" t="n">
        <f aca="false">MIN(ROUND(G54*(1+G$15),2),M54+MAX(0,N54-O54+H54-P54+I54-Q54+J54-R54+K54-S54+L54))</f>
        <v>0</v>
      </c>
      <c r="U54" s="21" t="n">
        <f aca="false">SUM(B54:G54)</f>
        <v>22689.1</v>
      </c>
      <c r="V54" s="21" t="n">
        <f aca="false">SUM(O54:T54)</f>
        <v>1170</v>
      </c>
      <c r="X54" s="25" t="n">
        <f aca="false">X53+1</f>
        <v>28</v>
      </c>
      <c r="Y54" s="21" t="n">
        <f aca="false">MAX(0,ROUND(Y53*(1+Y$15),2)-AL53)</f>
        <v>0</v>
      </c>
      <c r="Z54" s="21" t="n">
        <f aca="false">MAX(0,ROUND(Z53*(1+Z$15),2)-AM53)</f>
        <v>0</v>
      </c>
      <c r="AA54" s="21" t="n">
        <f aca="false">MAX(0,ROUND(AA53*(1+AA$15),2)-AN53)</f>
        <v>0</v>
      </c>
      <c r="AB54" s="21" t="n">
        <f aca="false">MAX(0,ROUND(AB53*(1+AB$15),2)-AO53)</f>
        <v>93.9100000000001</v>
      </c>
      <c r="AC54" s="21" t="n">
        <f aca="false">MAX(0,ROUND(AC53*(1+AC$15),2)-AP53)</f>
        <v>22815.87</v>
      </c>
      <c r="AD54" s="21" t="n">
        <f aca="false">MAX(0,ROUND(AD53*(1+AD$15),2)-AQ53)</f>
        <v>0</v>
      </c>
      <c r="AE54" s="21" t="n">
        <f aca="false">MIN(Y$16,ROUND(Y54*(1+Y$15),2))</f>
        <v>0</v>
      </c>
      <c r="AF54" s="21" t="n">
        <f aca="false">MIN(Z$16,ROUND(Z54*(1+Z$15),2))</f>
        <v>0</v>
      </c>
      <c r="AG54" s="21" t="n">
        <f aca="false">MIN(AA$16,ROUND(AA54*(1+AA$15),2))</f>
        <v>0</v>
      </c>
      <c r="AH54" s="21" t="n">
        <f aca="false">MIN(AB$16,ROUND(AB54*(1+AB$15),2))</f>
        <v>94.42</v>
      </c>
      <c r="AI54" s="21" t="n">
        <f aca="false">MIN(AC$16,ROUND(AC54*(1+AC$15),2))</f>
        <v>220</v>
      </c>
      <c r="AJ54" s="21" t="n">
        <f aca="false">MIN(AD$16,ROUND(AD54*(1+AD$15),2))</f>
        <v>0</v>
      </c>
      <c r="AK54" s="21" t="n">
        <f aca="false">Y$20-SUM(AE54:AJ54)</f>
        <v>855.58</v>
      </c>
      <c r="AL54" s="21" t="n">
        <f aca="false">MIN(ROUND(Y54*(1+Y$15),2),AE54+MAX(0,AK54))</f>
        <v>0</v>
      </c>
      <c r="AM54" s="21" t="n">
        <f aca="false">MIN(ROUND(Z54*(1+Z$15),2),AF54+MAX(0,AK54-AL54+AE54))</f>
        <v>0</v>
      </c>
      <c r="AN54" s="21" t="n">
        <f aca="false">MIN(ROUND(AA54*(1+AA$15),2),AG54+MAX(0,AK54-AL54+AE54-AM54+AF54))</f>
        <v>0</v>
      </c>
      <c r="AO54" s="21" t="n">
        <f aca="false">MIN(ROUND(AB54*(1+AB$15),2),AH54+MAX(0,AK54-AL54+AE54-AM54+AF54-AN54+AG54))</f>
        <v>94.42</v>
      </c>
      <c r="AP54" s="21" t="n">
        <f aca="false">MIN(ROUND(AC54*(1+AC$15),2),AI54+MAX(0,AK54-AL54+AE54-AM54+AF54-AN54+AG54-AO54+AH54))</f>
        <v>1075.58</v>
      </c>
      <c r="AQ54" s="21" t="n">
        <f aca="false">MIN(ROUND(AD54*(1+AD$15),2),AJ54+MAX(0,AK54-AL54+AE54-AM54+AF54-AN54+AG54-AO54+AH54-AP54+AI54))</f>
        <v>0</v>
      </c>
      <c r="AR54" s="21" t="n">
        <f aca="false">SUM(Y54:AD54)</f>
        <v>22909.78</v>
      </c>
      <c r="AS54" s="21" t="n">
        <f aca="false">SUM(AL54:AQ54)</f>
        <v>1170</v>
      </c>
    </row>
    <row r="55" customFormat="false" ht="15" hidden="false" customHeight="false" outlineLevel="0" collapsed="false">
      <c r="A55" s="25" t="n">
        <f aca="false">A54+1</f>
        <v>29</v>
      </c>
      <c r="B55" s="21" t="n">
        <f aca="false">MAX(0,ROUND(B54*(1+B$15),2)-O54)</f>
        <v>0</v>
      </c>
      <c r="C55" s="21" t="n">
        <f aca="false">MAX(0,ROUND(C54*(1+C$15),2)-P54)</f>
        <v>0</v>
      </c>
      <c r="D55" s="21" t="n">
        <f aca="false">MAX(0,ROUND(D54*(1+D$15),2)-Q54)</f>
        <v>0</v>
      </c>
      <c r="E55" s="21" t="n">
        <f aca="false">MAX(0,ROUND(E54*(1+E$15),2)-R54)</f>
        <v>0</v>
      </c>
      <c r="F55" s="21" t="n">
        <f aca="false">MAX(0,ROUND(F54*(1+F$15),2)-S54)</f>
        <v>21613.64</v>
      </c>
      <c r="G55" s="21" t="n">
        <f aca="false">MAX(0,ROUND(G54*(1+G$15),2)-T54)</f>
        <v>0</v>
      </c>
      <c r="H55" s="21" t="n">
        <f aca="false">MIN(B$16,ROUND(B55*(1+B$15),2))</f>
        <v>0</v>
      </c>
      <c r="I55" s="21" t="n">
        <f aca="false">MIN(C$16,ROUND(C55*(1+C$15),2))</f>
        <v>0</v>
      </c>
      <c r="J55" s="21" t="n">
        <f aca="false">MIN(D$16,ROUND(D55*(1+D$15),2))</f>
        <v>0</v>
      </c>
      <c r="K55" s="21" t="n">
        <f aca="false">MIN(E$16,ROUND(E55*(1+E$15),2))</f>
        <v>0</v>
      </c>
      <c r="L55" s="21" t="n">
        <f aca="false">MIN(F$16,ROUND(F55*(1+F$15),2))</f>
        <v>220</v>
      </c>
      <c r="M55" s="21" t="n">
        <f aca="false">MIN(G$16,ROUND(G55*(1+G$15),2))</f>
        <v>0</v>
      </c>
      <c r="N55" s="21" t="n">
        <f aca="false">B$20-SUM(H55:M55)</f>
        <v>950</v>
      </c>
      <c r="O55" s="21" t="n">
        <f aca="false">MIN(ROUND(B55*(1+B$15),2),H55+MAX(0,N55))</f>
        <v>0</v>
      </c>
      <c r="P55" s="21" t="n">
        <f aca="false">MIN(ROUND(C55*(1+C$15),2),I55+MAX(0,N55-O55+H55))</f>
        <v>0</v>
      </c>
      <c r="Q55" s="21" t="n">
        <f aca="false">MIN(ROUND(D55*(1+D$15),2),J55+MAX(0,N55-O55+H55-P55+I55))</f>
        <v>0</v>
      </c>
      <c r="R55" s="21" t="n">
        <f aca="false">MIN(ROUND(E55*(1+E$15),2),K55+MAX(0,N55-O55+H55-P55+I55-Q55+J55))</f>
        <v>0</v>
      </c>
      <c r="S55" s="21" t="n">
        <f aca="false">MIN(ROUND(F55*(1+F$15),2),L55+MAX(0,N55-O55+H55-P55+I55-Q55+J55-R55+K55))</f>
        <v>1170</v>
      </c>
      <c r="T55" s="21" t="n">
        <f aca="false">MIN(ROUND(G55*(1+G$15),2),M55+MAX(0,N55-O55+H55-P55+I55-Q55+J55-R55+K55-S55+L55))</f>
        <v>0</v>
      </c>
      <c r="U55" s="21" t="n">
        <f aca="false">SUM(B55:G55)</f>
        <v>21613.64</v>
      </c>
      <c r="V55" s="21" t="n">
        <f aca="false">SUM(O55:T55)</f>
        <v>1170</v>
      </c>
      <c r="X55" s="25" t="n">
        <f aca="false">X54+1</f>
        <v>29</v>
      </c>
      <c r="Y55" s="21" t="n">
        <f aca="false">MAX(0,ROUND(Y54*(1+Y$15),2)-AL54)</f>
        <v>0</v>
      </c>
      <c r="Z55" s="21" t="n">
        <f aca="false">MAX(0,ROUND(Z54*(1+Z$15),2)-AM54)</f>
        <v>0</v>
      </c>
      <c r="AA55" s="21" t="n">
        <f aca="false">MAX(0,ROUND(AA54*(1+AA$15),2)-AN54)</f>
        <v>0</v>
      </c>
      <c r="AB55" s="21" t="n">
        <f aca="false">MAX(0,ROUND(AB54*(1+AB$15),2)-AO54)</f>
        <v>0</v>
      </c>
      <c r="AC55" s="21" t="n">
        <f aca="false">MAX(0,ROUND(AC54*(1+AC$15),2)-AP54)</f>
        <v>21835.36</v>
      </c>
      <c r="AD55" s="21" t="n">
        <f aca="false">MAX(0,ROUND(AD54*(1+AD$15),2)-AQ54)</f>
        <v>0</v>
      </c>
      <c r="AE55" s="21" t="n">
        <f aca="false">MIN(Y$16,ROUND(Y55*(1+Y$15),2))</f>
        <v>0</v>
      </c>
      <c r="AF55" s="21" t="n">
        <f aca="false">MIN(Z$16,ROUND(Z55*(1+Z$15),2))</f>
        <v>0</v>
      </c>
      <c r="AG55" s="21" t="n">
        <f aca="false">MIN(AA$16,ROUND(AA55*(1+AA$15),2))</f>
        <v>0</v>
      </c>
      <c r="AH55" s="21" t="n">
        <f aca="false">MIN(AB$16,ROUND(AB55*(1+AB$15),2))</f>
        <v>0</v>
      </c>
      <c r="AI55" s="21" t="n">
        <f aca="false">MIN(AC$16,ROUND(AC55*(1+AC$15),2))</f>
        <v>220</v>
      </c>
      <c r="AJ55" s="21" t="n">
        <f aca="false">MIN(AD$16,ROUND(AD55*(1+AD$15),2))</f>
        <v>0</v>
      </c>
      <c r="AK55" s="21" t="n">
        <f aca="false">Y$20-SUM(AE55:AJ55)</f>
        <v>950</v>
      </c>
      <c r="AL55" s="21" t="n">
        <f aca="false">MIN(ROUND(Y55*(1+Y$15),2),AE55+MAX(0,AK55))</f>
        <v>0</v>
      </c>
      <c r="AM55" s="21" t="n">
        <f aca="false">MIN(ROUND(Z55*(1+Z$15),2),AF55+MAX(0,AK55-AL55+AE55))</f>
        <v>0</v>
      </c>
      <c r="AN55" s="21" t="n">
        <f aca="false">MIN(ROUND(AA55*(1+AA$15),2),AG55+MAX(0,AK55-AL55+AE55-AM55+AF55))</f>
        <v>0</v>
      </c>
      <c r="AO55" s="21" t="n">
        <f aca="false">MIN(ROUND(AB55*(1+AB$15),2),AH55+MAX(0,AK55-AL55+AE55-AM55+AF55-AN55+AG55))</f>
        <v>0</v>
      </c>
      <c r="AP55" s="21" t="n">
        <f aca="false">MIN(ROUND(AC55*(1+AC$15),2),AI55+MAX(0,AK55-AL55+AE55-AM55+AF55-AN55+AG55-AO55+AH55))</f>
        <v>1170</v>
      </c>
      <c r="AQ55" s="21" t="n">
        <f aca="false">MIN(ROUND(AD55*(1+AD$15),2),AJ55+MAX(0,AK55-AL55+AE55-AM55+AF55-AN55+AG55-AO55+AH55-AP55+AI55))</f>
        <v>0</v>
      </c>
      <c r="AR55" s="21" t="n">
        <f aca="false">SUM(Y55:AD55)</f>
        <v>21835.36</v>
      </c>
      <c r="AS55" s="21" t="n">
        <f aca="false">SUM(AL55:AQ55)</f>
        <v>1170</v>
      </c>
    </row>
    <row r="56" customFormat="false" ht="15" hidden="false" customHeight="false" outlineLevel="0" collapsed="false">
      <c r="A56" s="25" t="n">
        <f aca="false">A55+1</f>
        <v>30</v>
      </c>
      <c r="B56" s="21" t="n">
        <f aca="false">MAX(0,ROUND(B55*(1+B$15),2)-O55)</f>
        <v>0</v>
      </c>
      <c r="C56" s="21" t="n">
        <f aca="false">MAX(0,ROUND(C55*(1+C$15),2)-P55)</f>
        <v>0</v>
      </c>
      <c r="D56" s="21" t="n">
        <f aca="false">MAX(0,ROUND(D55*(1+D$15),2)-Q55)</f>
        <v>0</v>
      </c>
      <c r="E56" s="21" t="n">
        <f aca="false">MAX(0,ROUND(E55*(1+E$15),2)-R55)</f>
        <v>0</v>
      </c>
      <c r="F56" s="21" t="n">
        <f aca="false">MAX(0,ROUND(F55*(1+F$15),2)-S55)</f>
        <v>20533.7</v>
      </c>
      <c r="G56" s="21" t="n">
        <f aca="false">MAX(0,ROUND(G55*(1+G$15),2)-T55)</f>
        <v>0</v>
      </c>
      <c r="H56" s="21" t="n">
        <f aca="false">MIN(B$16,ROUND(B56*(1+B$15),2))</f>
        <v>0</v>
      </c>
      <c r="I56" s="21" t="n">
        <f aca="false">MIN(C$16,ROUND(C56*(1+C$15),2))</f>
        <v>0</v>
      </c>
      <c r="J56" s="21" t="n">
        <f aca="false">MIN(D$16,ROUND(D56*(1+D$15),2))</f>
        <v>0</v>
      </c>
      <c r="K56" s="21" t="n">
        <f aca="false">MIN(E$16,ROUND(E56*(1+E$15),2))</f>
        <v>0</v>
      </c>
      <c r="L56" s="21" t="n">
        <f aca="false">MIN(F$16,ROUND(F56*(1+F$15),2))</f>
        <v>220</v>
      </c>
      <c r="M56" s="21" t="n">
        <f aca="false">MIN(G$16,ROUND(G56*(1+G$15),2))</f>
        <v>0</v>
      </c>
      <c r="N56" s="21" t="n">
        <f aca="false">B$20-SUM(H56:M56)</f>
        <v>950</v>
      </c>
      <c r="O56" s="21" t="n">
        <f aca="false">MIN(ROUND(B56*(1+B$15),2),H56+MAX(0,N56))</f>
        <v>0</v>
      </c>
      <c r="P56" s="21" t="n">
        <f aca="false">MIN(ROUND(C56*(1+C$15),2),I56+MAX(0,N56-O56+H56))</f>
        <v>0</v>
      </c>
      <c r="Q56" s="21" t="n">
        <f aca="false">MIN(ROUND(D56*(1+D$15),2),J56+MAX(0,N56-O56+H56-P56+I56))</f>
        <v>0</v>
      </c>
      <c r="R56" s="21" t="n">
        <f aca="false">MIN(ROUND(E56*(1+E$15),2),K56+MAX(0,N56-O56+H56-P56+I56-Q56+J56))</f>
        <v>0</v>
      </c>
      <c r="S56" s="21" t="n">
        <f aca="false">MIN(ROUND(F56*(1+F$15),2),L56+MAX(0,N56-O56+H56-P56+I56-Q56+J56-R56+K56))</f>
        <v>1170</v>
      </c>
      <c r="T56" s="21" t="n">
        <f aca="false">MIN(ROUND(G56*(1+G$15),2),M56+MAX(0,N56-O56+H56-P56+I56-Q56+J56-R56+K56-S56+L56))</f>
        <v>0</v>
      </c>
      <c r="U56" s="21" t="n">
        <f aca="false">SUM(B56:G56)</f>
        <v>20533.7</v>
      </c>
      <c r="V56" s="21" t="n">
        <f aca="false">SUM(O56:T56)</f>
        <v>1170</v>
      </c>
      <c r="X56" s="25" t="n">
        <f aca="false">X55+1</f>
        <v>30</v>
      </c>
      <c r="Y56" s="21" t="n">
        <f aca="false">MAX(0,ROUND(Y55*(1+Y$15),2)-AL55)</f>
        <v>0</v>
      </c>
      <c r="Z56" s="21" t="n">
        <f aca="false">MAX(0,ROUND(Z55*(1+Z$15),2)-AM55)</f>
        <v>0</v>
      </c>
      <c r="AA56" s="21" t="n">
        <f aca="false">MAX(0,ROUND(AA55*(1+AA$15),2)-AN55)</f>
        <v>0</v>
      </c>
      <c r="AB56" s="21" t="n">
        <f aca="false">MAX(0,ROUND(AB55*(1+AB$15),2)-AO55)</f>
        <v>0</v>
      </c>
      <c r="AC56" s="21" t="n">
        <f aca="false">MAX(0,ROUND(AC55*(1+AC$15),2)-AP55)</f>
        <v>20756.34</v>
      </c>
      <c r="AD56" s="21" t="n">
        <f aca="false">MAX(0,ROUND(AD55*(1+AD$15),2)-AQ55)</f>
        <v>0</v>
      </c>
      <c r="AE56" s="21" t="n">
        <f aca="false">MIN(Y$16,ROUND(Y56*(1+Y$15),2))</f>
        <v>0</v>
      </c>
      <c r="AF56" s="21" t="n">
        <f aca="false">MIN(Z$16,ROUND(Z56*(1+Z$15),2))</f>
        <v>0</v>
      </c>
      <c r="AG56" s="21" t="n">
        <f aca="false">MIN(AA$16,ROUND(AA56*(1+AA$15),2))</f>
        <v>0</v>
      </c>
      <c r="AH56" s="21" t="n">
        <f aca="false">MIN(AB$16,ROUND(AB56*(1+AB$15),2))</f>
        <v>0</v>
      </c>
      <c r="AI56" s="21" t="n">
        <f aca="false">MIN(AC$16,ROUND(AC56*(1+AC$15),2))</f>
        <v>220</v>
      </c>
      <c r="AJ56" s="21" t="n">
        <f aca="false">MIN(AD$16,ROUND(AD56*(1+AD$15),2))</f>
        <v>0</v>
      </c>
      <c r="AK56" s="21" t="n">
        <f aca="false">Y$20-SUM(AE56:AJ56)</f>
        <v>950</v>
      </c>
      <c r="AL56" s="21" t="n">
        <f aca="false">MIN(ROUND(Y56*(1+Y$15),2),AE56+MAX(0,AK56))</f>
        <v>0</v>
      </c>
      <c r="AM56" s="21" t="n">
        <f aca="false">MIN(ROUND(Z56*(1+Z$15),2),AF56+MAX(0,AK56-AL56+AE56))</f>
        <v>0</v>
      </c>
      <c r="AN56" s="21" t="n">
        <f aca="false">MIN(ROUND(AA56*(1+AA$15),2),AG56+MAX(0,AK56-AL56+AE56-AM56+AF56))</f>
        <v>0</v>
      </c>
      <c r="AO56" s="21" t="n">
        <f aca="false">MIN(ROUND(AB56*(1+AB$15),2),AH56+MAX(0,AK56-AL56+AE56-AM56+AF56-AN56+AG56))</f>
        <v>0</v>
      </c>
      <c r="AP56" s="21" t="n">
        <f aca="false">MIN(ROUND(AC56*(1+AC$15),2),AI56+MAX(0,AK56-AL56+AE56-AM56+AF56-AN56+AG56-AO56+AH56))</f>
        <v>1170</v>
      </c>
      <c r="AQ56" s="21" t="n">
        <f aca="false">MIN(ROUND(AD56*(1+AD$15),2),AJ56+MAX(0,AK56-AL56+AE56-AM56+AF56-AN56+AG56-AO56+AH56-AP56+AI56))</f>
        <v>0</v>
      </c>
      <c r="AR56" s="21" t="n">
        <f aca="false">SUM(Y56:AD56)</f>
        <v>20756.34</v>
      </c>
      <c r="AS56" s="21" t="n">
        <f aca="false">SUM(AL56:AQ56)</f>
        <v>1170</v>
      </c>
    </row>
    <row r="57" customFormat="false" ht="15" hidden="false" customHeight="false" outlineLevel="0" collapsed="false">
      <c r="A57" s="25" t="n">
        <f aca="false">A56+1</f>
        <v>31</v>
      </c>
      <c r="B57" s="21" t="n">
        <f aca="false">MAX(0,ROUND(B56*(1+B$15),2)-O56)</f>
        <v>0</v>
      </c>
      <c r="C57" s="21" t="n">
        <f aca="false">MAX(0,ROUND(C56*(1+C$15),2)-P56)</f>
        <v>0</v>
      </c>
      <c r="D57" s="21" t="n">
        <f aca="false">MAX(0,ROUND(D56*(1+D$15),2)-Q56)</f>
        <v>0</v>
      </c>
      <c r="E57" s="21" t="n">
        <f aca="false">MAX(0,ROUND(E56*(1+E$15),2)-R56)</f>
        <v>0</v>
      </c>
      <c r="F57" s="21" t="n">
        <f aca="false">MAX(0,ROUND(F56*(1+F$15),2)-S56)</f>
        <v>19449.26</v>
      </c>
      <c r="G57" s="21" t="n">
        <f aca="false">MAX(0,ROUND(G56*(1+G$15),2)-T56)</f>
        <v>0</v>
      </c>
      <c r="H57" s="21" t="n">
        <f aca="false">MIN(B$16,ROUND(B57*(1+B$15),2))</f>
        <v>0</v>
      </c>
      <c r="I57" s="21" t="n">
        <f aca="false">MIN(C$16,ROUND(C57*(1+C$15),2))</f>
        <v>0</v>
      </c>
      <c r="J57" s="21" t="n">
        <f aca="false">MIN(D$16,ROUND(D57*(1+D$15),2))</f>
        <v>0</v>
      </c>
      <c r="K57" s="21" t="n">
        <f aca="false">MIN(E$16,ROUND(E57*(1+E$15),2))</f>
        <v>0</v>
      </c>
      <c r="L57" s="21" t="n">
        <f aca="false">MIN(F$16,ROUND(F57*(1+F$15),2))</f>
        <v>220</v>
      </c>
      <c r="M57" s="21" t="n">
        <f aca="false">MIN(G$16,ROUND(G57*(1+G$15),2))</f>
        <v>0</v>
      </c>
      <c r="N57" s="21" t="n">
        <f aca="false">B$20-SUM(H57:M57)</f>
        <v>950</v>
      </c>
      <c r="O57" s="21" t="n">
        <f aca="false">MIN(ROUND(B57*(1+B$15),2),H57+MAX(0,N57))</f>
        <v>0</v>
      </c>
      <c r="P57" s="21" t="n">
        <f aca="false">MIN(ROUND(C57*(1+C$15),2),I57+MAX(0,N57-O57+H57))</f>
        <v>0</v>
      </c>
      <c r="Q57" s="21" t="n">
        <f aca="false">MIN(ROUND(D57*(1+D$15),2),J57+MAX(0,N57-O57+H57-P57+I57))</f>
        <v>0</v>
      </c>
      <c r="R57" s="21" t="n">
        <f aca="false">MIN(ROUND(E57*(1+E$15),2),K57+MAX(0,N57-O57+H57-P57+I57-Q57+J57))</f>
        <v>0</v>
      </c>
      <c r="S57" s="21" t="n">
        <f aca="false">MIN(ROUND(F57*(1+F$15),2),L57+MAX(0,N57-O57+H57-P57+I57-Q57+J57-R57+K57))</f>
        <v>1170</v>
      </c>
      <c r="T57" s="21" t="n">
        <f aca="false">MIN(ROUND(G57*(1+G$15),2),M57+MAX(0,N57-O57+H57-P57+I57-Q57+J57-R57+K57-S57+L57))</f>
        <v>0</v>
      </c>
      <c r="U57" s="21" t="n">
        <f aca="false">SUM(B57:G57)</f>
        <v>19449.26</v>
      </c>
      <c r="V57" s="21" t="n">
        <f aca="false">SUM(O57:T57)</f>
        <v>1170</v>
      </c>
      <c r="X57" s="25" t="n">
        <f aca="false">X56+1</f>
        <v>31</v>
      </c>
      <c r="Y57" s="21" t="n">
        <f aca="false">MAX(0,ROUND(Y56*(1+Y$15),2)-AL56)</f>
        <v>0</v>
      </c>
      <c r="Z57" s="21" t="n">
        <f aca="false">MAX(0,ROUND(Z56*(1+Z$15),2)-AM56)</f>
        <v>0</v>
      </c>
      <c r="AA57" s="21" t="n">
        <f aca="false">MAX(0,ROUND(AA56*(1+AA$15),2)-AN56)</f>
        <v>0</v>
      </c>
      <c r="AB57" s="21" t="n">
        <f aca="false">MAX(0,ROUND(AB56*(1+AB$15),2)-AO56)</f>
        <v>0</v>
      </c>
      <c r="AC57" s="21" t="n">
        <f aca="false">MAX(0,ROUND(AC56*(1+AC$15),2)-AP56)</f>
        <v>19672.82</v>
      </c>
      <c r="AD57" s="21" t="n">
        <f aca="false">MAX(0,ROUND(AD56*(1+AD$15),2)-AQ56)</f>
        <v>0</v>
      </c>
      <c r="AE57" s="21" t="n">
        <f aca="false">MIN(Y$16,ROUND(Y57*(1+Y$15),2))</f>
        <v>0</v>
      </c>
      <c r="AF57" s="21" t="n">
        <f aca="false">MIN(Z$16,ROUND(Z57*(1+Z$15),2))</f>
        <v>0</v>
      </c>
      <c r="AG57" s="21" t="n">
        <f aca="false">MIN(AA$16,ROUND(AA57*(1+AA$15),2))</f>
        <v>0</v>
      </c>
      <c r="AH57" s="21" t="n">
        <f aca="false">MIN(AB$16,ROUND(AB57*(1+AB$15),2))</f>
        <v>0</v>
      </c>
      <c r="AI57" s="21" t="n">
        <f aca="false">MIN(AC$16,ROUND(AC57*(1+AC$15),2))</f>
        <v>220</v>
      </c>
      <c r="AJ57" s="21" t="n">
        <f aca="false">MIN(AD$16,ROUND(AD57*(1+AD$15),2))</f>
        <v>0</v>
      </c>
      <c r="AK57" s="21" t="n">
        <f aca="false">Y$20-SUM(AE57:AJ57)</f>
        <v>950</v>
      </c>
      <c r="AL57" s="21" t="n">
        <f aca="false">MIN(ROUND(Y57*(1+Y$15),2),AE57+MAX(0,AK57))</f>
        <v>0</v>
      </c>
      <c r="AM57" s="21" t="n">
        <f aca="false">MIN(ROUND(Z57*(1+Z$15),2),AF57+MAX(0,AK57-AL57+AE57))</f>
        <v>0</v>
      </c>
      <c r="AN57" s="21" t="n">
        <f aca="false">MIN(ROUND(AA57*(1+AA$15),2),AG57+MAX(0,AK57-AL57+AE57-AM57+AF57))</f>
        <v>0</v>
      </c>
      <c r="AO57" s="21" t="n">
        <f aca="false">MIN(ROUND(AB57*(1+AB$15),2),AH57+MAX(0,AK57-AL57+AE57-AM57+AF57-AN57+AG57))</f>
        <v>0</v>
      </c>
      <c r="AP57" s="21" t="n">
        <f aca="false">MIN(ROUND(AC57*(1+AC$15),2),AI57+MAX(0,AK57-AL57+AE57-AM57+AF57-AN57+AG57-AO57+AH57))</f>
        <v>1170</v>
      </c>
      <c r="AQ57" s="21" t="n">
        <f aca="false">MIN(ROUND(AD57*(1+AD$15),2),AJ57+MAX(0,AK57-AL57+AE57-AM57+AF57-AN57+AG57-AO57+AH57-AP57+AI57))</f>
        <v>0</v>
      </c>
      <c r="AR57" s="21" t="n">
        <f aca="false">SUM(Y57:AD57)</f>
        <v>19672.82</v>
      </c>
      <c r="AS57" s="21" t="n">
        <f aca="false">SUM(AL57:AQ57)</f>
        <v>1170</v>
      </c>
    </row>
    <row r="58" customFormat="false" ht="15" hidden="false" customHeight="false" outlineLevel="0" collapsed="false">
      <c r="A58" s="25" t="n">
        <f aca="false">A57+1</f>
        <v>32</v>
      </c>
      <c r="B58" s="21" t="n">
        <f aca="false">MAX(0,ROUND(B57*(1+B$15),2)-O57)</f>
        <v>0</v>
      </c>
      <c r="C58" s="21" t="n">
        <f aca="false">MAX(0,ROUND(C57*(1+C$15),2)-P57)</f>
        <v>0</v>
      </c>
      <c r="D58" s="21" t="n">
        <f aca="false">MAX(0,ROUND(D57*(1+D$15),2)-Q57)</f>
        <v>0</v>
      </c>
      <c r="E58" s="21" t="n">
        <f aca="false">MAX(0,ROUND(E57*(1+E$15),2)-R57)</f>
        <v>0</v>
      </c>
      <c r="F58" s="21" t="n">
        <f aca="false">MAX(0,ROUND(F57*(1+F$15),2)-S57)</f>
        <v>18360.3</v>
      </c>
      <c r="G58" s="21" t="n">
        <f aca="false">MAX(0,ROUND(G57*(1+G$15),2)-T57)</f>
        <v>0</v>
      </c>
      <c r="H58" s="21" t="n">
        <f aca="false">MIN(B$16,ROUND(B58*(1+B$15),2))</f>
        <v>0</v>
      </c>
      <c r="I58" s="21" t="n">
        <f aca="false">MIN(C$16,ROUND(C58*(1+C$15),2))</f>
        <v>0</v>
      </c>
      <c r="J58" s="21" t="n">
        <f aca="false">MIN(D$16,ROUND(D58*(1+D$15),2))</f>
        <v>0</v>
      </c>
      <c r="K58" s="21" t="n">
        <f aca="false">MIN(E$16,ROUND(E58*(1+E$15),2))</f>
        <v>0</v>
      </c>
      <c r="L58" s="21" t="n">
        <f aca="false">MIN(F$16,ROUND(F58*(1+F$15),2))</f>
        <v>220</v>
      </c>
      <c r="M58" s="21" t="n">
        <f aca="false">MIN(G$16,ROUND(G58*(1+G$15),2))</f>
        <v>0</v>
      </c>
      <c r="N58" s="21" t="n">
        <f aca="false">B$20-SUM(H58:M58)</f>
        <v>950</v>
      </c>
      <c r="O58" s="21" t="n">
        <f aca="false">MIN(ROUND(B58*(1+B$15),2),H58+MAX(0,N58))</f>
        <v>0</v>
      </c>
      <c r="P58" s="21" t="n">
        <f aca="false">MIN(ROUND(C58*(1+C$15),2),I58+MAX(0,N58-O58+H58))</f>
        <v>0</v>
      </c>
      <c r="Q58" s="21" t="n">
        <f aca="false">MIN(ROUND(D58*(1+D$15),2),J58+MAX(0,N58-O58+H58-P58+I58))</f>
        <v>0</v>
      </c>
      <c r="R58" s="21" t="n">
        <f aca="false">MIN(ROUND(E58*(1+E$15),2),K58+MAX(0,N58-O58+H58-P58+I58-Q58+J58))</f>
        <v>0</v>
      </c>
      <c r="S58" s="21" t="n">
        <f aca="false">MIN(ROUND(F58*(1+F$15),2),L58+MAX(0,N58-O58+H58-P58+I58-Q58+J58-R58+K58))</f>
        <v>1170</v>
      </c>
      <c r="T58" s="21" t="n">
        <f aca="false">MIN(ROUND(G58*(1+G$15),2),M58+MAX(0,N58-O58+H58-P58+I58-Q58+J58-R58+K58-S58+L58))</f>
        <v>0</v>
      </c>
      <c r="U58" s="21" t="n">
        <f aca="false">SUM(B58:G58)</f>
        <v>18360.3</v>
      </c>
      <c r="V58" s="21" t="n">
        <f aca="false">SUM(O58:T58)</f>
        <v>1170</v>
      </c>
      <c r="X58" s="25" t="n">
        <f aca="false">X57+1</f>
        <v>32</v>
      </c>
      <c r="Y58" s="21" t="n">
        <f aca="false">MAX(0,ROUND(Y57*(1+Y$15),2)-AL57)</f>
        <v>0</v>
      </c>
      <c r="Z58" s="21" t="n">
        <f aca="false">MAX(0,ROUND(Z57*(1+Z$15),2)-AM57)</f>
        <v>0</v>
      </c>
      <c r="AA58" s="21" t="n">
        <f aca="false">MAX(0,ROUND(AA57*(1+AA$15),2)-AN57)</f>
        <v>0</v>
      </c>
      <c r="AB58" s="21" t="n">
        <f aca="false">MAX(0,ROUND(AB57*(1+AB$15),2)-AO57)</f>
        <v>0</v>
      </c>
      <c r="AC58" s="21" t="n">
        <f aca="false">MAX(0,ROUND(AC57*(1+AC$15),2)-AP57)</f>
        <v>18584.79</v>
      </c>
      <c r="AD58" s="21" t="n">
        <f aca="false">MAX(0,ROUND(AD57*(1+AD$15),2)-AQ57)</f>
        <v>0</v>
      </c>
      <c r="AE58" s="21" t="n">
        <f aca="false">MIN(Y$16,ROUND(Y58*(1+Y$15),2))</f>
        <v>0</v>
      </c>
      <c r="AF58" s="21" t="n">
        <f aca="false">MIN(Z$16,ROUND(Z58*(1+Z$15),2))</f>
        <v>0</v>
      </c>
      <c r="AG58" s="21" t="n">
        <f aca="false">MIN(AA$16,ROUND(AA58*(1+AA$15),2))</f>
        <v>0</v>
      </c>
      <c r="AH58" s="21" t="n">
        <f aca="false">MIN(AB$16,ROUND(AB58*(1+AB$15),2))</f>
        <v>0</v>
      </c>
      <c r="AI58" s="21" t="n">
        <f aca="false">MIN(AC$16,ROUND(AC58*(1+AC$15),2))</f>
        <v>220</v>
      </c>
      <c r="AJ58" s="21" t="n">
        <f aca="false">MIN(AD$16,ROUND(AD58*(1+AD$15),2))</f>
        <v>0</v>
      </c>
      <c r="AK58" s="21" t="n">
        <f aca="false">Y$20-SUM(AE58:AJ58)</f>
        <v>950</v>
      </c>
      <c r="AL58" s="21" t="n">
        <f aca="false">MIN(ROUND(Y58*(1+Y$15),2),AE58+MAX(0,AK58))</f>
        <v>0</v>
      </c>
      <c r="AM58" s="21" t="n">
        <f aca="false">MIN(ROUND(Z58*(1+Z$15),2),AF58+MAX(0,AK58-AL58+AE58))</f>
        <v>0</v>
      </c>
      <c r="AN58" s="21" t="n">
        <f aca="false">MIN(ROUND(AA58*(1+AA$15),2),AG58+MAX(0,AK58-AL58+AE58-AM58+AF58))</f>
        <v>0</v>
      </c>
      <c r="AO58" s="21" t="n">
        <f aca="false">MIN(ROUND(AB58*(1+AB$15),2),AH58+MAX(0,AK58-AL58+AE58-AM58+AF58-AN58+AG58))</f>
        <v>0</v>
      </c>
      <c r="AP58" s="21" t="n">
        <f aca="false">MIN(ROUND(AC58*(1+AC$15),2),AI58+MAX(0,AK58-AL58+AE58-AM58+AF58-AN58+AG58-AO58+AH58))</f>
        <v>1170</v>
      </c>
      <c r="AQ58" s="21" t="n">
        <f aca="false">MIN(ROUND(AD58*(1+AD$15),2),AJ58+MAX(0,AK58-AL58+AE58-AM58+AF58-AN58+AG58-AO58+AH58-AP58+AI58))</f>
        <v>0</v>
      </c>
      <c r="AR58" s="21" t="n">
        <f aca="false">SUM(Y58:AD58)</f>
        <v>18584.79</v>
      </c>
      <c r="AS58" s="21" t="n">
        <f aca="false">SUM(AL58:AQ58)</f>
        <v>1170</v>
      </c>
    </row>
    <row r="59" customFormat="false" ht="15" hidden="false" customHeight="false" outlineLevel="0" collapsed="false">
      <c r="A59" s="25" t="n">
        <f aca="false">A58+1</f>
        <v>33</v>
      </c>
      <c r="B59" s="21" t="n">
        <f aca="false">MAX(0,ROUND(B58*(1+B$15),2)-O58)</f>
        <v>0</v>
      </c>
      <c r="C59" s="21" t="n">
        <f aca="false">MAX(0,ROUND(C58*(1+C$15),2)-P58)</f>
        <v>0</v>
      </c>
      <c r="D59" s="21" t="n">
        <f aca="false">MAX(0,ROUND(D58*(1+D$15),2)-Q58)</f>
        <v>0</v>
      </c>
      <c r="E59" s="21" t="n">
        <f aca="false">MAX(0,ROUND(E58*(1+E$15),2)-R58)</f>
        <v>0</v>
      </c>
      <c r="F59" s="21" t="n">
        <f aca="false">MAX(0,ROUND(F58*(1+F$15),2)-S58)</f>
        <v>17266.8</v>
      </c>
      <c r="G59" s="21" t="n">
        <f aca="false">MAX(0,ROUND(G58*(1+G$15),2)-T58)</f>
        <v>0</v>
      </c>
      <c r="H59" s="21" t="n">
        <f aca="false">MIN(B$16,ROUND(B59*(1+B$15),2))</f>
        <v>0</v>
      </c>
      <c r="I59" s="21" t="n">
        <f aca="false">MIN(C$16,ROUND(C59*(1+C$15),2))</f>
        <v>0</v>
      </c>
      <c r="J59" s="21" t="n">
        <f aca="false">MIN(D$16,ROUND(D59*(1+D$15),2))</f>
        <v>0</v>
      </c>
      <c r="K59" s="21" t="n">
        <f aca="false">MIN(E$16,ROUND(E59*(1+E$15),2))</f>
        <v>0</v>
      </c>
      <c r="L59" s="21" t="n">
        <f aca="false">MIN(F$16,ROUND(F59*(1+F$15),2))</f>
        <v>220</v>
      </c>
      <c r="M59" s="21" t="n">
        <f aca="false">MIN(G$16,ROUND(G59*(1+G$15),2))</f>
        <v>0</v>
      </c>
      <c r="N59" s="21" t="n">
        <f aca="false">B$20-SUM(H59:M59)</f>
        <v>950</v>
      </c>
      <c r="O59" s="21" t="n">
        <f aca="false">MIN(ROUND(B59*(1+B$15),2),H59+MAX(0,N59))</f>
        <v>0</v>
      </c>
      <c r="P59" s="21" t="n">
        <f aca="false">MIN(ROUND(C59*(1+C$15),2),I59+MAX(0,N59-O59+H59))</f>
        <v>0</v>
      </c>
      <c r="Q59" s="21" t="n">
        <f aca="false">MIN(ROUND(D59*(1+D$15),2),J59+MAX(0,N59-O59+H59-P59+I59))</f>
        <v>0</v>
      </c>
      <c r="R59" s="21" t="n">
        <f aca="false">MIN(ROUND(E59*(1+E$15),2),K59+MAX(0,N59-O59+H59-P59+I59-Q59+J59))</f>
        <v>0</v>
      </c>
      <c r="S59" s="21" t="n">
        <f aca="false">MIN(ROUND(F59*(1+F$15),2),L59+MAX(0,N59-O59+H59-P59+I59-Q59+J59-R59+K59))</f>
        <v>1170</v>
      </c>
      <c r="T59" s="21" t="n">
        <f aca="false">MIN(ROUND(G59*(1+G$15),2),M59+MAX(0,N59-O59+H59-P59+I59-Q59+J59-R59+K59-S59+L59))</f>
        <v>0</v>
      </c>
      <c r="U59" s="21" t="n">
        <f aca="false">SUM(B59:G59)</f>
        <v>17266.8</v>
      </c>
      <c r="V59" s="21" t="n">
        <f aca="false">SUM(O59:T59)</f>
        <v>1170</v>
      </c>
      <c r="X59" s="25" t="n">
        <f aca="false">X58+1</f>
        <v>33</v>
      </c>
      <c r="Y59" s="21" t="n">
        <f aca="false">MAX(0,ROUND(Y58*(1+Y$15),2)-AL58)</f>
        <v>0</v>
      </c>
      <c r="Z59" s="21" t="n">
        <f aca="false">MAX(0,ROUND(Z58*(1+Z$15),2)-AM58)</f>
        <v>0</v>
      </c>
      <c r="AA59" s="21" t="n">
        <f aca="false">MAX(0,ROUND(AA58*(1+AA$15),2)-AN58)</f>
        <v>0</v>
      </c>
      <c r="AB59" s="21" t="n">
        <f aca="false">MAX(0,ROUND(AB58*(1+AB$15),2)-AO58)</f>
        <v>0</v>
      </c>
      <c r="AC59" s="21" t="n">
        <f aca="false">MAX(0,ROUND(AC58*(1+AC$15),2)-AP58)</f>
        <v>17492.23</v>
      </c>
      <c r="AD59" s="21" t="n">
        <f aca="false">MAX(0,ROUND(AD58*(1+AD$15),2)-AQ58)</f>
        <v>0</v>
      </c>
      <c r="AE59" s="21" t="n">
        <f aca="false">MIN(Y$16,ROUND(Y59*(1+Y$15),2))</f>
        <v>0</v>
      </c>
      <c r="AF59" s="21" t="n">
        <f aca="false">MIN(Z$16,ROUND(Z59*(1+Z$15),2))</f>
        <v>0</v>
      </c>
      <c r="AG59" s="21" t="n">
        <f aca="false">MIN(AA$16,ROUND(AA59*(1+AA$15),2))</f>
        <v>0</v>
      </c>
      <c r="AH59" s="21" t="n">
        <f aca="false">MIN(AB$16,ROUND(AB59*(1+AB$15),2))</f>
        <v>0</v>
      </c>
      <c r="AI59" s="21" t="n">
        <f aca="false">MIN(AC$16,ROUND(AC59*(1+AC$15),2))</f>
        <v>220</v>
      </c>
      <c r="AJ59" s="21" t="n">
        <f aca="false">MIN(AD$16,ROUND(AD59*(1+AD$15),2))</f>
        <v>0</v>
      </c>
      <c r="AK59" s="21" t="n">
        <f aca="false">Y$20-SUM(AE59:AJ59)</f>
        <v>950</v>
      </c>
      <c r="AL59" s="21" t="n">
        <f aca="false">MIN(ROUND(Y59*(1+Y$15),2),AE59+MAX(0,AK59))</f>
        <v>0</v>
      </c>
      <c r="AM59" s="21" t="n">
        <f aca="false">MIN(ROUND(Z59*(1+Z$15),2),AF59+MAX(0,AK59-AL59+AE59))</f>
        <v>0</v>
      </c>
      <c r="AN59" s="21" t="n">
        <f aca="false">MIN(ROUND(AA59*(1+AA$15),2),AG59+MAX(0,AK59-AL59+AE59-AM59+AF59))</f>
        <v>0</v>
      </c>
      <c r="AO59" s="21" t="n">
        <f aca="false">MIN(ROUND(AB59*(1+AB$15),2),AH59+MAX(0,AK59-AL59+AE59-AM59+AF59-AN59+AG59))</f>
        <v>0</v>
      </c>
      <c r="AP59" s="21" t="n">
        <f aca="false">MIN(ROUND(AC59*(1+AC$15),2),AI59+MAX(0,AK59-AL59+AE59-AM59+AF59-AN59+AG59-AO59+AH59))</f>
        <v>1170</v>
      </c>
      <c r="AQ59" s="21" t="n">
        <f aca="false">MIN(ROUND(AD59*(1+AD$15),2),AJ59+MAX(0,AK59-AL59+AE59-AM59+AF59-AN59+AG59-AO59+AH59-AP59+AI59))</f>
        <v>0</v>
      </c>
      <c r="AR59" s="21" t="n">
        <f aca="false">SUM(Y59:AD59)</f>
        <v>17492.23</v>
      </c>
      <c r="AS59" s="21" t="n">
        <f aca="false">SUM(AL59:AQ59)</f>
        <v>1170</v>
      </c>
    </row>
    <row r="60" customFormat="false" ht="15" hidden="false" customHeight="false" outlineLevel="0" collapsed="false">
      <c r="A60" s="25" t="n">
        <f aca="false">A59+1</f>
        <v>34</v>
      </c>
      <c r="B60" s="21" t="n">
        <f aca="false">MAX(0,ROUND(B59*(1+B$15),2)-O59)</f>
        <v>0</v>
      </c>
      <c r="C60" s="21" t="n">
        <f aca="false">MAX(0,ROUND(C59*(1+C$15),2)-P59)</f>
        <v>0</v>
      </c>
      <c r="D60" s="21" t="n">
        <f aca="false">MAX(0,ROUND(D59*(1+D$15),2)-Q59)</f>
        <v>0</v>
      </c>
      <c r="E60" s="21" t="n">
        <f aca="false">MAX(0,ROUND(E59*(1+E$15),2)-R59)</f>
        <v>0</v>
      </c>
      <c r="F60" s="21" t="n">
        <f aca="false">MAX(0,ROUND(F59*(1+F$15),2)-S59)</f>
        <v>16168.75</v>
      </c>
      <c r="G60" s="21" t="n">
        <f aca="false">MAX(0,ROUND(G59*(1+G$15),2)-T59)</f>
        <v>0</v>
      </c>
      <c r="H60" s="21" t="n">
        <f aca="false">MIN(B$16,ROUND(B60*(1+B$15),2))</f>
        <v>0</v>
      </c>
      <c r="I60" s="21" t="n">
        <f aca="false">MIN(C$16,ROUND(C60*(1+C$15),2))</f>
        <v>0</v>
      </c>
      <c r="J60" s="21" t="n">
        <f aca="false">MIN(D$16,ROUND(D60*(1+D$15),2))</f>
        <v>0</v>
      </c>
      <c r="K60" s="21" t="n">
        <f aca="false">MIN(E$16,ROUND(E60*(1+E$15),2))</f>
        <v>0</v>
      </c>
      <c r="L60" s="21" t="n">
        <f aca="false">MIN(F$16,ROUND(F60*(1+F$15),2))</f>
        <v>220</v>
      </c>
      <c r="M60" s="21" t="n">
        <f aca="false">MIN(G$16,ROUND(G60*(1+G$15),2))</f>
        <v>0</v>
      </c>
      <c r="N60" s="21" t="n">
        <f aca="false">B$20-SUM(H60:M60)</f>
        <v>950</v>
      </c>
      <c r="O60" s="21" t="n">
        <f aca="false">MIN(ROUND(B60*(1+B$15),2),H60+MAX(0,N60))</f>
        <v>0</v>
      </c>
      <c r="P60" s="21" t="n">
        <f aca="false">MIN(ROUND(C60*(1+C$15),2),I60+MAX(0,N60-O60+H60))</f>
        <v>0</v>
      </c>
      <c r="Q60" s="21" t="n">
        <f aca="false">MIN(ROUND(D60*(1+D$15),2),J60+MAX(0,N60-O60+H60-P60+I60))</f>
        <v>0</v>
      </c>
      <c r="R60" s="21" t="n">
        <f aca="false">MIN(ROUND(E60*(1+E$15),2),K60+MAX(0,N60-O60+H60-P60+I60-Q60+J60))</f>
        <v>0</v>
      </c>
      <c r="S60" s="21" t="n">
        <f aca="false">MIN(ROUND(F60*(1+F$15),2),L60+MAX(0,N60-O60+H60-P60+I60-Q60+J60-R60+K60))</f>
        <v>1170</v>
      </c>
      <c r="T60" s="21" t="n">
        <f aca="false">MIN(ROUND(G60*(1+G$15),2),M60+MAX(0,N60-O60+H60-P60+I60-Q60+J60-R60+K60-S60+L60))</f>
        <v>0</v>
      </c>
      <c r="U60" s="21" t="n">
        <f aca="false">SUM(B60:G60)</f>
        <v>16168.75</v>
      </c>
      <c r="V60" s="21" t="n">
        <f aca="false">SUM(O60:T60)</f>
        <v>1170</v>
      </c>
      <c r="X60" s="25" t="n">
        <f aca="false">X59+1</f>
        <v>34</v>
      </c>
      <c r="Y60" s="21" t="n">
        <f aca="false">MAX(0,ROUND(Y59*(1+Y$15),2)-AL59)</f>
        <v>0</v>
      </c>
      <c r="Z60" s="21" t="n">
        <f aca="false">MAX(0,ROUND(Z59*(1+Z$15),2)-AM59)</f>
        <v>0</v>
      </c>
      <c r="AA60" s="21" t="n">
        <f aca="false">MAX(0,ROUND(AA59*(1+AA$15),2)-AN59)</f>
        <v>0</v>
      </c>
      <c r="AB60" s="21" t="n">
        <f aca="false">MAX(0,ROUND(AB59*(1+AB$15),2)-AO59)</f>
        <v>0</v>
      </c>
      <c r="AC60" s="21" t="n">
        <f aca="false">MAX(0,ROUND(AC59*(1+AC$15),2)-AP59)</f>
        <v>16395.11</v>
      </c>
      <c r="AD60" s="21" t="n">
        <f aca="false">MAX(0,ROUND(AD59*(1+AD$15),2)-AQ59)</f>
        <v>0</v>
      </c>
      <c r="AE60" s="21" t="n">
        <f aca="false">MIN(Y$16,ROUND(Y60*(1+Y$15),2))</f>
        <v>0</v>
      </c>
      <c r="AF60" s="21" t="n">
        <f aca="false">MIN(Z$16,ROUND(Z60*(1+Z$15),2))</f>
        <v>0</v>
      </c>
      <c r="AG60" s="21" t="n">
        <f aca="false">MIN(AA$16,ROUND(AA60*(1+AA$15),2))</f>
        <v>0</v>
      </c>
      <c r="AH60" s="21" t="n">
        <f aca="false">MIN(AB$16,ROUND(AB60*(1+AB$15),2))</f>
        <v>0</v>
      </c>
      <c r="AI60" s="21" t="n">
        <f aca="false">MIN(AC$16,ROUND(AC60*(1+AC$15),2))</f>
        <v>220</v>
      </c>
      <c r="AJ60" s="21" t="n">
        <f aca="false">MIN(AD$16,ROUND(AD60*(1+AD$15),2))</f>
        <v>0</v>
      </c>
      <c r="AK60" s="21" t="n">
        <f aca="false">Y$20-SUM(AE60:AJ60)</f>
        <v>950</v>
      </c>
      <c r="AL60" s="21" t="n">
        <f aca="false">MIN(ROUND(Y60*(1+Y$15),2),AE60+MAX(0,AK60))</f>
        <v>0</v>
      </c>
      <c r="AM60" s="21" t="n">
        <f aca="false">MIN(ROUND(Z60*(1+Z$15),2),AF60+MAX(0,AK60-AL60+AE60))</f>
        <v>0</v>
      </c>
      <c r="AN60" s="21" t="n">
        <f aca="false">MIN(ROUND(AA60*(1+AA$15),2),AG60+MAX(0,AK60-AL60+AE60-AM60+AF60))</f>
        <v>0</v>
      </c>
      <c r="AO60" s="21" t="n">
        <f aca="false">MIN(ROUND(AB60*(1+AB$15),2),AH60+MAX(0,AK60-AL60+AE60-AM60+AF60-AN60+AG60))</f>
        <v>0</v>
      </c>
      <c r="AP60" s="21" t="n">
        <f aca="false">MIN(ROUND(AC60*(1+AC$15),2),AI60+MAX(0,AK60-AL60+AE60-AM60+AF60-AN60+AG60-AO60+AH60))</f>
        <v>1170</v>
      </c>
      <c r="AQ60" s="21" t="n">
        <f aca="false">MIN(ROUND(AD60*(1+AD$15),2),AJ60+MAX(0,AK60-AL60+AE60-AM60+AF60-AN60+AG60-AO60+AH60-AP60+AI60))</f>
        <v>0</v>
      </c>
      <c r="AR60" s="21" t="n">
        <f aca="false">SUM(Y60:AD60)</f>
        <v>16395.11</v>
      </c>
      <c r="AS60" s="21" t="n">
        <f aca="false">SUM(AL60:AQ60)</f>
        <v>1170</v>
      </c>
    </row>
    <row r="61" customFormat="false" ht="15" hidden="false" customHeight="false" outlineLevel="0" collapsed="false">
      <c r="A61" s="25" t="n">
        <f aca="false">A60+1</f>
        <v>35</v>
      </c>
      <c r="B61" s="21" t="n">
        <f aca="false">MAX(0,ROUND(B60*(1+B$15),2)-O60)</f>
        <v>0</v>
      </c>
      <c r="C61" s="21" t="n">
        <f aca="false">MAX(0,ROUND(C60*(1+C$15),2)-P60)</f>
        <v>0</v>
      </c>
      <c r="D61" s="21" t="n">
        <f aca="false">MAX(0,ROUND(D60*(1+D$15),2)-Q60)</f>
        <v>0</v>
      </c>
      <c r="E61" s="21" t="n">
        <f aca="false">MAX(0,ROUND(E60*(1+E$15),2)-R60)</f>
        <v>0</v>
      </c>
      <c r="F61" s="21" t="n">
        <f aca="false">MAX(0,ROUND(F60*(1+F$15),2)-S60)</f>
        <v>15066.12</v>
      </c>
      <c r="G61" s="21" t="n">
        <f aca="false">MAX(0,ROUND(G60*(1+G$15),2)-T60)</f>
        <v>0</v>
      </c>
      <c r="H61" s="21" t="n">
        <f aca="false">MIN(B$16,ROUND(B61*(1+B$15),2))</f>
        <v>0</v>
      </c>
      <c r="I61" s="21" t="n">
        <f aca="false">MIN(C$16,ROUND(C61*(1+C$15),2))</f>
        <v>0</v>
      </c>
      <c r="J61" s="21" t="n">
        <f aca="false">MIN(D$16,ROUND(D61*(1+D$15),2))</f>
        <v>0</v>
      </c>
      <c r="K61" s="21" t="n">
        <f aca="false">MIN(E$16,ROUND(E61*(1+E$15),2))</f>
        <v>0</v>
      </c>
      <c r="L61" s="21" t="n">
        <f aca="false">MIN(F$16,ROUND(F61*(1+F$15),2))</f>
        <v>220</v>
      </c>
      <c r="M61" s="21" t="n">
        <f aca="false">MIN(G$16,ROUND(G61*(1+G$15),2))</f>
        <v>0</v>
      </c>
      <c r="N61" s="21" t="n">
        <f aca="false">B$20-SUM(H61:M61)</f>
        <v>950</v>
      </c>
      <c r="O61" s="21" t="n">
        <f aca="false">MIN(ROUND(B61*(1+B$15),2),H61+MAX(0,N61))</f>
        <v>0</v>
      </c>
      <c r="P61" s="21" t="n">
        <f aca="false">MIN(ROUND(C61*(1+C$15),2),I61+MAX(0,N61-O61+H61))</f>
        <v>0</v>
      </c>
      <c r="Q61" s="21" t="n">
        <f aca="false">MIN(ROUND(D61*(1+D$15),2),J61+MAX(0,N61-O61+H61-P61+I61))</f>
        <v>0</v>
      </c>
      <c r="R61" s="21" t="n">
        <f aca="false">MIN(ROUND(E61*(1+E$15),2),K61+MAX(0,N61-O61+H61-P61+I61-Q61+J61))</f>
        <v>0</v>
      </c>
      <c r="S61" s="21" t="n">
        <f aca="false">MIN(ROUND(F61*(1+F$15),2),L61+MAX(0,N61-O61+H61-P61+I61-Q61+J61-R61+K61))</f>
        <v>1170</v>
      </c>
      <c r="T61" s="21" t="n">
        <f aca="false">MIN(ROUND(G61*(1+G$15),2),M61+MAX(0,N61-O61+H61-P61+I61-Q61+J61-R61+K61-S61+L61))</f>
        <v>0</v>
      </c>
      <c r="U61" s="21" t="n">
        <f aca="false">SUM(B61:G61)</f>
        <v>15066.12</v>
      </c>
      <c r="V61" s="21" t="n">
        <f aca="false">SUM(O61:T61)</f>
        <v>1170</v>
      </c>
      <c r="X61" s="25" t="n">
        <f aca="false">X60+1</f>
        <v>35</v>
      </c>
      <c r="Y61" s="21" t="n">
        <f aca="false">MAX(0,ROUND(Y60*(1+Y$15),2)-AL60)</f>
        <v>0</v>
      </c>
      <c r="Z61" s="21" t="n">
        <f aca="false">MAX(0,ROUND(Z60*(1+Z$15),2)-AM60)</f>
        <v>0</v>
      </c>
      <c r="AA61" s="21" t="n">
        <f aca="false">MAX(0,ROUND(AA60*(1+AA$15),2)-AN60)</f>
        <v>0</v>
      </c>
      <c r="AB61" s="21" t="n">
        <f aca="false">MAX(0,ROUND(AB60*(1+AB$15),2)-AO60)</f>
        <v>0</v>
      </c>
      <c r="AC61" s="21" t="n">
        <f aca="false">MAX(0,ROUND(AC60*(1+AC$15),2)-AP60)</f>
        <v>15293.42</v>
      </c>
      <c r="AD61" s="21" t="n">
        <f aca="false">MAX(0,ROUND(AD60*(1+AD$15),2)-AQ60)</f>
        <v>0</v>
      </c>
      <c r="AE61" s="21" t="n">
        <f aca="false">MIN(Y$16,ROUND(Y61*(1+Y$15),2))</f>
        <v>0</v>
      </c>
      <c r="AF61" s="21" t="n">
        <f aca="false">MIN(Z$16,ROUND(Z61*(1+Z$15),2))</f>
        <v>0</v>
      </c>
      <c r="AG61" s="21" t="n">
        <f aca="false">MIN(AA$16,ROUND(AA61*(1+AA$15),2))</f>
        <v>0</v>
      </c>
      <c r="AH61" s="21" t="n">
        <f aca="false">MIN(AB$16,ROUND(AB61*(1+AB$15),2))</f>
        <v>0</v>
      </c>
      <c r="AI61" s="21" t="n">
        <f aca="false">MIN(AC$16,ROUND(AC61*(1+AC$15),2))</f>
        <v>220</v>
      </c>
      <c r="AJ61" s="21" t="n">
        <f aca="false">MIN(AD$16,ROUND(AD61*(1+AD$15),2))</f>
        <v>0</v>
      </c>
      <c r="AK61" s="21" t="n">
        <f aca="false">Y$20-SUM(AE61:AJ61)</f>
        <v>950</v>
      </c>
      <c r="AL61" s="21" t="n">
        <f aca="false">MIN(ROUND(Y61*(1+Y$15),2),AE61+MAX(0,AK61))</f>
        <v>0</v>
      </c>
      <c r="AM61" s="21" t="n">
        <f aca="false">MIN(ROUND(Z61*(1+Z$15),2),AF61+MAX(0,AK61-AL61+AE61))</f>
        <v>0</v>
      </c>
      <c r="AN61" s="21" t="n">
        <f aca="false">MIN(ROUND(AA61*(1+AA$15),2),AG61+MAX(0,AK61-AL61+AE61-AM61+AF61))</f>
        <v>0</v>
      </c>
      <c r="AO61" s="21" t="n">
        <f aca="false">MIN(ROUND(AB61*(1+AB$15),2),AH61+MAX(0,AK61-AL61+AE61-AM61+AF61-AN61+AG61))</f>
        <v>0</v>
      </c>
      <c r="AP61" s="21" t="n">
        <f aca="false">MIN(ROUND(AC61*(1+AC$15),2),AI61+MAX(0,AK61-AL61+AE61-AM61+AF61-AN61+AG61-AO61+AH61))</f>
        <v>1170</v>
      </c>
      <c r="AQ61" s="21" t="n">
        <f aca="false">MIN(ROUND(AD61*(1+AD$15),2),AJ61+MAX(0,AK61-AL61+AE61-AM61+AF61-AN61+AG61-AO61+AH61-AP61+AI61))</f>
        <v>0</v>
      </c>
      <c r="AR61" s="21" t="n">
        <f aca="false">SUM(Y61:AD61)</f>
        <v>15293.42</v>
      </c>
      <c r="AS61" s="21" t="n">
        <f aca="false">SUM(AL61:AQ61)</f>
        <v>1170</v>
      </c>
    </row>
    <row r="62" customFormat="false" ht="15" hidden="false" customHeight="false" outlineLevel="0" collapsed="false">
      <c r="A62" s="25" t="n">
        <f aca="false">A61+1</f>
        <v>36</v>
      </c>
      <c r="B62" s="21" t="n">
        <f aca="false">MAX(0,ROUND(B61*(1+B$15),2)-O61)</f>
        <v>0</v>
      </c>
      <c r="C62" s="21" t="n">
        <f aca="false">MAX(0,ROUND(C61*(1+C$15),2)-P61)</f>
        <v>0</v>
      </c>
      <c r="D62" s="21" t="n">
        <f aca="false">MAX(0,ROUND(D61*(1+D$15),2)-Q61)</f>
        <v>0</v>
      </c>
      <c r="E62" s="21" t="n">
        <f aca="false">MAX(0,ROUND(E61*(1+E$15),2)-R61)</f>
        <v>0</v>
      </c>
      <c r="F62" s="21" t="n">
        <f aca="false">MAX(0,ROUND(F61*(1+F$15),2)-S61)</f>
        <v>13958.9</v>
      </c>
      <c r="G62" s="21" t="n">
        <f aca="false">MAX(0,ROUND(G61*(1+G$15),2)-T61)</f>
        <v>0</v>
      </c>
      <c r="H62" s="21" t="n">
        <f aca="false">MIN(B$16,ROUND(B62*(1+B$15),2))</f>
        <v>0</v>
      </c>
      <c r="I62" s="21" t="n">
        <f aca="false">MIN(C$16,ROUND(C62*(1+C$15),2))</f>
        <v>0</v>
      </c>
      <c r="J62" s="21" t="n">
        <f aca="false">MIN(D$16,ROUND(D62*(1+D$15),2))</f>
        <v>0</v>
      </c>
      <c r="K62" s="21" t="n">
        <f aca="false">MIN(E$16,ROUND(E62*(1+E$15),2))</f>
        <v>0</v>
      </c>
      <c r="L62" s="21" t="n">
        <f aca="false">MIN(F$16,ROUND(F62*(1+F$15),2))</f>
        <v>220</v>
      </c>
      <c r="M62" s="21" t="n">
        <f aca="false">MIN(G$16,ROUND(G62*(1+G$15),2))</f>
        <v>0</v>
      </c>
      <c r="N62" s="21" t="n">
        <f aca="false">B$20-SUM(H62:M62)</f>
        <v>950</v>
      </c>
      <c r="O62" s="21" t="n">
        <f aca="false">MIN(ROUND(B62*(1+B$15),2),H62+MAX(0,N62))</f>
        <v>0</v>
      </c>
      <c r="P62" s="21" t="n">
        <f aca="false">MIN(ROUND(C62*(1+C$15),2),I62+MAX(0,N62-O62+H62))</f>
        <v>0</v>
      </c>
      <c r="Q62" s="21" t="n">
        <f aca="false">MIN(ROUND(D62*(1+D$15),2),J62+MAX(0,N62-O62+H62-P62+I62))</f>
        <v>0</v>
      </c>
      <c r="R62" s="21" t="n">
        <f aca="false">MIN(ROUND(E62*(1+E$15),2),K62+MAX(0,N62-O62+H62-P62+I62-Q62+J62))</f>
        <v>0</v>
      </c>
      <c r="S62" s="21" t="n">
        <f aca="false">MIN(ROUND(F62*(1+F$15),2),L62+MAX(0,N62-O62+H62-P62+I62-Q62+J62-R62+K62))</f>
        <v>1170</v>
      </c>
      <c r="T62" s="21" t="n">
        <f aca="false">MIN(ROUND(G62*(1+G$15),2),M62+MAX(0,N62-O62+H62-P62+I62-Q62+J62-R62+K62-S62+L62))</f>
        <v>0</v>
      </c>
      <c r="U62" s="21" t="n">
        <f aca="false">SUM(B62:G62)</f>
        <v>13958.9</v>
      </c>
      <c r="V62" s="21" t="n">
        <f aca="false">SUM(O62:T62)</f>
        <v>1170</v>
      </c>
      <c r="X62" s="25" t="n">
        <f aca="false">X61+1</f>
        <v>36</v>
      </c>
      <c r="Y62" s="21" t="n">
        <f aca="false">MAX(0,ROUND(Y61*(1+Y$15),2)-AL61)</f>
        <v>0</v>
      </c>
      <c r="Z62" s="21" t="n">
        <f aca="false">MAX(0,ROUND(Z61*(1+Z$15),2)-AM61)</f>
        <v>0</v>
      </c>
      <c r="AA62" s="21" t="n">
        <f aca="false">MAX(0,ROUND(AA61*(1+AA$15),2)-AN61)</f>
        <v>0</v>
      </c>
      <c r="AB62" s="21" t="n">
        <f aca="false">MAX(0,ROUND(AB61*(1+AB$15),2)-AO61)</f>
        <v>0</v>
      </c>
      <c r="AC62" s="21" t="n">
        <f aca="false">MAX(0,ROUND(AC61*(1+AC$15),2)-AP61)</f>
        <v>14187.14</v>
      </c>
      <c r="AD62" s="21" t="n">
        <f aca="false">MAX(0,ROUND(AD61*(1+AD$15),2)-AQ61)</f>
        <v>0</v>
      </c>
      <c r="AE62" s="21" t="n">
        <f aca="false">MIN(Y$16,ROUND(Y62*(1+Y$15),2))</f>
        <v>0</v>
      </c>
      <c r="AF62" s="21" t="n">
        <f aca="false">MIN(Z$16,ROUND(Z62*(1+Z$15),2))</f>
        <v>0</v>
      </c>
      <c r="AG62" s="21" t="n">
        <f aca="false">MIN(AA$16,ROUND(AA62*(1+AA$15),2))</f>
        <v>0</v>
      </c>
      <c r="AH62" s="21" t="n">
        <f aca="false">MIN(AB$16,ROUND(AB62*(1+AB$15),2))</f>
        <v>0</v>
      </c>
      <c r="AI62" s="21" t="n">
        <f aca="false">MIN(AC$16,ROUND(AC62*(1+AC$15),2))</f>
        <v>220</v>
      </c>
      <c r="AJ62" s="21" t="n">
        <f aca="false">MIN(AD$16,ROUND(AD62*(1+AD$15),2))</f>
        <v>0</v>
      </c>
      <c r="AK62" s="21" t="n">
        <f aca="false">Y$20-SUM(AE62:AJ62)</f>
        <v>950</v>
      </c>
      <c r="AL62" s="21" t="n">
        <f aca="false">MIN(ROUND(Y62*(1+Y$15),2),AE62+MAX(0,AK62))</f>
        <v>0</v>
      </c>
      <c r="AM62" s="21" t="n">
        <f aca="false">MIN(ROUND(Z62*(1+Z$15),2),AF62+MAX(0,AK62-AL62+AE62))</f>
        <v>0</v>
      </c>
      <c r="AN62" s="21" t="n">
        <f aca="false">MIN(ROUND(AA62*(1+AA$15),2),AG62+MAX(0,AK62-AL62+AE62-AM62+AF62))</f>
        <v>0</v>
      </c>
      <c r="AO62" s="21" t="n">
        <f aca="false">MIN(ROUND(AB62*(1+AB$15),2),AH62+MAX(0,AK62-AL62+AE62-AM62+AF62-AN62+AG62))</f>
        <v>0</v>
      </c>
      <c r="AP62" s="21" t="n">
        <f aca="false">MIN(ROUND(AC62*(1+AC$15),2),AI62+MAX(0,AK62-AL62+AE62-AM62+AF62-AN62+AG62-AO62+AH62))</f>
        <v>1170</v>
      </c>
      <c r="AQ62" s="21" t="n">
        <f aca="false">MIN(ROUND(AD62*(1+AD$15),2),AJ62+MAX(0,AK62-AL62+AE62-AM62+AF62-AN62+AG62-AO62+AH62-AP62+AI62))</f>
        <v>0</v>
      </c>
      <c r="AR62" s="21" t="n">
        <f aca="false">SUM(Y62:AD62)</f>
        <v>14187.14</v>
      </c>
      <c r="AS62" s="21" t="n">
        <f aca="false">SUM(AL62:AQ62)</f>
        <v>1170</v>
      </c>
    </row>
    <row r="63" customFormat="false" ht="15" hidden="false" customHeight="false" outlineLevel="0" collapsed="false">
      <c r="A63" s="25" t="n">
        <f aca="false">A62+1</f>
        <v>37</v>
      </c>
      <c r="B63" s="21" t="n">
        <f aca="false">MAX(0,ROUND(B62*(1+B$15),2)-O62)</f>
        <v>0</v>
      </c>
      <c r="C63" s="21" t="n">
        <f aca="false">MAX(0,ROUND(C62*(1+C$15),2)-P62)</f>
        <v>0</v>
      </c>
      <c r="D63" s="21" t="n">
        <f aca="false">MAX(0,ROUND(D62*(1+D$15),2)-Q62)</f>
        <v>0</v>
      </c>
      <c r="E63" s="21" t="n">
        <f aca="false">MAX(0,ROUND(E62*(1+E$15),2)-R62)</f>
        <v>0</v>
      </c>
      <c r="F63" s="21" t="n">
        <f aca="false">MAX(0,ROUND(F62*(1+F$15),2)-S62)</f>
        <v>12847.06</v>
      </c>
      <c r="G63" s="21" t="n">
        <f aca="false">MAX(0,ROUND(G62*(1+G$15),2)-T62)</f>
        <v>0</v>
      </c>
      <c r="H63" s="21" t="n">
        <f aca="false">MIN(B$16,ROUND(B63*(1+B$15),2))</f>
        <v>0</v>
      </c>
      <c r="I63" s="21" t="n">
        <f aca="false">MIN(C$16,ROUND(C63*(1+C$15),2))</f>
        <v>0</v>
      </c>
      <c r="J63" s="21" t="n">
        <f aca="false">MIN(D$16,ROUND(D63*(1+D$15),2))</f>
        <v>0</v>
      </c>
      <c r="K63" s="21" t="n">
        <f aca="false">MIN(E$16,ROUND(E63*(1+E$15),2))</f>
        <v>0</v>
      </c>
      <c r="L63" s="21" t="n">
        <f aca="false">MIN(F$16,ROUND(F63*(1+F$15),2))</f>
        <v>220</v>
      </c>
      <c r="M63" s="21" t="n">
        <f aca="false">MIN(G$16,ROUND(G63*(1+G$15),2))</f>
        <v>0</v>
      </c>
      <c r="N63" s="21" t="n">
        <f aca="false">B$20-SUM(H63:M63)</f>
        <v>950</v>
      </c>
      <c r="O63" s="21" t="n">
        <f aca="false">MIN(ROUND(B63*(1+B$15),2),H63+MAX(0,N63))</f>
        <v>0</v>
      </c>
      <c r="P63" s="21" t="n">
        <f aca="false">MIN(ROUND(C63*(1+C$15),2),I63+MAX(0,N63-O63+H63))</f>
        <v>0</v>
      </c>
      <c r="Q63" s="21" t="n">
        <f aca="false">MIN(ROUND(D63*(1+D$15),2),J63+MAX(0,N63-O63+H63-P63+I63))</f>
        <v>0</v>
      </c>
      <c r="R63" s="21" t="n">
        <f aca="false">MIN(ROUND(E63*(1+E$15),2),K63+MAX(0,N63-O63+H63-P63+I63-Q63+J63))</f>
        <v>0</v>
      </c>
      <c r="S63" s="21" t="n">
        <f aca="false">MIN(ROUND(F63*(1+F$15),2),L63+MAX(0,N63-O63+H63-P63+I63-Q63+J63-R63+K63))</f>
        <v>1170</v>
      </c>
      <c r="T63" s="21" t="n">
        <f aca="false">MIN(ROUND(G63*(1+G$15),2),M63+MAX(0,N63-O63+H63-P63+I63-Q63+J63-R63+K63-S63+L63))</f>
        <v>0</v>
      </c>
      <c r="U63" s="21" t="n">
        <f aca="false">SUM(B63:G63)</f>
        <v>12847.06</v>
      </c>
      <c r="V63" s="21" t="n">
        <f aca="false">SUM(O63:T63)</f>
        <v>1170</v>
      </c>
      <c r="X63" s="25" t="n">
        <f aca="false">X62+1</f>
        <v>37</v>
      </c>
      <c r="Y63" s="21" t="n">
        <f aca="false">MAX(0,ROUND(Y62*(1+Y$15),2)-AL62)</f>
        <v>0</v>
      </c>
      <c r="Z63" s="21" t="n">
        <f aca="false">MAX(0,ROUND(Z62*(1+Z$15),2)-AM62)</f>
        <v>0</v>
      </c>
      <c r="AA63" s="21" t="n">
        <f aca="false">MAX(0,ROUND(AA62*(1+AA$15),2)-AN62)</f>
        <v>0</v>
      </c>
      <c r="AB63" s="21" t="n">
        <f aca="false">MAX(0,ROUND(AB62*(1+AB$15),2)-AO62)</f>
        <v>0</v>
      </c>
      <c r="AC63" s="21" t="n">
        <f aca="false">MAX(0,ROUND(AC62*(1+AC$15),2)-AP62)</f>
        <v>13076.25</v>
      </c>
      <c r="AD63" s="21" t="n">
        <f aca="false">MAX(0,ROUND(AD62*(1+AD$15),2)-AQ62)</f>
        <v>0</v>
      </c>
      <c r="AE63" s="21" t="n">
        <f aca="false">MIN(Y$16,ROUND(Y63*(1+Y$15),2))</f>
        <v>0</v>
      </c>
      <c r="AF63" s="21" t="n">
        <f aca="false">MIN(Z$16,ROUND(Z63*(1+Z$15),2))</f>
        <v>0</v>
      </c>
      <c r="AG63" s="21" t="n">
        <f aca="false">MIN(AA$16,ROUND(AA63*(1+AA$15),2))</f>
        <v>0</v>
      </c>
      <c r="AH63" s="21" t="n">
        <f aca="false">MIN(AB$16,ROUND(AB63*(1+AB$15),2))</f>
        <v>0</v>
      </c>
      <c r="AI63" s="21" t="n">
        <f aca="false">MIN(AC$16,ROUND(AC63*(1+AC$15),2))</f>
        <v>220</v>
      </c>
      <c r="AJ63" s="21" t="n">
        <f aca="false">MIN(AD$16,ROUND(AD63*(1+AD$15),2))</f>
        <v>0</v>
      </c>
      <c r="AK63" s="21" t="n">
        <f aca="false">Y$20-SUM(AE63:AJ63)</f>
        <v>950</v>
      </c>
      <c r="AL63" s="21" t="n">
        <f aca="false">MIN(ROUND(Y63*(1+Y$15),2),AE63+MAX(0,AK63))</f>
        <v>0</v>
      </c>
      <c r="AM63" s="21" t="n">
        <f aca="false">MIN(ROUND(Z63*(1+Z$15),2),AF63+MAX(0,AK63-AL63+AE63))</f>
        <v>0</v>
      </c>
      <c r="AN63" s="21" t="n">
        <f aca="false">MIN(ROUND(AA63*(1+AA$15),2),AG63+MAX(0,AK63-AL63+AE63-AM63+AF63))</f>
        <v>0</v>
      </c>
      <c r="AO63" s="21" t="n">
        <f aca="false">MIN(ROUND(AB63*(1+AB$15),2),AH63+MAX(0,AK63-AL63+AE63-AM63+AF63-AN63+AG63))</f>
        <v>0</v>
      </c>
      <c r="AP63" s="21" t="n">
        <f aca="false">MIN(ROUND(AC63*(1+AC$15),2),AI63+MAX(0,AK63-AL63+AE63-AM63+AF63-AN63+AG63-AO63+AH63))</f>
        <v>1170</v>
      </c>
      <c r="AQ63" s="21" t="n">
        <f aca="false">MIN(ROUND(AD63*(1+AD$15),2),AJ63+MAX(0,AK63-AL63+AE63-AM63+AF63-AN63+AG63-AO63+AH63-AP63+AI63))</f>
        <v>0</v>
      </c>
      <c r="AR63" s="21" t="n">
        <f aca="false">SUM(Y63:AD63)</f>
        <v>13076.25</v>
      </c>
      <c r="AS63" s="21" t="n">
        <f aca="false">SUM(AL63:AQ63)</f>
        <v>1170</v>
      </c>
    </row>
    <row r="64" customFormat="false" ht="15" hidden="false" customHeight="false" outlineLevel="0" collapsed="false">
      <c r="A64" s="25" t="n">
        <f aca="false">A63+1</f>
        <v>38</v>
      </c>
      <c r="B64" s="21" t="n">
        <f aca="false">MAX(0,ROUND(B63*(1+B$15),2)-O63)</f>
        <v>0</v>
      </c>
      <c r="C64" s="21" t="n">
        <f aca="false">MAX(0,ROUND(C63*(1+C$15),2)-P63)</f>
        <v>0</v>
      </c>
      <c r="D64" s="21" t="n">
        <f aca="false">MAX(0,ROUND(D63*(1+D$15),2)-Q63)</f>
        <v>0</v>
      </c>
      <c r="E64" s="21" t="n">
        <f aca="false">MAX(0,ROUND(E63*(1+E$15),2)-R63)</f>
        <v>0</v>
      </c>
      <c r="F64" s="21" t="n">
        <f aca="false">MAX(0,ROUND(F63*(1+F$15),2)-S63)</f>
        <v>11730.59</v>
      </c>
      <c r="G64" s="21" t="n">
        <f aca="false">MAX(0,ROUND(G63*(1+G$15),2)-T63)</f>
        <v>0</v>
      </c>
      <c r="H64" s="21" t="n">
        <f aca="false">MIN(B$16,ROUND(B64*(1+B$15),2))</f>
        <v>0</v>
      </c>
      <c r="I64" s="21" t="n">
        <f aca="false">MIN(C$16,ROUND(C64*(1+C$15),2))</f>
        <v>0</v>
      </c>
      <c r="J64" s="21" t="n">
        <f aca="false">MIN(D$16,ROUND(D64*(1+D$15),2))</f>
        <v>0</v>
      </c>
      <c r="K64" s="21" t="n">
        <f aca="false">MIN(E$16,ROUND(E64*(1+E$15),2))</f>
        <v>0</v>
      </c>
      <c r="L64" s="21" t="n">
        <f aca="false">MIN(F$16,ROUND(F64*(1+F$15),2))</f>
        <v>220</v>
      </c>
      <c r="M64" s="21" t="n">
        <f aca="false">MIN(G$16,ROUND(G64*(1+G$15),2))</f>
        <v>0</v>
      </c>
      <c r="N64" s="21" t="n">
        <f aca="false">B$20-SUM(H64:M64)</f>
        <v>950</v>
      </c>
      <c r="O64" s="21" t="n">
        <f aca="false">MIN(ROUND(B64*(1+B$15),2),H64+MAX(0,N64))</f>
        <v>0</v>
      </c>
      <c r="P64" s="21" t="n">
        <f aca="false">MIN(ROUND(C64*(1+C$15),2),I64+MAX(0,N64-O64+H64))</f>
        <v>0</v>
      </c>
      <c r="Q64" s="21" t="n">
        <f aca="false">MIN(ROUND(D64*(1+D$15),2),J64+MAX(0,N64-O64+H64-P64+I64))</f>
        <v>0</v>
      </c>
      <c r="R64" s="21" t="n">
        <f aca="false">MIN(ROUND(E64*(1+E$15),2),K64+MAX(0,N64-O64+H64-P64+I64-Q64+J64))</f>
        <v>0</v>
      </c>
      <c r="S64" s="21" t="n">
        <f aca="false">MIN(ROUND(F64*(1+F$15),2),L64+MAX(0,N64-O64+H64-P64+I64-Q64+J64-R64+K64))</f>
        <v>1170</v>
      </c>
      <c r="T64" s="21" t="n">
        <f aca="false">MIN(ROUND(G64*(1+G$15),2),M64+MAX(0,N64-O64+H64-P64+I64-Q64+J64-R64+K64-S64+L64))</f>
        <v>0</v>
      </c>
      <c r="U64" s="21" t="n">
        <f aca="false">SUM(B64:G64)</f>
        <v>11730.59</v>
      </c>
      <c r="V64" s="21" t="n">
        <f aca="false">SUM(O64:T64)</f>
        <v>1170</v>
      </c>
      <c r="X64" s="25" t="n">
        <f aca="false">X63+1</f>
        <v>38</v>
      </c>
      <c r="Y64" s="21" t="n">
        <f aca="false">MAX(0,ROUND(Y63*(1+Y$15),2)-AL63)</f>
        <v>0</v>
      </c>
      <c r="Z64" s="21" t="n">
        <f aca="false">MAX(0,ROUND(Z63*(1+Z$15),2)-AM63)</f>
        <v>0</v>
      </c>
      <c r="AA64" s="21" t="n">
        <f aca="false">MAX(0,ROUND(AA63*(1+AA$15),2)-AN63)</f>
        <v>0</v>
      </c>
      <c r="AB64" s="21" t="n">
        <f aca="false">MAX(0,ROUND(AB63*(1+AB$15),2)-AO63)</f>
        <v>0</v>
      </c>
      <c r="AC64" s="21" t="n">
        <f aca="false">MAX(0,ROUND(AC63*(1+AC$15),2)-AP63)</f>
        <v>11960.73</v>
      </c>
      <c r="AD64" s="21" t="n">
        <f aca="false">MAX(0,ROUND(AD63*(1+AD$15),2)-AQ63)</f>
        <v>0</v>
      </c>
      <c r="AE64" s="21" t="n">
        <f aca="false">MIN(Y$16,ROUND(Y64*(1+Y$15),2))</f>
        <v>0</v>
      </c>
      <c r="AF64" s="21" t="n">
        <f aca="false">MIN(Z$16,ROUND(Z64*(1+Z$15),2))</f>
        <v>0</v>
      </c>
      <c r="AG64" s="21" t="n">
        <f aca="false">MIN(AA$16,ROUND(AA64*(1+AA$15),2))</f>
        <v>0</v>
      </c>
      <c r="AH64" s="21" t="n">
        <f aca="false">MIN(AB$16,ROUND(AB64*(1+AB$15),2))</f>
        <v>0</v>
      </c>
      <c r="AI64" s="21" t="n">
        <f aca="false">MIN(AC$16,ROUND(AC64*(1+AC$15),2))</f>
        <v>220</v>
      </c>
      <c r="AJ64" s="21" t="n">
        <f aca="false">MIN(AD$16,ROUND(AD64*(1+AD$15),2))</f>
        <v>0</v>
      </c>
      <c r="AK64" s="21" t="n">
        <f aca="false">Y$20-SUM(AE64:AJ64)</f>
        <v>950</v>
      </c>
      <c r="AL64" s="21" t="n">
        <f aca="false">MIN(ROUND(Y64*(1+Y$15),2),AE64+MAX(0,AK64))</f>
        <v>0</v>
      </c>
      <c r="AM64" s="21" t="n">
        <f aca="false">MIN(ROUND(Z64*(1+Z$15),2),AF64+MAX(0,AK64-AL64+AE64))</f>
        <v>0</v>
      </c>
      <c r="AN64" s="21" t="n">
        <f aca="false">MIN(ROUND(AA64*(1+AA$15),2),AG64+MAX(0,AK64-AL64+AE64-AM64+AF64))</f>
        <v>0</v>
      </c>
      <c r="AO64" s="21" t="n">
        <f aca="false">MIN(ROUND(AB64*(1+AB$15),2),AH64+MAX(0,AK64-AL64+AE64-AM64+AF64-AN64+AG64))</f>
        <v>0</v>
      </c>
      <c r="AP64" s="21" t="n">
        <f aca="false">MIN(ROUND(AC64*(1+AC$15),2),AI64+MAX(0,AK64-AL64+AE64-AM64+AF64-AN64+AG64-AO64+AH64))</f>
        <v>1170</v>
      </c>
      <c r="AQ64" s="21" t="n">
        <f aca="false">MIN(ROUND(AD64*(1+AD$15),2),AJ64+MAX(0,AK64-AL64+AE64-AM64+AF64-AN64+AG64-AO64+AH64-AP64+AI64))</f>
        <v>0</v>
      </c>
      <c r="AR64" s="21" t="n">
        <f aca="false">SUM(Y64:AD64)</f>
        <v>11960.73</v>
      </c>
      <c r="AS64" s="21" t="n">
        <f aca="false">SUM(AL64:AQ64)</f>
        <v>1170</v>
      </c>
    </row>
    <row r="65" customFormat="false" ht="15" hidden="false" customHeight="false" outlineLevel="0" collapsed="false">
      <c r="A65" s="25" t="n">
        <f aca="false">A64+1</f>
        <v>39</v>
      </c>
      <c r="B65" s="21" t="n">
        <f aca="false">MAX(0,ROUND(B64*(1+B$15),2)-O64)</f>
        <v>0</v>
      </c>
      <c r="C65" s="21" t="n">
        <f aca="false">MAX(0,ROUND(C64*(1+C$15),2)-P64)</f>
        <v>0</v>
      </c>
      <c r="D65" s="21" t="n">
        <f aca="false">MAX(0,ROUND(D64*(1+D$15),2)-Q64)</f>
        <v>0</v>
      </c>
      <c r="E65" s="21" t="n">
        <f aca="false">MAX(0,ROUND(E64*(1+E$15),2)-R64)</f>
        <v>0</v>
      </c>
      <c r="F65" s="21" t="n">
        <f aca="false">MAX(0,ROUND(F64*(1+F$15),2)-S64)</f>
        <v>10609.47</v>
      </c>
      <c r="G65" s="21" t="n">
        <f aca="false">MAX(0,ROUND(G64*(1+G$15),2)-T64)</f>
        <v>0</v>
      </c>
      <c r="H65" s="21" t="n">
        <f aca="false">MIN(B$16,ROUND(B65*(1+B$15),2))</f>
        <v>0</v>
      </c>
      <c r="I65" s="21" t="n">
        <f aca="false">MIN(C$16,ROUND(C65*(1+C$15),2))</f>
        <v>0</v>
      </c>
      <c r="J65" s="21" t="n">
        <f aca="false">MIN(D$16,ROUND(D65*(1+D$15),2))</f>
        <v>0</v>
      </c>
      <c r="K65" s="21" t="n">
        <f aca="false">MIN(E$16,ROUND(E65*(1+E$15),2))</f>
        <v>0</v>
      </c>
      <c r="L65" s="21" t="n">
        <f aca="false">MIN(F$16,ROUND(F65*(1+F$15),2))</f>
        <v>220</v>
      </c>
      <c r="M65" s="21" t="n">
        <f aca="false">MIN(G$16,ROUND(G65*(1+G$15),2))</f>
        <v>0</v>
      </c>
      <c r="N65" s="21" t="n">
        <f aca="false">B$20-SUM(H65:M65)</f>
        <v>950</v>
      </c>
      <c r="O65" s="21" t="n">
        <f aca="false">MIN(ROUND(B65*(1+B$15),2),H65+MAX(0,N65))</f>
        <v>0</v>
      </c>
      <c r="P65" s="21" t="n">
        <f aca="false">MIN(ROUND(C65*(1+C$15),2),I65+MAX(0,N65-O65+H65))</f>
        <v>0</v>
      </c>
      <c r="Q65" s="21" t="n">
        <f aca="false">MIN(ROUND(D65*(1+D$15),2),J65+MAX(0,N65-O65+H65-P65+I65))</f>
        <v>0</v>
      </c>
      <c r="R65" s="21" t="n">
        <f aca="false">MIN(ROUND(E65*(1+E$15),2),K65+MAX(0,N65-O65+H65-P65+I65-Q65+J65))</f>
        <v>0</v>
      </c>
      <c r="S65" s="21" t="n">
        <f aca="false">MIN(ROUND(F65*(1+F$15),2),L65+MAX(0,N65-O65+H65-P65+I65-Q65+J65-R65+K65))</f>
        <v>1170</v>
      </c>
      <c r="T65" s="21" t="n">
        <f aca="false">MIN(ROUND(G65*(1+G$15),2),M65+MAX(0,N65-O65+H65-P65+I65-Q65+J65-R65+K65-S65+L65))</f>
        <v>0</v>
      </c>
      <c r="U65" s="21" t="n">
        <f aca="false">SUM(B65:G65)</f>
        <v>10609.47</v>
      </c>
      <c r="V65" s="21" t="n">
        <f aca="false">SUM(O65:T65)</f>
        <v>1170</v>
      </c>
      <c r="X65" s="25" t="n">
        <f aca="false">X64+1</f>
        <v>39</v>
      </c>
      <c r="Y65" s="21" t="n">
        <f aca="false">MAX(0,ROUND(Y64*(1+Y$15),2)-AL64)</f>
        <v>0</v>
      </c>
      <c r="Z65" s="21" t="n">
        <f aca="false">MAX(0,ROUND(Z64*(1+Z$15),2)-AM64)</f>
        <v>0</v>
      </c>
      <c r="AA65" s="21" t="n">
        <f aca="false">MAX(0,ROUND(AA64*(1+AA$15),2)-AN64)</f>
        <v>0</v>
      </c>
      <c r="AB65" s="21" t="n">
        <f aca="false">MAX(0,ROUND(AB64*(1+AB$15),2)-AO64)</f>
        <v>0</v>
      </c>
      <c r="AC65" s="21" t="n">
        <f aca="false">MAX(0,ROUND(AC64*(1+AC$15),2)-AP64)</f>
        <v>10840.57</v>
      </c>
      <c r="AD65" s="21" t="n">
        <f aca="false">MAX(0,ROUND(AD64*(1+AD$15),2)-AQ64)</f>
        <v>0</v>
      </c>
      <c r="AE65" s="21" t="n">
        <f aca="false">MIN(Y$16,ROUND(Y65*(1+Y$15),2))</f>
        <v>0</v>
      </c>
      <c r="AF65" s="21" t="n">
        <f aca="false">MIN(Z$16,ROUND(Z65*(1+Z$15),2))</f>
        <v>0</v>
      </c>
      <c r="AG65" s="21" t="n">
        <f aca="false">MIN(AA$16,ROUND(AA65*(1+AA$15),2))</f>
        <v>0</v>
      </c>
      <c r="AH65" s="21" t="n">
        <f aca="false">MIN(AB$16,ROUND(AB65*(1+AB$15),2))</f>
        <v>0</v>
      </c>
      <c r="AI65" s="21" t="n">
        <f aca="false">MIN(AC$16,ROUND(AC65*(1+AC$15),2))</f>
        <v>220</v>
      </c>
      <c r="AJ65" s="21" t="n">
        <f aca="false">MIN(AD$16,ROUND(AD65*(1+AD$15),2))</f>
        <v>0</v>
      </c>
      <c r="AK65" s="21" t="n">
        <f aca="false">Y$20-SUM(AE65:AJ65)</f>
        <v>950</v>
      </c>
      <c r="AL65" s="21" t="n">
        <f aca="false">MIN(ROUND(Y65*(1+Y$15),2),AE65+MAX(0,AK65))</f>
        <v>0</v>
      </c>
      <c r="AM65" s="21" t="n">
        <f aca="false">MIN(ROUND(Z65*(1+Z$15),2),AF65+MAX(0,AK65-AL65+AE65))</f>
        <v>0</v>
      </c>
      <c r="AN65" s="21" t="n">
        <f aca="false">MIN(ROUND(AA65*(1+AA$15),2),AG65+MAX(0,AK65-AL65+AE65-AM65+AF65))</f>
        <v>0</v>
      </c>
      <c r="AO65" s="21" t="n">
        <f aca="false">MIN(ROUND(AB65*(1+AB$15),2),AH65+MAX(0,AK65-AL65+AE65-AM65+AF65-AN65+AG65))</f>
        <v>0</v>
      </c>
      <c r="AP65" s="21" t="n">
        <f aca="false">MIN(ROUND(AC65*(1+AC$15),2),AI65+MAX(0,AK65-AL65+AE65-AM65+AF65-AN65+AG65-AO65+AH65))</f>
        <v>1170</v>
      </c>
      <c r="AQ65" s="21" t="n">
        <f aca="false">MIN(ROUND(AD65*(1+AD$15),2),AJ65+MAX(0,AK65-AL65+AE65-AM65+AF65-AN65+AG65-AO65+AH65-AP65+AI65))</f>
        <v>0</v>
      </c>
      <c r="AR65" s="21" t="n">
        <f aca="false">SUM(Y65:AD65)</f>
        <v>10840.57</v>
      </c>
      <c r="AS65" s="21" t="n">
        <f aca="false">SUM(AL65:AQ65)</f>
        <v>1170</v>
      </c>
    </row>
    <row r="66" customFormat="false" ht="15" hidden="false" customHeight="false" outlineLevel="0" collapsed="false">
      <c r="A66" s="25" t="n">
        <f aca="false">A65+1</f>
        <v>40</v>
      </c>
      <c r="B66" s="21" t="n">
        <f aca="false">MAX(0,ROUND(B65*(1+B$15),2)-O65)</f>
        <v>0</v>
      </c>
      <c r="C66" s="21" t="n">
        <f aca="false">MAX(0,ROUND(C65*(1+C$15),2)-P65)</f>
        <v>0</v>
      </c>
      <c r="D66" s="21" t="n">
        <f aca="false">MAX(0,ROUND(D65*(1+D$15),2)-Q65)</f>
        <v>0</v>
      </c>
      <c r="E66" s="21" t="n">
        <f aca="false">MAX(0,ROUND(E65*(1+E$15),2)-R65)</f>
        <v>0</v>
      </c>
      <c r="F66" s="21" t="n">
        <f aca="false">MAX(0,ROUND(F65*(1+F$15),2)-S65)</f>
        <v>9483.68</v>
      </c>
      <c r="G66" s="21" t="n">
        <f aca="false">MAX(0,ROUND(G65*(1+G$15),2)-T65)</f>
        <v>0</v>
      </c>
      <c r="H66" s="21" t="n">
        <f aca="false">MIN(B$16,ROUND(B66*(1+B$15),2))</f>
        <v>0</v>
      </c>
      <c r="I66" s="21" t="n">
        <f aca="false">MIN(C$16,ROUND(C66*(1+C$15),2))</f>
        <v>0</v>
      </c>
      <c r="J66" s="21" t="n">
        <f aca="false">MIN(D$16,ROUND(D66*(1+D$15),2))</f>
        <v>0</v>
      </c>
      <c r="K66" s="21" t="n">
        <f aca="false">MIN(E$16,ROUND(E66*(1+E$15),2))</f>
        <v>0</v>
      </c>
      <c r="L66" s="21" t="n">
        <f aca="false">MIN(F$16,ROUND(F66*(1+F$15),2))</f>
        <v>220</v>
      </c>
      <c r="M66" s="21" t="n">
        <f aca="false">MIN(G$16,ROUND(G66*(1+G$15),2))</f>
        <v>0</v>
      </c>
      <c r="N66" s="21" t="n">
        <f aca="false">B$20-SUM(H66:M66)</f>
        <v>950</v>
      </c>
      <c r="O66" s="21" t="n">
        <f aca="false">MIN(ROUND(B66*(1+B$15),2),H66+MAX(0,N66))</f>
        <v>0</v>
      </c>
      <c r="P66" s="21" t="n">
        <f aca="false">MIN(ROUND(C66*(1+C$15),2),I66+MAX(0,N66-O66+H66))</f>
        <v>0</v>
      </c>
      <c r="Q66" s="21" t="n">
        <f aca="false">MIN(ROUND(D66*(1+D$15),2),J66+MAX(0,N66-O66+H66-P66+I66))</f>
        <v>0</v>
      </c>
      <c r="R66" s="21" t="n">
        <f aca="false">MIN(ROUND(E66*(1+E$15),2),K66+MAX(0,N66-O66+H66-P66+I66-Q66+J66))</f>
        <v>0</v>
      </c>
      <c r="S66" s="21" t="n">
        <f aca="false">MIN(ROUND(F66*(1+F$15),2),L66+MAX(0,N66-O66+H66-P66+I66-Q66+J66-R66+K66))</f>
        <v>1170</v>
      </c>
      <c r="T66" s="21" t="n">
        <f aca="false">MIN(ROUND(G66*(1+G$15),2),M66+MAX(0,N66-O66+H66-P66+I66-Q66+J66-R66+K66-S66+L66))</f>
        <v>0</v>
      </c>
      <c r="U66" s="21" t="n">
        <f aca="false">SUM(B66:G66)</f>
        <v>9483.68</v>
      </c>
      <c r="V66" s="21" t="n">
        <f aca="false">SUM(O66:T66)</f>
        <v>1170</v>
      </c>
      <c r="X66" s="25" t="n">
        <f aca="false">X65+1</f>
        <v>40</v>
      </c>
      <c r="Y66" s="21" t="n">
        <f aca="false">MAX(0,ROUND(Y65*(1+Y$15),2)-AL65)</f>
        <v>0</v>
      </c>
      <c r="Z66" s="21" t="n">
        <f aca="false">MAX(0,ROUND(Z65*(1+Z$15),2)-AM65)</f>
        <v>0</v>
      </c>
      <c r="AA66" s="21" t="n">
        <f aca="false">MAX(0,ROUND(AA65*(1+AA$15),2)-AN65)</f>
        <v>0</v>
      </c>
      <c r="AB66" s="21" t="n">
        <f aca="false">MAX(0,ROUND(AB65*(1+AB$15),2)-AO65)</f>
        <v>0</v>
      </c>
      <c r="AC66" s="21" t="n">
        <f aca="false">MAX(0,ROUND(AC65*(1+AC$15),2)-AP65)</f>
        <v>9715.74</v>
      </c>
      <c r="AD66" s="21" t="n">
        <f aca="false">MAX(0,ROUND(AD65*(1+AD$15),2)-AQ65)</f>
        <v>0</v>
      </c>
      <c r="AE66" s="21" t="n">
        <f aca="false">MIN(Y$16,ROUND(Y66*(1+Y$15),2))</f>
        <v>0</v>
      </c>
      <c r="AF66" s="21" t="n">
        <f aca="false">MIN(Z$16,ROUND(Z66*(1+Z$15),2))</f>
        <v>0</v>
      </c>
      <c r="AG66" s="21" t="n">
        <f aca="false">MIN(AA$16,ROUND(AA66*(1+AA$15),2))</f>
        <v>0</v>
      </c>
      <c r="AH66" s="21" t="n">
        <f aca="false">MIN(AB$16,ROUND(AB66*(1+AB$15),2))</f>
        <v>0</v>
      </c>
      <c r="AI66" s="21" t="n">
        <f aca="false">MIN(AC$16,ROUND(AC66*(1+AC$15),2))</f>
        <v>220</v>
      </c>
      <c r="AJ66" s="21" t="n">
        <f aca="false">MIN(AD$16,ROUND(AD66*(1+AD$15),2))</f>
        <v>0</v>
      </c>
      <c r="AK66" s="21" t="n">
        <f aca="false">Y$20-SUM(AE66:AJ66)</f>
        <v>950</v>
      </c>
      <c r="AL66" s="21" t="n">
        <f aca="false">MIN(ROUND(Y66*(1+Y$15),2),AE66+MAX(0,AK66))</f>
        <v>0</v>
      </c>
      <c r="AM66" s="21" t="n">
        <f aca="false">MIN(ROUND(Z66*(1+Z$15),2),AF66+MAX(0,AK66-AL66+AE66))</f>
        <v>0</v>
      </c>
      <c r="AN66" s="21" t="n">
        <f aca="false">MIN(ROUND(AA66*(1+AA$15),2),AG66+MAX(0,AK66-AL66+AE66-AM66+AF66))</f>
        <v>0</v>
      </c>
      <c r="AO66" s="21" t="n">
        <f aca="false">MIN(ROUND(AB66*(1+AB$15),2),AH66+MAX(0,AK66-AL66+AE66-AM66+AF66-AN66+AG66))</f>
        <v>0</v>
      </c>
      <c r="AP66" s="21" t="n">
        <f aca="false">MIN(ROUND(AC66*(1+AC$15),2),AI66+MAX(0,AK66-AL66+AE66-AM66+AF66-AN66+AG66-AO66+AH66))</f>
        <v>1170</v>
      </c>
      <c r="AQ66" s="21" t="n">
        <f aca="false">MIN(ROUND(AD66*(1+AD$15),2),AJ66+MAX(0,AK66-AL66+AE66-AM66+AF66-AN66+AG66-AO66+AH66-AP66+AI66))</f>
        <v>0</v>
      </c>
      <c r="AR66" s="21" t="n">
        <f aca="false">SUM(Y66:AD66)</f>
        <v>9715.74</v>
      </c>
      <c r="AS66" s="21" t="n">
        <f aca="false">SUM(AL66:AQ66)</f>
        <v>1170</v>
      </c>
    </row>
    <row r="67" customFormat="false" ht="15" hidden="false" customHeight="false" outlineLevel="0" collapsed="false">
      <c r="A67" s="25" t="n">
        <f aca="false">A66+1</f>
        <v>41</v>
      </c>
      <c r="B67" s="21" t="n">
        <f aca="false">MAX(0,ROUND(B66*(1+B$15),2)-O66)</f>
        <v>0</v>
      </c>
      <c r="C67" s="21" t="n">
        <f aca="false">MAX(0,ROUND(C66*(1+C$15),2)-P66)</f>
        <v>0</v>
      </c>
      <c r="D67" s="21" t="n">
        <f aca="false">MAX(0,ROUND(D66*(1+D$15),2)-Q66)</f>
        <v>0</v>
      </c>
      <c r="E67" s="21" t="n">
        <f aca="false">MAX(0,ROUND(E66*(1+E$15),2)-R66)</f>
        <v>0</v>
      </c>
      <c r="F67" s="21" t="n">
        <f aca="false">MAX(0,ROUND(F66*(1+F$15),2)-S66)</f>
        <v>8353.2</v>
      </c>
      <c r="G67" s="21" t="n">
        <f aca="false">MAX(0,ROUND(G66*(1+G$15),2)-T66)</f>
        <v>0</v>
      </c>
      <c r="H67" s="21" t="n">
        <f aca="false">MIN(B$16,ROUND(B67*(1+B$15),2))</f>
        <v>0</v>
      </c>
      <c r="I67" s="21" t="n">
        <f aca="false">MIN(C$16,ROUND(C67*(1+C$15),2))</f>
        <v>0</v>
      </c>
      <c r="J67" s="21" t="n">
        <f aca="false">MIN(D$16,ROUND(D67*(1+D$15),2))</f>
        <v>0</v>
      </c>
      <c r="K67" s="21" t="n">
        <f aca="false">MIN(E$16,ROUND(E67*(1+E$15),2))</f>
        <v>0</v>
      </c>
      <c r="L67" s="21" t="n">
        <f aca="false">MIN(F$16,ROUND(F67*(1+F$15),2))</f>
        <v>220</v>
      </c>
      <c r="M67" s="21" t="n">
        <f aca="false">MIN(G$16,ROUND(G67*(1+G$15),2))</f>
        <v>0</v>
      </c>
      <c r="N67" s="21" t="n">
        <f aca="false">B$20-SUM(H67:M67)</f>
        <v>950</v>
      </c>
      <c r="O67" s="21" t="n">
        <f aca="false">MIN(ROUND(B67*(1+B$15),2),H67+MAX(0,N67))</f>
        <v>0</v>
      </c>
      <c r="P67" s="21" t="n">
        <f aca="false">MIN(ROUND(C67*(1+C$15),2),I67+MAX(0,N67-O67+H67))</f>
        <v>0</v>
      </c>
      <c r="Q67" s="21" t="n">
        <f aca="false">MIN(ROUND(D67*(1+D$15),2),J67+MAX(0,N67-O67+H67-P67+I67))</f>
        <v>0</v>
      </c>
      <c r="R67" s="21" t="n">
        <f aca="false">MIN(ROUND(E67*(1+E$15),2),K67+MAX(0,N67-O67+H67-P67+I67-Q67+J67))</f>
        <v>0</v>
      </c>
      <c r="S67" s="21" t="n">
        <f aca="false">MIN(ROUND(F67*(1+F$15),2),L67+MAX(0,N67-O67+H67-P67+I67-Q67+J67-R67+K67))</f>
        <v>1170</v>
      </c>
      <c r="T67" s="21" t="n">
        <f aca="false">MIN(ROUND(G67*(1+G$15),2),M67+MAX(0,N67-O67+H67-P67+I67-Q67+J67-R67+K67-S67+L67))</f>
        <v>0</v>
      </c>
      <c r="U67" s="21" t="n">
        <f aca="false">SUM(B67:G67)</f>
        <v>8353.2</v>
      </c>
      <c r="V67" s="21" t="n">
        <f aca="false">SUM(O67:T67)</f>
        <v>1170</v>
      </c>
      <c r="X67" s="25" t="n">
        <f aca="false">X66+1</f>
        <v>41</v>
      </c>
      <c r="Y67" s="21" t="n">
        <f aca="false">MAX(0,ROUND(Y66*(1+Y$15),2)-AL66)</f>
        <v>0</v>
      </c>
      <c r="Z67" s="21" t="n">
        <f aca="false">MAX(0,ROUND(Z66*(1+Z$15),2)-AM66)</f>
        <v>0</v>
      </c>
      <c r="AA67" s="21" t="n">
        <f aca="false">MAX(0,ROUND(AA66*(1+AA$15),2)-AN66)</f>
        <v>0</v>
      </c>
      <c r="AB67" s="21" t="n">
        <f aca="false">MAX(0,ROUND(AB66*(1+AB$15),2)-AO66)</f>
        <v>0</v>
      </c>
      <c r="AC67" s="21" t="n">
        <f aca="false">MAX(0,ROUND(AC66*(1+AC$15),2)-AP66)</f>
        <v>8586.22</v>
      </c>
      <c r="AD67" s="21" t="n">
        <f aca="false">MAX(0,ROUND(AD66*(1+AD$15),2)-AQ66)</f>
        <v>0</v>
      </c>
      <c r="AE67" s="21" t="n">
        <f aca="false">MIN(Y$16,ROUND(Y67*(1+Y$15),2))</f>
        <v>0</v>
      </c>
      <c r="AF67" s="21" t="n">
        <f aca="false">MIN(Z$16,ROUND(Z67*(1+Z$15),2))</f>
        <v>0</v>
      </c>
      <c r="AG67" s="21" t="n">
        <f aca="false">MIN(AA$16,ROUND(AA67*(1+AA$15),2))</f>
        <v>0</v>
      </c>
      <c r="AH67" s="21" t="n">
        <f aca="false">MIN(AB$16,ROUND(AB67*(1+AB$15),2))</f>
        <v>0</v>
      </c>
      <c r="AI67" s="21" t="n">
        <f aca="false">MIN(AC$16,ROUND(AC67*(1+AC$15),2))</f>
        <v>220</v>
      </c>
      <c r="AJ67" s="21" t="n">
        <f aca="false">MIN(AD$16,ROUND(AD67*(1+AD$15),2))</f>
        <v>0</v>
      </c>
      <c r="AK67" s="21" t="n">
        <f aca="false">Y$20-SUM(AE67:AJ67)</f>
        <v>950</v>
      </c>
      <c r="AL67" s="21" t="n">
        <f aca="false">MIN(ROUND(Y67*(1+Y$15),2),AE67+MAX(0,AK67))</f>
        <v>0</v>
      </c>
      <c r="AM67" s="21" t="n">
        <f aca="false">MIN(ROUND(Z67*(1+Z$15),2),AF67+MAX(0,AK67-AL67+AE67))</f>
        <v>0</v>
      </c>
      <c r="AN67" s="21" t="n">
        <f aca="false">MIN(ROUND(AA67*(1+AA$15),2),AG67+MAX(0,AK67-AL67+AE67-AM67+AF67))</f>
        <v>0</v>
      </c>
      <c r="AO67" s="21" t="n">
        <f aca="false">MIN(ROUND(AB67*(1+AB$15),2),AH67+MAX(0,AK67-AL67+AE67-AM67+AF67-AN67+AG67))</f>
        <v>0</v>
      </c>
      <c r="AP67" s="21" t="n">
        <f aca="false">MIN(ROUND(AC67*(1+AC$15),2),AI67+MAX(0,AK67-AL67+AE67-AM67+AF67-AN67+AG67-AO67+AH67))</f>
        <v>1170</v>
      </c>
      <c r="AQ67" s="21" t="n">
        <f aca="false">MIN(ROUND(AD67*(1+AD$15),2),AJ67+MAX(0,AK67-AL67+AE67-AM67+AF67-AN67+AG67-AO67+AH67-AP67+AI67))</f>
        <v>0</v>
      </c>
      <c r="AR67" s="21" t="n">
        <f aca="false">SUM(Y67:AD67)</f>
        <v>8586.22</v>
      </c>
      <c r="AS67" s="21" t="n">
        <f aca="false">SUM(AL67:AQ67)</f>
        <v>1170</v>
      </c>
    </row>
    <row r="68" customFormat="false" ht="15" hidden="false" customHeight="false" outlineLevel="0" collapsed="false">
      <c r="A68" s="25" t="n">
        <f aca="false">A67+1</f>
        <v>42</v>
      </c>
      <c r="B68" s="21" t="n">
        <f aca="false">MAX(0,ROUND(B67*(1+B$15),2)-O67)</f>
        <v>0</v>
      </c>
      <c r="C68" s="21" t="n">
        <f aca="false">MAX(0,ROUND(C67*(1+C$15),2)-P67)</f>
        <v>0</v>
      </c>
      <c r="D68" s="21" t="n">
        <f aca="false">MAX(0,ROUND(D67*(1+D$15),2)-Q67)</f>
        <v>0</v>
      </c>
      <c r="E68" s="21" t="n">
        <f aca="false">MAX(0,ROUND(E67*(1+E$15),2)-R67)</f>
        <v>0</v>
      </c>
      <c r="F68" s="21" t="n">
        <f aca="false">MAX(0,ROUND(F67*(1+F$15),2)-S67)</f>
        <v>7218.01</v>
      </c>
      <c r="G68" s="21" t="n">
        <f aca="false">MAX(0,ROUND(G67*(1+G$15),2)-T67)</f>
        <v>0</v>
      </c>
      <c r="H68" s="21" t="n">
        <f aca="false">MIN(B$16,ROUND(B68*(1+B$15),2))</f>
        <v>0</v>
      </c>
      <c r="I68" s="21" t="n">
        <f aca="false">MIN(C$16,ROUND(C68*(1+C$15),2))</f>
        <v>0</v>
      </c>
      <c r="J68" s="21" t="n">
        <f aca="false">MIN(D$16,ROUND(D68*(1+D$15),2))</f>
        <v>0</v>
      </c>
      <c r="K68" s="21" t="n">
        <f aca="false">MIN(E$16,ROUND(E68*(1+E$15),2))</f>
        <v>0</v>
      </c>
      <c r="L68" s="21" t="n">
        <f aca="false">MIN(F$16,ROUND(F68*(1+F$15),2))</f>
        <v>220</v>
      </c>
      <c r="M68" s="21" t="n">
        <f aca="false">MIN(G$16,ROUND(G68*(1+G$15),2))</f>
        <v>0</v>
      </c>
      <c r="N68" s="21" t="n">
        <f aca="false">B$20-SUM(H68:M68)</f>
        <v>950</v>
      </c>
      <c r="O68" s="21" t="n">
        <f aca="false">MIN(ROUND(B68*(1+B$15),2),H68+MAX(0,N68))</f>
        <v>0</v>
      </c>
      <c r="P68" s="21" t="n">
        <f aca="false">MIN(ROUND(C68*(1+C$15),2),I68+MAX(0,N68-O68+H68))</f>
        <v>0</v>
      </c>
      <c r="Q68" s="21" t="n">
        <f aca="false">MIN(ROUND(D68*(1+D$15),2),J68+MAX(0,N68-O68+H68-P68+I68))</f>
        <v>0</v>
      </c>
      <c r="R68" s="21" t="n">
        <f aca="false">MIN(ROUND(E68*(1+E$15),2),K68+MAX(0,N68-O68+H68-P68+I68-Q68+J68))</f>
        <v>0</v>
      </c>
      <c r="S68" s="21" t="n">
        <f aca="false">MIN(ROUND(F68*(1+F$15),2),L68+MAX(0,N68-O68+H68-P68+I68-Q68+J68-R68+K68))</f>
        <v>1170</v>
      </c>
      <c r="T68" s="21" t="n">
        <f aca="false">MIN(ROUND(G68*(1+G$15),2),M68+MAX(0,N68-O68+H68-P68+I68-Q68+J68-R68+K68-S68+L68))</f>
        <v>0</v>
      </c>
      <c r="U68" s="21" t="n">
        <f aca="false">SUM(B68:G68)</f>
        <v>7218.01</v>
      </c>
      <c r="V68" s="21" t="n">
        <f aca="false">SUM(O68:T68)</f>
        <v>1170</v>
      </c>
      <c r="X68" s="25" t="n">
        <f aca="false">X67+1</f>
        <v>42</v>
      </c>
      <c r="Y68" s="21" t="n">
        <f aca="false">MAX(0,ROUND(Y67*(1+Y$15),2)-AL67)</f>
        <v>0</v>
      </c>
      <c r="Z68" s="21" t="n">
        <f aca="false">MAX(0,ROUND(Z67*(1+Z$15),2)-AM67)</f>
        <v>0</v>
      </c>
      <c r="AA68" s="21" t="n">
        <f aca="false">MAX(0,ROUND(AA67*(1+AA$15),2)-AN67)</f>
        <v>0</v>
      </c>
      <c r="AB68" s="21" t="n">
        <f aca="false">MAX(0,ROUND(AB67*(1+AB$15),2)-AO67)</f>
        <v>0</v>
      </c>
      <c r="AC68" s="21" t="n">
        <f aca="false">MAX(0,ROUND(AC67*(1+AC$15),2)-AP67)</f>
        <v>7452</v>
      </c>
      <c r="AD68" s="21" t="n">
        <f aca="false">MAX(0,ROUND(AD67*(1+AD$15),2)-AQ67)</f>
        <v>0</v>
      </c>
      <c r="AE68" s="21" t="n">
        <f aca="false">MIN(Y$16,ROUND(Y68*(1+Y$15),2))</f>
        <v>0</v>
      </c>
      <c r="AF68" s="21" t="n">
        <f aca="false">MIN(Z$16,ROUND(Z68*(1+Z$15),2))</f>
        <v>0</v>
      </c>
      <c r="AG68" s="21" t="n">
        <f aca="false">MIN(AA$16,ROUND(AA68*(1+AA$15),2))</f>
        <v>0</v>
      </c>
      <c r="AH68" s="21" t="n">
        <f aca="false">MIN(AB$16,ROUND(AB68*(1+AB$15),2))</f>
        <v>0</v>
      </c>
      <c r="AI68" s="21" t="n">
        <f aca="false">MIN(AC$16,ROUND(AC68*(1+AC$15),2))</f>
        <v>220</v>
      </c>
      <c r="AJ68" s="21" t="n">
        <f aca="false">MIN(AD$16,ROUND(AD68*(1+AD$15),2))</f>
        <v>0</v>
      </c>
      <c r="AK68" s="21" t="n">
        <f aca="false">Y$20-SUM(AE68:AJ68)</f>
        <v>950</v>
      </c>
      <c r="AL68" s="21" t="n">
        <f aca="false">MIN(ROUND(Y68*(1+Y$15),2),AE68+MAX(0,AK68))</f>
        <v>0</v>
      </c>
      <c r="AM68" s="21" t="n">
        <f aca="false">MIN(ROUND(Z68*(1+Z$15),2),AF68+MAX(0,AK68-AL68+AE68))</f>
        <v>0</v>
      </c>
      <c r="AN68" s="21" t="n">
        <f aca="false">MIN(ROUND(AA68*(1+AA$15),2),AG68+MAX(0,AK68-AL68+AE68-AM68+AF68))</f>
        <v>0</v>
      </c>
      <c r="AO68" s="21" t="n">
        <f aca="false">MIN(ROUND(AB68*(1+AB$15),2),AH68+MAX(0,AK68-AL68+AE68-AM68+AF68-AN68+AG68))</f>
        <v>0</v>
      </c>
      <c r="AP68" s="21" t="n">
        <f aca="false">MIN(ROUND(AC68*(1+AC$15),2),AI68+MAX(0,AK68-AL68+AE68-AM68+AF68-AN68+AG68-AO68+AH68))</f>
        <v>1170</v>
      </c>
      <c r="AQ68" s="21" t="n">
        <f aca="false">MIN(ROUND(AD68*(1+AD$15),2),AJ68+MAX(0,AK68-AL68+AE68-AM68+AF68-AN68+AG68-AO68+AH68-AP68+AI68))</f>
        <v>0</v>
      </c>
      <c r="AR68" s="21" t="n">
        <f aca="false">SUM(Y68:AD68)</f>
        <v>7452</v>
      </c>
      <c r="AS68" s="21" t="n">
        <f aca="false">SUM(AL68:AQ68)</f>
        <v>1170</v>
      </c>
    </row>
    <row r="69" customFormat="false" ht="15" hidden="false" customHeight="false" outlineLevel="0" collapsed="false">
      <c r="A69" s="25" t="n">
        <f aca="false">A68+1</f>
        <v>43</v>
      </c>
      <c r="B69" s="21" t="n">
        <f aca="false">MAX(0,ROUND(B68*(1+B$15),2)-O68)</f>
        <v>0</v>
      </c>
      <c r="C69" s="21" t="n">
        <f aca="false">MAX(0,ROUND(C68*(1+C$15),2)-P68)</f>
        <v>0</v>
      </c>
      <c r="D69" s="21" t="n">
        <f aca="false">MAX(0,ROUND(D68*(1+D$15),2)-Q68)</f>
        <v>0</v>
      </c>
      <c r="E69" s="21" t="n">
        <f aca="false">MAX(0,ROUND(E68*(1+E$15),2)-R68)</f>
        <v>0</v>
      </c>
      <c r="F69" s="21" t="n">
        <f aca="false">MAX(0,ROUND(F68*(1+F$15),2)-S68)</f>
        <v>6078.09</v>
      </c>
      <c r="G69" s="21" t="n">
        <f aca="false">MAX(0,ROUND(G68*(1+G$15),2)-T68)</f>
        <v>0</v>
      </c>
      <c r="H69" s="21" t="n">
        <f aca="false">MIN(B$16,ROUND(B69*(1+B$15),2))</f>
        <v>0</v>
      </c>
      <c r="I69" s="21" t="n">
        <f aca="false">MIN(C$16,ROUND(C69*(1+C$15),2))</f>
        <v>0</v>
      </c>
      <c r="J69" s="21" t="n">
        <f aca="false">MIN(D$16,ROUND(D69*(1+D$15),2))</f>
        <v>0</v>
      </c>
      <c r="K69" s="21" t="n">
        <f aca="false">MIN(E$16,ROUND(E69*(1+E$15),2))</f>
        <v>0</v>
      </c>
      <c r="L69" s="21" t="n">
        <f aca="false">MIN(F$16,ROUND(F69*(1+F$15),2))</f>
        <v>220</v>
      </c>
      <c r="M69" s="21" t="n">
        <f aca="false">MIN(G$16,ROUND(G69*(1+G$15),2))</f>
        <v>0</v>
      </c>
      <c r="N69" s="21" t="n">
        <f aca="false">B$20-SUM(H69:M69)</f>
        <v>950</v>
      </c>
      <c r="O69" s="21" t="n">
        <f aca="false">MIN(ROUND(B69*(1+B$15),2),H69+MAX(0,N69))</f>
        <v>0</v>
      </c>
      <c r="P69" s="21" t="n">
        <f aca="false">MIN(ROUND(C69*(1+C$15),2),I69+MAX(0,N69-O69+H69))</f>
        <v>0</v>
      </c>
      <c r="Q69" s="21" t="n">
        <f aca="false">MIN(ROUND(D69*(1+D$15),2),J69+MAX(0,N69-O69+H69-P69+I69))</f>
        <v>0</v>
      </c>
      <c r="R69" s="21" t="n">
        <f aca="false">MIN(ROUND(E69*(1+E$15),2),K69+MAX(0,N69-O69+H69-P69+I69-Q69+J69))</f>
        <v>0</v>
      </c>
      <c r="S69" s="21" t="n">
        <f aca="false">MIN(ROUND(F69*(1+F$15),2),L69+MAX(0,N69-O69+H69-P69+I69-Q69+J69-R69+K69))</f>
        <v>1170</v>
      </c>
      <c r="T69" s="21" t="n">
        <f aca="false">MIN(ROUND(G69*(1+G$15),2),M69+MAX(0,N69-O69+H69-P69+I69-Q69+J69-R69+K69-S69+L69))</f>
        <v>0</v>
      </c>
      <c r="U69" s="21" t="n">
        <f aca="false">SUM(B69:G69)</f>
        <v>6078.09</v>
      </c>
      <c r="V69" s="21" t="n">
        <f aca="false">SUM(O69:T69)</f>
        <v>1170</v>
      </c>
      <c r="X69" s="25" t="n">
        <f aca="false">X68+1</f>
        <v>43</v>
      </c>
      <c r="Y69" s="21" t="n">
        <f aca="false">MAX(0,ROUND(Y68*(1+Y$15),2)-AL68)</f>
        <v>0</v>
      </c>
      <c r="Z69" s="21" t="n">
        <f aca="false">MAX(0,ROUND(Z68*(1+Z$15),2)-AM68)</f>
        <v>0</v>
      </c>
      <c r="AA69" s="21" t="n">
        <f aca="false">MAX(0,ROUND(AA68*(1+AA$15),2)-AN68)</f>
        <v>0</v>
      </c>
      <c r="AB69" s="21" t="n">
        <f aca="false">MAX(0,ROUND(AB68*(1+AB$15),2)-AO68)</f>
        <v>0</v>
      </c>
      <c r="AC69" s="21" t="n">
        <f aca="false">MAX(0,ROUND(AC68*(1+AC$15),2)-AP68)</f>
        <v>6313.05</v>
      </c>
      <c r="AD69" s="21" t="n">
        <f aca="false">MAX(0,ROUND(AD68*(1+AD$15),2)-AQ68)</f>
        <v>0</v>
      </c>
      <c r="AE69" s="21" t="n">
        <f aca="false">MIN(Y$16,ROUND(Y69*(1+Y$15),2))</f>
        <v>0</v>
      </c>
      <c r="AF69" s="21" t="n">
        <f aca="false">MIN(Z$16,ROUND(Z69*(1+Z$15),2))</f>
        <v>0</v>
      </c>
      <c r="AG69" s="21" t="n">
        <f aca="false">MIN(AA$16,ROUND(AA69*(1+AA$15),2))</f>
        <v>0</v>
      </c>
      <c r="AH69" s="21" t="n">
        <f aca="false">MIN(AB$16,ROUND(AB69*(1+AB$15),2))</f>
        <v>0</v>
      </c>
      <c r="AI69" s="21" t="n">
        <f aca="false">MIN(AC$16,ROUND(AC69*(1+AC$15),2))</f>
        <v>220</v>
      </c>
      <c r="AJ69" s="21" t="n">
        <f aca="false">MIN(AD$16,ROUND(AD69*(1+AD$15),2))</f>
        <v>0</v>
      </c>
      <c r="AK69" s="21" t="n">
        <f aca="false">Y$20-SUM(AE69:AJ69)</f>
        <v>950</v>
      </c>
      <c r="AL69" s="21" t="n">
        <f aca="false">MIN(ROUND(Y69*(1+Y$15),2),AE69+MAX(0,AK69))</f>
        <v>0</v>
      </c>
      <c r="AM69" s="21" t="n">
        <f aca="false">MIN(ROUND(Z69*(1+Z$15),2),AF69+MAX(0,AK69-AL69+AE69))</f>
        <v>0</v>
      </c>
      <c r="AN69" s="21" t="n">
        <f aca="false">MIN(ROUND(AA69*(1+AA$15),2),AG69+MAX(0,AK69-AL69+AE69-AM69+AF69))</f>
        <v>0</v>
      </c>
      <c r="AO69" s="21" t="n">
        <f aca="false">MIN(ROUND(AB69*(1+AB$15),2),AH69+MAX(0,AK69-AL69+AE69-AM69+AF69-AN69+AG69))</f>
        <v>0</v>
      </c>
      <c r="AP69" s="21" t="n">
        <f aca="false">MIN(ROUND(AC69*(1+AC$15),2),AI69+MAX(0,AK69-AL69+AE69-AM69+AF69-AN69+AG69-AO69+AH69))</f>
        <v>1170</v>
      </c>
      <c r="AQ69" s="21" t="n">
        <f aca="false">MIN(ROUND(AD69*(1+AD$15),2),AJ69+MAX(0,AK69-AL69+AE69-AM69+AF69-AN69+AG69-AO69+AH69-AP69+AI69))</f>
        <v>0</v>
      </c>
      <c r="AR69" s="21" t="n">
        <f aca="false">SUM(Y69:AD69)</f>
        <v>6313.05</v>
      </c>
      <c r="AS69" s="21" t="n">
        <f aca="false">SUM(AL69:AQ69)</f>
        <v>1170</v>
      </c>
    </row>
    <row r="70" customFormat="false" ht="15" hidden="false" customHeight="false" outlineLevel="0" collapsed="false">
      <c r="A70" s="25" t="n">
        <f aca="false">A69+1</f>
        <v>44</v>
      </c>
      <c r="B70" s="21" t="n">
        <f aca="false">MAX(0,ROUND(B69*(1+B$15),2)-O69)</f>
        <v>0</v>
      </c>
      <c r="C70" s="21" t="n">
        <f aca="false">MAX(0,ROUND(C69*(1+C$15),2)-P69)</f>
        <v>0</v>
      </c>
      <c r="D70" s="21" t="n">
        <f aca="false">MAX(0,ROUND(D69*(1+D$15),2)-Q69)</f>
        <v>0</v>
      </c>
      <c r="E70" s="21" t="n">
        <f aca="false">MAX(0,ROUND(E69*(1+E$15),2)-R69)</f>
        <v>0</v>
      </c>
      <c r="F70" s="21" t="n">
        <f aca="false">MAX(0,ROUND(F69*(1+F$15),2)-S69)</f>
        <v>4933.42</v>
      </c>
      <c r="G70" s="21" t="n">
        <f aca="false">MAX(0,ROUND(G69*(1+G$15),2)-T69)</f>
        <v>0</v>
      </c>
      <c r="H70" s="21" t="n">
        <f aca="false">MIN(B$16,ROUND(B70*(1+B$15),2))</f>
        <v>0</v>
      </c>
      <c r="I70" s="21" t="n">
        <f aca="false">MIN(C$16,ROUND(C70*(1+C$15),2))</f>
        <v>0</v>
      </c>
      <c r="J70" s="21" t="n">
        <f aca="false">MIN(D$16,ROUND(D70*(1+D$15),2))</f>
        <v>0</v>
      </c>
      <c r="K70" s="21" t="n">
        <f aca="false">MIN(E$16,ROUND(E70*(1+E$15),2))</f>
        <v>0</v>
      </c>
      <c r="L70" s="21" t="n">
        <f aca="false">MIN(F$16,ROUND(F70*(1+F$15),2))</f>
        <v>220</v>
      </c>
      <c r="M70" s="21" t="n">
        <f aca="false">MIN(G$16,ROUND(G70*(1+G$15),2))</f>
        <v>0</v>
      </c>
      <c r="N70" s="21" t="n">
        <f aca="false">B$20-SUM(H70:M70)</f>
        <v>950</v>
      </c>
      <c r="O70" s="21" t="n">
        <f aca="false">MIN(ROUND(B70*(1+B$15),2),H70+MAX(0,N70))</f>
        <v>0</v>
      </c>
      <c r="P70" s="21" t="n">
        <f aca="false">MIN(ROUND(C70*(1+C$15),2),I70+MAX(0,N70-O70+H70))</f>
        <v>0</v>
      </c>
      <c r="Q70" s="21" t="n">
        <f aca="false">MIN(ROUND(D70*(1+D$15),2),J70+MAX(0,N70-O70+H70-P70+I70))</f>
        <v>0</v>
      </c>
      <c r="R70" s="21" t="n">
        <f aca="false">MIN(ROUND(E70*(1+E$15),2),K70+MAX(0,N70-O70+H70-P70+I70-Q70+J70))</f>
        <v>0</v>
      </c>
      <c r="S70" s="21" t="n">
        <f aca="false">MIN(ROUND(F70*(1+F$15),2),L70+MAX(0,N70-O70+H70-P70+I70-Q70+J70-R70+K70))</f>
        <v>1170</v>
      </c>
      <c r="T70" s="21" t="n">
        <f aca="false">MIN(ROUND(G70*(1+G$15),2),M70+MAX(0,N70-O70+H70-P70+I70-Q70+J70-R70+K70-S70+L70))</f>
        <v>0</v>
      </c>
      <c r="U70" s="21" t="n">
        <f aca="false">SUM(B70:G70)</f>
        <v>4933.42</v>
      </c>
      <c r="V70" s="21" t="n">
        <f aca="false">SUM(O70:T70)</f>
        <v>1170</v>
      </c>
      <c r="X70" s="25" t="n">
        <f aca="false">X69+1</f>
        <v>44</v>
      </c>
      <c r="Y70" s="21" t="n">
        <f aca="false">MAX(0,ROUND(Y69*(1+Y$15),2)-AL69)</f>
        <v>0</v>
      </c>
      <c r="Z70" s="21" t="n">
        <f aca="false">MAX(0,ROUND(Z69*(1+Z$15),2)-AM69)</f>
        <v>0</v>
      </c>
      <c r="AA70" s="21" t="n">
        <f aca="false">MAX(0,ROUND(AA69*(1+AA$15),2)-AN69)</f>
        <v>0</v>
      </c>
      <c r="AB70" s="21" t="n">
        <f aca="false">MAX(0,ROUND(AB69*(1+AB$15),2)-AO69)</f>
        <v>0</v>
      </c>
      <c r="AC70" s="21" t="n">
        <f aca="false">MAX(0,ROUND(AC69*(1+AC$15),2)-AP69)</f>
        <v>5169.35</v>
      </c>
      <c r="AD70" s="21" t="n">
        <f aca="false">MAX(0,ROUND(AD69*(1+AD$15),2)-AQ69)</f>
        <v>0</v>
      </c>
      <c r="AE70" s="21" t="n">
        <f aca="false">MIN(Y$16,ROUND(Y70*(1+Y$15),2))</f>
        <v>0</v>
      </c>
      <c r="AF70" s="21" t="n">
        <f aca="false">MIN(Z$16,ROUND(Z70*(1+Z$15),2))</f>
        <v>0</v>
      </c>
      <c r="AG70" s="21" t="n">
        <f aca="false">MIN(AA$16,ROUND(AA70*(1+AA$15),2))</f>
        <v>0</v>
      </c>
      <c r="AH70" s="21" t="n">
        <f aca="false">MIN(AB$16,ROUND(AB70*(1+AB$15),2))</f>
        <v>0</v>
      </c>
      <c r="AI70" s="21" t="n">
        <f aca="false">MIN(AC$16,ROUND(AC70*(1+AC$15),2))</f>
        <v>220</v>
      </c>
      <c r="AJ70" s="21" t="n">
        <f aca="false">MIN(AD$16,ROUND(AD70*(1+AD$15),2))</f>
        <v>0</v>
      </c>
      <c r="AK70" s="21" t="n">
        <f aca="false">Y$20-SUM(AE70:AJ70)</f>
        <v>950</v>
      </c>
      <c r="AL70" s="21" t="n">
        <f aca="false">MIN(ROUND(Y70*(1+Y$15),2),AE70+MAX(0,AK70))</f>
        <v>0</v>
      </c>
      <c r="AM70" s="21" t="n">
        <f aca="false">MIN(ROUND(Z70*(1+Z$15),2),AF70+MAX(0,AK70-AL70+AE70))</f>
        <v>0</v>
      </c>
      <c r="AN70" s="21" t="n">
        <f aca="false">MIN(ROUND(AA70*(1+AA$15),2),AG70+MAX(0,AK70-AL70+AE70-AM70+AF70))</f>
        <v>0</v>
      </c>
      <c r="AO70" s="21" t="n">
        <f aca="false">MIN(ROUND(AB70*(1+AB$15),2),AH70+MAX(0,AK70-AL70+AE70-AM70+AF70-AN70+AG70))</f>
        <v>0</v>
      </c>
      <c r="AP70" s="21" t="n">
        <f aca="false">MIN(ROUND(AC70*(1+AC$15),2),AI70+MAX(0,AK70-AL70+AE70-AM70+AF70-AN70+AG70-AO70+AH70))</f>
        <v>1170</v>
      </c>
      <c r="AQ70" s="21" t="n">
        <f aca="false">MIN(ROUND(AD70*(1+AD$15),2),AJ70+MAX(0,AK70-AL70+AE70-AM70+AF70-AN70+AG70-AO70+AH70-AP70+AI70))</f>
        <v>0</v>
      </c>
      <c r="AR70" s="21" t="n">
        <f aca="false">SUM(Y70:AD70)</f>
        <v>5169.35</v>
      </c>
      <c r="AS70" s="21" t="n">
        <f aca="false">SUM(AL70:AQ70)</f>
        <v>1170</v>
      </c>
    </row>
    <row r="71" customFormat="false" ht="15" hidden="false" customHeight="false" outlineLevel="0" collapsed="false">
      <c r="A71" s="25" t="n">
        <f aca="false">A70+1</f>
        <v>45</v>
      </c>
      <c r="B71" s="21" t="n">
        <f aca="false">MAX(0,ROUND(B70*(1+B$15),2)-O70)</f>
        <v>0</v>
      </c>
      <c r="C71" s="21" t="n">
        <f aca="false">MAX(0,ROUND(C70*(1+C$15),2)-P70)</f>
        <v>0</v>
      </c>
      <c r="D71" s="21" t="n">
        <f aca="false">MAX(0,ROUND(D70*(1+D$15),2)-Q70)</f>
        <v>0</v>
      </c>
      <c r="E71" s="21" t="n">
        <f aca="false">MAX(0,ROUND(E70*(1+E$15),2)-R70)</f>
        <v>0</v>
      </c>
      <c r="F71" s="21" t="n">
        <f aca="false">MAX(0,ROUND(F70*(1+F$15),2)-S70)</f>
        <v>3783.98</v>
      </c>
      <c r="G71" s="21" t="n">
        <f aca="false">MAX(0,ROUND(G70*(1+G$15),2)-T70)</f>
        <v>0</v>
      </c>
      <c r="H71" s="21" t="n">
        <f aca="false">MIN(B$16,ROUND(B71*(1+B$15),2))</f>
        <v>0</v>
      </c>
      <c r="I71" s="21" t="n">
        <f aca="false">MIN(C$16,ROUND(C71*(1+C$15),2))</f>
        <v>0</v>
      </c>
      <c r="J71" s="21" t="n">
        <f aca="false">MIN(D$16,ROUND(D71*(1+D$15),2))</f>
        <v>0</v>
      </c>
      <c r="K71" s="21" t="n">
        <f aca="false">MIN(E$16,ROUND(E71*(1+E$15),2))</f>
        <v>0</v>
      </c>
      <c r="L71" s="21" t="n">
        <f aca="false">MIN(F$16,ROUND(F71*(1+F$15),2))</f>
        <v>220</v>
      </c>
      <c r="M71" s="21" t="n">
        <f aca="false">MIN(G$16,ROUND(G71*(1+G$15),2))</f>
        <v>0</v>
      </c>
      <c r="N71" s="21" t="n">
        <f aca="false">B$20-SUM(H71:M71)</f>
        <v>950</v>
      </c>
      <c r="O71" s="21" t="n">
        <f aca="false">MIN(ROUND(B71*(1+B$15),2),H71+MAX(0,N71))</f>
        <v>0</v>
      </c>
      <c r="P71" s="21" t="n">
        <f aca="false">MIN(ROUND(C71*(1+C$15),2),I71+MAX(0,N71-O71+H71))</f>
        <v>0</v>
      </c>
      <c r="Q71" s="21" t="n">
        <f aca="false">MIN(ROUND(D71*(1+D$15),2),J71+MAX(0,N71-O71+H71-P71+I71))</f>
        <v>0</v>
      </c>
      <c r="R71" s="21" t="n">
        <f aca="false">MIN(ROUND(E71*(1+E$15),2),K71+MAX(0,N71-O71+H71-P71+I71-Q71+J71))</f>
        <v>0</v>
      </c>
      <c r="S71" s="21" t="n">
        <f aca="false">MIN(ROUND(F71*(1+F$15),2),L71+MAX(0,N71-O71+H71-P71+I71-Q71+J71-R71+K71))</f>
        <v>1170</v>
      </c>
      <c r="T71" s="21" t="n">
        <f aca="false">MIN(ROUND(G71*(1+G$15),2),M71+MAX(0,N71-O71+H71-P71+I71-Q71+J71-R71+K71-S71+L71))</f>
        <v>0</v>
      </c>
      <c r="U71" s="21" t="n">
        <f aca="false">SUM(B71:G71)</f>
        <v>3783.98</v>
      </c>
      <c r="V71" s="21" t="n">
        <f aca="false">SUM(O71:T71)</f>
        <v>1170</v>
      </c>
      <c r="X71" s="25" t="n">
        <f aca="false">X70+1</f>
        <v>45</v>
      </c>
      <c r="Y71" s="21" t="n">
        <f aca="false">MAX(0,ROUND(Y70*(1+Y$15),2)-AL70)</f>
        <v>0</v>
      </c>
      <c r="Z71" s="21" t="n">
        <f aca="false">MAX(0,ROUND(Z70*(1+Z$15),2)-AM70)</f>
        <v>0</v>
      </c>
      <c r="AA71" s="21" t="n">
        <f aca="false">MAX(0,ROUND(AA70*(1+AA$15),2)-AN70)</f>
        <v>0</v>
      </c>
      <c r="AB71" s="21" t="n">
        <f aca="false">MAX(0,ROUND(AB70*(1+AB$15),2)-AO70)</f>
        <v>0</v>
      </c>
      <c r="AC71" s="21" t="n">
        <f aca="false">MAX(0,ROUND(AC70*(1+AC$15),2)-AP70)</f>
        <v>4020.89</v>
      </c>
      <c r="AD71" s="21" t="n">
        <f aca="false">MAX(0,ROUND(AD70*(1+AD$15),2)-AQ70)</f>
        <v>0</v>
      </c>
      <c r="AE71" s="21" t="n">
        <f aca="false">MIN(Y$16,ROUND(Y71*(1+Y$15),2))</f>
        <v>0</v>
      </c>
      <c r="AF71" s="21" t="n">
        <f aca="false">MIN(Z$16,ROUND(Z71*(1+Z$15),2))</f>
        <v>0</v>
      </c>
      <c r="AG71" s="21" t="n">
        <f aca="false">MIN(AA$16,ROUND(AA71*(1+AA$15),2))</f>
        <v>0</v>
      </c>
      <c r="AH71" s="21" t="n">
        <f aca="false">MIN(AB$16,ROUND(AB71*(1+AB$15),2))</f>
        <v>0</v>
      </c>
      <c r="AI71" s="21" t="n">
        <f aca="false">MIN(AC$16,ROUND(AC71*(1+AC$15),2))</f>
        <v>220</v>
      </c>
      <c r="AJ71" s="21" t="n">
        <f aca="false">MIN(AD$16,ROUND(AD71*(1+AD$15),2))</f>
        <v>0</v>
      </c>
      <c r="AK71" s="21" t="n">
        <f aca="false">Y$20-SUM(AE71:AJ71)</f>
        <v>950</v>
      </c>
      <c r="AL71" s="21" t="n">
        <f aca="false">MIN(ROUND(Y71*(1+Y$15),2),AE71+MAX(0,AK71))</f>
        <v>0</v>
      </c>
      <c r="AM71" s="21" t="n">
        <f aca="false">MIN(ROUND(Z71*(1+Z$15),2),AF71+MAX(0,AK71-AL71+AE71))</f>
        <v>0</v>
      </c>
      <c r="AN71" s="21" t="n">
        <f aca="false">MIN(ROUND(AA71*(1+AA$15),2),AG71+MAX(0,AK71-AL71+AE71-AM71+AF71))</f>
        <v>0</v>
      </c>
      <c r="AO71" s="21" t="n">
        <f aca="false">MIN(ROUND(AB71*(1+AB$15),2),AH71+MAX(0,AK71-AL71+AE71-AM71+AF71-AN71+AG71))</f>
        <v>0</v>
      </c>
      <c r="AP71" s="21" t="n">
        <f aca="false">MIN(ROUND(AC71*(1+AC$15),2),AI71+MAX(0,AK71-AL71+AE71-AM71+AF71-AN71+AG71-AO71+AH71))</f>
        <v>1170</v>
      </c>
      <c r="AQ71" s="21" t="n">
        <f aca="false">MIN(ROUND(AD71*(1+AD$15),2),AJ71+MAX(0,AK71-AL71+AE71-AM71+AF71-AN71+AG71-AO71+AH71-AP71+AI71))</f>
        <v>0</v>
      </c>
      <c r="AR71" s="21" t="n">
        <f aca="false">SUM(Y71:AD71)</f>
        <v>4020.89</v>
      </c>
      <c r="AS71" s="21" t="n">
        <f aca="false">SUM(AL71:AQ71)</f>
        <v>1170</v>
      </c>
    </row>
    <row r="72" customFormat="false" ht="15" hidden="false" customHeight="false" outlineLevel="0" collapsed="false">
      <c r="A72" s="25" t="n">
        <f aca="false">A71+1</f>
        <v>46</v>
      </c>
      <c r="B72" s="21" t="n">
        <f aca="false">MAX(0,ROUND(B71*(1+B$15),2)-O71)</f>
        <v>0</v>
      </c>
      <c r="C72" s="21" t="n">
        <f aca="false">MAX(0,ROUND(C71*(1+C$15),2)-P71)</f>
        <v>0</v>
      </c>
      <c r="D72" s="21" t="n">
        <f aca="false">MAX(0,ROUND(D71*(1+D$15),2)-Q71)</f>
        <v>0</v>
      </c>
      <c r="E72" s="21" t="n">
        <f aca="false">MAX(0,ROUND(E71*(1+E$15),2)-R71)</f>
        <v>0</v>
      </c>
      <c r="F72" s="21" t="n">
        <f aca="false">MAX(0,ROUND(F71*(1+F$15),2)-S71)</f>
        <v>2629.75</v>
      </c>
      <c r="G72" s="21" t="n">
        <f aca="false">MAX(0,ROUND(G71*(1+G$15),2)-T71)</f>
        <v>0</v>
      </c>
      <c r="H72" s="21" t="n">
        <f aca="false">MIN(B$16,ROUND(B72*(1+B$15),2))</f>
        <v>0</v>
      </c>
      <c r="I72" s="21" t="n">
        <f aca="false">MIN(C$16,ROUND(C72*(1+C$15),2))</f>
        <v>0</v>
      </c>
      <c r="J72" s="21" t="n">
        <f aca="false">MIN(D$16,ROUND(D72*(1+D$15),2))</f>
        <v>0</v>
      </c>
      <c r="K72" s="21" t="n">
        <f aca="false">MIN(E$16,ROUND(E72*(1+E$15),2))</f>
        <v>0</v>
      </c>
      <c r="L72" s="21" t="n">
        <f aca="false">MIN(F$16,ROUND(F72*(1+F$15),2))</f>
        <v>220</v>
      </c>
      <c r="M72" s="21" t="n">
        <f aca="false">MIN(G$16,ROUND(G72*(1+G$15),2))</f>
        <v>0</v>
      </c>
      <c r="N72" s="21" t="n">
        <f aca="false">B$20-SUM(H72:M72)</f>
        <v>950</v>
      </c>
      <c r="O72" s="21" t="n">
        <f aca="false">MIN(ROUND(B72*(1+B$15),2),H72+MAX(0,N72))</f>
        <v>0</v>
      </c>
      <c r="P72" s="21" t="n">
        <f aca="false">MIN(ROUND(C72*(1+C$15),2),I72+MAX(0,N72-O72+H72))</f>
        <v>0</v>
      </c>
      <c r="Q72" s="21" t="n">
        <f aca="false">MIN(ROUND(D72*(1+D$15),2),J72+MAX(0,N72-O72+H72-P72+I72))</f>
        <v>0</v>
      </c>
      <c r="R72" s="21" t="n">
        <f aca="false">MIN(ROUND(E72*(1+E$15),2),K72+MAX(0,N72-O72+H72-P72+I72-Q72+J72))</f>
        <v>0</v>
      </c>
      <c r="S72" s="21" t="n">
        <f aca="false">MIN(ROUND(F72*(1+F$15),2),L72+MAX(0,N72-O72+H72-P72+I72-Q72+J72-R72+K72))</f>
        <v>1170</v>
      </c>
      <c r="T72" s="21" t="n">
        <f aca="false">MIN(ROUND(G72*(1+G$15),2),M72+MAX(0,N72-O72+H72-P72+I72-Q72+J72-R72+K72-S72+L72))</f>
        <v>0</v>
      </c>
      <c r="U72" s="21" t="n">
        <f aca="false">SUM(B72:G72)</f>
        <v>2629.75</v>
      </c>
      <c r="V72" s="21" t="n">
        <f aca="false">SUM(O72:T72)</f>
        <v>1170</v>
      </c>
      <c r="X72" s="25" t="n">
        <f aca="false">X71+1</f>
        <v>46</v>
      </c>
      <c r="Y72" s="21" t="n">
        <f aca="false">MAX(0,ROUND(Y71*(1+Y$15),2)-AL71)</f>
        <v>0</v>
      </c>
      <c r="Z72" s="21" t="n">
        <f aca="false">MAX(0,ROUND(Z71*(1+Z$15),2)-AM71)</f>
        <v>0</v>
      </c>
      <c r="AA72" s="21" t="n">
        <f aca="false">MAX(0,ROUND(AA71*(1+AA$15),2)-AN71)</f>
        <v>0</v>
      </c>
      <c r="AB72" s="21" t="n">
        <f aca="false">MAX(0,ROUND(AB71*(1+AB$15),2)-AO71)</f>
        <v>0</v>
      </c>
      <c r="AC72" s="21" t="n">
        <f aca="false">MAX(0,ROUND(AC71*(1+AC$15),2)-AP71)</f>
        <v>2867.64</v>
      </c>
      <c r="AD72" s="21" t="n">
        <f aca="false">MAX(0,ROUND(AD71*(1+AD$15),2)-AQ71)</f>
        <v>0</v>
      </c>
      <c r="AE72" s="21" t="n">
        <f aca="false">MIN(Y$16,ROUND(Y72*(1+Y$15),2))</f>
        <v>0</v>
      </c>
      <c r="AF72" s="21" t="n">
        <f aca="false">MIN(Z$16,ROUND(Z72*(1+Z$15),2))</f>
        <v>0</v>
      </c>
      <c r="AG72" s="21" t="n">
        <f aca="false">MIN(AA$16,ROUND(AA72*(1+AA$15),2))</f>
        <v>0</v>
      </c>
      <c r="AH72" s="21" t="n">
        <f aca="false">MIN(AB$16,ROUND(AB72*(1+AB$15),2))</f>
        <v>0</v>
      </c>
      <c r="AI72" s="21" t="n">
        <f aca="false">MIN(AC$16,ROUND(AC72*(1+AC$15),2))</f>
        <v>220</v>
      </c>
      <c r="AJ72" s="21" t="n">
        <f aca="false">MIN(AD$16,ROUND(AD72*(1+AD$15),2))</f>
        <v>0</v>
      </c>
      <c r="AK72" s="21" t="n">
        <f aca="false">Y$20-SUM(AE72:AJ72)</f>
        <v>950</v>
      </c>
      <c r="AL72" s="21" t="n">
        <f aca="false">MIN(ROUND(Y72*(1+Y$15),2),AE72+MAX(0,AK72))</f>
        <v>0</v>
      </c>
      <c r="AM72" s="21" t="n">
        <f aca="false">MIN(ROUND(Z72*(1+Z$15),2),AF72+MAX(0,AK72-AL72+AE72))</f>
        <v>0</v>
      </c>
      <c r="AN72" s="21" t="n">
        <f aca="false">MIN(ROUND(AA72*(1+AA$15),2),AG72+MAX(0,AK72-AL72+AE72-AM72+AF72))</f>
        <v>0</v>
      </c>
      <c r="AO72" s="21" t="n">
        <f aca="false">MIN(ROUND(AB72*(1+AB$15),2),AH72+MAX(0,AK72-AL72+AE72-AM72+AF72-AN72+AG72))</f>
        <v>0</v>
      </c>
      <c r="AP72" s="21" t="n">
        <f aca="false">MIN(ROUND(AC72*(1+AC$15),2),AI72+MAX(0,AK72-AL72+AE72-AM72+AF72-AN72+AG72-AO72+AH72))</f>
        <v>1170</v>
      </c>
      <c r="AQ72" s="21" t="n">
        <f aca="false">MIN(ROUND(AD72*(1+AD$15),2),AJ72+MAX(0,AK72-AL72+AE72-AM72+AF72-AN72+AG72-AO72+AH72-AP72+AI72))</f>
        <v>0</v>
      </c>
      <c r="AR72" s="21" t="n">
        <f aca="false">SUM(Y72:AD72)</f>
        <v>2867.64</v>
      </c>
      <c r="AS72" s="21" t="n">
        <f aca="false">SUM(AL72:AQ72)</f>
        <v>1170</v>
      </c>
    </row>
    <row r="73" customFormat="false" ht="15" hidden="false" customHeight="false" outlineLevel="0" collapsed="false">
      <c r="A73" s="25" t="n">
        <f aca="false">A72+1</f>
        <v>47</v>
      </c>
      <c r="B73" s="21" t="n">
        <f aca="false">MAX(0,ROUND(B72*(1+B$15),2)-O72)</f>
        <v>0</v>
      </c>
      <c r="C73" s="21" t="n">
        <f aca="false">MAX(0,ROUND(C72*(1+C$15),2)-P72)</f>
        <v>0</v>
      </c>
      <c r="D73" s="21" t="n">
        <f aca="false">MAX(0,ROUND(D72*(1+D$15),2)-Q72)</f>
        <v>0</v>
      </c>
      <c r="E73" s="21" t="n">
        <f aca="false">MAX(0,ROUND(E72*(1+E$15),2)-R72)</f>
        <v>0</v>
      </c>
      <c r="F73" s="21" t="n">
        <f aca="false">MAX(0,ROUND(F72*(1+F$15),2)-S72)</f>
        <v>1470.71</v>
      </c>
      <c r="G73" s="21" t="n">
        <f aca="false">MAX(0,ROUND(G72*(1+G$15),2)-T72)</f>
        <v>0</v>
      </c>
      <c r="H73" s="21" t="n">
        <f aca="false">MIN(B$16,ROUND(B73*(1+B$15),2))</f>
        <v>0</v>
      </c>
      <c r="I73" s="21" t="n">
        <f aca="false">MIN(C$16,ROUND(C73*(1+C$15),2))</f>
        <v>0</v>
      </c>
      <c r="J73" s="21" t="n">
        <f aca="false">MIN(D$16,ROUND(D73*(1+D$15),2))</f>
        <v>0</v>
      </c>
      <c r="K73" s="21" t="n">
        <f aca="false">MIN(E$16,ROUND(E73*(1+E$15),2))</f>
        <v>0</v>
      </c>
      <c r="L73" s="21" t="n">
        <f aca="false">MIN(F$16,ROUND(F73*(1+F$15),2))</f>
        <v>220</v>
      </c>
      <c r="M73" s="21" t="n">
        <f aca="false">MIN(G$16,ROUND(G73*(1+G$15),2))</f>
        <v>0</v>
      </c>
      <c r="N73" s="21" t="n">
        <f aca="false">B$20-SUM(H73:M73)</f>
        <v>950</v>
      </c>
      <c r="O73" s="21" t="n">
        <f aca="false">MIN(ROUND(B73*(1+B$15),2),H73+MAX(0,N73))</f>
        <v>0</v>
      </c>
      <c r="P73" s="21" t="n">
        <f aca="false">MIN(ROUND(C73*(1+C$15),2),I73+MAX(0,N73-O73+H73))</f>
        <v>0</v>
      </c>
      <c r="Q73" s="21" t="n">
        <f aca="false">MIN(ROUND(D73*(1+D$15),2),J73+MAX(0,N73-O73+H73-P73+I73))</f>
        <v>0</v>
      </c>
      <c r="R73" s="21" t="n">
        <f aca="false">MIN(ROUND(E73*(1+E$15),2),K73+MAX(0,N73-O73+H73-P73+I73-Q73+J73))</f>
        <v>0</v>
      </c>
      <c r="S73" s="21" t="n">
        <f aca="false">MIN(ROUND(F73*(1+F$15),2),L73+MAX(0,N73-O73+H73-P73+I73-Q73+J73-R73+K73))</f>
        <v>1170</v>
      </c>
      <c r="T73" s="21" t="n">
        <f aca="false">MIN(ROUND(G73*(1+G$15),2),M73+MAX(0,N73-O73+H73-P73+I73-Q73+J73-R73+K73-S73+L73))</f>
        <v>0</v>
      </c>
      <c r="U73" s="21" t="n">
        <f aca="false">SUM(B73:G73)</f>
        <v>1470.71</v>
      </c>
      <c r="V73" s="21" t="n">
        <f aca="false">SUM(O73:T73)</f>
        <v>1170</v>
      </c>
      <c r="X73" s="25" t="n">
        <f aca="false">X72+1</f>
        <v>47</v>
      </c>
      <c r="Y73" s="21" t="n">
        <f aca="false">MAX(0,ROUND(Y72*(1+Y$15),2)-AL72)</f>
        <v>0</v>
      </c>
      <c r="Z73" s="21" t="n">
        <f aca="false">MAX(0,ROUND(Z72*(1+Z$15),2)-AM72)</f>
        <v>0</v>
      </c>
      <c r="AA73" s="21" t="n">
        <f aca="false">MAX(0,ROUND(AA72*(1+AA$15),2)-AN72)</f>
        <v>0</v>
      </c>
      <c r="AB73" s="21" t="n">
        <f aca="false">MAX(0,ROUND(AB72*(1+AB$15),2)-AO72)</f>
        <v>0</v>
      </c>
      <c r="AC73" s="21" t="n">
        <f aca="false">MAX(0,ROUND(AC72*(1+AC$15),2)-AP72)</f>
        <v>1709.59</v>
      </c>
      <c r="AD73" s="21" t="n">
        <f aca="false">MAX(0,ROUND(AD72*(1+AD$15),2)-AQ72)</f>
        <v>0</v>
      </c>
      <c r="AE73" s="21" t="n">
        <f aca="false">MIN(Y$16,ROUND(Y73*(1+Y$15),2))</f>
        <v>0</v>
      </c>
      <c r="AF73" s="21" t="n">
        <f aca="false">MIN(Z$16,ROUND(Z73*(1+Z$15),2))</f>
        <v>0</v>
      </c>
      <c r="AG73" s="21" t="n">
        <f aca="false">MIN(AA$16,ROUND(AA73*(1+AA$15),2))</f>
        <v>0</v>
      </c>
      <c r="AH73" s="21" t="n">
        <f aca="false">MIN(AB$16,ROUND(AB73*(1+AB$15),2))</f>
        <v>0</v>
      </c>
      <c r="AI73" s="21" t="n">
        <f aca="false">MIN(AC$16,ROUND(AC73*(1+AC$15),2))</f>
        <v>220</v>
      </c>
      <c r="AJ73" s="21" t="n">
        <f aca="false">MIN(AD$16,ROUND(AD73*(1+AD$15),2))</f>
        <v>0</v>
      </c>
      <c r="AK73" s="21" t="n">
        <f aca="false">Y$20-SUM(AE73:AJ73)</f>
        <v>950</v>
      </c>
      <c r="AL73" s="21" t="n">
        <f aca="false">MIN(ROUND(Y73*(1+Y$15),2),AE73+MAX(0,AK73))</f>
        <v>0</v>
      </c>
      <c r="AM73" s="21" t="n">
        <f aca="false">MIN(ROUND(Z73*(1+Z$15),2),AF73+MAX(0,AK73-AL73+AE73))</f>
        <v>0</v>
      </c>
      <c r="AN73" s="21" t="n">
        <f aca="false">MIN(ROUND(AA73*(1+AA$15),2),AG73+MAX(0,AK73-AL73+AE73-AM73+AF73))</f>
        <v>0</v>
      </c>
      <c r="AO73" s="21" t="n">
        <f aca="false">MIN(ROUND(AB73*(1+AB$15),2),AH73+MAX(0,AK73-AL73+AE73-AM73+AF73-AN73+AG73))</f>
        <v>0</v>
      </c>
      <c r="AP73" s="21" t="n">
        <f aca="false">MIN(ROUND(AC73*(1+AC$15),2),AI73+MAX(0,AK73-AL73+AE73-AM73+AF73-AN73+AG73-AO73+AH73))</f>
        <v>1170</v>
      </c>
      <c r="AQ73" s="21" t="n">
        <f aca="false">MIN(ROUND(AD73*(1+AD$15),2),AJ73+MAX(0,AK73-AL73+AE73-AM73+AF73-AN73+AG73-AO73+AH73-AP73+AI73))</f>
        <v>0</v>
      </c>
      <c r="AR73" s="21" t="n">
        <f aca="false">SUM(Y73:AD73)</f>
        <v>1709.59</v>
      </c>
      <c r="AS73" s="21" t="n">
        <f aca="false">SUM(AL73:AQ73)</f>
        <v>1170</v>
      </c>
    </row>
    <row r="74" customFormat="false" ht="15" hidden="false" customHeight="false" outlineLevel="0" collapsed="false">
      <c r="A74" s="25" t="n">
        <f aca="false">A73+1</f>
        <v>48</v>
      </c>
      <c r="B74" s="21" t="n">
        <f aca="false">MAX(0,ROUND(B73*(1+B$15),2)-O73)</f>
        <v>0</v>
      </c>
      <c r="C74" s="21" t="n">
        <f aca="false">MAX(0,ROUND(C73*(1+C$15),2)-P73)</f>
        <v>0</v>
      </c>
      <c r="D74" s="21" t="n">
        <f aca="false">MAX(0,ROUND(D73*(1+D$15),2)-Q73)</f>
        <v>0</v>
      </c>
      <c r="E74" s="21" t="n">
        <f aca="false">MAX(0,ROUND(E73*(1+E$15),2)-R73)</f>
        <v>0</v>
      </c>
      <c r="F74" s="21" t="n">
        <f aca="false">MAX(0,ROUND(F73*(1+F$15),2)-S73)</f>
        <v>306.84</v>
      </c>
      <c r="G74" s="21" t="n">
        <f aca="false">MAX(0,ROUND(G73*(1+G$15),2)-T73)</f>
        <v>0</v>
      </c>
      <c r="H74" s="21" t="n">
        <f aca="false">MIN(B$16,ROUND(B74*(1+B$15),2))</f>
        <v>0</v>
      </c>
      <c r="I74" s="21" t="n">
        <f aca="false">MIN(C$16,ROUND(C74*(1+C$15),2))</f>
        <v>0</v>
      </c>
      <c r="J74" s="21" t="n">
        <f aca="false">MIN(D$16,ROUND(D74*(1+D$15),2))</f>
        <v>0</v>
      </c>
      <c r="K74" s="21" t="n">
        <f aca="false">MIN(E$16,ROUND(E74*(1+E$15),2))</f>
        <v>0</v>
      </c>
      <c r="L74" s="21" t="n">
        <f aca="false">MIN(F$16,ROUND(F74*(1+F$15),2))</f>
        <v>220</v>
      </c>
      <c r="M74" s="21" t="n">
        <f aca="false">MIN(G$16,ROUND(G74*(1+G$15),2))</f>
        <v>0</v>
      </c>
      <c r="N74" s="21" t="n">
        <f aca="false">B$20-SUM(H74:M74)</f>
        <v>950</v>
      </c>
      <c r="O74" s="21" t="n">
        <f aca="false">MIN(ROUND(B74*(1+B$15),2),H74+MAX(0,N74))</f>
        <v>0</v>
      </c>
      <c r="P74" s="21" t="n">
        <f aca="false">MIN(ROUND(C74*(1+C$15),2),I74+MAX(0,N74-O74+H74))</f>
        <v>0</v>
      </c>
      <c r="Q74" s="21" t="n">
        <f aca="false">MIN(ROUND(D74*(1+D$15),2),J74+MAX(0,N74-O74+H74-P74+I74))</f>
        <v>0</v>
      </c>
      <c r="R74" s="21" t="n">
        <f aca="false">MIN(ROUND(E74*(1+E$15),2),K74+MAX(0,N74-O74+H74-P74+I74-Q74+J74))</f>
        <v>0</v>
      </c>
      <c r="S74" s="21" t="n">
        <f aca="false">MIN(ROUND(F74*(1+F$15),2),L74+MAX(0,N74-O74+H74-P74+I74-Q74+J74-R74+K74))</f>
        <v>308.12</v>
      </c>
      <c r="T74" s="21" t="n">
        <f aca="false">MIN(ROUND(G74*(1+G$15),2),M74+MAX(0,N74-O74+H74-P74+I74-Q74+J74-R74+K74-S74+L74))</f>
        <v>0</v>
      </c>
      <c r="U74" s="21" t="n">
        <f aca="false">SUM(B74:G74)</f>
        <v>306.84</v>
      </c>
      <c r="V74" s="21" t="n">
        <f aca="false">SUM(O74:T74)</f>
        <v>308.12</v>
      </c>
      <c r="X74" s="25" t="n">
        <f aca="false">X73+1</f>
        <v>48</v>
      </c>
      <c r="Y74" s="21" t="n">
        <f aca="false">MAX(0,ROUND(Y73*(1+Y$15),2)-AL73)</f>
        <v>0</v>
      </c>
      <c r="Z74" s="21" t="n">
        <f aca="false">MAX(0,ROUND(Z73*(1+Z$15),2)-AM73)</f>
        <v>0</v>
      </c>
      <c r="AA74" s="21" t="n">
        <f aca="false">MAX(0,ROUND(AA73*(1+AA$15),2)-AN73)</f>
        <v>0</v>
      </c>
      <c r="AB74" s="21" t="n">
        <f aca="false">MAX(0,ROUND(AB73*(1+AB$15),2)-AO73)</f>
        <v>0</v>
      </c>
      <c r="AC74" s="21" t="n">
        <f aca="false">MAX(0,ROUND(AC73*(1+AC$15),2)-AP73)</f>
        <v>546.71</v>
      </c>
      <c r="AD74" s="21" t="n">
        <f aca="false">MAX(0,ROUND(AD73*(1+AD$15),2)-AQ73)</f>
        <v>0</v>
      </c>
      <c r="AE74" s="21" t="n">
        <f aca="false">MIN(Y$16,ROUND(Y74*(1+Y$15),2))</f>
        <v>0</v>
      </c>
      <c r="AF74" s="21" t="n">
        <f aca="false">MIN(Z$16,ROUND(Z74*(1+Z$15),2))</f>
        <v>0</v>
      </c>
      <c r="AG74" s="21" t="n">
        <f aca="false">MIN(AA$16,ROUND(AA74*(1+AA$15),2))</f>
        <v>0</v>
      </c>
      <c r="AH74" s="21" t="n">
        <f aca="false">MIN(AB$16,ROUND(AB74*(1+AB$15),2))</f>
        <v>0</v>
      </c>
      <c r="AI74" s="21" t="n">
        <f aca="false">MIN(AC$16,ROUND(AC74*(1+AC$15),2))</f>
        <v>220</v>
      </c>
      <c r="AJ74" s="21" t="n">
        <f aca="false">MIN(AD$16,ROUND(AD74*(1+AD$15),2))</f>
        <v>0</v>
      </c>
      <c r="AK74" s="21" t="n">
        <f aca="false">Y$20-SUM(AE74:AJ74)</f>
        <v>950</v>
      </c>
      <c r="AL74" s="21" t="n">
        <f aca="false">MIN(ROUND(Y74*(1+Y$15),2),AE74+MAX(0,AK74))</f>
        <v>0</v>
      </c>
      <c r="AM74" s="21" t="n">
        <f aca="false">MIN(ROUND(Z74*(1+Z$15),2),AF74+MAX(0,AK74-AL74+AE74))</f>
        <v>0</v>
      </c>
      <c r="AN74" s="21" t="n">
        <f aca="false">MIN(ROUND(AA74*(1+AA$15),2),AG74+MAX(0,AK74-AL74+AE74-AM74+AF74))</f>
        <v>0</v>
      </c>
      <c r="AO74" s="21" t="n">
        <f aca="false">MIN(ROUND(AB74*(1+AB$15),2),AH74+MAX(0,AK74-AL74+AE74-AM74+AF74-AN74+AG74))</f>
        <v>0</v>
      </c>
      <c r="AP74" s="21" t="n">
        <f aca="false">MIN(ROUND(AC74*(1+AC$15),2),AI74+MAX(0,AK74-AL74+AE74-AM74+AF74-AN74+AG74-AO74+AH74))</f>
        <v>548.99</v>
      </c>
      <c r="AQ74" s="21" t="n">
        <f aca="false">MIN(ROUND(AD74*(1+AD$15),2),AJ74+MAX(0,AK74-AL74+AE74-AM74+AF74-AN74+AG74-AO74+AH74-AP74+AI74))</f>
        <v>0</v>
      </c>
      <c r="AR74" s="21" t="n">
        <f aca="false">SUM(Y74:AD74)</f>
        <v>546.71</v>
      </c>
      <c r="AS74" s="21" t="n">
        <f aca="false">SUM(AL74:AQ74)</f>
        <v>548.99</v>
      </c>
    </row>
    <row r="75" customFormat="false" ht="15" hidden="false" customHeight="false" outlineLevel="0" collapsed="false">
      <c r="A75" s="25" t="n">
        <f aca="false">A74+1</f>
        <v>49</v>
      </c>
      <c r="B75" s="21" t="n">
        <f aca="false">MAX(0,ROUND(B74*(1+B$15),2)-O74)</f>
        <v>0</v>
      </c>
      <c r="C75" s="21" t="n">
        <f aca="false">MAX(0,ROUND(C74*(1+C$15),2)-P74)</f>
        <v>0</v>
      </c>
      <c r="D75" s="21" t="n">
        <f aca="false">MAX(0,ROUND(D74*(1+D$15),2)-Q74)</f>
        <v>0</v>
      </c>
      <c r="E75" s="21" t="n">
        <f aca="false">MAX(0,ROUND(E74*(1+E$15),2)-R74)</f>
        <v>0</v>
      </c>
      <c r="F75" s="21" t="n">
        <f aca="false">MAX(0,ROUND(F74*(1+F$15),2)-S74)</f>
        <v>0</v>
      </c>
      <c r="G75" s="21" t="n">
        <f aca="false">MAX(0,ROUND(G74*(1+G$15),2)-T74)</f>
        <v>0</v>
      </c>
      <c r="H75" s="21" t="n">
        <f aca="false">MIN(B$16,ROUND(B75*(1+B$15),2))</f>
        <v>0</v>
      </c>
      <c r="I75" s="21" t="n">
        <f aca="false">MIN(C$16,ROUND(C75*(1+C$15),2))</f>
        <v>0</v>
      </c>
      <c r="J75" s="21" t="n">
        <f aca="false">MIN(D$16,ROUND(D75*(1+D$15),2))</f>
        <v>0</v>
      </c>
      <c r="K75" s="21" t="n">
        <f aca="false">MIN(E$16,ROUND(E75*(1+E$15),2))</f>
        <v>0</v>
      </c>
      <c r="L75" s="21" t="n">
        <f aca="false">MIN(F$16,ROUND(F75*(1+F$15),2))</f>
        <v>0</v>
      </c>
      <c r="M75" s="21" t="n">
        <f aca="false">MIN(G$16,ROUND(G75*(1+G$15),2))</f>
        <v>0</v>
      </c>
      <c r="N75" s="21" t="n">
        <f aca="false">B$20-SUM(H75:M75)</f>
        <v>1170</v>
      </c>
      <c r="O75" s="21" t="n">
        <f aca="false">MIN(ROUND(B75*(1+B$15),2),H75+MAX(0,N75))</f>
        <v>0</v>
      </c>
      <c r="P75" s="21" t="n">
        <f aca="false">MIN(ROUND(C75*(1+C$15),2),I75+MAX(0,N75-O75+H75))</f>
        <v>0</v>
      </c>
      <c r="Q75" s="21" t="n">
        <f aca="false">MIN(ROUND(D75*(1+D$15),2),J75+MAX(0,N75-O75+H75-P75+I75))</f>
        <v>0</v>
      </c>
      <c r="R75" s="21" t="n">
        <f aca="false">MIN(ROUND(E75*(1+E$15),2),K75+MAX(0,N75-O75+H75-P75+I75-Q75+J75))</f>
        <v>0</v>
      </c>
      <c r="S75" s="21" t="n">
        <f aca="false">MIN(ROUND(F75*(1+F$15),2),L75+MAX(0,N75-O75+H75-P75+I75-Q75+J75-R75+K75))</f>
        <v>0</v>
      </c>
      <c r="T75" s="21" t="n">
        <f aca="false">MIN(ROUND(G75*(1+G$15),2),M75+MAX(0,N75-O75+H75-P75+I75-Q75+J75-R75+K75-S75+L75))</f>
        <v>0</v>
      </c>
      <c r="U75" s="21" t="n">
        <f aca="false">SUM(B75:G75)</f>
        <v>0</v>
      </c>
      <c r="V75" s="21" t="n">
        <f aca="false">SUM(O75:T75)</f>
        <v>0</v>
      </c>
      <c r="X75" s="25" t="n">
        <f aca="false">X74+1</f>
        <v>49</v>
      </c>
      <c r="Y75" s="21" t="n">
        <f aca="false">MAX(0,ROUND(Y74*(1+Y$15),2)-AL74)</f>
        <v>0</v>
      </c>
      <c r="Z75" s="21" t="n">
        <f aca="false">MAX(0,ROUND(Z74*(1+Z$15),2)-AM74)</f>
        <v>0</v>
      </c>
      <c r="AA75" s="21" t="n">
        <f aca="false">MAX(0,ROUND(AA74*(1+AA$15),2)-AN74)</f>
        <v>0</v>
      </c>
      <c r="AB75" s="21" t="n">
        <f aca="false">MAX(0,ROUND(AB74*(1+AB$15),2)-AO74)</f>
        <v>0</v>
      </c>
      <c r="AC75" s="21" t="n">
        <f aca="false">MAX(0,ROUND(AC74*(1+AC$15),2)-AP74)</f>
        <v>0</v>
      </c>
      <c r="AD75" s="21" t="n">
        <f aca="false">MAX(0,ROUND(AD74*(1+AD$15),2)-AQ74)</f>
        <v>0</v>
      </c>
      <c r="AE75" s="21" t="n">
        <f aca="false">MIN(Y$16,ROUND(Y75*(1+Y$15),2))</f>
        <v>0</v>
      </c>
      <c r="AF75" s="21" t="n">
        <f aca="false">MIN(Z$16,ROUND(Z75*(1+Z$15),2))</f>
        <v>0</v>
      </c>
      <c r="AG75" s="21" t="n">
        <f aca="false">MIN(AA$16,ROUND(AA75*(1+AA$15),2))</f>
        <v>0</v>
      </c>
      <c r="AH75" s="21" t="n">
        <f aca="false">MIN(AB$16,ROUND(AB75*(1+AB$15),2))</f>
        <v>0</v>
      </c>
      <c r="AI75" s="21" t="n">
        <f aca="false">MIN(AC$16,ROUND(AC75*(1+AC$15),2))</f>
        <v>0</v>
      </c>
      <c r="AJ75" s="21" t="n">
        <f aca="false">MIN(AD$16,ROUND(AD75*(1+AD$15),2))</f>
        <v>0</v>
      </c>
      <c r="AK75" s="21" t="n">
        <f aca="false">Y$20-SUM(AE75:AJ75)</f>
        <v>1170</v>
      </c>
      <c r="AL75" s="21" t="n">
        <f aca="false">MIN(ROUND(Y75*(1+Y$15),2),AE75+MAX(0,AK75))</f>
        <v>0</v>
      </c>
      <c r="AM75" s="21" t="n">
        <f aca="false">MIN(ROUND(Z75*(1+Z$15),2),AF75+MAX(0,AK75-AL75+AE75))</f>
        <v>0</v>
      </c>
      <c r="AN75" s="21" t="n">
        <f aca="false">MIN(ROUND(AA75*(1+AA$15),2),AG75+MAX(0,AK75-AL75+AE75-AM75+AF75))</f>
        <v>0</v>
      </c>
      <c r="AO75" s="21" t="n">
        <f aca="false">MIN(ROUND(AB75*(1+AB$15),2),AH75+MAX(0,AK75-AL75+AE75-AM75+AF75-AN75+AG75))</f>
        <v>0</v>
      </c>
      <c r="AP75" s="21" t="n">
        <f aca="false">MIN(ROUND(AC75*(1+AC$15),2),AI75+MAX(0,AK75-AL75+AE75-AM75+AF75-AN75+AG75-AO75+AH75))</f>
        <v>0</v>
      </c>
      <c r="AQ75" s="21" t="n">
        <f aca="false">MIN(ROUND(AD75*(1+AD$15),2),AJ75+MAX(0,AK75-AL75+AE75-AM75+AF75-AN75+AG75-AO75+AH75-AP75+AI75))</f>
        <v>0</v>
      </c>
      <c r="AR75" s="21" t="n">
        <f aca="false">SUM(Y75:AD75)</f>
        <v>0</v>
      </c>
      <c r="AS75" s="21" t="n">
        <f aca="false">SUM(AL75:AQ75)</f>
        <v>0</v>
      </c>
    </row>
    <row r="76" customFormat="false" ht="15" hidden="false" customHeight="false" outlineLevel="0" collapsed="false">
      <c r="A76" s="25" t="n">
        <f aca="false">A75+1</f>
        <v>50</v>
      </c>
      <c r="B76" s="21" t="n">
        <f aca="false">MAX(0,ROUND(B75*(1+B$15),2)-O75)</f>
        <v>0</v>
      </c>
      <c r="C76" s="21" t="n">
        <f aca="false">MAX(0,ROUND(C75*(1+C$15),2)-P75)</f>
        <v>0</v>
      </c>
      <c r="D76" s="21" t="n">
        <f aca="false">MAX(0,ROUND(D75*(1+D$15),2)-Q75)</f>
        <v>0</v>
      </c>
      <c r="E76" s="21" t="n">
        <f aca="false">MAX(0,ROUND(E75*(1+E$15),2)-R75)</f>
        <v>0</v>
      </c>
      <c r="F76" s="21" t="n">
        <f aca="false">MAX(0,ROUND(F75*(1+F$15),2)-S75)</f>
        <v>0</v>
      </c>
      <c r="G76" s="21" t="n">
        <f aca="false">MAX(0,ROUND(G75*(1+G$15),2)-T75)</f>
        <v>0</v>
      </c>
      <c r="H76" s="21" t="n">
        <f aca="false">MIN(B$16,ROUND(B76*(1+B$15),2))</f>
        <v>0</v>
      </c>
      <c r="I76" s="21" t="n">
        <f aca="false">MIN(C$16,ROUND(C76*(1+C$15),2))</f>
        <v>0</v>
      </c>
      <c r="J76" s="21" t="n">
        <f aca="false">MIN(D$16,ROUND(D76*(1+D$15),2))</f>
        <v>0</v>
      </c>
      <c r="K76" s="21" t="n">
        <f aca="false">MIN(E$16,ROUND(E76*(1+E$15),2))</f>
        <v>0</v>
      </c>
      <c r="L76" s="21" t="n">
        <f aca="false">MIN(F$16,ROUND(F76*(1+F$15),2))</f>
        <v>0</v>
      </c>
      <c r="M76" s="21" t="n">
        <f aca="false">MIN(G$16,ROUND(G76*(1+G$15),2))</f>
        <v>0</v>
      </c>
      <c r="N76" s="21" t="n">
        <f aca="false">B$20-SUM(H76:M76)</f>
        <v>1170</v>
      </c>
      <c r="O76" s="21" t="n">
        <f aca="false">MIN(ROUND(B76*(1+B$15),2),H76+MAX(0,N76))</f>
        <v>0</v>
      </c>
      <c r="P76" s="21" t="n">
        <f aca="false">MIN(ROUND(C76*(1+C$15),2),I76+MAX(0,N76-O76+H76))</f>
        <v>0</v>
      </c>
      <c r="Q76" s="21" t="n">
        <f aca="false">MIN(ROUND(D76*(1+D$15),2),J76+MAX(0,N76-O76+H76-P76+I76))</f>
        <v>0</v>
      </c>
      <c r="R76" s="21" t="n">
        <f aca="false">MIN(ROUND(E76*(1+E$15),2),K76+MAX(0,N76-O76+H76-P76+I76-Q76+J76))</f>
        <v>0</v>
      </c>
      <c r="S76" s="21" t="n">
        <f aca="false">MIN(ROUND(F76*(1+F$15),2),L76+MAX(0,N76-O76+H76-P76+I76-Q76+J76-R76+K76))</f>
        <v>0</v>
      </c>
      <c r="T76" s="21" t="n">
        <f aca="false">MIN(ROUND(G76*(1+G$15),2),M76+MAX(0,N76-O76+H76-P76+I76-Q76+J76-R76+K76-S76+L76))</f>
        <v>0</v>
      </c>
      <c r="U76" s="21" t="n">
        <f aca="false">SUM(B76:G76)</f>
        <v>0</v>
      </c>
      <c r="V76" s="21" t="n">
        <f aca="false">SUM(O76:T76)</f>
        <v>0</v>
      </c>
      <c r="X76" s="25" t="n">
        <f aca="false">X75+1</f>
        <v>50</v>
      </c>
      <c r="Y76" s="21" t="n">
        <f aca="false">MAX(0,ROUND(Y75*(1+Y$15),2)-AL75)</f>
        <v>0</v>
      </c>
      <c r="Z76" s="21" t="n">
        <f aca="false">MAX(0,ROUND(Z75*(1+Z$15),2)-AM75)</f>
        <v>0</v>
      </c>
      <c r="AA76" s="21" t="n">
        <f aca="false">MAX(0,ROUND(AA75*(1+AA$15),2)-AN75)</f>
        <v>0</v>
      </c>
      <c r="AB76" s="21" t="n">
        <f aca="false">MAX(0,ROUND(AB75*(1+AB$15),2)-AO75)</f>
        <v>0</v>
      </c>
      <c r="AC76" s="21" t="n">
        <f aca="false">MAX(0,ROUND(AC75*(1+AC$15),2)-AP75)</f>
        <v>0</v>
      </c>
      <c r="AD76" s="21" t="n">
        <f aca="false">MAX(0,ROUND(AD75*(1+AD$15),2)-AQ75)</f>
        <v>0</v>
      </c>
      <c r="AE76" s="21" t="n">
        <f aca="false">MIN(Y$16,ROUND(Y76*(1+Y$15),2))</f>
        <v>0</v>
      </c>
      <c r="AF76" s="21" t="n">
        <f aca="false">MIN(Z$16,ROUND(Z76*(1+Z$15),2))</f>
        <v>0</v>
      </c>
      <c r="AG76" s="21" t="n">
        <f aca="false">MIN(AA$16,ROUND(AA76*(1+AA$15),2))</f>
        <v>0</v>
      </c>
      <c r="AH76" s="21" t="n">
        <f aca="false">MIN(AB$16,ROUND(AB76*(1+AB$15),2))</f>
        <v>0</v>
      </c>
      <c r="AI76" s="21" t="n">
        <f aca="false">MIN(AC$16,ROUND(AC76*(1+AC$15),2))</f>
        <v>0</v>
      </c>
      <c r="AJ76" s="21" t="n">
        <f aca="false">MIN(AD$16,ROUND(AD76*(1+AD$15),2))</f>
        <v>0</v>
      </c>
      <c r="AK76" s="21" t="n">
        <f aca="false">Y$20-SUM(AE76:AJ76)</f>
        <v>1170</v>
      </c>
      <c r="AL76" s="21" t="n">
        <f aca="false">MIN(ROUND(Y76*(1+Y$15),2),AE76+MAX(0,AK76))</f>
        <v>0</v>
      </c>
      <c r="AM76" s="21" t="n">
        <f aca="false">MIN(ROUND(Z76*(1+Z$15),2),AF76+MAX(0,AK76-AL76+AE76))</f>
        <v>0</v>
      </c>
      <c r="AN76" s="21" t="n">
        <f aca="false">MIN(ROUND(AA76*(1+AA$15),2),AG76+MAX(0,AK76-AL76+AE76-AM76+AF76))</f>
        <v>0</v>
      </c>
      <c r="AO76" s="21" t="n">
        <f aca="false">MIN(ROUND(AB76*(1+AB$15),2),AH76+MAX(0,AK76-AL76+AE76-AM76+AF76-AN76+AG76))</f>
        <v>0</v>
      </c>
      <c r="AP76" s="21" t="n">
        <f aca="false">MIN(ROUND(AC76*(1+AC$15),2),AI76+MAX(0,AK76-AL76+AE76-AM76+AF76-AN76+AG76-AO76+AH76))</f>
        <v>0</v>
      </c>
      <c r="AQ76" s="21" t="n">
        <f aca="false">MIN(ROUND(AD76*(1+AD$15),2),AJ76+MAX(0,AK76-AL76+AE76-AM76+AF76-AN76+AG76-AO76+AH76-AP76+AI76))</f>
        <v>0</v>
      </c>
      <c r="AR76" s="21" t="n">
        <f aca="false">SUM(Y76:AD76)</f>
        <v>0</v>
      </c>
      <c r="AS76" s="21" t="n">
        <f aca="false">SUM(AL76:AQ76)</f>
        <v>0</v>
      </c>
    </row>
    <row r="77" customFormat="false" ht="15" hidden="false" customHeight="false" outlineLevel="0" collapsed="false">
      <c r="A77" s="25" t="n">
        <f aca="false">A76+1</f>
        <v>51</v>
      </c>
      <c r="B77" s="21" t="n">
        <f aca="false">MAX(0,ROUND(B76*(1+B$15),2)-O76)</f>
        <v>0</v>
      </c>
      <c r="C77" s="21" t="n">
        <f aca="false">MAX(0,ROUND(C76*(1+C$15),2)-P76)</f>
        <v>0</v>
      </c>
      <c r="D77" s="21" t="n">
        <f aca="false">MAX(0,ROUND(D76*(1+D$15),2)-Q76)</f>
        <v>0</v>
      </c>
      <c r="E77" s="21" t="n">
        <f aca="false">MAX(0,ROUND(E76*(1+E$15),2)-R76)</f>
        <v>0</v>
      </c>
      <c r="F77" s="21" t="n">
        <f aca="false">MAX(0,ROUND(F76*(1+F$15),2)-S76)</f>
        <v>0</v>
      </c>
      <c r="G77" s="21" t="n">
        <f aca="false">MAX(0,ROUND(G76*(1+G$15),2)-T76)</f>
        <v>0</v>
      </c>
      <c r="H77" s="21" t="n">
        <f aca="false">MIN(B$16,ROUND(B77*(1+B$15),2))</f>
        <v>0</v>
      </c>
      <c r="I77" s="21" t="n">
        <f aca="false">MIN(C$16,ROUND(C77*(1+C$15),2))</f>
        <v>0</v>
      </c>
      <c r="J77" s="21" t="n">
        <f aca="false">MIN(D$16,ROUND(D77*(1+D$15),2))</f>
        <v>0</v>
      </c>
      <c r="K77" s="21" t="n">
        <f aca="false">MIN(E$16,ROUND(E77*(1+E$15),2))</f>
        <v>0</v>
      </c>
      <c r="L77" s="21" t="n">
        <f aca="false">MIN(F$16,ROUND(F77*(1+F$15),2))</f>
        <v>0</v>
      </c>
      <c r="M77" s="21" t="n">
        <f aca="false">MIN(G$16,ROUND(G77*(1+G$15),2))</f>
        <v>0</v>
      </c>
      <c r="N77" s="21" t="n">
        <f aca="false">B$20-SUM(H77:M77)</f>
        <v>1170</v>
      </c>
      <c r="O77" s="21" t="n">
        <f aca="false">MIN(ROUND(B77*(1+B$15),2),H77+MAX(0,N77))</f>
        <v>0</v>
      </c>
      <c r="P77" s="21" t="n">
        <f aca="false">MIN(ROUND(C77*(1+C$15),2),I77+MAX(0,N77-O77+H77))</f>
        <v>0</v>
      </c>
      <c r="Q77" s="21" t="n">
        <f aca="false">MIN(ROUND(D77*(1+D$15),2),J77+MAX(0,N77-O77+H77-P77+I77))</f>
        <v>0</v>
      </c>
      <c r="R77" s="21" t="n">
        <f aca="false">MIN(ROUND(E77*(1+E$15),2),K77+MAX(0,N77-O77+H77-P77+I77-Q77+J77))</f>
        <v>0</v>
      </c>
      <c r="S77" s="21" t="n">
        <f aca="false">MIN(ROUND(F77*(1+F$15),2),L77+MAX(0,N77-O77+H77-P77+I77-Q77+J77-R77+K77))</f>
        <v>0</v>
      </c>
      <c r="T77" s="21" t="n">
        <f aca="false">MIN(ROUND(G77*(1+G$15),2),M77+MAX(0,N77-O77+H77-P77+I77-Q77+J77-R77+K77-S77+L77))</f>
        <v>0</v>
      </c>
      <c r="U77" s="21" t="n">
        <f aca="false">SUM(B77:G77)</f>
        <v>0</v>
      </c>
      <c r="V77" s="21" t="n">
        <f aca="false">SUM(O77:T77)</f>
        <v>0</v>
      </c>
      <c r="X77" s="25" t="n">
        <f aca="false">X76+1</f>
        <v>51</v>
      </c>
      <c r="Y77" s="21" t="n">
        <f aca="false">MAX(0,ROUND(Y76*(1+Y$15),2)-AL76)</f>
        <v>0</v>
      </c>
      <c r="Z77" s="21" t="n">
        <f aca="false">MAX(0,ROUND(Z76*(1+Z$15),2)-AM76)</f>
        <v>0</v>
      </c>
      <c r="AA77" s="21" t="n">
        <f aca="false">MAX(0,ROUND(AA76*(1+AA$15),2)-AN76)</f>
        <v>0</v>
      </c>
      <c r="AB77" s="21" t="n">
        <f aca="false">MAX(0,ROUND(AB76*(1+AB$15),2)-AO76)</f>
        <v>0</v>
      </c>
      <c r="AC77" s="21" t="n">
        <f aca="false">MAX(0,ROUND(AC76*(1+AC$15),2)-AP76)</f>
        <v>0</v>
      </c>
      <c r="AD77" s="21" t="n">
        <f aca="false">MAX(0,ROUND(AD76*(1+AD$15),2)-AQ76)</f>
        <v>0</v>
      </c>
      <c r="AE77" s="21" t="n">
        <f aca="false">MIN(Y$16,ROUND(Y77*(1+Y$15),2))</f>
        <v>0</v>
      </c>
      <c r="AF77" s="21" t="n">
        <f aca="false">MIN(Z$16,ROUND(Z77*(1+Z$15),2))</f>
        <v>0</v>
      </c>
      <c r="AG77" s="21" t="n">
        <f aca="false">MIN(AA$16,ROUND(AA77*(1+AA$15),2))</f>
        <v>0</v>
      </c>
      <c r="AH77" s="21" t="n">
        <f aca="false">MIN(AB$16,ROUND(AB77*(1+AB$15),2))</f>
        <v>0</v>
      </c>
      <c r="AI77" s="21" t="n">
        <f aca="false">MIN(AC$16,ROUND(AC77*(1+AC$15),2))</f>
        <v>0</v>
      </c>
      <c r="AJ77" s="21" t="n">
        <f aca="false">MIN(AD$16,ROUND(AD77*(1+AD$15),2))</f>
        <v>0</v>
      </c>
      <c r="AK77" s="21" t="n">
        <f aca="false">Y$20-SUM(AE77:AJ77)</f>
        <v>1170</v>
      </c>
      <c r="AL77" s="21" t="n">
        <f aca="false">MIN(ROUND(Y77*(1+Y$15),2),AE77+MAX(0,AK77))</f>
        <v>0</v>
      </c>
      <c r="AM77" s="21" t="n">
        <f aca="false">MIN(ROUND(Z77*(1+Z$15),2),AF77+MAX(0,AK77-AL77+AE77))</f>
        <v>0</v>
      </c>
      <c r="AN77" s="21" t="n">
        <f aca="false">MIN(ROUND(AA77*(1+AA$15),2),AG77+MAX(0,AK77-AL77+AE77-AM77+AF77))</f>
        <v>0</v>
      </c>
      <c r="AO77" s="21" t="n">
        <f aca="false">MIN(ROUND(AB77*(1+AB$15),2),AH77+MAX(0,AK77-AL77+AE77-AM77+AF77-AN77+AG77))</f>
        <v>0</v>
      </c>
      <c r="AP77" s="21" t="n">
        <f aca="false">MIN(ROUND(AC77*(1+AC$15),2),AI77+MAX(0,AK77-AL77+AE77-AM77+AF77-AN77+AG77-AO77+AH77))</f>
        <v>0</v>
      </c>
      <c r="AQ77" s="21" t="n">
        <f aca="false">MIN(ROUND(AD77*(1+AD$15),2),AJ77+MAX(0,AK77-AL77+AE77-AM77+AF77-AN77+AG77-AO77+AH77-AP77+AI77))</f>
        <v>0</v>
      </c>
      <c r="AR77" s="21" t="n">
        <f aca="false">SUM(Y77:AD77)</f>
        <v>0</v>
      </c>
      <c r="AS77" s="21" t="n">
        <f aca="false">SUM(AL77:AQ77)</f>
        <v>0</v>
      </c>
    </row>
    <row r="78" customFormat="false" ht="15" hidden="false" customHeight="false" outlineLevel="0" collapsed="false">
      <c r="A78" s="25" t="n">
        <f aca="false">A77+1</f>
        <v>52</v>
      </c>
      <c r="B78" s="21" t="n">
        <f aca="false">MAX(0,ROUND(B77*(1+B$15),2)-O77)</f>
        <v>0</v>
      </c>
      <c r="C78" s="21" t="n">
        <f aca="false">MAX(0,ROUND(C77*(1+C$15),2)-P77)</f>
        <v>0</v>
      </c>
      <c r="D78" s="21" t="n">
        <f aca="false">MAX(0,ROUND(D77*(1+D$15),2)-Q77)</f>
        <v>0</v>
      </c>
      <c r="E78" s="21" t="n">
        <f aca="false">MAX(0,ROUND(E77*(1+E$15),2)-R77)</f>
        <v>0</v>
      </c>
      <c r="F78" s="21" t="n">
        <f aca="false">MAX(0,ROUND(F77*(1+F$15),2)-S77)</f>
        <v>0</v>
      </c>
      <c r="G78" s="21" t="n">
        <f aca="false">MAX(0,ROUND(G77*(1+G$15),2)-T77)</f>
        <v>0</v>
      </c>
      <c r="H78" s="21" t="n">
        <f aca="false">MIN(B$16,ROUND(B78*(1+B$15),2))</f>
        <v>0</v>
      </c>
      <c r="I78" s="21" t="n">
        <f aca="false">MIN(C$16,ROUND(C78*(1+C$15),2))</f>
        <v>0</v>
      </c>
      <c r="J78" s="21" t="n">
        <f aca="false">MIN(D$16,ROUND(D78*(1+D$15),2))</f>
        <v>0</v>
      </c>
      <c r="K78" s="21" t="n">
        <f aca="false">MIN(E$16,ROUND(E78*(1+E$15),2))</f>
        <v>0</v>
      </c>
      <c r="L78" s="21" t="n">
        <f aca="false">MIN(F$16,ROUND(F78*(1+F$15),2))</f>
        <v>0</v>
      </c>
      <c r="M78" s="21" t="n">
        <f aca="false">MIN(G$16,ROUND(G78*(1+G$15),2))</f>
        <v>0</v>
      </c>
      <c r="N78" s="21" t="n">
        <f aca="false">B$20-SUM(H78:M78)</f>
        <v>1170</v>
      </c>
      <c r="O78" s="21" t="n">
        <f aca="false">MIN(ROUND(B78*(1+B$15),2),H78+MAX(0,N78))</f>
        <v>0</v>
      </c>
      <c r="P78" s="21" t="n">
        <f aca="false">MIN(ROUND(C78*(1+C$15),2),I78+MAX(0,N78-O78+H78))</f>
        <v>0</v>
      </c>
      <c r="Q78" s="21" t="n">
        <f aca="false">MIN(ROUND(D78*(1+D$15),2),J78+MAX(0,N78-O78+H78-P78+I78))</f>
        <v>0</v>
      </c>
      <c r="R78" s="21" t="n">
        <f aca="false">MIN(ROUND(E78*(1+E$15),2),K78+MAX(0,N78-O78+H78-P78+I78-Q78+J78))</f>
        <v>0</v>
      </c>
      <c r="S78" s="21" t="n">
        <f aca="false">MIN(ROUND(F78*(1+F$15),2),L78+MAX(0,N78-O78+H78-P78+I78-Q78+J78-R78+K78))</f>
        <v>0</v>
      </c>
      <c r="T78" s="21" t="n">
        <f aca="false">MIN(ROUND(G78*(1+G$15),2),M78+MAX(0,N78-O78+H78-P78+I78-Q78+J78-R78+K78-S78+L78))</f>
        <v>0</v>
      </c>
      <c r="U78" s="21" t="n">
        <f aca="false">SUM(B78:G78)</f>
        <v>0</v>
      </c>
      <c r="V78" s="21" t="n">
        <f aca="false">SUM(O78:T78)</f>
        <v>0</v>
      </c>
      <c r="X78" s="25" t="n">
        <f aca="false">X77+1</f>
        <v>52</v>
      </c>
      <c r="Y78" s="21" t="n">
        <f aca="false">MAX(0,ROUND(Y77*(1+Y$15),2)-AL77)</f>
        <v>0</v>
      </c>
      <c r="Z78" s="21" t="n">
        <f aca="false">MAX(0,ROUND(Z77*(1+Z$15),2)-AM77)</f>
        <v>0</v>
      </c>
      <c r="AA78" s="21" t="n">
        <f aca="false">MAX(0,ROUND(AA77*(1+AA$15),2)-AN77)</f>
        <v>0</v>
      </c>
      <c r="AB78" s="21" t="n">
        <f aca="false">MAX(0,ROUND(AB77*(1+AB$15),2)-AO77)</f>
        <v>0</v>
      </c>
      <c r="AC78" s="21" t="n">
        <f aca="false">MAX(0,ROUND(AC77*(1+AC$15),2)-AP77)</f>
        <v>0</v>
      </c>
      <c r="AD78" s="21" t="n">
        <f aca="false">MAX(0,ROUND(AD77*(1+AD$15),2)-AQ77)</f>
        <v>0</v>
      </c>
      <c r="AE78" s="21" t="n">
        <f aca="false">MIN(Y$16,ROUND(Y78*(1+Y$15),2))</f>
        <v>0</v>
      </c>
      <c r="AF78" s="21" t="n">
        <f aca="false">MIN(Z$16,ROUND(Z78*(1+Z$15),2))</f>
        <v>0</v>
      </c>
      <c r="AG78" s="21" t="n">
        <f aca="false">MIN(AA$16,ROUND(AA78*(1+AA$15),2))</f>
        <v>0</v>
      </c>
      <c r="AH78" s="21" t="n">
        <f aca="false">MIN(AB$16,ROUND(AB78*(1+AB$15),2))</f>
        <v>0</v>
      </c>
      <c r="AI78" s="21" t="n">
        <f aca="false">MIN(AC$16,ROUND(AC78*(1+AC$15),2))</f>
        <v>0</v>
      </c>
      <c r="AJ78" s="21" t="n">
        <f aca="false">MIN(AD$16,ROUND(AD78*(1+AD$15),2))</f>
        <v>0</v>
      </c>
      <c r="AK78" s="21" t="n">
        <f aca="false">Y$20-SUM(AE78:AJ78)</f>
        <v>1170</v>
      </c>
      <c r="AL78" s="21" t="n">
        <f aca="false">MIN(ROUND(Y78*(1+Y$15),2),AE78+MAX(0,AK78))</f>
        <v>0</v>
      </c>
      <c r="AM78" s="21" t="n">
        <f aca="false">MIN(ROUND(Z78*(1+Z$15),2),AF78+MAX(0,AK78-AL78+AE78))</f>
        <v>0</v>
      </c>
      <c r="AN78" s="21" t="n">
        <f aca="false">MIN(ROUND(AA78*(1+AA$15),2),AG78+MAX(0,AK78-AL78+AE78-AM78+AF78))</f>
        <v>0</v>
      </c>
      <c r="AO78" s="21" t="n">
        <f aca="false">MIN(ROUND(AB78*(1+AB$15),2),AH78+MAX(0,AK78-AL78+AE78-AM78+AF78-AN78+AG78))</f>
        <v>0</v>
      </c>
      <c r="AP78" s="21" t="n">
        <f aca="false">MIN(ROUND(AC78*(1+AC$15),2),AI78+MAX(0,AK78-AL78+AE78-AM78+AF78-AN78+AG78-AO78+AH78))</f>
        <v>0</v>
      </c>
      <c r="AQ78" s="21" t="n">
        <f aca="false">MIN(ROUND(AD78*(1+AD$15),2),AJ78+MAX(0,AK78-AL78+AE78-AM78+AF78-AN78+AG78-AO78+AH78-AP78+AI78))</f>
        <v>0</v>
      </c>
      <c r="AR78" s="21" t="n">
        <f aca="false">SUM(Y78:AD78)</f>
        <v>0</v>
      </c>
      <c r="AS78" s="21" t="n">
        <f aca="false">SUM(AL78:AQ78)</f>
        <v>0</v>
      </c>
    </row>
    <row r="79" customFormat="false" ht="15" hidden="false" customHeight="false" outlineLevel="0" collapsed="false">
      <c r="A79" s="25" t="n">
        <f aca="false">A78+1</f>
        <v>53</v>
      </c>
      <c r="B79" s="21" t="n">
        <f aca="false">MAX(0,ROUND(B78*(1+B$15),2)-O78)</f>
        <v>0</v>
      </c>
      <c r="C79" s="21" t="n">
        <f aca="false">MAX(0,ROUND(C78*(1+C$15),2)-P78)</f>
        <v>0</v>
      </c>
      <c r="D79" s="21" t="n">
        <f aca="false">MAX(0,ROUND(D78*(1+D$15),2)-Q78)</f>
        <v>0</v>
      </c>
      <c r="E79" s="21" t="n">
        <f aca="false">MAX(0,ROUND(E78*(1+E$15),2)-R78)</f>
        <v>0</v>
      </c>
      <c r="F79" s="21" t="n">
        <f aca="false">MAX(0,ROUND(F78*(1+F$15),2)-S78)</f>
        <v>0</v>
      </c>
      <c r="G79" s="21" t="n">
        <f aca="false">MAX(0,ROUND(G78*(1+G$15),2)-T78)</f>
        <v>0</v>
      </c>
      <c r="H79" s="21" t="n">
        <f aca="false">MIN(B$16,ROUND(B79*(1+B$15),2))</f>
        <v>0</v>
      </c>
      <c r="I79" s="21" t="n">
        <f aca="false">MIN(C$16,ROUND(C79*(1+C$15),2))</f>
        <v>0</v>
      </c>
      <c r="J79" s="21" t="n">
        <f aca="false">MIN(D$16,ROUND(D79*(1+D$15),2))</f>
        <v>0</v>
      </c>
      <c r="K79" s="21" t="n">
        <f aca="false">MIN(E$16,ROUND(E79*(1+E$15),2))</f>
        <v>0</v>
      </c>
      <c r="L79" s="21" t="n">
        <f aca="false">MIN(F$16,ROUND(F79*(1+F$15),2))</f>
        <v>0</v>
      </c>
      <c r="M79" s="21" t="n">
        <f aca="false">MIN(G$16,ROUND(G79*(1+G$15),2))</f>
        <v>0</v>
      </c>
      <c r="N79" s="21" t="n">
        <f aca="false">B$20-SUM(H79:M79)</f>
        <v>1170</v>
      </c>
      <c r="O79" s="21" t="n">
        <f aca="false">MIN(ROUND(B79*(1+B$15),2),H79+MAX(0,N79))</f>
        <v>0</v>
      </c>
      <c r="P79" s="21" t="n">
        <f aca="false">MIN(ROUND(C79*(1+C$15),2),I79+MAX(0,N79-O79+H79))</f>
        <v>0</v>
      </c>
      <c r="Q79" s="21" t="n">
        <f aca="false">MIN(ROUND(D79*(1+D$15),2),J79+MAX(0,N79-O79+H79-P79+I79))</f>
        <v>0</v>
      </c>
      <c r="R79" s="21" t="n">
        <f aca="false">MIN(ROUND(E79*(1+E$15),2),K79+MAX(0,N79-O79+H79-P79+I79-Q79+J79))</f>
        <v>0</v>
      </c>
      <c r="S79" s="21" t="n">
        <f aca="false">MIN(ROUND(F79*(1+F$15),2),L79+MAX(0,N79-O79+H79-P79+I79-Q79+J79-R79+K79))</f>
        <v>0</v>
      </c>
      <c r="T79" s="21" t="n">
        <f aca="false">MIN(ROUND(G79*(1+G$15),2),M79+MAX(0,N79-O79+H79-P79+I79-Q79+J79-R79+K79-S79+L79))</f>
        <v>0</v>
      </c>
      <c r="U79" s="21" t="n">
        <f aca="false">SUM(B79:G79)</f>
        <v>0</v>
      </c>
      <c r="V79" s="21" t="n">
        <f aca="false">SUM(O79:T79)</f>
        <v>0</v>
      </c>
      <c r="X79" s="25" t="n">
        <f aca="false">X78+1</f>
        <v>53</v>
      </c>
      <c r="Y79" s="21" t="n">
        <f aca="false">MAX(0,ROUND(Y78*(1+Y$15),2)-AL78)</f>
        <v>0</v>
      </c>
      <c r="Z79" s="21" t="n">
        <f aca="false">MAX(0,ROUND(Z78*(1+Z$15),2)-AM78)</f>
        <v>0</v>
      </c>
      <c r="AA79" s="21" t="n">
        <f aca="false">MAX(0,ROUND(AA78*(1+AA$15),2)-AN78)</f>
        <v>0</v>
      </c>
      <c r="AB79" s="21" t="n">
        <f aca="false">MAX(0,ROUND(AB78*(1+AB$15),2)-AO78)</f>
        <v>0</v>
      </c>
      <c r="AC79" s="21" t="n">
        <f aca="false">MAX(0,ROUND(AC78*(1+AC$15),2)-AP78)</f>
        <v>0</v>
      </c>
      <c r="AD79" s="21" t="n">
        <f aca="false">MAX(0,ROUND(AD78*(1+AD$15),2)-AQ78)</f>
        <v>0</v>
      </c>
      <c r="AE79" s="21" t="n">
        <f aca="false">MIN(Y$16,ROUND(Y79*(1+Y$15),2))</f>
        <v>0</v>
      </c>
      <c r="AF79" s="21" t="n">
        <f aca="false">MIN(Z$16,ROUND(Z79*(1+Z$15),2))</f>
        <v>0</v>
      </c>
      <c r="AG79" s="21" t="n">
        <f aca="false">MIN(AA$16,ROUND(AA79*(1+AA$15),2))</f>
        <v>0</v>
      </c>
      <c r="AH79" s="21" t="n">
        <f aca="false">MIN(AB$16,ROUND(AB79*(1+AB$15),2))</f>
        <v>0</v>
      </c>
      <c r="AI79" s="21" t="n">
        <f aca="false">MIN(AC$16,ROUND(AC79*(1+AC$15),2))</f>
        <v>0</v>
      </c>
      <c r="AJ79" s="21" t="n">
        <f aca="false">MIN(AD$16,ROUND(AD79*(1+AD$15),2))</f>
        <v>0</v>
      </c>
      <c r="AK79" s="21" t="n">
        <f aca="false">Y$20-SUM(AE79:AJ79)</f>
        <v>1170</v>
      </c>
      <c r="AL79" s="21" t="n">
        <f aca="false">MIN(ROUND(Y79*(1+Y$15),2),AE79+MAX(0,AK79))</f>
        <v>0</v>
      </c>
      <c r="AM79" s="21" t="n">
        <f aca="false">MIN(ROUND(Z79*(1+Z$15),2),AF79+MAX(0,AK79-AL79+AE79))</f>
        <v>0</v>
      </c>
      <c r="AN79" s="21" t="n">
        <f aca="false">MIN(ROUND(AA79*(1+AA$15),2),AG79+MAX(0,AK79-AL79+AE79-AM79+AF79))</f>
        <v>0</v>
      </c>
      <c r="AO79" s="21" t="n">
        <f aca="false">MIN(ROUND(AB79*(1+AB$15),2),AH79+MAX(0,AK79-AL79+AE79-AM79+AF79-AN79+AG79))</f>
        <v>0</v>
      </c>
      <c r="AP79" s="21" t="n">
        <f aca="false">MIN(ROUND(AC79*(1+AC$15),2),AI79+MAX(0,AK79-AL79+AE79-AM79+AF79-AN79+AG79-AO79+AH79))</f>
        <v>0</v>
      </c>
      <c r="AQ79" s="21" t="n">
        <f aca="false">MIN(ROUND(AD79*(1+AD$15),2),AJ79+MAX(0,AK79-AL79+AE79-AM79+AF79-AN79+AG79-AO79+AH79-AP79+AI79))</f>
        <v>0</v>
      </c>
      <c r="AR79" s="21" t="n">
        <f aca="false">SUM(Y79:AD79)</f>
        <v>0</v>
      </c>
      <c r="AS79" s="21" t="n">
        <f aca="false">SUM(AL79:AQ79)</f>
        <v>0</v>
      </c>
    </row>
    <row r="80" customFormat="false" ht="15" hidden="false" customHeight="false" outlineLevel="0" collapsed="false">
      <c r="A80" s="25" t="n">
        <f aca="false">A79+1</f>
        <v>54</v>
      </c>
      <c r="B80" s="21" t="n">
        <f aca="false">MAX(0,ROUND(B79*(1+B$15),2)-O79)</f>
        <v>0</v>
      </c>
      <c r="C80" s="21" t="n">
        <f aca="false">MAX(0,ROUND(C79*(1+C$15),2)-P79)</f>
        <v>0</v>
      </c>
      <c r="D80" s="21" t="n">
        <f aca="false">MAX(0,ROUND(D79*(1+D$15),2)-Q79)</f>
        <v>0</v>
      </c>
      <c r="E80" s="21" t="n">
        <f aca="false">MAX(0,ROUND(E79*(1+E$15),2)-R79)</f>
        <v>0</v>
      </c>
      <c r="F80" s="21" t="n">
        <f aca="false">MAX(0,ROUND(F79*(1+F$15),2)-S79)</f>
        <v>0</v>
      </c>
      <c r="G80" s="21" t="n">
        <f aca="false">MAX(0,ROUND(G79*(1+G$15),2)-T79)</f>
        <v>0</v>
      </c>
      <c r="H80" s="21" t="n">
        <f aca="false">MIN(B$16,ROUND(B80*(1+B$15),2))</f>
        <v>0</v>
      </c>
      <c r="I80" s="21" t="n">
        <f aca="false">MIN(C$16,ROUND(C80*(1+C$15),2))</f>
        <v>0</v>
      </c>
      <c r="J80" s="21" t="n">
        <f aca="false">MIN(D$16,ROUND(D80*(1+D$15),2))</f>
        <v>0</v>
      </c>
      <c r="K80" s="21" t="n">
        <f aca="false">MIN(E$16,ROUND(E80*(1+E$15),2))</f>
        <v>0</v>
      </c>
      <c r="L80" s="21" t="n">
        <f aca="false">MIN(F$16,ROUND(F80*(1+F$15),2))</f>
        <v>0</v>
      </c>
      <c r="M80" s="21" t="n">
        <f aca="false">MIN(G$16,ROUND(G80*(1+G$15),2))</f>
        <v>0</v>
      </c>
      <c r="N80" s="21" t="n">
        <f aca="false">B$20-SUM(H80:M80)</f>
        <v>1170</v>
      </c>
      <c r="O80" s="21" t="n">
        <f aca="false">MIN(ROUND(B80*(1+B$15),2),H80+MAX(0,N80))</f>
        <v>0</v>
      </c>
      <c r="P80" s="21" t="n">
        <f aca="false">MIN(ROUND(C80*(1+C$15),2),I80+MAX(0,N80-O80+H80))</f>
        <v>0</v>
      </c>
      <c r="Q80" s="21" t="n">
        <f aca="false">MIN(ROUND(D80*(1+D$15),2),J80+MAX(0,N80-O80+H80-P80+I80))</f>
        <v>0</v>
      </c>
      <c r="R80" s="21" t="n">
        <f aca="false">MIN(ROUND(E80*(1+E$15),2),K80+MAX(0,N80-O80+H80-P80+I80-Q80+J80))</f>
        <v>0</v>
      </c>
      <c r="S80" s="21" t="n">
        <f aca="false">MIN(ROUND(F80*(1+F$15),2),L80+MAX(0,N80-O80+H80-P80+I80-Q80+J80-R80+K80))</f>
        <v>0</v>
      </c>
      <c r="T80" s="21" t="n">
        <f aca="false">MIN(ROUND(G80*(1+G$15),2),M80+MAX(0,N80-O80+H80-P80+I80-Q80+J80-R80+K80-S80+L80))</f>
        <v>0</v>
      </c>
      <c r="U80" s="21" t="n">
        <f aca="false">SUM(B80:G80)</f>
        <v>0</v>
      </c>
      <c r="V80" s="21" t="n">
        <f aca="false">SUM(O80:T80)</f>
        <v>0</v>
      </c>
      <c r="X80" s="25" t="n">
        <f aca="false">X79+1</f>
        <v>54</v>
      </c>
      <c r="Y80" s="21" t="n">
        <f aca="false">MAX(0,ROUND(Y79*(1+Y$15),2)-AL79)</f>
        <v>0</v>
      </c>
      <c r="Z80" s="21" t="n">
        <f aca="false">MAX(0,ROUND(Z79*(1+Z$15),2)-AM79)</f>
        <v>0</v>
      </c>
      <c r="AA80" s="21" t="n">
        <f aca="false">MAX(0,ROUND(AA79*(1+AA$15),2)-AN79)</f>
        <v>0</v>
      </c>
      <c r="AB80" s="21" t="n">
        <f aca="false">MAX(0,ROUND(AB79*(1+AB$15),2)-AO79)</f>
        <v>0</v>
      </c>
      <c r="AC80" s="21" t="n">
        <f aca="false">MAX(0,ROUND(AC79*(1+AC$15),2)-AP79)</f>
        <v>0</v>
      </c>
      <c r="AD80" s="21" t="n">
        <f aca="false">MAX(0,ROUND(AD79*(1+AD$15),2)-AQ79)</f>
        <v>0</v>
      </c>
      <c r="AE80" s="21" t="n">
        <f aca="false">MIN(Y$16,ROUND(Y80*(1+Y$15),2))</f>
        <v>0</v>
      </c>
      <c r="AF80" s="21" t="n">
        <f aca="false">MIN(Z$16,ROUND(Z80*(1+Z$15),2))</f>
        <v>0</v>
      </c>
      <c r="AG80" s="21" t="n">
        <f aca="false">MIN(AA$16,ROUND(AA80*(1+AA$15),2))</f>
        <v>0</v>
      </c>
      <c r="AH80" s="21" t="n">
        <f aca="false">MIN(AB$16,ROUND(AB80*(1+AB$15),2))</f>
        <v>0</v>
      </c>
      <c r="AI80" s="21" t="n">
        <f aca="false">MIN(AC$16,ROUND(AC80*(1+AC$15),2))</f>
        <v>0</v>
      </c>
      <c r="AJ80" s="21" t="n">
        <f aca="false">MIN(AD$16,ROUND(AD80*(1+AD$15),2))</f>
        <v>0</v>
      </c>
      <c r="AK80" s="21" t="n">
        <f aca="false">Y$20-SUM(AE80:AJ80)</f>
        <v>1170</v>
      </c>
      <c r="AL80" s="21" t="n">
        <f aca="false">MIN(ROUND(Y80*(1+Y$15),2),AE80+MAX(0,AK80))</f>
        <v>0</v>
      </c>
      <c r="AM80" s="21" t="n">
        <f aca="false">MIN(ROUND(Z80*(1+Z$15),2),AF80+MAX(0,AK80-AL80+AE80))</f>
        <v>0</v>
      </c>
      <c r="AN80" s="21" t="n">
        <f aca="false">MIN(ROUND(AA80*(1+AA$15),2),AG80+MAX(0,AK80-AL80+AE80-AM80+AF80))</f>
        <v>0</v>
      </c>
      <c r="AO80" s="21" t="n">
        <f aca="false">MIN(ROUND(AB80*(1+AB$15),2),AH80+MAX(0,AK80-AL80+AE80-AM80+AF80-AN80+AG80))</f>
        <v>0</v>
      </c>
      <c r="AP80" s="21" t="n">
        <f aca="false">MIN(ROUND(AC80*(1+AC$15),2),AI80+MAX(0,AK80-AL80+AE80-AM80+AF80-AN80+AG80-AO80+AH80))</f>
        <v>0</v>
      </c>
      <c r="AQ80" s="21" t="n">
        <f aca="false">MIN(ROUND(AD80*(1+AD$15),2),AJ80+MAX(0,AK80-AL80+AE80-AM80+AF80-AN80+AG80-AO80+AH80-AP80+AI80))</f>
        <v>0</v>
      </c>
      <c r="AR80" s="21" t="n">
        <f aca="false">SUM(Y80:AD80)</f>
        <v>0</v>
      </c>
      <c r="AS80" s="21" t="n">
        <f aca="false">SUM(AL80:AQ80)</f>
        <v>0</v>
      </c>
    </row>
    <row r="81" customFormat="false" ht="15" hidden="false" customHeight="false" outlineLevel="0" collapsed="false">
      <c r="A81" s="25" t="n">
        <f aca="false">A80+1</f>
        <v>55</v>
      </c>
      <c r="B81" s="21" t="n">
        <f aca="false">MAX(0,ROUND(B80*(1+B$15),2)-O80)</f>
        <v>0</v>
      </c>
      <c r="C81" s="21" t="n">
        <f aca="false">MAX(0,ROUND(C80*(1+C$15),2)-P80)</f>
        <v>0</v>
      </c>
      <c r="D81" s="21" t="n">
        <f aca="false">MAX(0,ROUND(D80*(1+D$15),2)-Q80)</f>
        <v>0</v>
      </c>
      <c r="E81" s="21" t="n">
        <f aca="false">MAX(0,ROUND(E80*(1+E$15),2)-R80)</f>
        <v>0</v>
      </c>
      <c r="F81" s="21" t="n">
        <f aca="false">MAX(0,ROUND(F80*(1+F$15),2)-S80)</f>
        <v>0</v>
      </c>
      <c r="G81" s="21" t="n">
        <f aca="false">MAX(0,ROUND(G80*(1+G$15),2)-T80)</f>
        <v>0</v>
      </c>
      <c r="H81" s="21" t="n">
        <f aca="false">MIN(B$16,ROUND(B81*(1+B$15),2))</f>
        <v>0</v>
      </c>
      <c r="I81" s="21" t="n">
        <f aca="false">MIN(C$16,ROUND(C81*(1+C$15),2))</f>
        <v>0</v>
      </c>
      <c r="J81" s="21" t="n">
        <f aca="false">MIN(D$16,ROUND(D81*(1+D$15),2))</f>
        <v>0</v>
      </c>
      <c r="K81" s="21" t="n">
        <f aca="false">MIN(E$16,ROUND(E81*(1+E$15),2))</f>
        <v>0</v>
      </c>
      <c r="L81" s="21" t="n">
        <f aca="false">MIN(F$16,ROUND(F81*(1+F$15),2))</f>
        <v>0</v>
      </c>
      <c r="M81" s="21" t="n">
        <f aca="false">MIN(G$16,ROUND(G81*(1+G$15),2))</f>
        <v>0</v>
      </c>
      <c r="N81" s="21" t="n">
        <f aca="false">B$20-SUM(H81:M81)</f>
        <v>1170</v>
      </c>
      <c r="O81" s="21" t="n">
        <f aca="false">MIN(ROUND(B81*(1+B$15),2),H81+MAX(0,N81))</f>
        <v>0</v>
      </c>
      <c r="P81" s="21" t="n">
        <f aca="false">MIN(ROUND(C81*(1+C$15),2),I81+MAX(0,N81-O81+H81))</f>
        <v>0</v>
      </c>
      <c r="Q81" s="21" t="n">
        <f aca="false">MIN(ROUND(D81*(1+D$15),2),J81+MAX(0,N81-O81+H81-P81+I81))</f>
        <v>0</v>
      </c>
      <c r="R81" s="21" t="n">
        <f aca="false">MIN(ROUND(E81*(1+E$15),2),K81+MAX(0,N81-O81+H81-P81+I81-Q81+J81))</f>
        <v>0</v>
      </c>
      <c r="S81" s="21" t="n">
        <f aca="false">MIN(ROUND(F81*(1+F$15),2),L81+MAX(0,N81-O81+H81-P81+I81-Q81+J81-R81+K81))</f>
        <v>0</v>
      </c>
      <c r="T81" s="21" t="n">
        <f aca="false">MIN(ROUND(G81*(1+G$15),2),M81+MAX(0,N81-O81+H81-P81+I81-Q81+J81-R81+K81-S81+L81))</f>
        <v>0</v>
      </c>
      <c r="U81" s="21" t="n">
        <f aca="false">SUM(B81:G81)</f>
        <v>0</v>
      </c>
      <c r="V81" s="21" t="n">
        <f aca="false">SUM(O81:T81)</f>
        <v>0</v>
      </c>
      <c r="X81" s="25" t="n">
        <f aca="false">X80+1</f>
        <v>55</v>
      </c>
      <c r="Y81" s="21" t="n">
        <f aca="false">MAX(0,ROUND(Y80*(1+Y$15),2)-AL80)</f>
        <v>0</v>
      </c>
      <c r="Z81" s="21" t="n">
        <f aca="false">MAX(0,ROUND(Z80*(1+Z$15),2)-AM80)</f>
        <v>0</v>
      </c>
      <c r="AA81" s="21" t="n">
        <f aca="false">MAX(0,ROUND(AA80*(1+AA$15),2)-AN80)</f>
        <v>0</v>
      </c>
      <c r="AB81" s="21" t="n">
        <f aca="false">MAX(0,ROUND(AB80*(1+AB$15),2)-AO80)</f>
        <v>0</v>
      </c>
      <c r="AC81" s="21" t="n">
        <f aca="false">MAX(0,ROUND(AC80*(1+AC$15),2)-AP80)</f>
        <v>0</v>
      </c>
      <c r="AD81" s="21" t="n">
        <f aca="false">MAX(0,ROUND(AD80*(1+AD$15),2)-AQ80)</f>
        <v>0</v>
      </c>
      <c r="AE81" s="21" t="n">
        <f aca="false">MIN(Y$16,ROUND(Y81*(1+Y$15),2))</f>
        <v>0</v>
      </c>
      <c r="AF81" s="21" t="n">
        <f aca="false">MIN(Z$16,ROUND(Z81*(1+Z$15),2))</f>
        <v>0</v>
      </c>
      <c r="AG81" s="21" t="n">
        <f aca="false">MIN(AA$16,ROUND(AA81*(1+AA$15),2))</f>
        <v>0</v>
      </c>
      <c r="AH81" s="21" t="n">
        <f aca="false">MIN(AB$16,ROUND(AB81*(1+AB$15),2))</f>
        <v>0</v>
      </c>
      <c r="AI81" s="21" t="n">
        <f aca="false">MIN(AC$16,ROUND(AC81*(1+AC$15),2))</f>
        <v>0</v>
      </c>
      <c r="AJ81" s="21" t="n">
        <f aca="false">MIN(AD$16,ROUND(AD81*(1+AD$15),2))</f>
        <v>0</v>
      </c>
      <c r="AK81" s="21" t="n">
        <f aca="false">Y$20-SUM(AE81:AJ81)</f>
        <v>1170</v>
      </c>
      <c r="AL81" s="21" t="n">
        <f aca="false">MIN(ROUND(Y81*(1+Y$15),2),AE81+MAX(0,AK81))</f>
        <v>0</v>
      </c>
      <c r="AM81" s="21" t="n">
        <f aca="false">MIN(ROUND(Z81*(1+Z$15),2),AF81+MAX(0,AK81-AL81+AE81))</f>
        <v>0</v>
      </c>
      <c r="AN81" s="21" t="n">
        <f aca="false">MIN(ROUND(AA81*(1+AA$15),2),AG81+MAX(0,AK81-AL81+AE81-AM81+AF81))</f>
        <v>0</v>
      </c>
      <c r="AO81" s="21" t="n">
        <f aca="false">MIN(ROUND(AB81*(1+AB$15),2),AH81+MAX(0,AK81-AL81+AE81-AM81+AF81-AN81+AG81))</f>
        <v>0</v>
      </c>
      <c r="AP81" s="21" t="n">
        <f aca="false">MIN(ROUND(AC81*(1+AC$15),2),AI81+MAX(0,AK81-AL81+AE81-AM81+AF81-AN81+AG81-AO81+AH81))</f>
        <v>0</v>
      </c>
      <c r="AQ81" s="21" t="n">
        <f aca="false">MIN(ROUND(AD81*(1+AD$15),2),AJ81+MAX(0,AK81-AL81+AE81-AM81+AF81-AN81+AG81-AO81+AH81-AP81+AI81))</f>
        <v>0</v>
      </c>
      <c r="AR81" s="21" t="n">
        <f aca="false">SUM(Y81:AD81)</f>
        <v>0</v>
      </c>
      <c r="AS81" s="21" t="n">
        <f aca="false">SUM(AL81:AQ81)</f>
        <v>0</v>
      </c>
    </row>
    <row r="82" customFormat="false" ht="15" hidden="false" customHeight="false" outlineLevel="0" collapsed="false">
      <c r="A82" s="25" t="n">
        <f aca="false">A81+1</f>
        <v>56</v>
      </c>
      <c r="B82" s="21" t="n">
        <f aca="false">MAX(0,ROUND(B81*(1+B$15),2)-O81)</f>
        <v>0</v>
      </c>
      <c r="C82" s="21" t="n">
        <f aca="false">MAX(0,ROUND(C81*(1+C$15),2)-P81)</f>
        <v>0</v>
      </c>
      <c r="D82" s="21" t="n">
        <f aca="false">MAX(0,ROUND(D81*(1+D$15),2)-Q81)</f>
        <v>0</v>
      </c>
      <c r="E82" s="21" t="n">
        <f aca="false">MAX(0,ROUND(E81*(1+E$15),2)-R81)</f>
        <v>0</v>
      </c>
      <c r="F82" s="21" t="n">
        <f aca="false">MAX(0,ROUND(F81*(1+F$15),2)-S81)</f>
        <v>0</v>
      </c>
      <c r="G82" s="21" t="n">
        <f aca="false">MAX(0,ROUND(G81*(1+G$15),2)-T81)</f>
        <v>0</v>
      </c>
      <c r="H82" s="21" t="n">
        <f aca="false">MIN(B$16,ROUND(B82*(1+B$15),2))</f>
        <v>0</v>
      </c>
      <c r="I82" s="21" t="n">
        <f aca="false">MIN(C$16,ROUND(C82*(1+C$15),2))</f>
        <v>0</v>
      </c>
      <c r="J82" s="21" t="n">
        <f aca="false">MIN(D$16,ROUND(D82*(1+D$15),2))</f>
        <v>0</v>
      </c>
      <c r="K82" s="21" t="n">
        <f aca="false">MIN(E$16,ROUND(E82*(1+E$15),2))</f>
        <v>0</v>
      </c>
      <c r="L82" s="21" t="n">
        <f aca="false">MIN(F$16,ROUND(F82*(1+F$15),2))</f>
        <v>0</v>
      </c>
      <c r="M82" s="21" t="n">
        <f aca="false">MIN(G$16,ROUND(G82*(1+G$15),2))</f>
        <v>0</v>
      </c>
      <c r="N82" s="21" t="n">
        <f aca="false">B$20-SUM(H82:M82)</f>
        <v>1170</v>
      </c>
      <c r="O82" s="21" t="n">
        <f aca="false">MIN(ROUND(B82*(1+B$15),2),H82+MAX(0,N82))</f>
        <v>0</v>
      </c>
      <c r="P82" s="21" t="n">
        <f aca="false">MIN(ROUND(C82*(1+C$15),2),I82+MAX(0,N82-O82+H82))</f>
        <v>0</v>
      </c>
      <c r="Q82" s="21" t="n">
        <f aca="false">MIN(ROUND(D82*(1+D$15),2),J82+MAX(0,N82-O82+H82-P82+I82))</f>
        <v>0</v>
      </c>
      <c r="R82" s="21" t="n">
        <f aca="false">MIN(ROUND(E82*(1+E$15),2),K82+MAX(0,N82-O82+H82-P82+I82-Q82+J82))</f>
        <v>0</v>
      </c>
      <c r="S82" s="21" t="n">
        <f aca="false">MIN(ROUND(F82*(1+F$15),2),L82+MAX(0,N82-O82+H82-P82+I82-Q82+J82-R82+K82))</f>
        <v>0</v>
      </c>
      <c r="T82" s="21" t="n">
        <f aca="false">MIN(ROUND(G82*(1+G$15),2),M82+MAX(0,N82-O82+H82-P82+I82-Q82+J82-R82+K82-S82+L82))</f>
        <v>0</v>
      </c>
      <c r="U82" s="21" t="n">
        <f aca="false">SUM(B82:G82)</f>
        <v>0</v>
      </c>
      <c r="V82" s="21" t="n">
        <f aca="false">SUM(O82:T82)</f>
        <v>0</v>
      </c>
      <c r="X82" s="25" t="n">
        <f aca="false">X81+1</f>
        <v>56</v>
      </c>
      <c r="Y82" s="21" t="n">
        <f aca="false">MAX(0,ROUND(Y81*(1+Y$15),2)-AL81)</f>
        <v>0</v>
      </c>
      <c r="Z82" s="21" t="n">
        <f aca="false">MAX(0,ROUND(Z81*(1+Z$15),2)-AM81)</f>
        <v>0</v>
      </c>
      <c r="AA82" s="21" t="n">
        <f aca="false">MAX(0,ROUND(AA81*(1+AA$15),2)-AN81)</f>
        <v>0</v>
      </c>
      <c r="AB82" s="21" t="n">
        <f aca="false">MAX(0,ROUND(AB81*(1+AB$15),2)-AO81)</f>
        <v>0</v>
      </c>
      <c r="AC82" s="21" t="n">
        <f aca="false">MAX(0,ROUND(AC81*(1+AC$15),2)-AP81)</f>
        <v>0</v>
      </c>
      <c r="AD82" s="21" t="n">
        <f aca="false">MAX(0,ROUND(AD81*(1+AD$15),2)-AQ81)</f>
        <v>0</v>
      </c>
      <c r="AE82" s="21" t="n">
        <f aca="false">MIN(Y$16,ROUND(Y82*(1+Y$15),2))</f>
        <v>0</v>
      </c>
      <c r="AF82" s="21" t="n">
        <f aca="false">MIN(Z$16,ROUND(Z82*(1+Z$15),2))</f>
        <v>0</v>
      </c>
      <c r="AG82" s="21" t="n">
        <f aca="false">MIN(AA$16,ROUND(AA82*(1+AA$15),2))</f>
        <v>0</v>
      </c>
      <c r="AH82" s="21" t="n">
        <f aca="false">MIN(AB$16,ROUND(AB82*(1+AB$15),2))</f>
        <v>0</v>
      </c>
      <c r="AI82" s="21" t="n">
        <f aca="false">MIN(AC$16,ROUND(AC82*(1+AC$15),2))</f>
        <v>0</v>
      </c>
      <c r="AJ82" s="21" t="n">
        <f aca="false">MIN(AD$16,ROUND(AD82*(1+AD$15),2))</f>
        <v>0</v>
      </c>
      <c r="AK82" s="21" t="n">
        <f aca="false">Y$20-SUM(AE82:AJ82)</f>
        <v>1170</v>
      </c>
      <c r="AL82" s="21" t="n">
        <f aca="false">MIN(ROUND(Y82*(1+Y$15),2),AE82+MAX(0,AK82))</f>
        <v>0</v>
      </c>
      <c r="AM82" s="21" t="n">
        <f aca="false">MIN(ROUND(Z82*(1+Z$15),2),AF82+MAX(0,AK82-AL82+AE82))</f>
        <v>0</v>
      </c>
      <c r="AN82" s="21" t="n">
        <f aca="false">MIN(ROUND(AA82*(1+AA$15),2),AG82+MAX(0,AK82-AL82+AE82-AM82+AF82))</f>
        <v>0</v>
      </c>
      <c r="AO82" s="21" t="n">
        <f aca="false">MIN(ROUND(AB82*(1+AB$15),2),AH82+MAX(0,AK82-AL82+AE82-AM82+AF82-AN82+AG82))</f>
        <v>0</v>
      </c>
      <c r="AP82" s="21" t="n">
        <f aca="false">MIN(ROUND(AC82*(1+AC$15),2),AI82+MAX(0,AK82-AL82+AE82-AM82+AF82-AN82+AG82-AO82+AH82))</f>
        <v>0</v>
      </c>
      <c r="AQ82" s="21" t="n">
        <f aca="false">MIN(ROUND(AD82*(1+AD$15),2),AJ82+MAX(0,AK82-AL82+AE82-AM82+AF82-AN82+AG82-AO82+AH82-AP82+AI82))</f>
        <v>0</v>
      </c>
      <c r="AR82" s="21" t="n">
        <f aca="false">SUM(Y82:AD82)</f>
        <v>0</v>
      </c>
      <c r="AS82" s="21" t="n">
        <f aca="false">SUM(AL82:AQ82)</f>
        <v>0</v>
      </c>
    </row>
    <row r="83" customFormat="false" ht="15" hidden="false" customHeight="false" outlineLevel="0" collapsed="false">
      <c r="A83" s="25" t="n">
        <f aca="false">A82+1</f>
        <v>57</v>
      </c>
      <c r="B83" s="21" t="n">
        <f aca="false">MAX(0,ROUND(B82*(1+B$15),2)-O82)</f>
        <v>0</v>
      </c>
      <c r="C83" s="21" t="n">
        <f aca="false">MAX(0,ROUND(C82*(1+C$15),2)-P82)</f>
        <v>0</v>
      </c>
      <c r="D83" s="21" t="n">
        <f aca="false">MAX(0,ROUND(D82*(1+D$15),2)-Q82)</f>
        <v>0</v>
      </c>
      <c r="E83" s="21" t="n">
        <f aca="false">MAX(0,ROUND(E82*(1+E$15),2)-R82)</f>
        <v>0</v>
      </c>
      <c r="F83" s="21" t="n">
        <f aca="false">MAX(0,ROUND(F82*(1+F$15),2)-S82)</f>
        <v>0</v>
      </c>
      <c r="G83" s="21" t="n">
        <f aca="false">MAX(0,ROUND(G82*(1+G$15),2)-T82)</f>
        <v>0</v>
      </c>
      <c r="H83" s="21" t="n">
        <f aca="false">MIN(B$16,ROUND(B83*(1+B$15),2))</f>
        <v>0</v>
      </c>
      <c r="I83" s="21" t="n">
        <f aca="false">MIN(C$16,ROUND(C83*(1+C$15),2))</f>
        <v>0</v>
      </c>
      <c r="J83" s="21" t="n">
        <f aca="false">MIN(D$16,ROUND(D83*(1+D$15),2))</f>
        <v>0</v>
      </c>
      <c r="K83" s="21" t="n">
        <f aca="false">MIN(E$16,ROUND(E83*(1+E$15),2))</f>
        <v>0</v>
      </c>
      <c r="L83" s="21" t="n">
        <f aca="false">MIN(F$16,ROUND(F83*(1+F$15),2))</f>
        <v>0</v>
      </c>
      <c r="M83" s="21" t="n">
        <f aca="false">MIN(G$16,ROUND(G83*(1+G$15),2))</f>
        <v>0</v>
      </c>
      <c r="N83" s="21" t="n">
        <f aca="false">B$20-SUM(H83:M83)</f>
        <v>1170</v>
      </c>
      <c r="O83" s="21" t="n">
        <f aca="false">MIN(ROUND(B83*(1+B$15),2),H83+MAX(0,N83))</f>
        <v>0</v>
      </c>
      <c r="P83" s="21" t="n">
        <f aca="false">MIN(ROUND(C83*(1+C$15),2),I83+MAX(0,N83-O83+H83))</f>
        <v>0</v>
      </c>
      <c r="Q83" s="21" t="n">
        <f aca="false">MIN(ROUND(D83*(1+D$15),2),J83+MAX(0,N83-O83+H83-P83+I83))</f>
        <v>0</v>
      </c>
      <c r="R83" s="21" t="n">
        <f aca="false">MIN(ROUND(E83*(1+E$15),2),K83+MAX(0,N83-O83+H83-P83+I83-Q83+J83))</f>
        <v>0</v>
      </c>
      <c r="S83" s="21" t="n">
        <f aca="false">MIN(ROUND(F83*(1+F$15),2),L83+MAX(0,N83-O83+H83-P83+I83-Q83+J83-R83+K83))</f>
        <v>0</v>
      </c>
      <c r="T83" s="21" t="n">
        <f aca="false">MIN(ROUND(G83*(1+G$15),2),M83+MAX(0,N83-O83+H83-P83+I83-Q83+J83-R83+K83-S83+L83))</f>
        <v>0</v>
      </c>
      <c r="U83" s="21" t="n">
        <f aca="false">SUM(B83:G83)</f>
        <v>0</v>
      </c>
      <c r="V83" s="21" t="n">
        <f aca="false">SUM(O83:T83)</f>
        <v>0</v>
      </c>
      <c r="X83" s="25" t="n">
        <f aca="false">X82+1</f>
        <v>57</v>
      </c>
      <c r="Y83" s="21" t="n">
        <f aca="false">MAX(0,ROUND(Y82*(1+Y$15),2)-AL82)</f>
        <v>0</v>
      </c>
      <c r="Z83" s="21" t="n">
        <f aca="false">MAX(0,ROUND(Z82*(1+Z$15),2)-AM82)</f>
        <v>0</v>
      </c>
      <c r="AA83" s="21" t="n">
        <f aca="false">MAX(0,ROUND(AA82*(1+AA$15),2)-AN82)</f>
        <v>0</v>
      </c>
      <c r="AB83" s="21" t="n">
        <f aca="false">MAX(0,ROUND(AB82*(1+AB$15),2)-AO82)</f>
        <v>0</v>
      </c>
      <c r="AC83" s="21" t="n">
        <f aca="false">MAX(0,ROUND(AC82*(1+AC$15),2)-AP82)</f>
        <v>0</v>
      </c>
      <c r="AD83" s="21" t="n">
        <f aca="false">MAX(0,ROUND(AD82*(1+AD$15),2)-AQ82)</f>
        <v>0</v>
      </c>
      <c r="AE83" s="21" t="n">
        <f aca="false">MIN(Y$16,ROUND(Y83*(1+Y$15),2))</f>
        <v>0</v>
      </c>
      <c r="AF83" s="21" t="n">
        <f aca="false">MIN(Z$16,ROUND(Z83*(1+Z$15),2))</f>
        <v>0</v>
      </c>
      <c r="AG83" s="21" t="n">
        <f aca="false">MIN(AA$16,ROUND(AA83*(1+AA$15),2))</f>
        <v>0</v>
      </c>
      <c r="AH83" s="21" t="n">
        <f aca="false">MIN(AB$16,ROUND(AB83*(1+AB$15),2))</f>
        <v>0</v>
      </c>
      <c r="AI83" s="21" t="n">
        <f aca="false">MIN(AC$16,ROUND(AC83*(1+AC$15),2))</f>
        <v>0</v>
      </c>
      <c r="AJ83" s="21" t="n">
        <f aca="false">MIN(AD$16,ROUND(AD83*(1+AD$15),2))</f>
        <v>0</v>
      </c>
      <c r="AK83" s="21" t="n">
        <f aca="false">Y$20-SUM(AE83:AJ83)</f>
        <v>1170</v>
      </c>
      <c r="AL83" s="21" t="n">
        <f aca="false">MIN(ROUND(Y83*(1+Y$15),2),AE83+MAX(0,AK83))</f>
        <v>0</v>
      </c>
      <c r="AM83" s="21" t="n">
        <f aca="false">MIN(ROUND(Z83*(1+Z$15),2),AF83+MAX(0,AK83-AL83+AE83))</f>
        <v>0</v>
      </c>
      <c r="AN83" s="21" t="n">
        <f aca="false">MIN(ROUND(AA83*(1+AA$15),2),AG83+MAX(0,AK83-AL83+AE83-AM83+AF83))</f>
        <v>0</v>
      </c>
      <c r="AO83" s="21" t="n">
        <f aca="false">MIN(ROUND(AB83*(1+AB$15),2),AH83+MAX(0,AK83-AL83+AE83-AM83+AF83-AN83+AG83))</f>
        <v>0</v>
      </c>
      <c r="AP83" s="21" t="n">
        <f aca="false">MIN(ROUND(AC83*(1+AC$15),2),AI83+MAX(0,AK83-AL83+AE83-AM83+AF83-AN83+AG83-AO83+AH83))</f>
        <v>0</v>
      </c>
      <c r="AQ83" s="21" t="n">
        <f aca="false">MIN(ROUND(AD83*(1+AD$15),2),AJ83+MAX(0,AK83-AL83+AE83-AM83+AF83-AN83+AG83-AO83+AH83-AP83+AI83))</f>
        <v>0</v>
      </c>
      <c r="AR83" s="21" t="n">
        <f aca="false">SUM(Y83:AD83)</f>
        <v>0</v>
      </c>
      <c r="AS83" s="21" t="n">
        <f aca="false">SUM(AL83:AQ83)</f>
        <v>0</v>
      </c>
    </row>
    <row r="84" customFormat="false" ht="15" hidden="false" customHeight="false" outlineLevel="0" collapsed="false">
      <c r="A84" s="25" t="n">
        <f aca="false">A83+1</f>
        <v>58</v>
      </c>
      <c r="B84" s="21" t="n">
        <f aca="false">MAX(0,ROUND(B83*(1+B$15),2)-O83)</f>
        <v>0</v>
      </c>
      <c r="C84" s="21" t="n">
        <f aca="false">MAX(0,ROUND(C83*(1+C$15),2)-P83)</f>
        <v>0</v>
      </c>
      <c r="D84" s="21" t="n">
        <f aca="false">MAX(0,ROUND(D83*(1+D$15),2)-Q83)</f>
        <v>0</v>
      </c>
      <c r="E84" s="21" t="n">
        <f aca="false">MAX(0,ROUND(E83*(1+E$15),2)-R83)</f>
        <v>0</v>
      </c>
      <c r="F84" s="21" t="n">
        <f aca="false">MAX(0,ROUND(F83*(1+F$15),2)-S83)</f>
        <v>0</v>
      </c>
      <c r="G84" s="21" t="n">
        <f aca="false">MAX(0,ROUND(G83*(1+G$15),2)-T83)</f>
        <v>0</v>
      </c>
      <c r="H84" s="21" t="n">
        <f aca="false">MIN(B$16,ROUND(B84*(1+B$15),2))</f>
        <v>0</v>
      </c>
      <c r="I84" s="21" t="n">
        <f aca="false">MIN(C$16,ROUND(C84*(1+C$15),2))</f>
        <v>0</v>
      </c>
      <c r="J84" s="21" t="n">
        <f aca="false">MIN(D$16,ROUND(D84*(1+D$15),2))</f>
        <v>0</v>
      </c>
      <c r="K84" s="21" t="n">
        <f aca="false">MIN(E$16,ROUND(E84*(1+E$15),2))</f>
        <v>0</v>
      </c>
      <c r="L84" s="21" t="n">
        <f aca="false">MIN(F$16,ROUND(F84*(1+F$15),2))</f>
        <v>0</v>
      </c>
      <c r="M84" s="21" t="n">
        <f aca="false">MIN(G$16,ROUND(G84*(1+G$15),2))</f>
        <v>0</v>
      </c>
      <c r="N84" s="21" t="n">
        <f aca="false">B$20-SUM(H84:M84)</f>
        <v>1170</v>
      </c>
      <c r="O84" s="21" t="n">
        <f aca="false">MIN(ROUND(B84*(1+B$15),2),H84+MAX(0,N84))</f>
        <v>0</v>
      </c>
      <c r="P84" s="21" t="n">
        <f aca="false">MIN(ROUND(C84*(1+C$15),2),I84+MAX(0,N84-O84+H84))</f>
        <v>0</v>
      </c>
      <c r="Q84" s="21" t="n">
        <f aca="false">MIN(ROUND(D84*(1+D$15),2),J84+MAX(0,N84-O84+H84-P84+I84))</f>
        <v>0</v>
      </c>
      <c r="R84" s="21" t="n">
        <f aca="false">MIN(ROUND(E84*(1+E$15),2),K84+MAX(0,N84-O84+H84-P84+I84-Q84+J84))</f>
        <v>0</v>
      </c>
      <c r="S84" s="21" t="n">
        <f aca="false">MIN(ROUND(F84*(1+F$15),2),L84+MAX(0,N84-O84+H84-P84+I84-Q84+J84-R84+K84))</f>
        <v>0</v>
      </c>
      <c r="T84" s="21" t="n">
        <f aca="false">MIN(ROUND(G84*(1+G$15),2),M84+MAX(0,N84-O84+H84-P84+I84-Q84+J84-R84+K84-S84+L84))</f>
        <v>0</v>
      </c>
      <c r="U84" s="21" t="n">
        <f aca="false">SUM(B84:G84)</f>
        <v>0</v>
      </c>
      <c r="V84" s="21" t="n">
        <f aca="false">SUM(O84:T84)</f>
        <v>0</v>
      </c>
      <c r="X84" s="25" t="n">
        <f aca="false">X83+1</f>
        <v>58</v>
      </c>
      <c r="Y84" s="21" t="n">
        <f aca="false">MAX(0,ROUND(Y83*(1+Y$15),2)-AL83)</f>
        <v>0</v>
      </c>
      <c r="Z84" s="21" t="n">
        <f aca="false">MAX(0,ROUND(Z83*(1+Z$15),2)-AM83)</f>
        <v>0</v>
      </c>
      <c r="AA84" s="21" t="n">
        <f aca="false">MAX(0,ROUND(AA83*(1+AA$15),2)-AN83)</f>
        <v>0</v>
      </c>
      <c r="AB84" s="21" t="n">
        <f aca="false">MAX(0,ROUND(AB83*(1+AB$15),2)-AO83)</f>
        <v>0</v>
      </c>
      <c r="AC84" s="21" t="n">
        <f aca="false">MAX(0,ROUND(AC83*(1+AC$15),2)-AP83)</f>
        <v>0</v>
      </c>
      <c r="AD84" s="21" t="n">
        <f aca="false">MAX(0,ROUND(AD83*(1+AD$15),2)-AQ83)</f>
        <v>0</v>
      </c>
      <c r="AE84" s="21" t="n">
        <f aca="false">MIN(Y$16,ROUND(Y84*(1+Y$15),2))</f>
        <v>0</v>
      </c>
      <c r="AF84" s="21" t="n">
        <f aca="false">MIN(Z$16,ROUND(Z84*(1+Z$15),2))</f>
        <v>0</v>
      </c>
      <c r="AG84" s="21" t="n">
        <f aca="false">MIN(AA$16,ROUND(AA84*(1+AA$15),2))</f>
        <v>0</v>
      </c>
      <c r="AH84" s="21" t="n">
        <f aca="false">MIN(AB$16,ROUND(AB84*(1+AB$15),2))</f>
        <v>0</v>
      </c>
      <c r="AI84" s="21" t="n">
        <f aca="false">MIN(AC$16,ROUND(AC84*(1+AC$15),2))</f>
        <v>0</v>
      </c>
      <c r="AJ84" s="21" t="n">
        <f aca="false">MIN(AD$16,ROUND(AD84*(1+AD$15),2))</f>
        <v>0</v>
      </c>
      <c r="AK84" s="21" t="n">
        <f aca="false">Y$20-SUM(AE84:AJ84)</f>
        <v>1170</v>
      </c>
      <c r="AL84" s="21" t="n">
        <f aca="false">MIN(ROUND(Y84*(1+Y$15),2),AE84+MAX(0,AK84))</f>
        <v>0</v>
      </c>
      <c r="AM84" s="21" t="n">
        <f aca="false">MIN(ROUND(Z84*(1+Z$15),2),AF84+MAX(0,AK84-AL84+AE84))</f>
        <v>0</v>
      </c>
      <c r="AN84" s="21" t="n">
        <f aca="false">MIN(ROUND(AA84*(1+AA$15),2),AG84+MAX(0,AK84-AL84+AE84-AM84+AF84))</f>
        <v>0</v>
      </c>
      <c r="AO84" s="21" t="n">
        <f aca="false">MIN(ROUND(AB84*(1+AB$15),2),AH84+MAX(0,AK84-AL84+AE84-AM84+AF84-AN84+AG84))</f>
        <v>0</v>
      </c>
      <c r="AP84" s="21" t="n">
        <f aca="false">MIN(ROUND(AC84*(1+AC$15),2),AI84+MAX(0,AK84-AL84+AE84-AM84+AF84-AN84+AG84-AO84+AH84))</f>
        <v>0</v>
      </c>
      <c r="AQ84" s="21" t="n">
        <f aca="false">MIN(ROUND(AD84*(1+AD$15),2),AJ84+MAX(0,AK84-AL84+AE84-AM84+AF84-AN84+AG84-AO84+AH84-AP84+AI84))</f>
        <v>0</v>
      </c>
      <c r="AR84" s="21" t="n">
        <f aca="false">SUM(Y84:AD84)</f>
        <v>0</v>
      </c>
      <c r="AS84" s="21" t="n">
        <f aca="false">SUM(AL84:AQ84)</f>
        <v>0</v>
      </c>
    </row>
    <row r="85" customFormat="false" ht="15" hidden="false" customHeight="false" outlineLevel="0" collapsed="false">
      <c r="A85" s="25" t="n">
        <f aca="false">A84+1</f>
        <v>59</v>
      </c>
      <c r="B85" s="21" t="n">
        <f aca="false">MAX(0,ROUND(B84*(1+B$15),2)-O84)</f>
        <v>0</v>
      </c>
      <c r="C85" s="21" t="n">
        <f aca="false">MAX(0,ROUND(C84*(1+C$15),2)-P84)</f>
        <v>0</v>
      </c>
      <c r="D85" s="21" t="n">
        <f aca="false">MAX(0,ROUND(D84*(1+D$15),2)-Q84)</f>
        <v>0</v>
      </c>
      <c r="E85" s="21" t="n">
        <f aca="false">MAX(0,ROUND(E84*(1+E$15),2)-R84)</f>
        <v>0</v>
      </c>
      <c r="F85" s="21" t="n">
        <f aca="false">MAX(0,ROUND(F84*(1+F$15),2)-S84)</f>
        <v>0</v>
      </c>
      <c r="G85" s="21" t="n">
        <f aca="false">MAX(0,ROUND(G84*(1+G$15),2)-T84)</f>
        <v>0</v>
      </c>
      <c r="H85" s="21" t="n">
        <f aca="false">MIN(B$16,ROUND(B85*(1+B$15),2))</f>
        <v>0</v>
      </c>
      <c r="I85" s="21" t="n">
        <f aca="false">MIN(C$16,ROUND(C85*(1+C$15),2))</f>
        <v>0</v>
      </c>
      <c r="J85" s="21" t="n">
        <f aca="false">MIN(D$16,ROUND(D85*(1+D$15),2))</f>
        <v>0</v>
      </c>
      <c r="K85" s="21" t="n">
        <f aca="false">MIN(E$16,ROUND(E85*(1+E$15),2))</f>
        <v>0</v>
      </c>
      <c r="L85" s="21" t="n">
        <f aca="false">MIN(F$16,ROUND(F85*(1+F$15),2))</f>
        <v>0</v>
      </c>
      <c r="M85" s="21" t="n">
        <f aca="false">MIN(G$16,ROUND(G85*(1+G$15),2))</f>
        <v>0</v>
      </c>
      <c r="N85" s="21" t="n">
        <f aca="false">B$20-SUM(H85:M85)</f>
        <v>1170</v>
      </c>
      <c r="O85" s="21" t="n">
        <f aca="false">MIN(ROUND(B85*(1+B$15),2),H85+MAX(0,N85))</f>
        <v>0</v>
      </c>
      <c r="P85" s="21" t="n">
        <f aca="false">MIN(ROUND(C85*(1+C$15),2),I85+MAX(0,N85-O85+H85))</f>
        <v>0</v>
      </c>
      <c r="Q85" s="21" t="n">
        <f aca="false">MIN(ROUND(D85*(1+D$15),2),J85+MAX(0,N85-O85+H85-P85+I85))</f>
        <v>0</v>
      </c>
      <c r="R85" s="21" t="n">
        <f aca="false">MIN(ROUND(E85*(1+E$15),2),K85+MAX(0,N85-O85+H85-P85+I85-Q85+J85))</f>
        <v>0</v>
      </c>
      <c r="S85" s="21" t="n">
        <f aca="false">MIN(ROUND(F85*(1+F$15),2),L85+MAX(0,N85-O85+H85-P85+I85-Q85+J85-R85+K85))</f>
        <v>0</v>
      </c>
      <c r="T85" s="21" t="n">
        <f aca="false">MIN(ROUND(G85*(1+G$15),2),M85+MAX(0,N85-O85+H85-P85+I85-Q85+J85-R85+K85-S85+L85))</f>
        <v>0</v>
      </c>
      <c r="U85" s="21" t="n">
        <f aca="false">SUM(B85:G85)</f>
        <v>0</v>
      </c>
      <c r="V85" s="21" t="n">
        <f aca="false">SUM(O85:T85)</f>
        <v>0</v>
      </c>
      <c r="X85" s="25" t="n">
        <f aca="false">X84+1</f>
        <v>59</v>
      </c>
      <c r="Y85" s="21" t="n">
        <f aca="false">MAX(0,ROUND(Y84*(1+Y$15),2)-AL84)</f>
        <v>0</v>
      </c>
      <c r="Z85" s="21" t="n">
        <f aca="false">MAX(0,ROUND(Z84*(1+Z$15),2)-AM84)</f>
        <v>0</v>
      </c>
      <c r="AA85" s="21" t="n">
        <f aca="false">MAX(0,ROUND(AA84*(1+AA$15),2)-AN84)</f>
        <v>0</v>
      </c>
      <c r="AB85" s="21" t="n">
        <f aca="false">MAX(0,ROUND(AB84*(1+AB$15),2)-AO84)</f>
        <v>0</v>
      </c>
      <c r="AC85" s="21" t="n">
        <f aca="false">MAX(0,ROUND(AC84*(1+AC$15),2)-AP84)</f>
        <v>0</v>
      </c>
      <c r="AD85" s="21" t="n">
        <f aca="false">MAX(0,ROUND(AD84*(1+AD$15),2)-AQ84)</f>
        <v>0</v>
      </c>
      <c r="AE85" s="21" t="n">
        <f aca="false">MIN(Y$16,ROUND(Y85*(1+Y$15),2))</f>
        <v>0</v>
      </c>
      <c r="AF85" s="21" t="n">
        <f aca="false">MIN(Z$16,ROUND(Z85*(1+Z$15),2))</f>
        <v>0</v>
      </c>
      <c r="AG85" s="21" t="n">
        <f aca="false">MIN(AA$16,ROUND(AA85*(1+AA$15),2))</f>
        <v>0</v>
      </c>
      <c r="AH85" s="21" t="n">
        <f aca="false">MIN(AB$16,ROUND(AB85*(1+AB$15),2))</f>
        <v>0</v>
      </c>
      <c r="AI85" s="21" t="n">
        <f aca="false">MIN(AC$16,ROUND(AC85*(1+AC$15),2))</f>
        <v>0</v>
      </c>
      <c r="AJ85" s="21" t="n">
        <f aca="false">MIN(AD$16,ROUND(AD85*(1+AD$15),2))</f>
        <v>0</v>
      </c>
      <c r="AK85" s="21" t="n">
        <f aca="false">Y$20-SUM(AE85:AJ85)</f>
        <v>1170</v>
      </c>
      <c r="AL85" s="21" t="n">
        <f aca="false">MIN(ROUND(Y85*(1+Y$15),2),AE85+MAX(0,AK85))</f>
        <v>0</v>
      </c>
      <c r="AM85" s="21" t="n">
        <f aca="false">MIN(ROUND(Z85*(1+Z$15),2),AF85+MAX(0,AK85-AL85+AE85))</f>
        <v>0</v>
      </c>
      <c r="AN85" s="21" t="n">
        <f aca="false">MIN(ROUND(AA85*(1+AA$15),2),AG85+MAX(0,AK85-AL85+AE85-AM85+AF85))</f>
        <v>0</v>
      </c>
      <c r="AO85" s="21" t="n">
        <f aca="false">MIN(ROUND(AB85*(1+AB$15),2),AH85+MAX(0,AK85-AL85+AE85-AM85+AF85-AN85+AG85))</f>
        <v>0</v>
      </c>
      <c r="AP85" s="21" t="n">
        <f aca="false">MIN(ROUND(AC85*(1+AC$15),2),AI85+MAX(0,AK85-AL85+AE85-AM85+AF85-AN85+AG85-AO85+AH85))</f>
        <v>0</v>
      </c>
      <c r="AQ85" s="21" t="n">
        <f aca="false">MIN(ROUND(AD85*(1+AD$15),2),AJ85+MAX(0,AK85-AL85+AE85-AM85+AF85-AN85+AG85-AO85+AH85-AP85+AI85))</f>
        <v>0</v>
      </c>
      <c r="AR85" s="21" t="n">
        <f aca="false">SUM(Y85:AD85)</f>
        <v>0</v>
      </c>
      <c r="AS85" s="21" t="n">
        <f aca="false">SUM(AL85:AQ85)</f>
        <v>0</v>
      </c>
    </row>
    <row r="86" customFormat="false" ht="15" hidden="false" customHeight="false" outlineLevel="0" collapsed="false">
      <c r="A86" s="25" t="n">
        <f aca="false">A85+1</f>
        <v>60</v>
      </c>
      <c r="B86" s="21" t="n">
        <f aca="false">MAX(0,ROUND(B85*(1+B$15),2)-O85)</f>
        <v>0</v>
      </c>
      <c r="C86" s="21" t="n">
        <f aca="false">MAX(0,ROUND(C85*(1+C$15),2)-P85)</f>
        <v>0</v>
      </c>
      <c r="D86" s="21" t="n">
        <f aca="false">MAX(0,ROUND(D85*(1+D$15),2)-Q85)</f>
        <v>0</v>
      </c>
      <c r="E86" s="21" t="n">
        <f aca="false">MAX(0,ROUND(E85*(1+E$15),2)-R85)</f>
        <v>0</v>
      </c>
      <c r="F86" s="21" t="n">
        <f aca="false">MAX(0,ROUND(F85*(1+F$15),2)-S85)</f>
        <v>0</v>
      </c>
      <c r="G86" s="21" t="n">
        <f aca="false">MAX(0,ROUND(G85*(1+G$15),2)-T85)</f>
        <v>0</v>
      </c>
      <c r="H86" s="21" t="n">
        <f aca="false">MIN(B$16,ROUND(B86*(1+B$15),2))</f>
        <v>0</v>
      </c>
      <c r="I86" s="21" t="n">
        <f aca="false">MIN(C$16,ROUND(C86*(1+C$15),2))</f>
        <v>0</v>
      </c>
      <c r="J86" s="21" t="n">
        <f aca="false">MIN(D$16,ROUND(D86*(1+D$15),2))</f>
        <v>0</v>
      </c>
      <c r="K86" s="21" t="n">
        <f aca="false">MIN(E$16,ROUND(E86*(1+E$15),2))</f>
        <v>0</v>
      </c>
      <c r="L86" s="21" t="n">
        <f aca="false">MIN(F$16,ROUND(F86*(1+F$15),2))</f>
        <v>0</v>
      </c>
      <c r="M86" s="21" t="n">
        <f aca="false">MIN(G$16,ROUND(G86*(1+G$15),2))</f>
        <v>0</v>
      </c>
      <c r="N86" s="21" t="n">
        <f aca="false">B$20-SUM(H86:M86)</f>
        <v>1170</v>
      </c>
      <c r="O86" s="21" t="n">
        <f aca="false">MIN(ROUND(B86*(1+B$15),2),H86+MAX(0,N86))</f>
        <v>0</v>
      </c>
      <c r="P86" s="21" t="n">
        <f aca="false">MIN(ROUND(C86*(1+C$15),2),I86+MAX(0,N86-O86+H86))</f>
        <v>0</v>
      </c>
      <c r="Q86" s="21" t="n">
        <f aca="false">MIN(ROUND(D86*(1+D$15),2),J86+MAX(0,N86-O86+H86-P86+I86))</f>
        <v>0</v>
      </c>
      <c r="R86" s="21" t="n">
        <f aca="false">MIN(ROUND(E86*(1+E$15),2),K86+MAX(0,N86-O86+H86-P86+I86-Q86+J86))</f>
        <v>0</v>
      </c>
      <c r="S86" s="21" t="n">
        <f aca="false">MIN(ROUND(F86*(1+F$15),2),L86+MAX(0,N86-O86+H86-P86+I86-Q86+J86-R86+K86))</f>
        <v>0</v>
      </c>
      <c r="T86" s="21" t="n">
        <f aca="false">MIN(ROUND(G86*(1+G$15),2),M86+MAX(0,N86-O86+H86-P86+I86-Q86+J86-R86+K86-S86+L86))</f>
        <v>0</v>
      </c>
      <c r="U86" s="21" t="n">
        <f aca="false">SUM(B86:G86)</f>
        <v>0</v>
      </c>
      <c r="V86" s="21" t="n">
        <f aca="false">SUM(O86:T86)</f>
        <v>0</v>
      </c>
      <c r="X86" s="25" t="n">
        <f aca="false">X85+1</f>
        <v>60</v>
      </c>
      <c r="Y86" s="21" t="n">
        <f aca="false">MAX(0,ROUND(Y85*(1+Y$15),2)-AL85)</f>
        <v>0</v>
      </c>
      <c r="Z86" s="21" t="n">
        <f aca="false">MAX(0,ROUND(Z85*(1+Z$15),2)-AM85)</f>
        <v>0</v>
      </c>
      <c r="AA86" s="21" t="n">
        <f aca="false">MAX(0,ROUND(AA85*(1+AA$15),2)-AN85)</f>
        <v>0</v>
      </c>
      <c r="AB86" s="21" t="n">
        <f aca="false">MAX(0,ROUND(AB85*(1+AB$15),2)-AO85)</f>
        <v>0</v>
      </c>
      <c r="AC86" s="21" t="n">
        <f aca="false">MAX(0,ROUND(AC85*(1+AC$15),2)-AP85)</f>
        <v>0</v>
      </c>
      <c r="AD86" s="21" t="n">
        <f aca="false">MAX(0,ROUND(AD85*(1+AD$15),2)-AQ85)</f>
        <v>0</v>
      </c>
      <c r="AE86" s="21" t="n">
        <f aca="false">MIN(Y$16,ROUND(Y86*(1+Y$15),2))</f>
        <v>0</v>
      </c>
      <c r="AF86" s="21" t="n">
        <f aca="false">MIN(Z$16,ROUND(Z86*(1+Z$15),2))</f>
        <v>0</v>
      </c>
      <c r="AG86" s="21" t="n">
        <f aca="false">MIN(AA$16,ROUND(AA86*(1+AA$15),2))</f>
        <v>0</v>
      </c>
      <c r="AH86" s="21" t="n">
        <f aca="false">MIN(AB$16,ROUND(AB86*(1+AB$15),2))</f>
        <v>0</v>
      </c>
      <c r="AI86" s="21" t="n">
        <f aca="false">MIN(AC$16,ROUND(AC86*(1+AC$15),2))</f>
        <v>0</v>
      </c>
      <c r="AJ86" s="21" t="n">
        <f aca="false">MIN(AD$16,ROUND(AD86*(1+AD$15),2))</f>
        <v>0</v>
      </c>
      <c r="AK86" s="21" t="n">
        <f aca="false">Y$20-SUM(AE86:AJ86)</f>
        <v>1170</v>
      </c>
      <c r="AL86" s="21" t="n">
        <f aca="false">MIN(ROUND(Y86*(1+Y$15),2),AE86+MAX(0,AK86))</f>
        <v>0</v>
      </c>
      <c r="AM86" s="21" t="n">
        <f aca="false">MIN(ROUND(Z86*(1+Z$15),2),AF86+MAX(0,AK86-AL86+AE86))</f>
        <v>0</v>
      </c>
      <c r="AN86" s="21" t="n">
        <f aca="false">MIN(ROUND(AA86*(1+AA$15),2),AG86+MAX(0,AK86-AL86+AE86-AM86+AF86))</f>
        <v>0</v>
      </c>
      <c r="AO86" s="21" t="n">
        <f aca="false">MIN(ROUND(AB86*(1+AB$15),2),AH86+MAX(0,AK86-AL86+AE86-AM86+AF86-AN86+AG86))</f>
        <v>0</v>
      </c>
      <c r="AP86" s="21" t="n">
        <f aca="false">MIN(ROUND(AC86*(1+AC$15),2),AI86+MAX(0,AK86-AL86+AE86-AM86+AF86-AN86+AG86-AO86+AH86))</f>
        <v>0</v>
      </c>
      <c r="AQ86" s="21" t="n">
        <f aca="false">MIN(ROUND(AD86*(1+AD$15),2),AJ86+MAX(0,AK86-AL86+AE86-AM86+AF86-AN86+AG86-AO86+AH86-AP86+AI86))</f>
        <v>0</v>
      </c>
      <c r="AR86" s="21" t="n">
        <f aca="false">SUM(Y86:AD86)</f>
        <v>0</v>
      </c>
      <c r="AS86" s="21" t="n">
        <f aca="false">SUM(AL86:AQ86)</f>
        <v>0</v>
      </c>
    </row>
    <row r="87" customFormat="false" ht="15" hidden="false" customHeight="false" outlineLevel="0" collapsed="false">
      <c r="A87" s="25" t="n">
        <f aca="false">A86+1</f>
        <v>61</v>
      </c>
      <c r="B87" s="21" t="n">
        <f aca="false">MAX(0,ROUND(B86*(1+B$15),2)-O86)</f>
        <v>0</v>
      </c>
      <c r="C87" s="21" t="n">
        <f aca="false">MAX(0,ROUND(C86*(1+C$15),2)-P86)</f>
        <v>0</v>
      </c>
      <c r="D87" s="21" t="n">
        <f aca="false">MAX(0,ROUND(D86*(1+D$15),2)-Q86)</f>
        <v>0</v>
      </c>
      <c r="E87" s="21" t="n">
        <f aca="false">MAX(0,ROUND(E86*(1+E$15),2)-R86)</f>
        <v>0</v>
      </c>
      <c r="F87" s="21" t="n">
        <f aca="false">MAX(0,ROUND(F86*(1+F$15),2)-S86)</f>
        <v>0</v>
      </c>
      <c r="G87" s="21" t="n">
        <f aca="false">MAX(0,ROUND(G86*(1+G$15),2)-T86)</f>
        <v>0</v>
      </c>
      <c r="H87" s="21" t="n">
        <f aca="false">MIN(B$16,ROUND(B87*(1+B$15),2))</f>
        <v>0</v>
      </c>
      <c r="I87" s="21" t="n">
        <f aca="false">MIN(C$16,ROUND(C87*(1+C$15),2))</f>
        <v>0</v>
      </c>
      <c r="J87" s="21" t="n">
        <f aca="false">MIN(D$16,ROUND(D87*(1+D$15),2))</f>
        <v>0</v>
      </c>
      <c r="K87" s="21" t="n">
        <f aca="false">MIN(E$16,ROUND(E87*(1+E$15),2))</f>
        <v>0</v>
      </c>
      <c r="L87" s="21" t="n">
        <f aca="false">MIN(F$16,ROUND(F87*(1+F$15),2))</f>
        <v>0</v>
      </c>
      <c r="M87" s="21" t="n">
        <f aca="false">MIN(G$16,ROUND(G87*(1+G$15),2))</f>
        <v>0</v>
      </c>
      <c r="N87" s="21" t="n">
        <f aca="false">B$20-SUM(H87:M87)</f>
        <v>1170</v>
      </c>
      <c r="O87" s="21" t="n">
        <f aca="false">MIN(ROUND(B87*(1+B$15),2),H87+MAX(0,N87))</f>
        <v>0</v>
      </c>
      <c r="P87" s="21" t="n">
        <f aca="false">MIN(ROUND(C87*(1+C$15),2),I87+MAX(0,N87-O87+H87))</f>
        <v>0</v>
      </c>
      <c r="Q87" s="21" t="n">
        <f aca="false">MIN(ROUND(D87*(1+D$15),2),J87+MAX(0,N87-O87+H87-P87+I87))</f>
        <v>0</v>
      </c>
      <c r="R87" s="21" t="n">
        <f aca="false">MIN(ROUND(E87*(1+E$15),2),K87+MAX(0,N87-O87+H87-P87+I87-Q87+J87))</f>
        <v>0</v>
      </c>
      <c r="S87" s="21" t="n">
        <f aca="false">MIN(ROUND(F87*(1+F$15),2),L87+MAX(0,N87-O87+H87-P87+I87-Q87+J87-R87+K87))</f>
        <v>0</v>
      </c>
      <c r="T87" s="21" t="n">
        <f aca="false">MIN(ROUND(G87*(1+G$15),2),M87+MAX(0,N87-O87+H87-P87+I87-Q87+J87-R87+K87-S87+L87))</f>
        <v>0</v>
      </c>
      <c r="U87" s="21" t="n">
        <f aca="false">SUM(B87:G87)</f>
        <v>0</v>
      </c>
      <c r="V87" s="21" t="n">
        <f aca="false">SUM(O87:T87)</f>
        <v>0</v>
      </c>
      <c r="X87" s="25" t="n">
        <f aca="false">X86+1</f>
        <v>61</v>
      </c>
      <c r="Y87" s="21" t="n">
        <f aca="false">MAX(0,ROUND(Y86*(1+Y$15),2)-AL86)</f>
        <v>0</v>
      </c>
      <c r="Z87" s="21" t="n">
        <f aca="false">MAX(0,ROUND(Z86*(1+Z$15),2)-AM86)</f>
        <v>0</v>
      </c>
      <c r="AA87" s="21" t="n">
        <f aca="false">MAX(0,ROUND(AA86*(1+AA$15),2)-AN86)</f>
        <v>0</v>
      </c>
      <c r="AB87" s="21" t="n">
        <f aca="false">MAX(0,ROUND(AB86*(1+AB$15),2)-AO86)</f>
        <v>0</v>
      </c>
      <c r="AC87" s="21" t="n">
        <f aca="false">MAX(0,ROUND(AC86*(1+AC$15),2)-AP86)</f>
        <v>0</v>
      </c>
      <c r="AD87" s="21" t="n">
        <f aca="false">MAX(0,ROUND(AD86*(1+AD$15),2)-AQ86)</f>
        <v>0</v>
      </c>
      <c r="AE87" s="21" t="n">
        <f aca="false">MIN(Y$16,ROUND(Y87*(1+Y$15),2))</f>
        <v>0</v>
      </c>
      <c r="AF87" s="21" t="n">
        <f aca="false">MIN(Z$16,ROUND(Z87*(1+Z$15),2))</f>
        <v>0</v>
      </c>
      <c r="AG87" s="21" t="n">
        <f aca="false">MIN(AA$16,ROUND(AA87*(1+AA$15),2))</f>
        <v>0</v>
      </c>
      <c r="AH87" s="21" t="n">
        <f aca="false">MIN(AB$16,ROUND(AB87*(1+AB$15),2))</f>
        <v>0</v>
      </c>
      <c r="AI87" s="21" t="n">
        <f aca="false">MIN(AC$16,ROUND(AC87*(1+AC$15),2))</f>
        <v>0</v>
      </c>
      <c r="AJ87" s="21" t="n">
        <f aca="false">MIN(AD$16,ROUND(AD87*(1+AD$15),2))</f>
        <v>0</v>
      </c>
      <c r="AK87" s="21" t="n">
        <f aca="false">Y$20-SUM(AE87:AJ87)</f>
        <v>1170</v>
      </c>
      <c r="AL87" s="21" t="n">
        <f aca="false">MIN(ROUND(Y87*(1+Y$15),2),AE87+MAX(0,AK87))</f>
        <v>0</v>
      </c>
      <c r="AM87" s="21" t="n">
        <f aca="false">MIN(ROUND(Z87*(1+Z$15),2),AF87+MAX(0,AK87-AL87+AE87))</f>
        <v>0</v>
      </c>
      <c r="AN87" s="21" t="n">
        <f aca="false">MIN(ROUND(AA87*(1+AA$15),2),AG87+MAX(0,AK87-AL87+AE87-AM87+AF87))</f>
        <v>0</v>
      </c>
      <c r="AO87" s="21" t="n">
        <f aca="false">MIN(ROUND(AB87*(1+AB$15),2),AH87+MAX(0,AK87-AL87+AE87-AM87+AF87-AN87+AG87))</f>
        <v>0</v>
      </c>
      <c r="AP87" s="21" t="n">
        <f aca="false">MIN(ROUND(AC87*(1+AC$15),2),AI87+MAX(0,AK87-AL87+AE87-AM87+AF87-AN87+AG87-AO87+AH87))</f>
        <v>0</v>
      </c>
      <c r="AQ87" s="21" t="n">
        <f aca="false">MIN(ROUND(AD87*(1+AD$15),2),AJ87+MAX(0,AK87-AL87+AE87-AM87+AF87-AN87+AG87-AO87+AH87-AP87+AI87))</f>
        <v>0</v>
      </c>
      <c r="AR87" s="21" t="n">
        <f aca="false">SUM(Y87:AD87)</f>
        <v>0</v>
      </c>
      <c r="AS87" s="21" t="n">
        <f aca="false">SUM(AL87:AQ87)</f>
        <v>0</v>
      </c>
    </row>
    <row r="88" customFormat="false" ht="15" hidden="false" customHeight="false" outlineLevel="0" collapsed="false">
      <c r="A88" s="25" t="n">
        <f aca="false">A87+1</f>
        <v>62</v>
      </c>
      <c r="B88" s="21" t="n">
        <f aca="false">MAX(0,ROUND(B87*(1+B$15),2)-O87)</f>
        <v>0</v>
      </c>
      <c r="C88" s="21" t="n">
        <f aca="false">MAX(0,ROUND(C87*(1+C$15),2)-P87)</f>
        <v>0</v>
      </c>
      <c r="D88" s="21" t="n">
        <f aca="false">MAX(0,ROUND(D87*(1+D$15),2)-Q87)</f>
        <v>0</v>
      </c>
      <c r="E88" s="21" t="n">
        <f aca="false">MAX(0,ROUND(E87*(1+E$15),2)-R87)</f>
        <v>0</v>
      </c>
      <c r="F88" s="21" t="n">
        <f aca="false">MAX(0,ROUND(F87*(1+F$15),2)-S87)</f>
        <v>0</v>
      </c>
      <c r="G88" s="21" t="n">
        <f aca="false">MAX(0,ROUND(G87*(1+G$15),2)-T87)</f>
        <v>0</v>
      </c>
      <c r="H88" s="21" t="n">
        <f aca="false">MIN(B$16,ROUND(B88*(1+B$15),2))</f>
        <v>0</v>
      </c>
      <c r="I88" s="21" t="n">
        <f aca="false">MIN(C$16,ROUND(C88*(1+C$15),2))</f>
        <v>0</v>
      </c>
      <c r="J88" s="21" t="n">
        <f aca="false">MIN(D$16,ROUND(D88*(1+D$15),2))</f>
        <v>0</v>
      </c>
      <c r="K88" s="21" t="n">
        <f aca="false">MIN(E$16,ROUND(E88*(1+E$15),2))</f>
        <v>0</v>
      </c>
      <c r="L88" s="21" t="n">
        <f aca="false">MIN(F$16,ROUND(F88*(1+F$15),2))</f>
        <v>0</v>
      </c>
      <c r="M88" s="21" t="n">
        <f aca="false">MIN(G$16,ROUND(G88*(1+G$15),2))</f>
        <v>0</v>
      </c>
      <c r="N88" s="21" t="n">
        <f aca="false">B$20-SUM(H88:M88)</f>
        <v>1170</v>
      </c>
      <c r="O88" s="21" t="n">
        <f aca="false">MIN(ROUND(B88*(1+B$15),2),H88+MAX(0,N88))</f>
        <v>0</v>
      </c>
      <c r="P88" s="21" t="n">
        <f aca="false">MIN(ROUND(C88*(1+C$15),2),I88+MAX(0,N88-O88+H88))</f>
        <v>0</v>
      </c>
      <c r="Q88" s="21" t="n">
        <f aca="false">MIN(ROUND(D88*(1+D$15),2),J88+MAX(0,N88-O88+H88-P88+I88))</f>
        <v>0</v>
      </c>
      <c r="R88" s="21" t="n">
        <f aca="false">MIN(ROUND(E88*(1+E$15),2),K88+MAX(0,N88-O88+H88-P88+I88-Q88+J88))</f>
        <v>0</v>
      </c>
      <c r="S88" s="21" t="n">
        <f aca="false">MIN(ROUND(F88*(1+F$15),2),L88+MAX(0,N88-O88+H88-P88+I88-Q88+J88-R88+K88))</f>
        <v>0</v>
      </c>
      <c r="T88" s="21" t="n">
        <f aca="false">MIN(ROUND(G88*(1+G$15),2),M88+MAX(0,N88-O88+H88-P88+I88-Q88+J88-R88+K88-S88+L88))</f>
        <v>0</v>
      </c>
      <c r="U88" s="21" t="n">
        <f aca="false">SUM(B88:G88)</f>
        <v>0</v>
      </c>
      <c r="V88" s="21" t="n">
        <f aca="false">SUM(O88:T88)</f>
        <v>0</v>
      </c>
      <c r="X88" s="25" t="n">
        <f aca="false">X87+1</f>
        <v>62</v>
      </c>
      <c r="Y88" s="21" t="n">
        <f aca="false">MAX(0,ROUND(Y87*(1+Y$15),2)-AL87)</f>
        <v>0</v>
      </c>
      <c r="Z88" s="21" t="n">
        <f aca="false">MAX(0,ROUND(Z87*(1+Z$15),2)-AM87)</f>
        <v>0</v>
      </c>
      <c r="AA88" s="21" t="n">
        <f aca="false">MAX(0,ROUND(AA87*(1+AA$15),2)-AN87)</f>
        <v>0</v>
      </c>
      <c r="AB88" s="21" t="n">
        <f aca="false">MAX(0,ROUND(AB87*(1+AB$15),2)-AO87)</f>
        <v>0</v>
      </c>
      <c r="AC88" s="21" t="n">
        <f aca="false">MAX(0,ROUND(AC87*(1+AC$15),2)-AP87)</f>
        <v>0</v>
      </c>
      <c r="AD88" s="21" t="n">
        <f aca="false">MAX(0,ROUND(AD87*(1+AD$15),2)-AQ87)</f>
        <v>0</v>
      </c>
      <c r="AE88" s="21" t="n">
        <f aca="false">MIN(Y$16,ROUND(Y88*(1+Y$15),2))</f>
        <v>0</v>
      </c>
      <c r="AF88" s="21" t="n">
        <f aca="false">MIN(Z$16,ROUND(Z88*(1+Z$15),2))</f>
        <v>0</v>
      </c>
      <c r="AG88" s="21" t="n">
        <f aca="false">MIN(AA$16,ROUND(AA88*(1+AA$15),2))</f>
        <v>0</v>
      </c>
      <c r="AH88" s="21" t="n">
        <f aca="false">MIN(AB$16,ROUND(AB88*(1+AB$15),2))</f>
        <v>0</v>
      </c>
      <c r="AI88" s="21" t="n">
        <f aca="false">MIN(AC$16,ROUND(AC88*(1+AC$15),2))</f>
        <v>0</v>
      </c>
      <c r="AJ88" s="21" t="n">
        <f aca="false">MIN(AD$16,ROUND(AD88*(1+AD$15),2))</f>
        <v>0</v>
      </c>
      <c r="AK88" s="21" t="n">
        <f aca="false">Y$20-SUM(AE88:AJ88)</f>
        <v>1170</v>
      </c>
      <c r="AL88" s="21" t="n">
        <f aca="false">MIN(ROUND(Y88*(1+Y$15),2),AE88+MAX(0,AK88))</f>
        <v>0</v>
      </c>
      <c r="AM88" s="21" t="n">
        <f aca="false">MIN(ROUND(Z88*(1+Z$15),2),AF88+MAX(0,AK88-AL88+AE88))</f>
        <v>0</v>
      </c>
      <c r="AN88" s="21" t="n">
        <f aca="false">MIN(ROUND(AA88*(1+AA$15),2),AG88+MAX(0,AK88-AL88+AE88-AM88+AF88))</f>
        <v>0</v>
      </c>
      <c r="AO88" s="21" t="n">
        <f aca="false">MIN(ROUND(AB88*(1+AB$15),2),AH88+MAX(0,AK88-AL88+AE88-AM88+AF88-AN88+AG88))</f>
        <v>0</v>
      </c>
      <c r="AP88" s="21" t="n">
        <f aca="false">MIN(ROUND(AC88*(1+AC$15),2),AI88+MAX(0,AK88-AL88+AE88-AM88+AF88-AN88+AG88-AO88+AH88))</f>
        <v>0</v>
      </c>
      <c r="AQ88" s="21" t="n">
        <f aca="false">MIN(ROUND(AD88*(1+AD$15),2),AJ88+MAX(0,AK88-AL88+AE88-AM88+AF88-AN88+AG88-AO88+AH88-AP88+AI88))</f>
        <v>0</v>
      </c>
      <c r="AR88" s="21" t="n">
        <f aca="false">SUM(Y88:AD88)</f>
        <v>0</v>
      </c>
      <c r="AS88" s="21" t="n">
        <f aca="false">SUM(AL88:AQ88)</f>
        <v>0</v>
      </c>
    </row>
    <row r="89" customFormat="false" ht="15" hidden="false" customHeight="false" outlineLevel="0" collapsed="false">
      <c r="A89" s="25" t="n">
        <f aca="false">A88+1</f>
        <v>63</v>
      </c>
      <c r="B89" s="21" t="n">
        <f aca="false">MAX(0,ROUND(B88*(1+B$15),2)-O88)</f>
        <v>0</v>
      </c>
      <c r="C89" s="21" t="n">
        <f aca="false">MAX(0,ROUND(C88*(1+C$15),2)-P88)</f>
        <v>0</v>
      </c>
      <c r="D89" s="21" t="n">
        <f aca="false">MAX(0,ROUND(D88*(1+D$15),2)-Q88)</f>
        <v>0</v>
      </c>
      <c r="E89" s="21" t="n">
        <f aca="false">MAX(0,ROUND(E88*(1+E$15),2)-R88)</f>
        <v>0</v>
      </c>
      <c r="F89" s="21" t="n">
        <f aca="false">MAX(0,ROUND(F88*(1+F$15),2)-S88)</f>
        <v>0</v>
      </c>
      <c r="G89" s="21" t="n">
        <f aca="false">MAX(0,ROUND(G88*(1+G$15),2)-T88)</f>
        <v>0</v>
      </c>
      <c r="H89" s="21" t="n">
        <f aca="false">MIN(B$16,ROUND(B89*(1+B$15),2))</f>
        <v>0</v>
      </c>
      <c r="I89" s="21" t="n">
        <f aca="false">MIN(C$16,ROUND(C89*(1+C$15),2))</f>
        <v>0</v>
      </c>
      <c r="J89" s="21" t="n">
        <f aca="false">MIN(D$16,ROUND(D89*(1+D$15),2))</f>
        <v>0</v>
      </c>
      <c r="K89" s="21" t="n">
        <f aca="false">MIN(E$16,ROUND(E89*(1+E$15),2))</f>
        <v>0</v>
      </c>
      <c r="L89" s="21" t="n">
        <f aca="false">MIN(F$16,ROUND(F89*(1+F$15),2))</f>
        <v>0</v>
      </c>
      <c r="M89" s="21" t="n">
        <f aca="false">MIN(G$16,ROUND(G89*(1+G$15),2))</f>
        <v>0</v>
      </c>
      <c r="N89" s="21" t="n">
        <f aca="false">B$20-SUM(H89:M89)</f>
        <v>1170</v>
      </c>
      <c r="O89" s="21" t="n">
        <f aca="false">MIN(ROUND(B89*(1+B$15),2),H89+MAX(0,N89))</f>
        <v>0</v>
      </c>
      <c r="P89" s="21" t="n">
        <f aca="false">MIN(ROUND(C89*(1+C$15),2),I89+MAX(0,N89-O89+H89))</f>
        <v>0</v>
      </c>
      <c r="Q89" s="21" t="n">
        <f aca="false">MIN(ROUND(D89*(1+D$15),2),J89+MAX(0,N89-O89+H89-P89+I89))</f>
        <v>0</v>
      </c>
      <c r="R89" s="21" t="n">
        <f aca="false">MIN(ROUND(E89*(1+E$15),2),K89+MAX(0,N89-O89+H89-P89+I89-Q89+J89))</f>
        <v>0</v>
      </c>
      <c r="S89" s="21" t="n">
        <f aca="false">MIN(ROUND(F89*(1+F$15),2),L89+MAX(0,N89-O89+H89-P89+I89-Q89+J89-R89+K89))</f>
        <v>0</v>
      </c>
      <c r="T89" s="21" t="n">
        <f aca="false">MIN(ROUND(G89*(1+G$15),2),M89+MAX(0,N89-O89+H89-P89+I89-Q89+J89-R89+K89-S89+L89))</f>
        <v>0</v>
      </c>
      <c r="U89" s="21" t="n">
        <f aca="false">SUM(B89:G89)</f>
        <v>0</v>
      </c>
      <c r="V89" s="21" t="n">
        <f aca="false">SUM(O89:T89)</f>
        <v>0</v>
      </c>
      <c r="X89" s="25" t="n">
        <f aca="false">X88+1</f>
        <v>63</v>
      </c>
      <c r="Y89" s="21" t="n">
        <f aca="false">MAX(0,ROUND(Y88*(1+Y$15),2)-AL88)</f>
        <v>0</v>
      </c>
      <c r="Z89" s="21" t="n">
        <f aca="false">MAX(0,ROUND(Z88*(1+Z$15),2)-AM88)</f>
        <v>0</v>
      </c>
      <c r="AA89" s="21" t="n">
        <f aca="false">MAX(0,ROUND(AA88*(1+AA$15),2)-AN88)</f>
        <v>0</v>
      </c>
      <c r="AB89" s="21" t="n">
        <f aca="false">MAX(0,ROUND(AB88*(1+AB$15),2)-AO88)</f>
        <v>0</v>
      </c>
      <c r="AC89" s="21" t="n">
        <f aca="false">MAX(0,ROUND(AC88*(1+AC$15),2)-AP88)</f>
        <v>0</v>
      </c>
      <c r="AD89" s="21" t="n">
        <f aca="false">MAX(0,ROUND(AD88*(1+AD$15),2)-AQ88)</f>
        <v>0</v>
      </c>
      <c r="AE89" s="21" t="n">
        <f aca="false">MIN(Y$16,ROUND(Y89*(1+Y$15),2))</f>
        <v>0</v>
      </c>
      <c r="AF89" s="21" t="n">
        <f aca="false">MIN(Z$16,ROUND(Z89*(1+Z$15),2))</f>
        <v>0</v>
      </c>
      <c r="AG89" s="21" t="n">
        <f aca="false">MIN(AA$16,ROUND(AA89*(1+AA$15),2))</f>
        <v>0</v>
      </c>
      <c r="AH89" s="21" t="n">
        <f aca="false">MIN(AB$16,ROUND(AB89*(1+AB$15),2))</f>
        <v>0</v>
      </c>
      <c r="AI89" s="21" t="n">
        <f aca="false">MIN(AC$16,ROUND(AC89*(1+AC$15),2))</f>
        <v>0</v>
      </c>
      <c r="AJ89" s="21" t="n">
        <f aca="false">MIN(AD$16,ROUND(AD89*(1+AD$15),2))</f>
        <v>0</v>
      </c>
      <c r="AK89" s="21" t="n">
        <f aca="false">Y$20-SUM(AE89:AJ89)</f>
        <v>1170</v>
      </c>
      <c r="AL89" s="21" t="n">
        <f aca="false">MIN(ROUND(Y89*(1+Y$15),2),AE89+MAX(0,AK89))</f>
        <v>0</v>
      </c>
      <c r="AM89" s="21" t="n">
        <f aca="false">MIN(ROUND(Z89*(1+Z$15),2),AF89+MAX(0,AK89-AL89+AE89))</f>
        <v>0</v>
      </c>
      <c r="AN89" s="21" t="n">
        <f aca="false">MIN(ROUND(AA89*(1+AA$15),2),AG89+MAX(0,AK89-AL89+AE89-AM89+AF89))</f>
        <v>0</v>
      </c>
      <c r="AO89" s="21" t="n">
        <f aca="false">MIN(ROUND(AB89*(1+AB$15),2),AH89+MAX(0,AK89-AL89+AE89-AM89+AF89-AN89+AG89))</f>
        <v>0</v>
      </c>
      <c r="AP89" s="21" t="n">
        <f aca="false">MIN(ROUND(AC89*(1+AC$15),2),AI89+MAX(0,AK89-AL89+AE89-AM89+AF89-AN89+AG89-AO89+AH89))</f>
        <v>0</v>
      </c>
      <c r="AQ89" s="21" t="n">
        <f aca="false">MIN(ROUND(AD89*(1+AD$15),2),AJ89+MAX(0,AK89-AL89+AE89-AM89+AF89-AN89+AG89-AO89+AH89-AP89+AI89))</f>
        <v>0</v>
      </c>
      <c r="AR89" s="21" t="n">
        <f aca="false">SUM(Y89:AD89)</f>
        <v>0</v>
      </c>
      <c r="AS89" s="21" t="n">
        <f aca="false">SUM(AL89:AQ89)</f>
        <v>0</v>
      </c>
    </row>
    <row r="90" customFormat="false" ht="15" hidden="false" customHeight="false" outlineLevel="0" collapsed="false">
      <c r="A90" s="25" t="n">
        <f aca="false">A89+1</f>
        <v>64</v>
      </c>
      <c r="B90" s="21" t="n">
        <f aca="false">MAX(0,ROUND(B89*(1+B$15),2)-O89)</f>
        <v>0</v>
      </c>
      <c r="C90" s="21" t="n">
        <f aca="false">MAX(0,ROUND(C89*(1+C$15),2)-P89)</f>
        <v>0</v>
      </c>
      <c r="D90" s="21" t="n">
        <f aca="false">MAX(0,ROUND(D89*(1+D$15),2)-Q89)</f>
        <v>0</v>
      </c>
      <c r="E90" s="21" t="n">
        <f aca="false">MAX(0,ROUND(E89*(1+E$15),2)-R89)</f>
        <v>0</v>
      </c>
      <c r="F90" s="21" t="n">
        <f aca="false">MAX(0,ROUND(F89*(1+F$15),2)-S89)</f>
        <v>0</v>
      </c>
      <c r="G90" s="21" t="n">
        <f aca="false">MAX(0,ROUND(G89*(1+G$15),2)-T89)</f>
        <v>0</v>
      </c>
      <c r="H90" s="21" t="n">
        <f aca="false">MIN(B$16,ROUND(B90*(1+B$15),2))</f>
        <v>0</v>
      </c>
      <c r="I90" s="21" t="n">
        <f aca="false">MIN(C$16,ROUND(C90*(1+C$15),2))</f>
        <v>0</v>
      </c>
      <c r="J90" s="21" t="n">
        <f aca="false">MIN(D$16,ROUND(D90*(1+D$15),2))</f>
        <v>0</v>
      </c>
      <c r="K90" s="21" t="n">
        <f aca="false">MIN(E$16,ROUND(E90*(1+E$15),2))</f>
        <v>0</v>
      </c>
      <c r="L90" s="21" t="n">
        <f aca="false">MIN(F$16,ROUND(F90*(1+F$15),2))</f>
        <v>0</v>
      </c>
      <c r="M90" s="21" t="n">
        <f aca="false">MIN(G$16,ROUND(G90*(1+G$15),2))</f>
        <v>0</v>
      </c>
      <c r="N90" s="21" t="n">
        <f aca="false">B$20-SUM(H90:M90)</f>
        <v>1170</v>
      </c>
      <c r="O90" s="21" t="n">
        <f aca="false">MIN(ROUND(B90*(1+B$15),2),H90+MAX(0,N90))</f>
        <v>0</v>
      </c>
      <c r="P90" s="21" t="n">
        <f aca="false">MIN(ROUND(C90*(1+C$15),2),I90+MAX(0,N90-O90+H90))</f>
        <v>0</v>
      </c>
      <c r="Q90" s="21" t="n">
        <f aca="false">MIN(ROUND(D90*(1+D$15),2),J90+MAX(0,N90-O90+H90-P90+I90))</f>
        <v>0</v>
      </c>
      <c r="R90" s="21" t="n">
        <f aca="false">MIN(ROUND(E90*(1+E$15),2),K90+MAX(0,N90-O90+H90-P90+I90-Q90+J90))</f>
        <v>0</v>
      </c>
      <c r="S90" s="21" t="n">
        <f aca="false">MIN(ROUND(F90*(1+F$15),2),L90+MAX(0,N90-O90+H90-P90+I90-Q90+J90-R90+K90))</f>
        <v>0</v>
      </c>
      <c r="T90" s="21" t="n">
        <f aca="false">MIN(ROUND(G90*(1+G$15),2),M90+MAX(0,N90-O90+H90-P90+I90-Q90+J90-R90+K90-S90+L90))</f>
        <v>0</v>
      </c>
      <c r="U90" s="21" t="n">
        <f aca="false">SUM(B90:G90)</f>
        <v>0</v>
      </c>
      <c r="V90" s="21" t="n">
        <f aca="false">SUM(O90:T90)</f>
        <v>0</v>
      </c>
      <c r="X90" s="25" t="n">
        <f aca="false">X89+1</f>
        <v>64</v>
      </c>
      <c r="Y90" s="21" t="n">
        <f aca="false">MAX(0,ROUND(Y89*(1+Y$15),2)-AL89)</f>
        <v>0</v>
      </c>
      <c r="Z90" s="21" t="n">
        <f aca="false">MAX(0,ROUND(Z89*(1+Z$15),2)-AM89)</f>
        <v>0</v>
      </c>
      <c r="AA90" s="21" t="n">
        <f aca="false">MAX(0,ROUND(AA89*(1+AA$15),2)-AN89)</f>
        <v>0</v>
      </c>
      <c r="AB90" s="21" t="n">
        <f aca="false">MAX(0,ROUND(AB89*(1+AB$15),2)-AO89)</f>
        <v>0</v>
      </c>
      <c r="AC90" s="21" t="n">
        <f aca="false">MAX(0,ROUND(AC89*(1+AC$15),2)-AP89)</f>
        <v>0</v>
      </c>
      <c r="AD90" s="21" t="n">
        <f aca="false">MAX(0,ROUND(AD89*(1+AD$15),2)-AQ89)</f>
        <v>0</v>
      </c>
      <c r="AE90" s="21" t="n">
        <f aca="false">MIN(Y$16,ROUND(Y90*(1+Y$15),2))</f>
        <v>0</v>
      </c>
      <c r="AF90" s="21" t="n">
        <f aca="false">MIN(Z$16,ROUND(Z90*(1+Z$15),2))</f>
        <v>0</v>
      </c>
      <c r="AG90" s="21" t="n">
        <f aca="false">MIN(AA$16,ROUND(AA90*(1+AA$15),2))</f>
        <v>0</v>
      </c>
      <c r="AH90" s="21" t="n">
        <f aca="false">MIN(AB$16,ROUND(AB90*(1+AB$15),2))</f>
        <v>0</v>
      </c>
      <c r="AI90" s="21" t="n">
        <f aca="false">MIN(AC$16,ROUND(AC90*(1+AC$15),2))</f>
        <v>0</v>
      </c>
      <c r="AJ90" s="21" t="n">
        <f aca="false">MIN(AD$16,ROUND(AD90*(1+AD$15),2))</f>
        <v>0</v>
      </c>
      <c r="AK90" s="21" t="n">
        <f aca="false">Y$20-SUM(AE90:AJ90)</f>
        <v>1170</v>
      </c>
      <c r="AL90" s="21" t="n">
        <f aca="false">MIN(ROUND(Y90*(1+Y$15),2),AE90+MAX(0,AK90))</f>
        <v>0</v>
      </c>
      <c r="AM90" s="21" t="n">
        <f aca="false">MIN(ROUND(Z90*(1+Z$15),2),AF90+MAX(0,AK90-AL90+AE90))</f>
        <v>0</v>
      </c>
      <c r="AN90" s="21" t="n">
        <f aca="false">MIN(ROUND(AA90*(1+AA$15),2),AG90+MAX(0,AK90-AL90+AE90-AM90+AF90))</f>
        <v>0</v>
      </c>
      <c r="AO90" s="21" t="n">
        <f aca="false">MIN(ROUND(AB90*(1+AB$15),2),AH90+MAX(0,AK90-AL90+AE90-AM90+AF90-AN90+AG90))</f>
        <v>0</v>
      </c>
      <c r="AP90" s="21" t="n">
        <f aca="false">MIN(ROUND(AC90*(1+AC$15),2),AI90+MAX(0,AK90-AL90+AE90-AM90+AF90-AN90+AG90-AO90+AH90))</f>
        <v>0</v>
      </c>
      <c r="AQ90" s="21" t="n">
        <f aca="false">MIN(ROUND(AD90*(1+AD$15),2),AJ90+MAX(0,AK90-AL90+AE90-AM90+AF90-AN90+AG90-AO90+AH90-AP90+AI90))</f>
        <v>0</v>
      </c>
      <c r="AR90" s="21" t="n">
        <f aca="false">SUM(Y90:AD90)</f>
        <v>0</v>
      </c>
      <c r="AS90" s="21" t="n">
        <f aca="false">SUM(AL90:AQ90)</f>
        <v>0</v>
      </c>
    </row>
    <row r="91" customFormat="false" ht="15" hidden="false" customHeight="false" outlineLevel="0" collapsed="false">
      <c r="A91" s="25" t="n">
        <f aca="false">A90+1</f>
        <v>65</v>
      </c>
      <c r="B91" s="21" t="n">
        <f aca="false">MAX(0,ROUND(B90*(1+B$15),2)-O90)</f>
        <v>0</v>
      </c>
      <c r="C91" s="21" t="n">
        <f aca="false">MAX(0,ROUND(C90*(1+C$15),2)-P90)</f>
        <v>0</v>
      </c>
      <c r="D91" s="21" t="n">
        <f aca="false">MAX(0,ROUND(D90*(1+D$15),2)-Q90)</f>
        <v>0</v>
      </c>
      <c r="E91" s="21" t="n">
        <f aca="false">MAX(0,ROUND(E90*(1+E$15),2)-R90)</f>
        <v>0</v>
      </c>
      <c r="F91" s="21" t="n">
        <f aca="false">MAX(0,ROUND(F90*(1+F$15),2)-S90)</f>
        <v>0</v>
      </c>
      <c r="G91" s="21" t="n">
        <f aca="false">MAX(0,ROUND(G90*(1+G$15),2)-T90)</f>
        <v>0</v>
      </c>
      <c r="H91" s="21" t="n">
        <f aca="false">MIN(B$16,ROUND(B91*(1+B$15),2))</f>
        <v>0</v>
      </c>
      <c r="I91" s="21" t="n">
        <f aca="false">MIN(C$16,ROUND(C91*(1+C$15),2))</f>
        <v>0</v>
      </c>
      <c r="J91" s="21" t="n">
        <f aca="false">MIN(D$16,ROUND(D91*(1+D$15),2))</f>
        <v>0</v>
      </c>
      <c r="K91" s="21" t="n">
        <f aca="false">MIN(E$16,ROUND(E91*(1+E$15),2))</f>
        <v>0</v>
      </c>
      <c r="L91" s="21" t="n">
        <f aca="false">MIN(F$16,ROUND(F91*(1+F$15),2))</f>
        <v>0</v>
      </c>
      <c r="M91" s="21" t="n">
        <f aca="false">MIN(G$16,ROUND(G91*(1+G$15),2))</f>
        <v>0</v>
      </c>
      <c r="N91" s="21" t="n">
        <f aca="false">B$20-SUM(H91:M91)</f>
        <v>1170</v>
      </c>
      <c r="O91" s="21" t="n">
        <f aca="false">MIN(ROUND(B91*(1+B$15),2),H91+MAX(0,N91))</f>
        <v>0</v>
      </c>
      <c r="P91" s="21" t="n">
        <f aca="false">MIN(ROUND(C91*(1+C$15),2),I91+MAX(0,N91-O91+H91))</f>
        <v>0</v>
      </c>
      <c r="Q91" s="21" t="n">
        <f aca="false">MIN(ROUND(D91*(1+D$15),2),J91+MAX(0,N91-O91+H91-P91+I91))</f>
        <v>0</v>
      </c>
      <c r="R91" s="21" t="n">
        <f aca="false">MIN(ROUND(E91*(1+E$15),2),K91+MAX(0,N91-O91+H91-P91+I91-Q91+J91))</f>
        <v>0</v>
      </c>
      <c r="S91" s="21" t="n">
        <f aca="false">MIN(ROUND(F91*(1+F$15),2),L91+MAX(0,N91-O91+H91-P91+I91-Q91+J91-R91+K91))</f>
        <v>0</v>
      </c>
      <c r="T91" s="21" t="n">
        <f aca="false">MIN(ROUND(G91*(1+G$15),2),M91+MAX(0,N91-O91+H91-P91+I91-Q91+J91-R91+K91-S91+L91))</f>
        <v>0</v>
      </c>
      <c r="U91" s="21" t="n">
        <f aca="false">SUM(B91:G91)</f>
        <v>0</v>
      </c>
      <c r="V91" s="21" t="n">
        <f aca="false">SUM(O91:T91)</f>
        <v>0</v>
      </c>
      <c r="X91" s="25" t="n">
        <f aca="false">X90+1</f>
        <v>65</v>
      </c>
      <c r="Y91" s="21" t="n">
        <f aca="false">MAX(0,ROUND(Y90*(1+Y$15),2)-AL90)</f>
        <v>0</v>
      </c>
      <c r="Z91" s="21" t="n">
        <f aca="false">MAX(0,ROUND(Z90*(1+Z$15),2)-AM90)</f>
        <v>0</v>
      </c>
      <c r="AA91" s="21" t="n">
        <f aca="false">MAX(0,ROUND(AA90*(1+AA$15),2)-AN90)</f>
        <v>0</v>
      </c>
      <c r="AB91" s="21" t="n">
        <f aca="false">MAX(0,ROUND(AB90*(1+AB$15),2)-AO90)</f>
        <v>0</v>
      </c>
      <c r="AC91" s="21" t="n">
        <f aca="false">MAX(0,ROUND(AC90*(1+AC$15),2)-AP90)</f>
        <v>0</v>
      </c>
      <c r="AD91" s="21" t="n">
        <f aca="false">MAX(0,ROUND(AD90*(1+AD$15),2)-AQ90)</f>
        <v>0</v>
      </c>
      <c r="AE91" s="21" t="n">
        <f aca="false">MIN(Y$16,ROUND(Y91*(1+Y$15),2))</f>
        <v>0</v>
      </c>
      <c r="AF91" s="21" t="n">
        <f aca="false">MIN(Z$16,ROUND(Z91*(1+Z$15),2))</f>
        <v>0</v>
      </c>
      <c r="AG91" s="21" t="n">
        <f aca="false">MIN(AA$16,ROUND(AA91*(1+AA$15),2))</f>
        <v>0</v>
      </c>
      <c r="AH91" s="21" t="n">
        <f aca="false">MIN(AB$16,ROUND(AB91*(1+AB$15),2))</f>
        <v>0</v>
      </c>
      <c r="AI91" s="21" t="n">
        <f aca="false">MIN(AC$16,ROUND(AC91*(1+AC$15),2))</f>
        <v>0</v>
      </c>
      <c r="AJ91" s="21" t="n">
        <f aca="false">MIN(AD$16,ROUND(AD91*(1+AD$15),2))</f>
        <v>0</v>
      </c>
      <c r="AK91" s="21" t="n">
        <f aca="false">Y$20-SUM(AE91:AJ91)</f>
        <v>1170</v>
      </c>
      <c r="AL91" s="21" t="n">
        <f aca="false">MIN(ROUND(Y91*(1+Y$15),2),AE91+MAX(0,AK91))</f>
        <v>0</v>
      </c>
      <c r="AM91" s="21" t="n">
        <f aca="false">MIN(ROUND(Z91*(1+Z$15),2),AF91+MAX(0,AK91-AL91+AE91))</f>
        <v>0</v>
      </c>
      <c r="AN91" s="21" t="n">
        <f aca="false">MIN(ROUND(AA91*(1+AA$15),2),AG91+MAX(0,AK91-AL91+AE91-AM91+AF91))</f>
        <v>0</v>
      </c>
      <c r="AO91" s="21" t="n">
        <f aca="false">MIN(ROUND(AB91*(1+AB$15),2),AH91+MAX(0,AK91-AL91+AE91-AM91+AF91-AN91+AG91))</f>
        <v>0</v>
      </c>
      <c r="AP91" s="21" t="n">
        <f aca="false">MIN(ROUND(AC91*(1+AC$15),2),AI91+MAX(0,AK91-AL91+AE91-AM91+AF91-AN91+AG91-AO91+AH91))</f>
        <v>0</v>
      </c>
      <c r="AQ91" s="21" t="n">
        <f aca="false">MIN(ROUND(AD91*(1+AD$15),2),AJ91+MAX(0,AK91-AL91+AE91-AM91+AF91-AN91+AG91-AO91+AH91-AP91+AI91))</f>
        <v>0</v>
      </c>
      <c r="AR91" s="21" t="n">
        <f aca="false">SUM(Y91:AD91)</f>
        <v>0</v>
      </c>
      <c r="AS91" s="21" t="n">
        <f aca="false">SUM(AL91:AQ91)</f>
        <v>0</v>
      </c>
    </row>
    <row r="92" customFormat="false" ht="15" hidden="false" customHeight="false" outlineLevel="0" collapsed="false">
      <c r="A92" s="25" t="n">
        <f aca="false">A91+1</f>
        <v>66</v>
      </c>
      <c r="B92" s="21" t="n">
        <f aca="false">MAX(0,ROUND(B91*(1+B$15),2)-O91)</f>
        <v>0</v>
      </c>
      <c r="C92" s="21" t="n">
        <f aca="false">MAX(0,ROUND(C91*(1+C$15),2)-P91)</f>
        <v>0</v>
      </c>
      <c r="D92" s="21" t="n">
        <f aca="false">MAX(0,ROUND(D91*(1+D$15),2)-Q91)</f>
        <v>0</v>
      </c>
      <c r="E92" s="21" t="n">
        <f aca="false">MAX(0,ROUND(E91*(1+E$15),2)-R91)</f>
        <v>0</v>
      </c>
      <c r="F92" s="21" t="n">
        <f aca="false">MAX(0,ROUND(F91*(1+F$15),2)-S91)</f>
        <v>0</v>
      </c>
      <c r="G92" s="21" t="n">
        <f aca="false">MAX(0,ROUND(G91*(1+G$15),2)-T91)</f>
        <v>0</v>
      </c>
      <c r="H92" s="21" t="n">
        <f aca="false">MIN(B$16,ROUND(B92*(1+B$15),2))</f>
        <v>0</v>
      </c>
      <c r="I92" s="21" t="n">
        <f aca="false">MIN(C$16,ROUND(C92*(1+C$15),2))</f>
        <v>0</v>
      </c>
      <c r="J92" s="21" t="n">
        <f aca="false">MIN(D$16,ROUND(D92*(1+D$15),2))</f>
        <v>0</v>
      </c>
      <c r="K92" s="21" t="n">
        <f aca="false">MIN(E$16,ROUND(E92*(1+E$15),2))</f>
        <v>0</v>
      </c>
      <c r="L92" s="21" t="n">
        <f aca="false">MIN(F$16,ROUND(F92*(1+F$15),2))</f>
        <v>0</v>
      </c>
      <c r="M92" s="21" t="n">
        <f aca="false">MIN(G$16,ROUND(G92*(1+G$15),2))</f>
        <v>0</v>
      </c>
      <c r="N92" s="21" t="n">
        <f aca="false">B$20-SUM(H92:M92)</f>
        <v>1170</v>
      </c>
      <c r="O92" s="21" t="n">
        <f aca="false">MIN(ROUND(B92*(1+B$15),2),H92+MAX(0,N92))</f>
        <v>0</v>
      </c>
      <c r="P92" s="21" t="n">
        <f aca="false">MIN(ROUND(C92*(1+C$15),2),I92+MAX(0,N92-O92+H92))</f>
        <v>0</v>
      </c>
      <c r="Q92" s="21" t="n">
        <f aca="false">MIN(ROUND(D92*(1+D$15),2),J92+MAX(0,N92-O92+H92-P92+I92))</f>
        <v>0</v>
      </c>
      <c r="R92" s="21" t="n">
        <f aca="false">MIN(ROUND(E92*(1+E$15),2),K92+MAX(0,N92-O92+H92-P92+I92-Q92+J92))</f>
        <v>0</v>
      </c>
      <c r="S92" s="21" t="n">
        <f aca="false">MIN(ROUND(F92*(1+F$15),2),L92+MAX(0,N92-O92+H92-P92+I92-Q92+J92-R92+K92))</f>
        <v>0</v>
      </c>
      <c r="T92" s="21" t="n">
        <f aca="false">MIN(ROUND(G92*(1+G$15),2),M92+MAX(0,N92-O92+H92-P92+I92-Q92+J92-R92+K92-S92+L92))</f>
        <v>0</v>
      </c>
      <c r="U92" s="21" t="n">
        <f aca="false">SUM(B92:G92)</f>
        <v>0</v>
      </c>
      <c r="V92" s="21" t="n">
        <f aca="false">SUM(O92:T92)</f>
        <v>0</v>
      </c>
      <c r="X92" s="25" t="n">
        <f aca="false">X91+1</f>
        <v>66</v>
      </c>
      <c r="Y92" s="21" t="n">
        <f aca="false">MAX(0,ROUND(Y91*(1+Y$15),2)-AL91)</f>
        <v>0</v>
      </c>
      <c r="Z92" s="21" t="n">
        <f aca="false">MAX(0,ROUND(Z91*(1+Z$15),2)-AM91)</f>
        <v>0</v>
      </c>
      <c r="AA92" s="21" t="n">
        <f aca="false">MAX(0,ROUND(AA91*(1+AA$15),2)-AN91)</f>
        <v>0</v>
      </c>
      <c r="AB92" s="21" t="n">
        <f aca="false">MAX(0,ROUND(AB91*(1+AB$15),2)-AO91)</f>
        <v>0</v>
      </c>
      <c r="AC92" s="21" t="n">
        <f aca="false">MAX(0,ROUND(AC91*(1+AC$15),2)-AP91)</f>
        <v>0</v>
      </c>
      <c r="AD92" s="21" t="n">
        <f aca="false">MAX(0,ROUND(AD91*(1+AD$15),2)-AQ91)</f>
        <v>0</v>
      </c>
      <c r="AE92" s="21" t="n">
        <f aca="false">MIN(Y$16,ROUND(Y92*(1+Y$15),2))</f>
        <v>0</v>
      </c>
      <c r="AF92" s="21" t="n">
        <f aca="false">MIN(Z$16,ROUND(Z92*(1+Z$15),2))</f>
        <v>0</v>
      </c>
      <c r="AG92" s="21" t="n">
        <f aca="false">MIN(AA$16,ROUND(AA92*(1+AA$15),2))</f>
        <v>0</v>
      </c>
      <c r="AH92" s="21" t="n">
        <f aca="false">MIN(AB$16,ROUND(AB92*(1+AB$15),2))</f>
        <v>0</v>
      </c>
      <c r="AI92" s="21" t="n">
        <f aca="false">MIN(AC$16,ROUND(AC92*(1+AC$15),2))</f>
        <v>0</v>
      </c>
      <c r="AJ92" s="21" t="n">
        <f aca="false">MIN(AD$16,ROUND(AD92*(1+AD$15),2))</f>
        <v>0</v>
      </c>
      <c r="AK92" s="21" t="n">
        <f aca="false">Y$20-SUM(AE92:AJ92)</f>
        <v>1170</v>
      </c>
      <c r="AL92" s="21" t="n">
        <f aca="false">MIN(ROUND(Y92*(1+Y$15),2),AE92+MAX(0,AK92))</f>
        <v>0</v>
      </c>
      <c r="AM92" s="21" t="n">
        <f aca="false">MIN(ROUND(Z92*(1+Z$15),2),AF92+MAX(0,AK92-AL92+AE92))</f>
        <v>0</v>
      </c>
      <c r="AN92" s="21" t="n">
        <f aca="false">MIN(ROUND(AA92*(1+AA$15),2),AG92+MAX(0,AK92-AL92+AE92-AM92+AF92))</f>
        <v>0</v>
      </c>
      <c r="AO92" s="21" t="n">
        <f aca="false">MIN(ROUND(AB92*(1+AB$15),2),AH92+MAX(0,AK92-AL92+AE92-AM92+AF92-AN92+AG92))</f>
        <v>0</v>
      </c>
      <c r="AP92" s="21" t="n">
        <f aca="false">MIN(ROUND(AC92*(1+AC$15),2),AI92+MAX(0,AK92-AL92+AE92-AM92+AF92-AN92+AG92-AO92+AH92))</f>
        <v>0</v>
      </c>
      <c r="AQ92" s="21" t="n">
        <f aca="false">MIN(ROUND(AD92*(1+AD$15),2),AJ92+MAX(0,AK92-AL92+AE92-AM92+AF92-AN92+AG92-AO92+AH92-AP92+AI92))</f>
        <v>0</v>
      </c>
      <c r="AR92" s="21" t="n">
        <f aca="false">SUM(Y92:AD92)</f>
        <v>0</v>
      </c>
      <c r="AS92" s="21" t="n">
        <f aca="false">SUM(AL92:AQ92)</f>
        <v>0</v>
      </c>
    </row>
    <row r="93" customFormat="false" ht="15" hidden="false" customHeight="false" outlineLevel="0" collapsed="false">
      <c r="A93" s="25" t="n">
        <f aca="false">A92+1</f>
        <v>67</v>
      </c>
      <c r="B93" s="21" t="n">
        <f aca="false">MAX(0,ROUND(B92*(1+B$15),2)-O92)</f>
        <v>0</v>
      </c>
      <c r="C93" s="21" t="n">
        <f aca="false">MAX(0,ROUND(C92*(1+C$15),2)-P92)</f>
        <v>0</v>
      </c>
      <c r="D93" s="21" t="n">
        <f aca="false">MAX(0,ROUND(D92*(1+D$15),2)-Q92)</f>
        <v>0</v>
      </c>
      <c r="E93" s="21" t="n">
        <f aca="false">MAX(0,ROUND(E92*(1+E$15),2)-R92)</f>
        <v>0</v>
      </c>
      <c r="F93" s="21" t="n">
        <f aca="false">MAX(0,ROUND(F92*(1+F$15),2)-S92)</f>
        <v>0</v>
      </c>
      <c r="G93" s="21" t="n">
        <f aca="false">MAX(0,ROUND(G92*(1+G$15),2)-T92)</f>
        <v>0</v>
      </c>
      <c r="H93" s="21" t="n">
        <f aca="false">MIN(B$16,ROUND(B93*(1+B$15),2))</f>
        <v>0</v>
      </c>
      <c r="I93" s="21" t="n">
        <f aca="false">MIN(C$16,ROUND(C93*(1+C$15),2))</f>
        <v>0</v>
      </c>
      <c r="J93" s="21" t="n">
        <f aca="false">MIN(D$16,ROUND(D93*(1+D$15),2))</f>
        <v>0</v>
      </c>
      <c r="K93" s="21" t="n">
        <f aca="false">MIN(E$16,ROUND(E93*(1+E$15),2))</f>
        <v>0</v>
      </c>
      <c r="L93" s="21" t="n">
        <f aca="false">MIN(F$16,ROUND(F93*(1+F$15),2))</f>
        <v>0</v>
      </c>
      <c r="M93" s="21" t="n">
        <f aca="false">MIN(G$16,ROUND(G93*(1+G$15),2))</f>
        <v>0</v>
      </c>
      <c r="N93" s="21" t="n">
        <f aca="false">B$20-SUM(H93:M93)</f>
        <v>1170</v>
      </c>
      <c r="O93" s="21" t="n">
        <f aca="false">MIN(ROUND(B93*(1+B$15),2),H93+MAX(0,N93))</f>
        <v>0</v>
      </c>
      <c r="P93" s="21" t="n">
        <f aca="false">MIN(ROUND(C93*(1+C$15),2),I93+MAX(0,N93-O93+H93))</f>
        <v>0</v>
      </c>
      <c r="Q93" s="21" t="n">
        <f aca="false">MIN(ROUND(D93*(1+D$15),2),J93+MAX(0,N93-O93+H93-P93+I93))</f>
        <v>0</v>
      </c>
      <c r="R93" s="21" t="n">
        <f aca="false">MIN(ROUND(E93*(1+E$15),2),K93+MAX(0,N93-O93+H93-P93+I93-Q93+J93))</f>
        <v>0</v>
      </c>
      <c r="S93" s="21" t="n">
        <f aca="false">MIN(ROUND(F93*(1+F$15),2),L93+MAX(0,N93-O93+H93-P93+I93-Q93+J93-R93+K93))</f>
        <v>0</v>
      </c>
      <c r="T93" s="21" t="n">
        <f aca="false">MIN(ROUND(G93*(1+G$15),2),M93+MAX(0,N93-O93+H93-P93+I93-Q93+J93-R93+K93-S93+L93))</f>
        <v>0</v>
      </c>
      <c r="U93" s="21" t="n">
        <f aca="false">SUM(B93:G93)</f>
        <v>0</v>
      </c>
      <c r="V93" s="21" t="n">
        <f aca="false">SUM(O93:T93)</f>
        <v>0</v>
      </c>
      <c r="X93" s="25" t="n">
        <f aca="false">X92+1</f>
        <v>67</v>
      </c>
      <c r="Y93" s="21" t="n">
        <f aca="false">MAX(0,ROUND(Y92*(1+Y$15),2)-AL92)</f>
        <v>0</v>
      </c>
      <c r="Z93" s="21" t="n">
        <f aca="false">MAX(0,ROUND(Z92*(1+Z$15),2)-AM92)</f>
        <v>0</v>
      </c>
      <c r="AA93" s="21" t="n">
        <f aca="false">MAX(0,ROUND(AA92*(1+AA$15),2)-AN92)</f>
        <v>0</v>
      </c>
      <c r="AB93" s="21" t="n">
        <f aca="false">MAX(0,ROUND(AB92*(1+AB$15),2)-AO92)</f>
        <v>0</v>
      </c>
      <c r="AC93" s="21" t="n">
        <f aca="false">MAX(0,ROUND(AC92*(1+AC$15),2)-AP92)</f>
        <v>0</v>
      </c>
      <c r="AD93" s="21" t="n">
        <f aca="false">MAX(0,ROUND(AD92*(1+AD$15),2)-AQ92)</f>
        <v>0</v>
      </c>
      <c r="AE93" s="21" t="n">
        <f aca="false">MIN(Y$16,ROUND(Y93*(1+Y$15),2))</f>
        <v>0</v>
      </c>
      <c r="AF93" s="21" t="n">
        <f aca="false">MIN(Z$16,ROUND(Z93*(1+Z$15),2))</f>
        <v>0</v>
      </c>
      <c r="AG93" s="21" t="n">
        <f aca="false">MIN(AA$16,ROUND(AA93*(1+AA$15),2))</f>
        <v>0</v>
      </c>
      <c r="AH93" s="21" t="n">
        <f aca="false">MIN(AB$16,ROUND(AB93*(1+AB$15),2))</f>
        <v>0</v>
      </c>
      <c r="AI93" s="21" t="n">
        <f aca="false">MIN(AC$16,ROUND(AC93*(1+AC$15),2))</f>
        <v>0</v>
      </c>
      <c r="AJ93" s="21" t="n">
        <f aca="false">MIN(AD$16,ROUND(AD93*(1+AD$15),2))</f>
        <v>0</v>
      </c>
      <c r="AK93" s="21" t="n">
        <f aca="false">Y$20-SUM(AE93:AJ93)</f>
        <v>1170</v>
      </c>
      <c r="AL93" s="21" t="n">
        <f aca="false">MIN(ROUND(Y93*(1+Y$15),2),AE93+MAX(0,AK93))</f>
        <v>0</v>
      </c>
      <c r="AM93" s="21" t="n">
        <f aca="false">MIN(ROUND(Z93*(1+Z$15),2),AF93+MAX(0,AK93-AL93+AE93))</f>
        <v>0</v>
      </c>
      <c r="AN93" s="21" t="n">
        <f aca="false">MIN(ROUND(AA93*(1+AA$15),2),AG93+MAX(0,AK93-AL93+AE93-AM93+AF93))</f>
        <v>0</v>
      </c>
      <c r="AO93" s="21" t="n">
        <f aca="false">MIN(ROUND(AB93*(1+AB$15),2),AH93+MAX(0,AK93-AL93+AE93-AM93+AF93-AN93+AG93))</f>
        <v>0</v>
      </c>
      <c r="AP93" s="21" t="n">
        <f aca="false">MIN(ROUND(AC93*(1+AC$15),2),AI93+MAX(0,AK93-AL93+AE93-AM93+AF93-AN93+AG93-AO93+AH93))</f>
        <v>0</v>
      </c>
      <c r="AQ93" s="21" t="n">
        <f aca="false">MIN(ROUND(AD93*(1+AD$15),2),AJ93+MAX(0,AK93-AL93+AE93-AM93+AF93-AN93+AG93-AO93+AH93-AP93+AI93))</f>
        <v>0</v>
      </c>
      <c r="AR93" s="21" t="n">
        <f aca="false">SUM(Y93:AD93)</f>
        <v>0</v>
      </c>
      <c r="AS93" s="21" t="n">
        <f aca="false">SUM(AL93:AQ93)</f>
        <v>0</v>
      </c>
    </row>
    <row r="94" customFormat="false" ht="15" hidden="false" customHeight="false" outlineLevel="0" collapsed="false">
      <c r="A94" s="25" t="n">
        <f aca="false">A93+1</f>
        <v>68</v>
      </c>
      <c r="B94" s="21" t="n">
        <f aca="false">MAX(0,ROUND(B93*(1+B$15),2)-O93)</f>
        <v>0</v>
      </c>
      <c r="C94" s="21" t="n">
        <f aca="false">MAX(0,ROUND(C93*(1+C$15),2)-P93)</f>
        <v>0</v>
      </c>
      <c r="D94" s="21" t="n">
        <f aca="false">MAX(0,ROUND(D93*(1+D$15),2)-Q93)</f>
        <v>0</v>
      </c>
      <c r="E94" s="21" t="n">
        <f aca="false">MAX(0,ROUND(E93*(1+E$15),2)-R93)</f>
        <v>0</v>
      </c>
      <c r="F94" s="21" t="n">
        <f aca="false">MAX(0,ROUND(F93*(1+F$15),2)-S93)</f>
        <v>0</v>
      </c>
      <c r="G94" s="21" t="n">
        <f aca="false">MAX(0,ROUND(G93*(1+G$15),2)-T93)</f>
        <v>0</v>
      </c>
      <c r="H94" s="21" t="n">
        <f aca="false">MIN(B$16,ROUND(B94*(1+B$15),2))</f>
        <v>0</v>
      </c>
      <c r="I94" s="21" t="n">
        <f aca="false">MIN(C$16,ROUND(C94*(1+C$15),2))</f>
        <v>0</v>
      </c>
      <c r="J94" s="21" t="n">
        <f aca="false">MIN(D$16,ROUND(D94*(1+D$15),2))</f>
        <v>0</v>
      </c>
      <c r="K94" s="21" t="n">
        <f aca="false">MIN(E$16,ROUND(E94*(1+E$15),2))</f>
        <v>0</v>
      </c>
      <c r="L94" s="21" t="n">
        <f aca="false">MIN(F$16,ROUND(F94*(1+F$15),2))</f>
        <v>0</v>
      </c>
      <c r="M94" s="21" t="n">
        <f aca="false">MIN(G$16,ROUND(G94*(1+G$15),2))</f>
        <v>0</v>
      </c>
      <c r="N94" s="21" t="n">
        <f aca="false">B$20-SUM(H94:M94)</f>
        <v>1170</v>
      </c>
      <c r="O94" s="21" t="n">
        <f aca="false">MIN(ROUND(B94*(1+B$15),2),H94+MAX(0,N94))</f>
        <v>0</v>
      </c>
      <c r="P94" s="21" t="n">
        <f aca="false">MIN(ROUND(C94*(1+C$15),2),I94+MAX(0,N94-O94+H94))</f>
        <v>0</v>
      </c>
      <c r="Q94" s="21" t="n">
        <f aca="false">MIN(ROUND(D94*(1+D$15),2),J94+MAX(0,N94-O94+H94-P94+I94))</f>
        <v>0</v>
      </c>
      <c r="R94" s="21" t="n">
        <f aca="false">MIN(ROUND(E94*(1+E$15),2),K94+MAX(0,N94-O94+H94-P94+I94-Q94+J94))</f>
        <v>0</v>
      </c>
      <c r="S94" s="21" t="n">
        <f aca="false">MIN(ROUND(F94*(1+F$15),2),L94+MAX(0,N94-O94+H94-P94+I94-Q94+J94-R94+K94))</f>
        <v>0</v>
      </c>
      <c r="T94" s="21" t="n">
        <f aca="false">MIN(ROUND(G94*(1+G$15),2),M94+MAX(0,N94-O94+H94-P94+I94-Q94+J94-R94+K94-S94+L94))</f>
        <v>0</v>
      </c>
      <c r="U94" s="21" t="n">
        <f aca="false">SUM(B94:G94)</f>
        <v>0</v>
      </c>
      <c r="V94" s="21" t="n">
        <f aca="false">SUM(O94:T94)</f>
        <v>0</v>
      </c>
      <c r="X94" s="25" t="n">
        <f aca="false">X93+1</f>
        <v>68</v>
      </c>
      <c r="Y94" s="21" t="n">
        <f aca="false">MAX(0,ROUND(Y93*(1+Y$15),2)-AL93)</f>
        <v>0</v>
      </c>
      <c r="Z94" s="21" t="n">
        <f aca="false">MAX(0,ROUND(Z93*(1+Z$15),2)-AM93)</f>
        <v>0</v>
      </c>
      <c r="AA94" s="21" t="n">
        <f aca="false">MAX(0,ROUND(AA93*(1+AA$15),2)-AN93)</f>
        <v>0</v>
      </c>
      <c r="AB94" s="21" t="n">
        <f aca="false">MAX(0,ROUND(AB93*(1+AB$15),2)-AO93)</f>
        <v>0</v>
      </c>
      <c r="AC94" s="21" t="n">
        <f aca="false">MAX(0,ROUND(AC93*(1+AC$15),2)-AP93)</f>
        <v>0</v>
      </c>
      <c r="AD94" s="21" t="n">
        <f aca="false">MAX(0,ROUND(AD93*(1+AD$15),2)-AQ93)</f>
        <v>0</v>
      </c>
      <c r="AE94" s="21" t="n">
        <f aca="false">MIN(Y$16,ROUND(Y94*(1+Y$15),2))</f>
        <v>0</v>
      </c>
      <c r="AF94" s="21" t="n">
        <f aca="false">MIN(Z$16,ROUND(Z94*(1+Z$15),2))</f>
        <v>0</v>
      </c>
      <c r="AG94" s="21" t="n">
        <f aca="false">MIN(AA$16,ROUND(AA94*(1+AA$15),2))</f>
        <v>0</v>
      </c>
      <c r="AH94" s="21" t="n">
        <f aca="false">MIN(AB$16,ROUND(AB94*(1+AB$15),2))</f>
        <v>0</v>
      </c>
      <c r="AI94" s="21" t="n">
        <f aca="false">MIN(AC$16,ROUND(AC94*(1+AC$15),2))</f>
        <v>0</v>
      </c>
      <c r="AJ94" s="21" t="n">
        <f aca="false">MIN(AD$16,ROUND(AD94*(1+AD$15),2))</f>
        <v>0</v>
      </c>
      <c r="AK94" s="21" t="n">
        <f aca="false">Y$20-SUM(AE94:AJ94)</f>
        <v>1170</v>
      </c>
      <c r="AL94" s="21" t="n">
        <f aca="false">MIN(ROUND(Y94*(1+Y$15),2),AE94+MAX(0,AK94))</f>
        <v>0</v>
      </c>
      <c r="AM94" s="21" t="n">
        <f aca="false">MIN(ROUND(Z94*(1+Z$15),2),AF94+MAX(0,AK94-AL94+AE94))</f>
        <v>0</v>
      </c>
      <c r="AN94" s="21" t="n">
        <f aca="false">MIN(ROUND(AA94*(1+AA$15),2),AG94+MAX(0,AK94-AL94+AE94-AM94+AF94))</f>
        <v>0</v>
      </c>
      <c r="AO94" s="21" t="n">
        <f aca="false">MIN(ROUND(AB94*(1+AB$15),2),AH94+MAX(0,AK94-AL94+AE94-AM94+AF94-AN94+AG94))</f>
        <v>0</v>
      </c>
      <c r="AP94" s="21" t="n">
        <f aca="false">MIN(ROUND(AC94*(1+AC$15),2),AI94+MAX(0,AK94-AL94+AE94-AM94+AF94-AN94+AG94-AO94+AH94))</f>
        <v>0</v>
      </c>
      <c r="AQ94" s="21" t="n">
        <f aca="false">MIN(ROUND(AD94*(1+AD$15),2),AJ94+MAX(0,AK94-AL94+AE94-AM94+AF94-AN94+AG94-AO94+AH94-AP94+AI94))</f>
        <v>0</v>
      </c>
      <c r="AR94" s="21" t="n">
        <f aca="false">SUM(Y94:AD94)</f>
        <v>0</v>
      </c>
      <c r="AS94" s="21" t="n">
        <f aca="false">SUM(AL94:AQ94)</f>
        <v>0</v>
      </c>
    </row>
    <row r="95" customFormat="false" ht="15" hidden="false" customHeight="false" outlineLevel="0" collapsed="false">
      <c r="A95" s="25" t="n">
        <f aca="false">A94+1</f>
        <v>69</v>
      </c>
      <c r="B95" s="21" t="n">
        <f aca="false">MAX(0,ROUND(B94*(1+B$15),2)-O94)</f>
        <v>0</v>
      </c>
      <c r="C95" s="21" t="n">
        <f aca="false">MAX(0,ROUND(C94*(1+C$15),2)-P94)</f>
        <v>0</v>
      </c>
      <c r="D95" s="21" t="n">
        <f aca="false">MAX(0,ROUND(D94*(1+D$15),2)-Q94)</f>
        <v>0</v>
      </c>
      <c r="E95" s="21" t="n">
        <f aca="false">MAX(0,ROUND(E94*(1+E$15),2)-R94)</f>
        <v>0</v>
      </c>
      <c r="F95" s="21" t="n">
        <f aca="false">MAX(0,ROUND(F94*(1+F$15),2)-S94)</f>
        <v>0</v>
      </c>
      <c r="G95" s="21" t="n">
        <f aca="false">MAX(0,ROUND(G94*(1+G$15),2)-T94)</f>
        <v>0</v>
      </c>
      <c r="H95" s="21" t="n">
        <f aca="false">MIN(B$16,ROUND(B95*(1+B$15),2))</f>
        <v>0</v>
      </c>
      <c r="I95" s="21" t="n">
        <f aca="false">MIN(C$16,ROUND(C95*(1+C$15),2))</f>
        <v>0</v>
      </c>
      <c r="J95" s="21" t="n">
        <f aca="false">MIN(D$16,ROUND(D95*(1+D$15),2))</f>
        <v>0</v>
      </c>
      <c r="K95" s="21" t="n">
        <f aca="false">MIN(E$16,ROUND(E95*(1+E$15),2))</f>
        <v>0</v>
      </c>
      <c r="L95" s="21" t="n">
        <f aca="false">MIN(F$16,ROUND(F95*(1+F$15),2))</f>
        <v>0</v>
      </c>
      <c r="M95" s="21" t="n">
        <f aca="false">MIN(G$16,ROUND(G95*(1+G$15),2))</f>
        <v>0</v>
      </c>
      <c r="N95" s="21" t="n">
        <f aca="false">B$20-SUM(H95:M95)</f>
        <v>1170</v>
      </c>
      <c r="O95" s="21" t="n">
        <f aca="false">MIN(ROUND(B95*(1+B$15),2),H95+MAX(0,N95))</f>
        <v>0</v>
      </c>
      <c r="P95" s="21" t="n">
        <f aca="false">MIN(ROUND(C95*(1+C$15),2),I95+MAX(0,N95-O95+H95))</f>
        <v>0</v>
      </c>
      <c r="Q95" s="21" t="n">
        <f aca="false">MIN(ROUND(D95*(1+D$15),2),J95+MAX(0,N95-O95+H95-P95+I95))</f>
        <v>0</v>
      </c>
      <c r="R95" s="21" t="n">
        <f aca="false">MIN(ROUND(E95*(1+E$15),2),K95+MAX(0,N95-O95+H95-P95+I95-Q95+J95))</f>
        <v>0</v>
      </c>
      <c r="S95" s="21" t="n">
        <f aca="false">MIN(ROUND(F95*(1+F$15),2),L95+MAX(0,N95-O95+H95-P95+I95-Q95+J95-R95+K95))</f>
        <v>0</v>
      </c>
      <c r="T95" s="21" t="n">
        <f aca="false">MIN(ROUND(G95*(1+G$15),2),M95+MAX(0,N95-O95+H95-P95+I95-Q95+J95-R95+K95-S95+L95))</f>
        <v>0</v>
      </c>
      <c r="U95" s="21" t="n">
        <f aca="false">SUM(B95:G95)</f>
        <v>0</v>
      </c>
      <c r="V95" s="21" t="n">
        <f aca="false">SUM(O95:T95)</f>
        <v>0</v>
      </c>
      <c r="X95" s="25" t="n">
        <f aca="false">X94+1</f>
        <v>69</v>
      </c>
      <c r="Y95" s="21" t="n">
        <f aca="false">MAX(0,ROUND(Y94*(1+Y$15),2)-AL94)</f>
        <v>0</v>
      </c>
      <c r="Z95" s="21" t="n">
        <f aca="false">MAX(0,ROUND(Z94*(1+Z$15),2)-AM94)</f>
        <v>0</v>
      </c>
      <c r="AA95" s="21" t="n">
        <f aca="false">MAX(0,ROUND(AA94*(1+AA$15),2)-AN94)</f>
        <v>0</v>
      </c>
      <c r="AB95" s="21" t="n">
        <f aca="false">MAX(0,ROUND(AB94*(1+AB$15),2)-AO94)</f>
        <v>0</v>
      </c>
      <c r="AC95" s="21" t="n">
        <f aca="false">MAX(0,ROUND(AC94*(1+AC$15),2)-AP94)</f>
        <v>0</v>
      </c>
      <c r="AD95" s="21" t="n">
        <f aca="false">MAX(0,ROUND(AD94*(1+AD$15),2)-AQ94)</f>
        <v>0</v>
      </c>
      <c r="AE95" s="21" t="n">
        <f aca="false">MIN(Y$16,ROUND(Y95*(1+Y$15),2))</f>
        <v>0</v>
      </c>
      <c r="AF95" s="21" t="n">
        <f aca="false">MIN(Z$16,ROUND(Z95*(1+Z$15),2))</f>
        <v>0</v>
      </c>
      <c r="AG95" s="21" t="n">
        <f aca="false">MIN(AA$16,ROUND(AA95*(1+AA$15),2))</f>
        <v>0</v>
      </c>
      <c r="AH95" s="21" t="n">
        <f aca="false">MIN(AB$16,ROUND(AB95*(1+AB$15),2))</f>
        <v>0</v>
      </c>
      <c r="AI95" s="21" t="n">
        <f aca="false">MIN(AC$16,ROUND(AC95*(1+AC$15),2))</f>
        <v>0</v>
      </c>
      <c r="AJ95" s="21" t="n">
        <f aca="false">MIN(AD$16,ROUND(AD95*(1+AD$15),2))</f>
        <v>0</v>
      </c>
      <c r="AK95" s="21" t="n">
        <f aca="false">Y$20-SUM(AE95:AJ95)</f>
        <v>1170</v>
      </c>
      <c r="AL95" s="21" t="n">
        <f aca="false">MIN(ROUND(Y95*(1+Y$15),2),AE95+MAX(0,AK95))</f>
        <v>0</v>
      </c>
      <c r="AM95" s="21" t="n">
        <f aca="false">MIN(ROUND(Z95*(1+Z$15),2),AF95+MAX(0,AK95-AL95+AE95))</f>
        <v>0</v>
      </c>
      <c r="AN95" s="21" t="n">
        <f aca="false">MIN(ROUND(AA95*(1+AA$15),2),AG95+MAX(0,AK95-AL95+AE95-AM95+AF95))</f>
        <v>0</v>
      </c>
      <c r="AO95" s="21" t="n">
        <f aca="false">MIN(ROUND(AB95*(1+AB$15),2),AH95+MAX(0,AK95-AL95+AE95-AM95+AF95-AN95+AG95))</f>
        <v>0</v>
      </c>
      <c r="AP95" s="21" t="n">
        <f aca="false">MIN(ROUND(AC95*(1+AC$15),2),AI95+MAX(0,AK95-AL95+AE95-AM95+AF95-AN95+AG95-AO95+AH95))</f>
        <v>0</v>
      </c>
      <c r="AQ95" s="21" t="n">
        <f aca="false">MIN(ROUND(AD95*(1+AD$15),2),AJ95+MAX(0,AK95-AL95+AE95-AM95+AF95-AN95+AG95-AO95+AH95-AP95+AI95))</f>
        <v>0</v>
      </c>
      <c r="AR95" s="21" t="n">
        <f aca="false">SUM(Y95:AD95)</f>
        <v>0</v>
      </c>
      <c r="AS95" s="21" t="n">
        <f aca="false">SUM(AL95:AQ95)</f>
        <v>0</v>
      </c>
    </row>
    <row r="96" customFormat="false" ht="15" hidden="false" customHeight="false" outlineLevel="0" collapsed="false">
      <c r="A96" s="25" t="n">
        <f aca="false">A95+1</f>
        <v>70</v>
      </c>
      <c r="B96" s="21" t="n">
        <f aca="false">MAX(0,ROUND(B95*(1+B$15),2)-O95)</f>
        <v>0</v>
      </c>
      <c r="C96" s="21" t="n">
        <f aca="false">MAX(0,ROUND(C95*(1+C$15),2)-P95)</f>
        <v>0</v>
      </c>
      <c r="D96" s="21" t="n">
        <f aca="false">MAX(0,ROUND(D95*(1+D$15),2)-Q95)</f>
        <v>0</v>
      </c>
      <c r="E96" s="21" t="n">
        <f aca="false">MAX(0,ROUND(E95*(1+E$15),2)-R95)</f>
        <v>0</v>
      </c>
      <c r="F96" s="21" t="n">
        <f aca="false">MAX(0,ROUND(F95*(1+F$15),2)-S95)</f>
        <v>0</v>
      </c>
      <c r="G96" s="21" t="n">
        <f aca="false">MAX(0,ROUND(G95*(1+G$15),2)-T95)</f>
        <v>0</v>
      </c>
      <c r="H96" s="21" t="n">
        <f aca="false">MIN(B$16,ROUND(B96*(1+B$15),2))</f>
        <v>0</v>
      </c>
      <c r="I96" s="21" t="n">
        <f aca="false">MIN(C$16,ROUND(C96*(1+C$15),2))</f>
        <v>0</v>
      </c>
      <c r="J96" s="21" t="n">
        <f aca="false">MIN(D$16,ROUND(D96*(1+D$15),2))</f>
        <v>0</v>
      </c>
      <c r="K96" s="21" t="n">
        <f aca="false">MIN(E$16,ROUND(E96*(1+E$15),2))</f>
        <v>0</v>
      </c>
      <c r="L96" s="21" t="n">
        <f aca="false">MIN(F$16,ROUND(F96*(1+F$15),2))</f>
        <v>0</v>
      </c>
      <c r="M96" s="21" t="n">
        <f aca="false">MIN(G$16,ROUND(G96*(1+G$15),2))</f>
        <v>0</v>
      </c>
      <c r="N96" s="21" t="n">
        <f aca="false">B$20-SUM(H96:M96)</f>
        <v>1170</v>
      </c>
      <c r="O96" s="21" t="n">
        <f aca="false">MIN(ROUND(B96*(1+B$15),2),H96+MAX(0,N96))</f>
        <v>0</v>
      </c>
      <c r="P96" s="21" t="n">
        <f aca="false">MIN(ROUND(C96*(1+C$15),2),I96+MAX(0,N96-O96+H96))</f>
        <v>0</v>
      </c>
      <c r="Q96" s="21" t="n">
        <f aca="false">MIN(ROUND(D96*(1+D$15),2),J96+MAX(0,N96-O96+H96-P96+I96))</f>
        <v>0</v>
      </c>
      <c r="R96" s="21" t="n">
        <f aca="false">MIN(ROUND(E96*(1+E$15),2),K96+MAX(0,N96-O96+H96-P96+I96-Q96+J96))</f>
        <v>0</v>
      </c>
      <c r="S96" s="21" t="n">
        <f aca="false">MIN(ROUND(F96*(1+F$15),2),L96+MAX(0,N96-O96+H96-P96+I96-Q96+J96-R96+K96))</f>
        <v>0</v>
      </c>
      <c r="T96" s="21" t="n">
        <f aca="false">MIN(ROUND(G96*(1+G$15),2),M96+MAX(0,N96-O96+H96-P96+I96-Q96+J96-R96+K96-S96+L96))</f>
        <v>0</v>
      </c>
      <c r="U96" s="21" t="n">
        <f aca="false">SUM(B96:G96)</f>
        <v>0</v>
      </c>
      <c r="V96" s="21" t="n">
        <f aca="false">SUM(O96:T96)</f>
        <v>0</v>
      </c>
      <c r="X96" s="25" t="n">
        <f aca="false">X95+1</f>
        <v>70</v>
      </c>
      <c r="Y96" s="21" t="n">
        <f aca="false">MAX(0,ROUND(Y95*(1+Y$15),2)-AL95)</f>
        <v>0</v>
      </c>
      <c r="Z96" s="21" t="n">
        <f aca="false">MAX(0,ROUND(Z95*(1+Z$15),2)-AM95)</f>
        <v>0</v>
      </c>
      <c r="AA96" s="21" t="n">
        <f aca="false">MAX(0,ROUND(AA95*(1+AA$15),2)-AN95)</f>
        <v>0</v>
      </c>
      <c r="AB96" s="21" t="n">
        <f aca="false">MAX(0,ROUND(AB95*(1+AB$15),2)-AO95)</f>
        <v>0</v>
      </c>
      <c r="AC96" s="21" t="n">
        <f aca="false">MAX(0,ROUND(AC95*(1+AC$15),2)-AP95)</f>
        <v>0</v>
      </c>
      <c r="AD96" s="21" t="n">
        <f aca="false">MAX(0,ROUND(AD95*(1+AD$15),2)-AQ95)</f>
        <v>0</v>
      </c>
      <c r="AE96" s="21" t="n">
        <f aca="false">MIN(Y$16,ROUND(Y96*(1+Y$15),2))</f>
        <v>0</v>
      </c>
      <c r="AF96" s="21" t="n">
        <f aca="false">MIN(Z$16,ROUND(Z96*(1+Z$15),2))</f>
        <v>0</v>
      </c>
      <c r="AG96" s="21" t="n">
        <f aca="false">MIN(AA$16,ROUND(AA96*(1+AA$15),2))</f>
        <v>0</v>
      </c>
      <c r="AH96" s="21" t="n">
        <f aca="false">MIN(AB$16,ROUND(AB96*(1+AB$15),2))</f>
        <v>0</v>
      </c>
      <c r="AI96" s="21" t="n">
        <f aca="false">MIN(AC$16,ROUND(AC96*(1+AC$15),2))</f>
        <v>0</v>
      </c>
      <c r="AJ96" s="21" t="n">
        <f aca="false">MIN(AD$16,ROUND(AD96*(1+AD$15),2))</f>
        <v>0</v>
      </c>
      <c r="AK96" s="21" t="n">
        <f aca="false">Y$20-SUM(AE96:AJ96)</f>
        <v>1170</v>
      </c>
      <c r="AL96" s="21" t="n">
        <f aca="false">MIN(ROUND(Y96*(1+Y$15),2),AE96+MAX(0,AK96))</f>
        <v>0</v>
      </c>
      <c r="AM96" s="21" t="n">
        <f aca="false">MIN(ROUND(Z96*(1+Z$15),2),AF96+MAX(0,AK96-AL96+AE96))</f>
        <v>0</v>
      </c>
      <c r="AN96" s="21" t="n">
        <f aca="false">MIN(ROUND(AA96*(1+AA$15),2),AG96+MAX(0,AK96-AL96+AE96-AM96+AF96))</f>
        <v>0</v>
      </c>
      <c r="AO96" s="21" t="n">
        <f aca="false">MIN(ROUND(AB96*(1+AB$15),2),AH96+MAX(0,AK96-AL96+AE96-AM96+AF96-AN96+AG96))</f>
        <v>0</v>
      </c>
      <c r="AP96" s="21" t="n">
        <f aca="false">MIN(ROUND(AC96*(1+AC$15),2),AI96+MAX(0,AK96-AL96+AE96-AM96+AF96-AN96+AG96-AO96+AH96))</f>
        <v>0</v>
      </c>
      <c r="AQ96" s="21" t="n">
        <f aca="false">MIN(ROUND(AD96*(1+AD$15),2),AJ96+MAX(0,AK96-AL96+AE96-AM96+AF96-AN96+AG96-AO96+AH96-AP96+AI96))</f>
        <v>0</v>
      </c>
      <c r="AR96" s="21" t="n">
        <f aca="false">SUM(Y96:AD96)</f>
        <v>0</v>
      </c>
      <c r="AS96" s="21" t="n">
        <f aca="false">SUM(AL96:AQ96)</f>
        <v>0</v>
      </c>
    </row>
    <row r="97" customFormat="false" ht="15" hidden="false" customHeight="false" outlineLevel="0" collapsed="false">
      <c r="A97" s="25" t="n">
        <f aca="false">A96+1</f>
        <v>71</v>
      </c>
      <c r="B97" s="21" t="n">
        <f aca="false">MAX(0,ROUND(B96*(1+B$15),2)-O96)</f>
        <v>0</v>
      </c>
      <c r="C97" s="21" t="n">
        <f aca="false">MAX(0,ROUND(C96*(1+C$15),2)-P96)</f>
        <v>0</v>
      </c>
      <c r="D97" s="21" t="n">
        <f aca="false">MAX(0,ROUND(D96*(1+D$15),2)-Q96)</f>
        <v>0</v>
      </c>
      <c r="E97" s="21" t="n">
        <f aca="false">MAX(0,ROUND(E96*(1+E$15),2)-R96)</f>
        <v>0</v>
      </c>
      <c r="F97" s="21" t="n">
        <f aca="false">MAX(0,ROUND(F96*(1+F$15),2)-S96)</f>
        <v>0</v>
      </c>
      <c r="G97" s="21" t="n">
        <f aca="false">MAX(0,ROUND(G96*(1+G$15),2)-T96)</f>
        <v>0</v>
      </c>
      <c r="H97" s="21" t="n">
        <f aca="false">MIN(B$16,ROUND(B97*(1+B$15),2))</f>
        <v>0</v>
      </c>
      <c r="I97" s="21" t="n">
        <f aca="false">MIN(C$16,ROUND(C97*(1+C$15),2))</f>
        <v>0</v>
      </c>
      <c r="J97" s="21" t="n">
        <f aca="false">MIN(D$16,ROUND(D97*(1+D$15),2))</f>
        <v>0</v>
      </c>
      <c r="K97" s="21" t="n">
        <f aca="false">MIN(E$16,ROUND(E97*(1+E$15),2))</f>
        <v>0</v>
      </c>
      <c r="L97" s="21" t="n">
        <f aca="false">MIN(F$16,ROUND(F97*(1+F$15),2))</f>
        <v>0</v>
      </c>
      <c r="M97" s="21" t="n">
        <f aca="false">MIN(G$16,ROUND(G97*(1+G$15),2))</f>
        <v>0</v>
      </c>
      <c r="N97" s="21" t="n">
        <f aca="false">B$20-SUM(H97:M97)</f>
        <v>1170</v>
      </c>
      <c r="O97" s="21" t="n">
        <f aca="false">MIN(ROUND(B97*(1+B$15),2),H97+MAX(0,N97))</f>
        <v>0</v>
      </c>
      <c r="P97" s="21" t="n">
        <f aca="false">MIN(ROUND(C97*(1+C$15),2),I97+MAX(0,N97-O97+H97))</f>
        <v>0</v>
      </c>
      <c r="Q97" s="21" t="n">
        <f aca="false">MIN(ROUND(D97*(1+D$15),2),J97+MAX(0,N97-O97+H97-P97+I97))</f>
        <v>0</v>
      </c>
      <c r="R97" s="21" t="n">
        <f aca="false">MIN(ROUND(E97*(1+E$15),2),K97+MAX(0,N97-O97+H97-P97+I97-Q97+J97))</f>
        <v>0</v>
      </c>
      <c r="S97" s="21" t="n">
        <f aca="false">MIN(ROUND(F97*(1+F$15),2),L97+MAX(0,N97-O97+H97-P97+I97-Q97+J97-R97+K97))</f>
        <v>0</v>
      </c>
      <c r="T97" s="21" t="n">
        <f aca="false">MIN(ROUND(G97*(1+G$15),2),M97+MAX(0,N97-O97+H97-P97+I97-Q97+J97-R97+K97-S97+L97))</f>
        <v>0</v>
      </c>
      <c r="U97" s="21" t="n">
        <f aca="false">SUM(B97:G97)</f>
        <v>0</v>
      </c>
      <c r="V97" s="21" t="n">
        <f aca="false">SUM(O97:T97)</f>
        <v>0</v>
      </c>
      <c r="X97" s="25" t="n">
        <f aca="false">X96+1</f>
        <v>71</v>
      </c>
      <c r="Y97" s="21" t="n">
        <f aca="false">MAX(0,ROUND(Y96*(1+Y$15),2)-AL96)</f>
        <v>0</v>
      </c>
      <c r="Z97" s="21" t="n">
        <f aca="false">MAX(0,ROUND(Z96*(1+Z$15),2)-AM96)</f>
        <v>0</v>
      </c>
      <c r="AA97" s="21" t="n">
        <f aca="false">MAX(0,ROUND(AA96*(1+AA$15),2)-AN96)</f>
        <v>0</v>
      </c>
      <c r="AB97" s="21" t="n">
        <f aca="false">MAX(0,ROUND(AB96*(1+AB$15),2)-AO96)</f>
        <v>0</v>
      </c>
      <c r="AC97" s="21" t="n">
        <f aca="false">MAX(0,ROUND(AC96*(1+AC$15),2)-AP96)</f>
        <v>0</v>
      </c>
      <c r="AD97" s="21" t="n">
        <f aca="false">MAX(0,ROUND(AD96*(1+AD$15),2)-AQ96)</f>
        <v>0</v>
      </c>
      <c r="AE97" s="21" t="n">
        <f aca="false">MIN(Y$16,ROUND(Y97*(1+Y$15),2))</f>
        <v>0</v>
      </c>
      <c r="AF97" s="21" t="n">
        <f aca="false">MIN(Z$16,ROUND(Z97*(1+Z$15),2))</f>
        <v>0</v>
      </c>
      <c r="AG97" s="21" t="n">
        <f aca="false">MIN(AA$16,ROUND(AA97*(1+AA$15),2))</f>
        <v>0</v>
      </c>
      <c r="AH97" s="21" t="n">
        <f aca="false">MIN(AB$16,ROUND(AB97*(1+AB$15),2))</f>
        <v>0</v>
      </c>
      <c r="AI97" s="21" t="n">
        <f aca="false">MIN(AC$16,ROUND(AC97*(1+AC$15),2))</f>
        <v>0</v>
      </c>
      <c r="AJ97" s="21" t="n">
        <f aca="false">MIN(AD$16,ROUND(AD97*(1+AD$15),2))</f>
        <v>0</v>
      </c>
      <c r="AK97" s="21" t="n">
        <f aca="false">Y$20-SUM(AE97:AJ97)</f>
        <v>1170</v>
      </c>
      <c r="AL97" s="21" t="n">
        <f aca="false">MIN(ROUND(Y97*(1+Y$15),2),AE97+MAX(0,AK97))</f>
        <v>0</v>
      </c>
      <c r="AM97" s="21" t="n">
        <f aca="false">MIN(ROUND(Z97*(1+Z$15),2),AF97+MAX(0,AK97-AL97+AE97))</f>
        <v>0</v>
      </c>
      <c r="AN97" s="21" t="n">
        <f aca="false">MIN(ROUND(AA97*(1+AA$15),2),AG97+MAX(0,AK97-AL97+AE97-AM97+AF97))</f>
        <v>0</v>
      </c>
      <c r="AO97" s="21" t="n">
        <f aca="false">MIN(ROUND(AB97*(1+AB$15),2),AH97+MAX(0,AK97-AL97+AE97-AM97+AF97-AN97+AG97))</f>
        <v>0</v>
      </c>
      <c r="AP97" s="21" t="n">
        <f aca="false">MIN(ROUND(AC97*(1+AC$15),2),AI97+MAX(0,AK97-AL97+AE97-AM97+AF97-AN97+AG97-AO97+AH97))</f>
        <v>0</v>
      </c>
      <c r="AQ97" s="21" t="n">
        <f aca="false">MIN(ROUND(AD97*(1+AD$15),2),AJ97+MAX(0,AK97-AL97+AE97-AM97+AF97-AN97+AG97-AO97+AH97-AP97+AI97))</f>
        <v>0</v>
      </c>
      <c r="AR97" s="21" t="n">
        <f aca="false">SUM(Y97:AD97)</f>
        <v>0</v>
      </c>
      <c r="AS97" s="21" t="n">
        <f aca="false">SUM(AL97:AQ97)</f>
        <v>0</v>
      </c>
    </row>
    <row r="98" customFormat="false" ht="15" hidden="false" customHeight="false" outlineLevel="0" collapsed="false">
      <c r="A98" s="25" t="n">
        <f aca="false">A97+1</f>
        <v>72</v>
      </c>
      <c r="B98" s="21" t="n">
        <f aca="false">MAX(0,ROUND(B97*(1+B$15),2)-O97)</f>
        <v>0</v>
      </c>
      <c r="C98" s="21" t="n">
        <f aca="false">MAX(0,ROUND(C97*(1+C$15),2)-P97)</f>
        <v>0</v>
      </c>
      <c r="D98" s="21" t="n">
        <f aca="false">MAX(0,ROUND(D97*(1+D$15),2)-Q97)</f>
        <v>0</v>
      </c>
      <c r="E98" s="21" t="n">
        <f aca="false">MAX(0,ROUND(E97*(1+E$15),2)-R97)</f>
        <v>0</v>
      </c>
      <c r="F98" s="21" t="n">
        <f aca="false">MAX(0,ROUND(F97*(1+F$15),2)-S97)</f>
        <v>0</v>
      </c>
      <c r="G98" s="21" t="n">
        <f aca="false">MAX(0,ROUND(G97*(1+G$15),2)-T97)</f>
        <v>0</v>
      </c>
      <c r="H98" s="21" t="n">
        <f aca="false">MIN(B$16,ROUND(B98*(1+B$15),2))</f>
        <v>0</v>
      </c>
      <c r="I98" s="21" t="n">
        <f aca="false">MIN(C$16,ROUND(C98*(1+C$15),2))</f>
        <v>0</v>
      </c>
      <c r="J98" s="21" t="n">
        <f aca="false">MIN(D$16,ROUND(D98*(1+D$15),2))</f>
        <v>0</v>
      </c>
      <c r="K98" s="21" t="n">
        <f aca="false">MIN(E$16,ROUND(E98*(1+E$15),2))</f>
        <v>0</v>
      </c>
      <c r="L98" s="21" t="n">
        <f aca="false">MIN(F$16,ROUND(F98*(1+F$15),2))</f>
        <v>0</v>
      </c>
      <c r="M98" s="21" t="n">
        <f aca="false">MIN(G$16,ROUND(G98*(1+G$15),2))</f>
        <v>0</v>
      </c>
      <c r="N98" s="21" t="n">
        <f aca="false">B$20-SUM(H98:M98)</f>
        <v>1170</v>
      </c>
      <c r="O98" s="21" t="n">
        <f aca="false">MIN(ROUND(B98*(1+B$15),2),H98+MAX(0,N98))</f>
        <v>0</v>
      </c>
      <c r="P98" s="21" t="n">
        <f aca="false">MIN(ROUND(C98*(1+C$15),2),I98+MAX(0,N98-O98+H98))</f>
        <v>0</v>
      </c>
      <c r="Q98" s="21" t="n">
        <f aca="false">MIN(ROUND(D98*(1+D$15),2),J98+MAX(0,N98-O98+H98-P98+I98))</f>
        <v>0</v>
      </c>
      <c r="R98" s="21" t="n">
        <f aca="false">MIN(ROUND(E98*(1+E$15),2),K98+MAX(0,N98-O98+H98-P98+I98-Q98+J98))</f>
        <v>0</v>
      </c>
      <c r="S98" s="21" t="n">
        <f aca="false">MIN(ROUND(F98*(1+F$15),2),L98+MAX(0,N98-O98+H98-P98+I98-Q98+J98-R98+K98))</f>
        <v>0</v>
      </c>
      <c r="T98" s="21" t="n">
        <f aca="false">MIN(ROUND(G98*(1+G$15),2),M98+MAX(0,N98-O98+H98-P98+I98-Q98+J98-R98+K98-S98+L98))</f>
        <v>0</v>
      </c>
      <c r="U98" s="21" t="n">
        <f aca="false">SUM(B98:G98)</f>
        <v>0</v>
      </c>
      <c r="V98" s="21" t="n">
        <f aca="false">SUM(O98:T98)</f>
        <v>0</v>
      </c>
      <c r="X98" s="25" t="n">
        <f aca="false">X97+1</f>
        <v>72</v>
      </c>
      <c r="Y98" s="21" t="n">
        <f aca="false">MAX(0,ROUND(Y97*(1+Y$15),2)-AL97)</f>
        <v>0</v>
      </c>
      <c r="Z98" s="21" t="n">
        <f aca="false">MAX(0,ROUND(Z97*(1+Z$15),2)-AM97)</f>
        <v>0</v>
      </c>
      <c r="AA98" s="21" t="n">
        <f aca="false">MAX(0,ROUND(AA97*(1+AA$15),2)-AN97)</f>
        <v>0</v>
      </c>
      <c r="AB98" s="21" t="n">
        <f aca="false">MAX(0,ROUND(AB97*(1+AB$15),2)-AO97)</f>
        <v>0</v>
      </c>
      <c r="AC98" s="21" t="n">
        <f aca="false">MAX(0,ROUND(AC97*(1+AC$15),2)-AP97)</f>
        <v>0</v>
      </c>
      <c r="AD98" s="21" t="n">
        <f aca="false">MAX(0,ROUND(AD97*(1+AD$15),2)-AQ97)</f>
        <v>0</v>
      </c>
      <c r="AE98" s="21" t="n">
        <f aca="false">MIN(Y$16,ROUND(Y98*(1+Y$15),2))</f>
        <v>0</v>
      </c>
      <c r="AF98" s="21" t="n">
        <f aca="false">MIN(Z$16,ROUND(Z98*(1+Z$15),2))</f>
        <v>0</v>
      </c>
      <c r="AG98" s="21" t="n">
        <f aca="false">MIN(AA$16,ROUND(AA98*(1+AA$15),2))</f>
        <v>0</v>
      </c>
      <c r="AH98" s="21" t="n">
        <f aca="false">MIN(AB$16,ROUND(AB98*(1+AB$15),2))</f>
        <v>0</v>
      </c>
      <c r="AI98" s="21" t="n">
        <f aca="false">MIN(AC$16,ROUND(AC98*(1+AC$15),2))</f>
        <v>0</v>
      </c>
      <c r="AJ98" s="21" t="n">
        <f aca="false">MIN(AD$16,ROUND(AD98*(1+AD$15),2))</f>
        <v>0</v>
      </c>
      <c r="AK98" s="21" t="n">
        <f aca="false">Y$20-SUM(AE98:AJ98)</f>
        <v>1170</v>
      </c>
      <c r="AL98" s="21" t="n">
        <f aca="false">MIN(ROUND(Y98*(1+Y$15),2),AE98+MAX(0,AK98))</f>
        <v>0</v>
      </c>
      <c r="AM98" s="21" t="n">
        <f aca="false">MIN(ROUND(Z98*(1+Z$15),2),AF98+MAX(0,AK98-AL98+AE98))</f>
        <v>0</v>
      </c>
      <c r="AN98" s="21" t="n">
        <f aca="false">MIN(ROUND(AA98*(1+AA$15),2),AG98+MAX(0,AK98-AL98+AE98-AM98+AF98))</f>
        <v>0</v>
      </c>
      <c r="AO98" s="21" t="n">
        <f aca="false">MIN(ROUND(AB98*(1+AB$15),2),AH98+MAX(0,AK98-AL98+AE98-AM98+AF98-AN98+AG98))</f>
        <v>0</v>
      </c>
      <c r="AP98" s="21" t="n">
        <f aca="false">MIN(ROUND(AC98*(1+AC$15),2),AI98+MAX(0,AK98-AL98+AE98-AM98+AF98-AN98+AG98-AO98+AH98))</f>
        <v>0</v>
      </c>
      <c r="AQ98" s="21" t="n">
        <f aca="false">MIN(ROUND(AD98*(1+AD$15),2),AJ98+MAX(0,AK98-AL98+AE98-AM98+AF98-AN98+AG98-AO98+AH98-AP98+AI98))</f>
        <v>0</v>
      </c>
      <c r="AR98" s="21" t="n">
        <f aca="false">SUM(Y98:AD98)</f>
        <v>0</v>
      </c>
      <c r="AS98" s="21" t="n">
        <f aca="false">SUM(AL98:AQ98)</f>
        <v>0</v>
      </c>
    </row>
    <row r="99" customFormat="false" ht="15" hidden="false" customHeight="false" outlineLevel="0" collapsed="false">
      <c r="A99" s="25" t="n">
        <f aca="false">A98+1</f>
        <v>73</v>
      </c>
      <c r="B99" s="21" t="n">
        <f aca="false">MAX(0,ROUND(B98*(1+B$15),2)-O98)</f>
        <v>0</v>
      </c>
      <c r="C99" s="21" t="n">
        <f aca="false">MAX(0,ROUND(C98*(1+C$15),2)-P98)</f>
        <v>0</v>
      </c>
      <c r="D99" s="21" t="n">
        <f aca="false">MAX(0,ROUND(D98*(1+D$15),2)-Q98)</f>
        <v>0</v>
      </c>
      <c r="E99" s="21" t="n">
        <f aca="false">MAX(0,ROUND(E98*(1+E$15),2)-R98)</f>
        <v>0</v>
      </c>
      <c r="F99" s="21" t="n">
        <f aca="false">MAX(0,ROUND(F98*(1+F$15),2)-S98)</f>
        <v>0</v>
      </c>
      <c r="G99" s="21" t="n">
        <f aca="false">MAX(0,ROUND(G98*(1+G$15),2)-T98)</f>
        <v>0</v>
      </c>
      <c r="H99" s="21" t="n">
        <f aca="false">MIN(B$16,ROUND(B99*(1+B$15),2))</f>
        <v>0</v>
      </c>
      <c r="I99" s="21" t="n">
        <f aca="false">MIN(C$16,ROUND(C99*(1+C$15),2))</f>
        <v>0</v>
      </c>
      <c r="J99" s="21" t="n">
        <f aca="false">MIN(D$16,ROUND(D99*(1+D$15),2))</f>
        <v>0</v>
      </c>
      <c r="K99" s="21" t="n">
        <f aca="false">MIN(E$16,ROUND(E99*(1+E$15),2))</f>
        <v>0</v>
      </c>
      <c r="L99" s="21" t="n">
        <f aca="false">MIN(F$16,ROUND(F99*(1+F$15),2))</f>
        <v>0</v>
      </c>
      <c r="M99" s="21" t="n">
        <f aca="false">MIN(G$16,ROUND(G99*(1+G$15),2))</f>
        <v>0</v>
      </c>
      <c r="N99" s="21" t="n">
        <f aca="false">B$20-SUM(H99:M99)</f>
        <v>1170</v>
      </c>
      <c r="O99" s="21" t="n">
        <f aca="false">MIN(ROUND(B99*(1+B$15),2),H99+MAX(0,N99))</f>
        <v>0</v>
      </c>
      <c r="P99" s="21" t="n">
        <f aca="false">MIN(ROUND(C99*(1+C$15),2),I99+MAX(0,N99-O99+H99))</f>
        <v>0</v>
      </c>
      <c r="Q99" s="21" t="n">
        <f aca="false">MIN(ROUND(D99*(1+D$15),2),J99+MAX(0,N99-O99+H99-P99+I99))</f>
        <v>0</v>
      </c>
      <c r="R99" s="21" t="n">
        <f aca="false">MIN(ROUND(E99*(1+E$15),2),K99+MAX(0,N99-O99+H99-P99+I99-Q99+J99))</f>
        <v>0</v>
      </c>
      <c r="S99" s="21" t="n">
        <f aca="false">MIN(ROUND(F99*(1+F$15),2),L99+MAX(0,N99-O99+H99-P99+I99-Q99+J99-R99+K99))</f>
        <v>0</v>
      </c>
      <c r="T99" s="21" t="n">
        <f aca="false">MIN(ROUND(G99*(1+G$15),2),M99+MAX(0,N99-O99+H99-P99+I99-Q99+J99-R99+K99-S99+L99))</f>
        <v>0</v>
      </c>
      <c r="U99" s="21" t="n">
        <f aca="false">SUM(B99:G99)</f>
        <v>0</v>
      </c>
      <c r="V99" s="21" t="n">
        <f aca="false">SUM(O99:T99)</f>
        <v>0</v>
      </c>
      <c r="X99" s="25" t="n">
        <f aca="false">X98+1</f>
        <v>73</v>
      </c>
      <c r="Y99" s="21" t="n">
        <f aca="false">MAX(0,ROUND(Y98*(1+Y$15),2)-AL98)</f>
        <v>0</v>
      </c>
      <c r="Z99" s="21" t="n">
        <f aca="false">MAX(0,ROUND(Z98*(1+Z$15),2)-AM98)</f>
        <v>0</v>
      </c>
      <c r="AA99" s="21" t="n">
        <f aca="false">MAX(0,ROUND(AA98*(1+AA$15),2)-AN98)</f>
        <v>0</v>
      </c>
      <c r="AB99" s="21" t="n">
        <f aca="false">MAX(0,ROUND(AB98*(1+AB$15),2)-AO98)</f>
        <v>0</v>
      </c>
      <c r="AC99" s="21" t="n">
        <f aca="false">MAX(0,ROUND(AC98*(1+AC$15),2)-AP98)</f>
        <v>0</v>
      </c>
      <c r="AD99" s="21" t="n">
        <f aca="false">MAX(0,ROUND(AD98*(1+AD$15),2)-AQ98)</f>
        <v>0</v>
      </c>
      <c r="AE99" s="21" t="n">
        <f aca="false">MIN(Y$16,ROUND(Y99*(1+Y$15),2))</f>
        <v>0</v>
      </c>
      <c r="AF99" s="21" t="n">
        <f aca="false">MIN(Z$16,ROUND(Z99*(1+Z$15),2))</f>
        <v>0</v>
      </c>
      <c r="AG99" s="21" t="n">
        <f aca="false">MIN(AA$16,ROUND(AA99*(1+AA$15),2))</f>
        <v>0</v>
      </c>
      <c r="AH99" s="21" t="n">
        <f aca="false">MIN(AB$16,ROUND(AB99*(1+AB$15),2))</f>
        <v>0</v>
      </c>
      <c r="AI99" s="21" t="n">
        <f aca="false">MIN(AC$16,ROUND(AC99*(1+AC$15),2))</f>
        <v>0</v>
      </c>
      <c r="AJ99" s="21" t="n">
        <f aca="false">MIN(AD$16,ROUND(AD99*(1+AD$15),2))</f>
        <v>0</v>
      </c>
      <c r="AK99" s="21" t="n">
        <f aca="false">Y$20-SUM(AE99:AJ99)</f>
        <v>1170</v>
      </c>
      <c r="AL99" s="21" t="n">
        <f aca="false">MIN(ROUND(Y99*(1+Y$15),2),AE99+MAX(0,AK99))</f>
        <v>0</v>
      </c>
      <c r="AM99" s="21" t="n">
        <f aca="false">MIN(ROUND(Z99*(1+Z$15),2),AF99+MAX(0,AK99-AL99+AE99))</f>
        <v>0</v>
      </c>
      <c r="AN99" s="21" t="n">
        <f aca="false">MIN(ROUND(AA99*(1+AA$15),2),AG99+MAX(0,AK99-AL99+AE99-AM99+AF99))</f>
        <v>0</v>
      </c>
      <c r="AO99" s="21" t="n">
        <f aca="false">MIN(ROUND(AB99*(1+AB$15),2),AH99+MAX(0,AK99-AL99+AE99-AM99+AF99-AN99+AG99))</f>
        <v>0</v>
      </c>
      <c r="AP99" s="21" t="n">
        <f aca="false">MIN(ROUND(AC99*(1+AC$15),2),AI99+MAX(0,AK99-AL99+AE99-AM99+AF99-AN99+AG99-AO99+AH99))</f>
        <v>0</v>
      </c>
      <c r="AQ99" s="21" t="n">
        <f aca="false">MIN(ROUND(AD99*(1+AD$15),2),AJ99+MAX(0,AK99-AL99+AE99-AM99+AF99-AN99+AG99-AO99+AH99-AP99+AI99))</f>
        <v>0</v>
      </c>
      <c r="AR99" s="21" t="n">
        <f aca="false">SUM(Y99:AD99)</f>
        <v>0</v>
      </c>
      <c r="AS99" s="21" t="n">
        <f aca="false">SUM(AL99:AQ99)</f>
        <v>0</v>
      </c>
    </row>
    <row r="100" customFormat="false" ht="15" hidden="false" customHeight="false" outlineLevel="0" collapsed="false">
      <c r="A100" s="25" t="n">
        <f aca="false">A99+1</f>
        <v>74</v>
      </c>
      <c r="B100" s="21" t="n">
        <f aca="false">MAX(0,ROUND(B99*(1+B$15),2)-O99)</f>
        <v>0</v>
      </c>
      <c r="C100" s="21" t="n">
        <f aca="false">MAX(0,ROUND(C99*(1+C$15),2)-P99)</f>
        <v>0</v>
      </c>
      <c r="D100" s="21" t="n">
        <f aca="false">MAX(0,ROUND(D99*(1+D$15),2)-Q99)</f>
        <v>0</v>
      </c>
      <c r="E100" s="21" t="n">
        <f aca="false">MAX(0,ROUND(E99*(1+E$15),2)-R99)</f>
        <v>0</v>
      </c>
      <c r="F100" s="21" t="n">
        <f aca="false">MAX(0,ROUND(F99*(1+F$15),2)-S99)</f>
        <v>0</v>
      </c>
      <c r="G100" s="21" t="n">
        <f aca="false">MAX(0,ROUND(G99*(1+G$15),2)-T99)</f>
        <v>0</v>
      </c>
      <c r="H100" s="21" t="n">
        <f aca="false">MIN(B$16,ROUND(B100*(1+B$15),2))</f>
        <v>0</v>
      </c>
      <c r="I100" s="21" t="n">
        <f aca="false">MIN(C$16,ROUND(C100*(1+C$15),2))</f>
        <v>0</v>
      </c>
      <c r="J100" s="21" t="n">
        <f aca="false">MIN(D$16,ROUND(D100*(1+D$15),2))</f>
        <v>0</v>
      </c>
      <c r="K100" s="21" t="n">
        <f aca="false">MIN(E$16,ROUND(E100*(1+E$15),2))</f>
        <v>0</v>
      </c>
      <c r="L100" s="21" t="n">
        <f aca="false">MIN(F$16,ROUND(F100*(1+F$15),2))</f>
        <v>0</v>
      </c>
      <c r="M100" s="21" t="n">
        <f aca="false">MIN(G$16,ROUND(G100*(1+G$15),2))</f>
        <v>0</v>
      </c>
      <c r="N100" s="21" t="n">
        <f aca="false">B$20-SUM(H100:M100)</f>
        <v>1170</v>
      </c>
      <c r="O100" s="21" t="n">
        <f aca="false">MIN(ROUND(B100*(1+B$15),2),H100+MAX(0,N100))</f>
        <v>0</v>
      </c>
      <c r="P100" s="21" t="n">
        <f aca="false">MIN(ROUND(C100*(1+C$15),2),I100+MAX(0,N100-O100+H100))</f>
        <v>0</v>
      </c>
      <c r="Q100" s="21" t="n">
        <f aca="false">MIN(ROUND(D100*(1+D$15),2),J100+MAX(0,N100-O100+H100-P100+I100))</f>
        <v>0</v>
      </c>
      <c r="R100" s="21" t="n">
        <f aca="false">MIN(ROUND(E100*(1+E$15),2),K100+MAX(0,N100-O100+H100-P100+I100-Q100+J100))</f>
        <v>0</v>
      </c>
      <c r="S100" s="21" t="n">
        <f aca="false">MIN(ROUND(F100*(1+F$15),2),L100+MAX(0,N100-O100+H100-P100+I100-Q100+J100-R100+K100))</f>
        <v>0</v>
      </c>
      <c r="T100" s="21" t="n">
        <f aca="false">MIN(ROUND(G100*(1+G$15),2),M100+MAX(0,N100-O100+H100-P100+I100-Q100+J100-R100+K100-S100+L100))</f>
        <v>0</v>
      </c>
      <c r="U100" s="21" t="n">
        <f aca="false">SUM(B100:G100)</f>
        <v>0</v>
      </c>
      <c r="V100" s="21" t="n">
        <f aca="false">SUM(O100:T100)</f>
        <v>0</v>
      </c>
      <c r="X100" s="25" t="n">
        <f aca="false">X99+1</f>
        <v>74</v>
      </c>
      <c r="Y100" s="21" t="n">
        <f aca="false">MAX(0,ROUND(Y99*(1+Y$15),2)-AL99)</f>
        <v>0</v>
      </c>
      <c r="Z100" s="21" t="n">
        <f aca="false">MAX(0,ROUND(Z99*(1+Z$15),2)-AM99)</f>
        <v>0</v>
      </c>
      <c r="AA100" s="21" t="n">
        <f aca="false">MAX(0,ROUND(AA99*(1+AA$15),2)-AN99)</f>
        <v>0</v>
      </c>
      <c r="AB100" s="21" t="n">
        <f aca="false">MAX(0,ROUND(AB99*(1+AB$15),2)-AO99)</f>
        <v>0</v>
      </c>
      <c r="AC100" s="21" t="n">
        <f aca="false">MAX(0,ROUND(AC99*(1+AC$15),2)-AP99)</f>
        <v>0</v>
      </c>
      <c r="AD100" s="21" t="n">
        <f aca="false">MAX(0,ROUND(AD99*(1+AD$15),2)-AQ99)</f>
        <v>0</v>
      </c>
      <c r="AE100" s="21" t="n">
        <f aca="false">MIN(Y$16,ROUND(Y100*(1+Y$15),2))</f>
        <v>0</v>
      </c>
      <c r="AF100" s="21" t="n">
        <f aca="false">MIN(Z$16,ROUND(Z100*(1+Z$15),2))</f>
        <v>0</v>
      </c>
      <c r="AG100" s="21" t="n">
        <f aca="false">MIN(AA$16,ROUND(AA100*(1+AA$15),2))</f>
        <v>0</v>
      </c>
      <c r="AH100" s="21" t="n">
        <f aca="false">MIN(AB$16,ROUND(AB100*(1+AB$15),2))</f>
        <v>0</v>
      </c>
      <c r="AI100" s="21" t="n">
        <f aca="false">MIN(AC$16,ROUND(AC100*(1+AC$15),2))</f>
        <v>0</v>
      </c>
      <c r="AJ100" s="21" t="n">
        <f aca="false">MIN(AD$16,ROUND(AD100*(1+AD$15),2))</f>
        <v>0</v>
      </c>
      <c r="AK100" s="21" t="n">
        <f aca="false">Y$20-SUM(AE100:AJ100)</f>
        <v>1170</v>
      </c>
      <c r="AL100" s="21" t="n">
        <f aca="false">MIN(ROUND(Y100*(1+Y$15),2),AE100+MAX(0,AK100))</f>
        <v>0</v>
      </c>
      <c r="AM100" s="21" t="n">
        <f aca="false">MIN(ROUND(Z100*(1+Z$15),2),AF100+MAX(0,AK100-AL100+AE100))</f>
        <v>0</v>
      </c>
      <c r="AN100" s="21" t="n">
        <f aca="false">MIN(ROUND(AA100*(1+AA$15),2),AG100+MAX(0,AK100-AL100+AE100-AM100+AF100))</f>
        <v>0</v>
      </c>
      <c r="AO100" s="21" t="n">
        <f aca="false">MIN(ROUND(AB100*(1+AB$15),2),AH100+MAX(0,AK100-AL100+AE100-AM100+AF100-AN100+AG100))</f>
        <v>0</v>
      </c>
      <c r="AP100" s="21" t="n">
        <f aca="false">MIN(ROUND(AC100*(1+AC$15),2),AI100+MAX(0,AK100-AL100+AE100-AM100+AF100-AN100+AG100-AO100+AH100))</f>
        <v>0</v>
      </c>
      <c r="AQ100" s="21" t="n">
        <f aca="false">MIN(ROUND(AD100*(1+AD$15),2),AJ100+MAX(0,AK100-AL100+AE100-AM100+AF100-AN100+AG100-AO100+AH100-AP100+AI100))</f>
        <v>0</v>
      </c>
      <c r="AR100" s="21" t="n">
        <f aca="false">SUM(Y100:AD100)</f>
        <v>0</v>
      </c>
      <c r="AS100" s="21" t="n">
        <f aca="false">SUM(AL100:AQ100)</f>
        <v>0</v>
      </c>
    </row>
    <row r="101" customFormat="false" ht="15" hidden="false" customHeight="false" outlineLevel="0" collapsed="false">
      <c r="A101" s="25" t="n">
        <f aca="false">A100+1</f>
        <v>75</v>
      </c>
      <c r="B101" s="21" t="n">
        <f aca="false">MAX(0,ROUND(B100*(1+B$15),2)-O100)</f>
        <v>0</v>
      </c>
      <c r="C101" s="21" t="n">
        <f aca="false">MAX(0,ROUND(C100*(1+C$15),2)-P100)</f>
        <v>0</v>
      </c>
      <c r="D101" s="21" t="n">
        <f aca="false">MAX(0,ROUND(D100*(1+D$15),2)-Q100)</f>
        <v>0</v>
      </c>
      <c r="E101" s="21" t="n">
        <f aca="false">MAX(0,ROUND(E100*(1+E$15),2)-R100)</f>
        <v>0</v>
      </c>
      <c r="F101" s="21" t="n">
        <f aca="false">MAX(0,ROUND(F100*(1+F$15),2)-S100)</f>
        <v>0</v>
      </c>
      <c r="G101" s="21" t="n">
        <f aca="false">MAX(0,ROUND(G100*(1+G$15),2)-T100)</f>
        <v>0</v>
      </c>
      <c r="H101" s="21" t="n">
        <f aca="false">MIN(B$16,ROUND(B101*(1+B$15),2))</f>
        <v>0</v>
      </c>
      <c r="I101" s="21" t="n">
        <f aca="false">MIN(C$16,ROUND(C101*(1+C$15),2))</f>
        <v>0</v>
      </c>
      <c r="J101" s="21" t="n">
        <f aca="false">MIN(D$16,ROUND(D101*(1+D$15),2))</f>
        <v>0</v>
      </c>
      <c r="K101" s="21" t="n">
        <f aca="false">MIN(E$16,ROUND(E101*(1+E$15),2))</f>
        <v>0</v>
      </c>
      <c r="L101" s="21" t="n">
        <f aca="false">MIN(F$16,ROUND(F101*(1+F$15),2))</f>
        <v>0</v>
      </c>
      <c r="M101" s="21" t="n">
        <f aca="false">MIN(G$16,ROUND(G101*(1+G$15),2))</f>
        <v>0</v>
      </c>
      <c r="N101" s="21" t="n">
        <f aca="false">B$20-SUM(H101:M101)</f>
        <v>1170</v>
      </c>
      <c r="O101" s="21" t="n">
        <f aca="false">MIN(ROUND(B101*(1+B$15),2),H101+MAX(0,N101))</f>
        <v>0</v>
      </c>
      <c r="P101" s="21" t="n">
        <f aca="false">MIN(ROUND(C101*(1+C$15),2),I101+MAX(0,N101-O101+H101))</f>
        <v>0</v>
      </c>
      <c r="Q101" s="21" t="n">
        <f aca="false">MIN(ROUND(D101*(1+D$15),2),J101+MAX(0,N101-O101+H101-P101+I101))</f>
        <v>0</v>
      </c>
      <c r="R101" s="21" t="n">
        <f aca="false">MIN(ROUND(E101*(1+E$15),2),K101+MAX(0,N101-O101+H101-P101+I101-Q101+J101))</f>
        <v>0</v>
      </c>
      <c r="S101" s="21" t="n">
        <f aca="false">MIN(ROUND(F101*(1+F$15),2),L101+MAX(0,N101-O101+H101-P101+I101-Q101+J101-R101+K101))</f>
        <v>0</v>
      </c>
      <c r="T101" s="21" t="n">
        <f aca="false">MIN(ROUND(G101*(1+G$15),2),M101+MAX(0,N101-O101+H101-P101+I101-Q101+J101-R101+K101-S101+L101))</f>
        <v>0</v>
      </c>
      <c r="U101" s="21" t="n">
        <f aca="false">SUM(B101:G101)</f>
        <v>0</v>
      </c>
      <c r="V101" s="21" t="n">
        <f aca="false">SUM(O101:T101)</f>
        <v>0</v>
      </c>
      <c r="X101" s="25" t="n">
        <f aca="false">X100+1</f>
        <v>75</v>
      </c>
      <c r="Y101" s="21" t="n">
        <f aca="false">MAX(0,ROUND(Y100*(1+Y$15),2)-AL100)</f>
        <v>0</v>
      </c>
      <c r="Z101" s="21" t="n">
        <f aca="false">MAX(0,ROUND(Z100*(1+Z$15),2)-AM100)</f>
        <v>0</v>
      </c>
      <c r="AA101" s="21" t="n">
        <f aca="false">MAX(0,ROUND(AA100*(1+AA$15),2)-AN100)</f>
        <v>0</v>
      </c>
      <c r="AB101" s="21" t="n">
        <f aca="false">MAX(0,ROUND(AB100*(1+AB$15),2)-AO100)</f>
        <v>0</v>
      </c>
      <c r="AC101" s="21" t="n">
        <f aca="false">MAX(0,ROUND(AC100*(1+AC$15),2)-AP100)</f>
        <v>0</v>
      </c>
      <c r="AD101" s="21" t="n">
        <f aca="false">MAX(0,ROUND(AD100*(1+AD$15),2)-AQ100)</f>
        <v>0</v>
      </c>
      <c r="AE101" s="21" t="n">
        <f aca="false">MIN(Y$16,ROUND(Y101*(1+Y$15),2))</f>
        <v>0</v>
      </c>
      <c r="AF101" s="21" t="n">
        <f aca="false">MIN(Z$16,ROUND(Z101*(1+Z$15),2))</f>
        <v>0</v>
      </c>
      <c r="AG101" s="21" t="n">
        <f aca="false">MIN(AA$16,ROUND(AA101*(1+AA$15),2))</f>
        <v>0</v>
      </c>
      <c r="AH101" s="21" t="n">
        <f aca="false">MIN(AB$16,ROUND(AB101*(1+AB$15),2))</f>
        <v>0</v>
      </c>
      <c r="AI101" s="21" t="n">
        <f aca="false">MIN(AC$16,ROUND(AC101*(1+AC$15),2))</f>
        <v>0</v>
      </c>
      <c r="AJ101" s="21" t="n">
        <f aca="false">MIN(AD$16,ROUND(AD101*(1+AD$15),2))</f>
        <v>0</v>
      </c>
      <c r="AK101" s="21" t="n">
        <f aca="false">Y$20-SUM(AE101:AJ101)</f>
        <v>1170</v>
      </c>
      <c r="AL101" s="21" t="n">
        <f aca="false">MIN(ROUND(Y101*(1+Y$15),2),AE101+MAX(0,AK101))</f>
        <v>0</v>
      </c>
      <c r="AM101" s="21" t="n">
        <f aca="false">MIN(ROUND(Z101*(1+Z$15),2),AF101+MAX(0,AK101-AL101+AE101))</f>
        <v>0</v>
      </c>
      <c r="AN101" s="21" t="n">
        <f aca="false">MIN(ROUND(AA101*(1+AA$15),2),AG101+MAX(0,AK101-AL101+AE101-AM101+AF101))</f>
        <v>0</v>
      </c>
      <c r="AO101" s="21" t="n">
        <f aca="false">MIN(ROUND(AB101*(1+AB$15),2),AH101+MAX(0,AK101-AL101+AE101-AM101+AF101-AN101+AG101))</f>
        <v>0</v>
      </c>
      <c r="AP101" s="21" t="n">
        <f aca="false">MIN(ROUND(AC101*(1+AC$15),2),AI101+MAX(0,AK101-AL101+AE101-AM101+AF101-AN101+AG101-AO101+AH101))</f>
        <v>0</v>
      </c>
      <c r="AQ101" s="21" t="n">
        <f aca="false">MIN(ROUND(AD101*(1+AD$15),2),AJ101+MAX(0,AK101-AL101+AE101-AM101+AF101-AN101+AG101-AO101+AH101-AP101+AI101))</f>
        <v>0</v>
      </c>
      <c r="AR101" s="21" t="n">
        <f aca="false">SUM(Y101:AD101)</f>
        <v>0</v>
      </c>
      <c r="AS101" s="21" t="n">
        <f aca="false">SUM(AL101:AQ101)</f>
        <v>0</v>
      </c>
    </row>
    <row r="102" customFormat="false" ht="15" hidden="false" customHeight="false" outlineLevel="0" collapsed="false">
      <c r="A102" s="25" t="n">
        <f aca="false">A101+1</f>
        <v>76</v>
      </c>
      <c r="B102" s="21" t="n">
        <f aca="false">MAX(0,ROUND(B101*(1+B$15),2)-O101)</f>
        <v>0</v>
      </c>
      <c r="C102" s="21" t="n">
        <f aca="false">MAX(0,ROUND(C101*(1+C$15),2)-P101)</f>
        <v>0</v>
      </c>
      <c r="D102" s="21" t="n">
        <f aca="false">MAX(0,ROUND(D101*(1+D$15),2)-Q101)</f>
        <v>0</v>
      </c>
      <c r="E102" s="21" t="n">
        <f aca="false">MAX(0,ROUND(E101*(1+E$15),2)-R101)</f>
        <v>0</v>
      </c>
      <c r="F102" s="21" t="n">
        <f aca="false">MAX(0,ROUND(F101*(1+F$15),2)-S101)</f>
        <v>0</v>
      </c>
      <c r="G102" s="21" t="n">
        <f aca="false">MAX(0,ROUND(G101*(1+G$15),2)-T101)</f>
        <v>0</v>
      </c>
      <c r="H102" s="21" t="n">
        <f aca="false">MIN(B$16,ROUND(B102*(1+B$15),2))</f>
        <v>0</v>
      </c>
      <c r="I102" s="21" t="n">
        <f aca="false">MIN(C$16,ROUND(C102*(1+C$15),2))</f>
        <v>0</v>
      </c>
      <c r="J102" s="21" t="n">
        <f aca="false">MIN(D$16,ROUND(D102*(1+D$15),2))</f>
        <v>0</v>
      </c>
      <c r="K102" s="21" t="n">
        <f aca="false">MIN(E$16,ROUND(E102*(1+E$15),2))</f>
        <v>0</v>
      </c>
      <c r="L102" s="21" t="n">
        <f aca="false">MIN(F$16,ROUND(F102*(1+F$15),2))</f>
        <v>0</v>
      </c>
      <c r="M102" s="21" t="n">
        <f aca="false">MIN(G$16,ROUND(G102*(1+G$15),2))</f>
        <v>0</v>
      </c>
      <c r="N102" s="21" t="n">
        <f aca="false">B$20-SUM(H102:M102)</f>
        <v>1170</v>
      </c>
      <c r="O102" s="21" t="n">
        <f aca="false">MIN(ROUND(B102*(1+B$15),2),H102+MAX(0,N102))</f>
        <v>0</v>
      </c>
      <c r="P102" s="21" t="n">
        <f aca="false">MIN(ROUND(C102*(1+C$15),2),I102+MAX(0,N102-O102+H102))</f>
        <v>0</v>
      </c>
      <c r="Q102" s="21" t="n">
        <f aca="false">MIN(ROUND(D102*(1+D$15),2),J102+MAX(0,N102-O102+H102-P102+I102))</f>
        <v>0</v>
      </c>
      <c r="R102" s="21" t="n">
        <f aca="false">MIN(ROUND(E102*(1+E$15),2),K102+MAX(0,N102-O102+H102-P102+I102-Q102+J102))</f>
        <v>0</v>
      </c>
      <c r="S102" s="21" t="n">
        <f aca="false">MIN(ROUND(F102*(1+F$15),2),L102+MAX(0,N102-O102+H102-P102+I102-Q102+J102-R102+K102))</f>
        <v>0</v>
      </c>
      <c r="T102" s="21" t="n">
        <f aca="false">MIN(ROUND(G102*(1+G$15),2),M102+MAX(0,N102-O102+H102-P102+I102-Q102+J102-R102+K102-S102+L102))</f>
        <v>0</v>
      </c>
      <c r="U102" s="21" t="n">
        <f aca="false">SUM(B102:G102)</f>
        <v>0</v>
      </c>
      <c r="V102" s="21" t="n">
        <f aca="false">SUM(O102:T102)</f>
        <v>0</v>
      </c>
      <c r="X102" s="25" t="n">
        <f aca="false">X101+1</f>
        <v>76</v>
      </c>
      <c r="Y102" s="21" t="n">
        <f aca="false">MAX(0,ROUND(Y101*(1+Y$15),2)-AL101)</f>
        <v>0</v>
      </c>
      <c r="Z102" s="21" t="n">
        <f aca="false">MAX(0,ROUND(Z101*(1+Z$15),2)-AM101)</f>
        <v>0</v>
      </c>
      <c r="AA102" s="21" t="n">
        <f aca="false">MAX(0,ROUND(AA101*(1+AA$15),2)-AN101)</f>
        <v>0</v>
      </c>
      <c r="AB102" s="21" t="n">
        <f aca="false">MAX(0,ROUND(AB101*(1+AB$15),2)-AO101)</f>
        <v>0</v>
      </c>
      <c r="AC102" s="21" t="n">
        <f aca="false">MAX(0,ROUND(AC101*(1+AC$15),2)-AP101)</f>
        <v>0</v>
      </c>
      <c r="AD102" s="21" t="n">
        <f aca="false">MAX(0,ROUND(AD101*(1+AD$15),2)-AQ101)</f>
        <v>0</v>
      </c>
      <c r="AE102" s="21" t="n">
        <f aca="false">MIN(Y$16,ROUND(Y102*(1+Y$15),2))</f>
        <v>0</v>
      </c>
      <c r="AF102" s="21" t="n">
        <f aca="false">MIN(Z$16,ROUND(Z102*(1+Z$15),2))</f>
        <v>0</v>
      </c>
      <c r="AG102" s="21" t="n">
        <f aca="false">MIN(AA$16,ROUND(AA102*(1+AA$15),2))</f>
        <v>0</v>
      </c>
      <c r="AH102" s="21" t="n">
        <f aca="false">MIN(AB$16,ROUND(AB102*(1+AB$15),2))</f>
        <v>0</v>
      </c>
      <c r="AI102" s="21" t="n">
        <f aca="false">MIN(AC$16,ROUND(AC102*(1+AC$15),2))</f>
        <v>0</v>
      </c>
      <c r="AJ102" s="21" t="n">
        <f aca="false">MIN(AD$16,ROUND(AD102*(1+AD$15),2))</f>
        <v>0</v>
      </c>
      <c r="AK102" s="21" t="n">
        <f aca="false">Y$20-SUM(AE102:AJ102)</f>
        <v>1170</v>
      </c>
      <c r="AL102" s="21" t="n">
        <f aca="false">MIN(ROUND(Y102*(1+Y$15),2),AE102+MAX(0,AK102))</f>
        <v>0</v>
      </c>
      <c r="AM102" s="21" t="n">
        <f aca="false">MIN(ROUND(Z102*(1+Z$15),2),AF102+MAX(0,AK102-AL102+AE102))</f>
        <v>0</v>
      </c>
      <c r="AN102" s="21" t="n">
        <f aca="false">MIN(ROUND(AA102*(1+AA$15),2),AG102+MAX(0,AK102-AL102+AE102-AM102+AF102))</f>
        <v>0</v>
      </c>
      <c r="AO102" s="21" t="n">
        <f aca="false">MIN(ROUND(AB102*(1+AB$15),2),AH102+MAX(0,AK102-AL102+AE102-AM102+AF102-AN102+AG102))</f>
        <v>0</v>
      </c>
      <c r="AP102" s="21" t="n">
        <f aca="false">MIN(ROUND(AC102*(1+AC$15),2),AI102+MAX(0,AK102-AL102+AE102-AM102+AF102-AN102+AG102-AO102+AH102))</f>
        <v>0</v>
      </c>
      <c r="AQ102" s="21" t="n">
        <f aca="false">MIN(ROUND(AD102*(1+AD$15),2),AJ102+MAX(0,AK102-AL102+AE102-AM102+AF102-AN102+AG102-AO102+AH102-AP102+AI102))</f>
        <v>0</v>
      </c>
      <c r="AR102" s="21" t="n">
        <f aca="false">SUM(Y102:AD102)</f>
        <v>0</v>
      </c>
      <c r="AS102" s="21" t="n">
        <f aca="false">SUM(AL102:AQ102)</f>
        <v>0</v>
      </c>
    </row>
    <row r="103" customFormat="false" ht="15" hidden="false" customHeight="false" outlineLevel="0" collapsed="false">
      <c r="A103" s="25" t="n">
        <f aca="false">A102+1</f>
        <v>77</v>
      </c>
      <c r="B103" s="21" t="n">
        <f aca="false">MAX(0,ROUND(B102*(1+B$15),2)-O102)</f>
        <v>0</v>
      </c>
      <c r="C103" s="21" t="n">
        <f aca="false">MAX(0,ROUND(C102*(1+C$15),2)-P102)</f>
        <v>0</v>
      </c>
      <c r="D103" s="21" t="n">
        <f aca="false">MAX(0,ROUND(D102*(1+D$15),2)-Q102)</f>
        <v>0</v>
      </c>
      <c r="E103" s="21" t="n">
        <f aca="false">MAX(0,ROUND(E102*(1+E$15),2)-R102)</f>
        <v>0</v>
      </c>
      <c r="F103" s="21" t="n">
        <f aca="false">MAX(0,ROUND(F102*(1+F$15),2)-S102)</f>
        <v>0</v>
      </c>
      <c r="G103" s="21" t="n">
        <f aca="false">MAX(0,ROUND(G102*(1+G$15),2)-T102)</f>
        <v>0</v>
      </c>
      <c r="H103" s="21" t="n">
        <f aca="false">MIN(B$16,ROUND(B103*(1+B$15),2))</f>
        <v>0</v>
      </c>
      <c r="I103" s="21" t="n">
        <f aca="false">MIN(C$16,ROUND(C103*(1+C$15),2))</f>
        <v>0</v>
      </c>
      <c r="J103" s="21" t="n">
        <f aca="false">MIN(D$16,ROUND(D103*(1+D$15),2))</f>
        <v>0</v>
      </c>
      <c r="K103" s="21" t="n">
        <f aca="false">MIN(E$16,ROUND(E103*(1+E$15),2))</f>
        <v>0</v>
      </c>
      <c r="L103" s="21" t="n">
        <f aca="false">MIN(F$16,ROUND(F103*(1+F$15),2))</f>
        <v>0</v>
      </c>
      <c r="M103" s="21" t="n">
        <f aca="false">MIN(G$16,ROUND(G103*(1+G$15),2))</f>
        <v>0</v>
      </c>
      <c r="N103" s="21" t="n">
        <f aca="false">B$20-SUM(H103:M103)</f>
        <v>1170</v>
      </c>
      <c r="O103" s="21" t="n">
        <f aca="false">MIN(ROUND(B103*(1+B$15),2),H103+MAX(0,N103))</f>
        <v>0</v>
      </c>
      <c r="P103" s="21" t="n">
        <f aca="false">MIN(ROUND(C103*(1+C$15),2),I103+MAX(0,N103-O103+H103))</f>
        <v>0</v>
      </c>
      <c r="Q103" s="21" t="n">
        <f aca="false">MIN(ROUND(D103*(1+D$15),2),J103+MAX(0,N103-O103+H103-P103+I103))</f>
        <v>0</v>
      </c>
      <c r="R103" s="21" t="n">
        <f aca="false">MIN(ROUND(E103*(1+E$15),2),K103+MAX(0,N103-O103+H103-P103+I103-Q103+J103))</f>
        <v>0</v>
      </c>
      <c r="S103" s="21" t="n">
        <f aca="false">MIN(ROUND(F103*(1+F$15),2),L103+MAX(0,N103-O103+H103-P103+I103-Q103+J103-R103+K103))</f>
        <v>0</v>
      </c>
      <c r="T103" s="21" t="n">
        <f aca="false">MIN(ROUND(G103*(1+G$15),2),M103+MAX(0,N103-O103+H103-P103+I103-Q103+J103-R103+K103-S103+L103))</f>
        <v>0</v>
      </c>
      <c r="U103" s="21" t="n">
        <f aca="false">SUM(B103:G103)</f>
        <v>0</v>
      </c>
      <c r="V103" s="21" t="n">
        <f aca="false">SUM(O103:T103)</f>
        <v>0</v>
      </c>
      <c r="X103" s="25" t="n">
        <f aca="false">X102+1</f>
        <v>77</v>
      </c>
      <c r="Y103" s="21" t="n">
        <f aca="false">MAX(0,ROUND(Y102*(1+Y$15),2)-AL102)</f>
        <v>0</v>
      </c>
      <c r="Z103" s="21" t="n">
        <f aca="false">MAX(0,ROUND(Z102*(1+Z$15),2)-AM102)</f>
        <v>0</v>
      </c>
      <c r="AA103" s="21" t="n">
        <f aca="false">MAX(0,ROUND(AA102*(1+AA$15),2)-AN102)</f>
        <v>0</v>
      </c>
      <c r="AB103" s="21" t="n">
        <f aca="false">MAX(0,ROUND(AB102*(1+AB$15),2)-AO102)</f>
        <v>0</v>
      </c>
      <c r="AC103" s="21" t="n">
        <f aca="false">MAX(0,ROUND(AC102*(1+AC$15),2)-AP102)</f>
        <v>0</v>
      </c>
      <c r="AD103" s="21" t="n">
        <f aca="false">MAX(0,ROUND(AD102*(1+AD$15),2)-AQ102)</f>
        <v>0</v>
      </c>
      <c r="AE103" s="21" t="n">
        <f aca="false">MIN(Y$16,ROUND(Y103*(1+Y$15),2))</f>
        <v>0</v>
      </c>
      <c r="AF103" s="21" t="n">
        <f aca="false">MIN(Z$16,ROUND(Z103*(1+Z$15),2))</f>
        <v>0</v>
      </c>
      <c r="AG103" s="21" t="n">
        <f aca="false">MIN(AA$16,ROUND(AA103*(1+AA$15),2))</f>
        <v>0</v>
      </c>
      <c r="AH103" s="21" t="n">
        <f aca="false">MIN(AB$16,ROUND(AB103*(1+AB$15),2))</f>
        <v>0</v>
      </c>
      <c r="AI103" s="21" t="n">
        <f aca="false">MIN(AC$16,ROUND(AC103*(1+AC$15),2))</f>
        <v>0</v>
      </c>
      <c r="AJ103" s="21" t="n">
        <f aca="false">MIN(AD$16,ROUND(AD103*(1+AD$15),2))</f>
        <v>0</v>
      </c>
      <c r="AK103" s="21" t="n">
        <f aca="false">Y$20-SUM(AE103:AJ103)</f>
        <v>1170</v>
      </c>
      <c r="AL103" s="21" t="n">
        <f aca="false">MIN(ROUND(Y103*(1+Y$15),2),AE103+MAX(0,AK103))</f>
        <v>0</v>
      </c>
      <c r="AM103" s="21" t="n">
        <f aca="false">MIN(ROUND(Z103*(1+Z$15),2),AF103+MAX(0,AK103-AL103+AE103))</f>
        <v>0</v>
      </c>
      <c r="AN103" s="21" t="n">
        <f aca="false">MIN(ROUND(AA103*(1+AA$15),2),AG103+MAX(0,AK103-AL103+AE103-AM103+AF103))</f>
        <v>0</v>
      </c>
      <c r="AO103" s="21" t="n">
        <f aca="false">MIN(ROUND(AB103*(1+AB$15),2),AH103+MAX(0,AK103-AL103+AE103-AM103+AF103-AN103+AG103))</f>
        <v>0</v>
      </c>
      <c r="AP103" s="21" t="n">
        <f aca="false">MIN(ROUND(AC103*(1+AC$15),2),AI103+MAX(0,AK103-AL103+AE103-AM103+AF103-AN103+AG103-AO103+AH103))</f>
        <v>0</v>
      </c>
      <c r="AQ103" s="21" t="n">
        <f aca="false">MIN(ROUND(AD103*(1+AD$15),2),AJ103+MAX(0,AK103-AL103+AE103-AM103+AF103-AN103+AG103-AO103+AH103-AP103+AI103))</f>
        <v>0</v>
      </c>
      <c r="AR103" s="21" t="n">
        <f aca="false">SUM(Y103:AD103)</f>
        <v>0</v>
      </c>
      <c r="AS103" s="21" t="n">
        <f aca="false">SUM(AL103:AQ103)</f>
        <v>0</v>
      </c>
    </row>
    <row r="104" customFormat="false" ht="15" hidden="false" customHeight="false" outlineLevel="0" collapsed="false">
      <c r="A104" s="25" t="n">
        <f aca="false">A103+1</f>
        <v>78</v>
      </c>
      <c r="B104" s="21" t="n">
        <f aca="false">MAX(0,ROUND(B103*(1+B$15),2)-O103)</f>
        <v>0</v>
      </c>
      <c r="C104" s="21" t="n">
        <f aca="false">MAX(0,ROUND(C103*(1+C$15),2)-P103)</f>
        <v>0</v>
      </c>
      <c r="D104" s="21" t="n">
        <f aca="false">MAX(0,ROUND(D103*(1+D$15),2)-Q103)</f>
        <v>0</v>
      </c>
      <c r="E104" s="21" t="n">
        <f aca="false">MAX(0,ROUND(E103*(1+E$15),2)-R103)</f>
        <v>0</v>
      </c>
      <c r="F104" s="21" t="n">
        <f aca="false">MAX(0,ROUND(F103*(1+F$15),2)-S103)</f>
        <v>0</v>
      </c>
      <c r="G104" s="21" t="n">
        <f aca="false">MAX(0,ROUND(G103*(1+G$15),2)-T103)</f>
        <v>0</v>
      </c>
      <c r="H104" s="21" t="n">
        <f aca="false">MIN(B$16,ROUND(B104*(1+B$15),2))</f>
        <v>0</v>
      </c>
      <c r="I104" s="21" t="n">
        <f aca="false">MIN(C$16,ROUND(C104*(1+C$15),2))</f>
        <v>0</v>
      </c>
      <c r="J104" s="21" t="n">
        <f aca="false">MIN(D$16,ROUND(D104*(1+D$15),2))</f>
        <v>0</v>
      </c>
      <c r="K104" s="21" t="n">
        <f aca="false">MIN(E$16,ROUND(E104*(1+E$15),2))</f>
        <v>0</v>
      </c>
      <c r="L104" s="21" t="n">
        <f aca="false">MIN(F$16,ROUND(F104*(1+F$15),2))</f>
        <v>0</v>
      </c>
      <c r="M104" s="21" t="n">
        <f aca="false">MIN(G$16,ROUND(G104*(1+G$15),2))</f>
        <v>0</v>
      </c>
      <c r="N104" s="21" t="n">
        <f aca="false">B$20-SUM(H104:M104)</f>
        <v>1170</v>
      </c>
      <c r="O104" s="21" t="n">
        <f aca="false">MIN(ROUND(B104*(1+B$15),2),H104+MAX(0,N104))</f>
        <v>0</v>
      </c>
      <c r="P104" s="21" t="n">
        <f aca="false">MIN(ROUND(C104*(1+C$15),2),I104+MAX(0,N104-O104+H104))</f>
        <v>0</v>
      </c>
      <c r="Q104" s="21" t="n">
        <f aca="false">MIN(ROUND(D104*(1+D$15),2),J104+MAX(0,N104-O104+H104-P104+I104))</f>
        <v>0</v>
      </c>
      <c r="R104" s="21" t="n">
        <f aca="false">MIN(ROUND(E104*(1+E$15),2),K104+MAX(0,N104-O104+H104-P104+I104-Q104+J104))</f>
        <v>0</v>
      </c>
      <c r="S104" s="21" t="n">
        <f aca="false">MIN(ROUND(F104*(1+F$15),2),L104+MAX(0,N104-O104+H104-P104+I104-Q104+J104-R104+K104))</f>
        <v>0</v>
      </c>
      <c r="T104" s="21" t="n">
        <f aca="false">MIN(ROUND(G104*(1+G$15),2),M104+MAX(0,N104-O104+H104-P104+I104-Q104+J104-R104+K104-S104+L104))</f>
        <v>0</v>
      </c>
      <c r="U104" s="21" t="n">
        <f aca="false">SUM(B104:G104)</f>
        <v>0</v>
      </c>
      <c r="V104" s="21" t="n">
        <f aca="false">SUM(O104:T104)</f>
        <v>0</v>
      </c>
      <c r="X104" s="25" t="n">
        <f aca="false">X103+1</f>
        <v>78</v>
      </c>
      <c r="Y104" s="21" t="n">
        <f aca="false">MAX(0,ROUND(Y103*(1+Y$15),2)-AL103)</f>
        <v>0</v>
      </c>
      <c r="Z104" s="21" t="n">
        <f aca="false">MAX(0,ROUND(Z103*(1+Z$15),2)-AM103)</f>
        <v>0</v>
      </c>
      <c r="AA104" s="21" t="n">
        <f aca="false">MAX(0,ROUND(AA103*(1+AA$15),2)-AN103)</f>
        <v>0</v>
      </c>
      <c r="AB104" s="21" t="n">
        <f aca="false">MAX(0,ROUND(AB103*(1+AB$15),2)-AO103)</f>
        <v>0</v>
      </c>
      <c r="AC104" s="21" t="n">
        <f aca="false">MAX(0,ROUND(AC103*(1+AC$15),2)-AP103)</f>
        <v>0</v>
      </c>
      <c r="AD104" s="21" t="n">
        <f aca="false">MAX(0,ROUND(AD103*(1+AD$15),2)-AQ103)</f>
        <v>0</v>
      </c>
      <c r="AE104" s="21" t="n">
        <f aca="false">MIN(Y$16,ROUND(Y104*(1+Y$15),2))</f>
        <v>0</v>
      </c>
      <c r="AF104" s="21" t="n">
        <f aca="false">MIN(Z$16,ROUND(Z104*(1+Z$15),2))</f>
        <v>0</v>
      </c>
      <c r="AG104" s="21" t="n">
        <f aca="false">MIN(AA$16,ROUND(AA104*(1+AA$15),2))</f>
        <v>0</v>
      </c>
      <c r="AH104" s="21" t="n">
        <f aca="false">MIN(AB$16,ROUND(AB104*(1+AB$15),2))</f>
        <v>0</v>
      </c>
      <c r="AI104" s="21" t="n">
        <f aca="false">MIN(AC$16,ROUND(AC104*(1+AC$15),2))</f>
        <v>0</v>
      </c>
      <c r="AJ104" s="21" t="n">
        <f aca="false">MIN(AD$16,ROUND(AD104*(1+AD$15),2))</f>
        <v>0</v>
      </c>
      <c r="AK104" s="21" t="n">
        <f aca="false">Y$20-SUM(AE104:AJ104)</f>
        <v>1170</v>
      </c>
      <c r="AL104" s="21" t="n">
        <f aca="false">MIN(ROUND(Y104*(1+Y$15),2),AE104+MAX(0,AK104))</f>
        <v>0</v>
      </c>
      <c r="AM104" s="21" t="n">
        <f aca="false">MIN(ROUND(Z104*(1+Z$15),2),AF104+MAX(0,AK104-AL104+AE104))</f>
        <v>0</v>
      </c>
      <c r="AN104" s="21" t="n">
        <f aca="false">MIN(ROUND(AA104*(1+AA$15),2),AG104+MAX(0,AK104-AL104+AE104-AM104+AF104))</f>
        <v>0</v>
      </c>
      <c r="AO104" s="21" t="n">
        <f aca="false">MIN(ROUND(AB104*(1+AB$15),2),AH104+MAX(0,AK104-AL104+AE104-AM104+AF104-AN104+AG104))</f>
        <v>0</v>
      </c>
      <c r="AP104" s="21" t="n">
        <f aca="false">MIN(ROUND(AC104*(1+AC$15),2),AI104+MAX(0,AK104-AL104+AE104-AM104+AF104-AN104+AG104-AO104+AH104))</f>
        <v>0</v>
      </c>
      <c r="AQ104" s="21" t="n">
        <f aca="false">MIN(ROUND(AD104*(1+AD$15),2),AJ104+MAX(0,AK104-AL104+AE104-AM104+AF104-AN104+AG104-AO104+AH104-AP104+AI104))</f>
        <v>0</v>
      </c>
      <c r="AR104" s="21" t="n">
        <f aca="false">SUM(Y104:AD104)</f>
        <v>0</v>
      </c>
      <c r="AS104" s="21" t="n">
        <f aca="false">SUM(AL104:AQ104)</f>
        <v>0</v>
      </c>
    </row>
    <row r="105" customFormat="false" ht="15" hidden="false" customHeight="false" outlineLevel="0" collapsed="false">
      <c r="A105" s="25" t="n">
        <f aca="false">A104+1</f>
        <v>79</v>
      </c>
      <c r="B105" s="21" t="n">
        <f aca="false">MAX(0,ROUND(B104*(1+B$15),2)-O104)</f>
        <v>0</v>
      </c>
      <c r="C105" s="21" t="n">
        <f aca="false">MAX(0,ROUND(C104*(1+C$15),2)-P104)</f>
        <v>0</v>
      </c>
      <c r="D105" s="21" t="n">
        <f aca="false">MAX(0,ROUND(D104*(1+D$15),2)-Q104)</f>
        <v>0</v>
      </c>
      <c r="E105" s="21" t="n">
        <f aca="false">MAX(0,ROUND(E104*(1+E$15),2)-R104)</f>
        <v>0</v>
      </c>
      <c r="F105" s="21" t="n">
        <f aca="false">MAX(0,ROUND(F104*(1+F$15),2)-S104)</f>
        <v>0</v>
      </c>
      <c r="G105" s="21" t="n">
        <f aca="false">MAX(0,ROUND(G104*(1+G$15),2)-T104)</f>
        <v>0</v>
      </c>
      <c r="H105" s="21" t="n">
        <f aca="false">MIN(B$16,ROUND(B105*(1+B$15),2))</f>
        <v>0</v>
      </c>
      <c r="I105" s="21" t="n">
        <f aca="false">MIN(C$16,ROUND(C105*(1+C$15),2))</f>
        <v>0</v>
      </c>
      <c r="J105" s="21" t="n">
        <f aca="false">MIN(D$16,ROUND(D105*(1+D$15),2))</f>
        <v>0</v>
      </c>
      <c r="K105" s="21" t="n">
        <f aca="false">MIN(E$16,ROUND(E105*(1+E$15),2))</f>
        <v>0</v>
      </c>
      <c r="L105" s="21" t="n">
        <f aca="false">MIN(F$16,ROUND(F105*(1+F$15),2))</f>
        <v>0</v>
      </c>
      <c r="M105" s="21" t="n">
        <f aca="false">MIN(G$16,ROUND(G105*(1+G$15),2))</f>
        <v>0</v>
      </c>
      <c r="N105" s="21" t="n">
        <f aca="false">B$20-SUM(H105:M105)</f>
        <v>1170</v>
      </c>
      <c r="O105" s="21" t="n">
        <f aca="false">MIN(ROUND(B105*(1+B$15),2),H105+MAX(0,N105))</f>
        <v>0</v>
      </c>
      <c r="P105" s="21" t="n">
        <f aca="false">MIN(ROUND(C105*(1+C$15),2),I105+MAX(0,N105-O105+H105))</f>
        <v>0</v>
      </c>
      <c r="Q105" s="21" t="n">
        <f aca="false">MIN(ROUND(D105*(1+D$15),2),J105+MAX(0,N105-O105+H105-P105+I105))</f>
        <v>0</v>
      </c>
      <c r="R105" s="21" t="n">
        <f aca="false">MIN(ROUND(E105*(1+E$15),2),K105+MAX(0,N105-O105+H105-P105+I105-Q105+J105))</f>
        <v>0</v>
      </c>
      <c r="S105" s="21" t="n">
        <f aca="false">MIN(ROUND(F105*(1+F$15),2),L105+MAX(0,N105-O105+H105-P105+I105-Q105+J105-R105+K105))</f>
        <v>0</v>
      </c>
      <c r="T105" s="21" t="n">
        <f aca="false">MIN(ROUND(G105*(1+G$15),2),M105+MAX(0,N105-O105+H105-P105+I105-Q105+J105-R105+K105-S105+L105))</f>
        <v>0</v>
      </c>
      <c r="U105" s="21" t="n">
        <f aca="false">SUM(B105:G105)</f>
        <v>0</v>
      </c>
      <c r="V105" s="21" t="n">
        <f aca="false">SUM(O105:T105)</f>
        <v>0</v>
      </c>
      <c r="X105" s="25" t="n">
        <f aca="false">X104+1</f>
        <v>79</v>
      </c>
      <c r="Y105" s="21" t="n">
        <f aca="false">MAX(0,ROUND(Y104*(1+Y$15),2)-AL104)</f>
        <v>0</v>
      </c>
      <c r="Z105" s="21" t="n">
        <f aca="false">MAX(0,ROUND(Z104*(1+Z$15),2)-AM104)</f>
        <v>0</v>
      </c>
      <c r="AA105" s="21" t="n">
        <f aca="false">MAX(0,ROUND(AA104*(1+AA$15),2)-AN104)</f>
        <v>0</v>
      </c>
      <c r="AB105" s="21" t="n">
        <f aca="false">MAX(0,ROUND(AB104*(1+AB$15),2)-AO104)</f>
        <v>0</v>
      </c>
      <c r="AC105" s="21" t="n">
        <f aca="false">MAX(0,ROUND(AC104*(1+AC$15),2)-AP104)</f>
        <v>0</v>
      </c>
      <c r="AD105" s="21" t="n">
        <f aca="false">MAX(0,ROUND(AD104*(1+AD$15),2)-AQ104)</f>
        <v>0</v>
      </c>
      <c r="AE105" s="21" t="n">
        <f aca="false">MIN(Y$16,ROUND(Y105*(1+Y$15),2))</f>
        <v>0</v>
      </c>
      <c r="AF105" s="21" t="n">
        <f aca="false">MIN(Z$16,ROUND(Z105*(1+Z$15),2))</f>
        <v>0</v>
      </c>
      <c r="AG105" s="21" t="n">
        <f aca="false">MIN(AA$16,ROUND(AA105*(1+AA$15),2))</f>
        <v>0</v>
      </c>
      <c r="AH105" s="21" t="n">
        <f aca="false">MIN(AB$16,ROUND(AB105*(1+AB$15),2))</f>
        <v>0</v>
      </c>
      <c r="AI105" s="21" t="n">
        <f aca="false">MIN(AC$16,ROUND(AC105*(1+AC$15),2))</f>
        <v>0</v>
      </c>
      <c r="AJ105" s="21" t="n">
        <f aca="false">MIN(AD$16,ROUND(AD105*(1+AD$15),2))</f>
        <v>0</v>
      </c>
      <c r="AK105" s="21" t="n">
        <f aca="false">Y$20-SUM(AE105:AJ105)</f>
        <v>1170</v>
      </c>
      <c r="AL105" s="21" t="n">
        <f aca="false">MIN(ROUND(Y105*(1+Y$15),2),AE105+MAX(0,AK105))</f>
        <v>0</v>
      </c>
      <c r="AM105" s="21" t="n">
        <f aca="false">MIN(ROUND(Z105*(1+Z$15),2),AF105+MAX(0,AK105-AL105+AE105))</f>
        <v>0</v>
      </c>
      <c r="AN105" s="21" t="n">
        <f aca="false">MIN(ROUND(AA105*(1+AA$15),2),AG105+MAX(0,AK105-AL105+AE105-AM105+AF105))</f>
        <v>0</v>
      </c>
      <c r="AO105" s="21" t="n">
        <f aca="false">MIN(ROUND(AB105*(1+AB$15),2),AH105+MAX(0,AK105-AL105+AE105-AM105+AF105-AN105+AG105))</f>
        <v>0</v>
      </c>
      <c r="AP105" s="21" t="n">
        <f aca="false">MIN(ROUND(AC105*(1+AC$15),2),AI105+MAX(0,AK105-AL105+AE105-AM105+AF105-AN105+AG105-AO105+AH105))</f>
        <v>0</v>
      </c>
      <c r="AQ105" s="21" t="n">
        <f aca="false">MIN(ROUND(AD105*(1+AD$15),2),AJ105+MAX(0,AK105-AL105+AE105-AM105+AF105-AN105+AG105-AO105+AH105-AP105+AI105))</f>
        <v>0</v>
      </c>
      <c r="AR105" s="21" t="n">
        <f aca="false">SUM(Y105:AD105)</f>
        <v>0</v>
      </c>
      <c r="AS105" s="21" t="n">
        <f aca="false">SUM(AL105:AQ105)</f>
        <v>0</v>
      </c>
    </row>
    <row r="106" customFormat="false" ht="15" hidden="false" customHeight="false" outlineLevel="0" collapsed="false">
      <c r="A106" s="25" t="n">
        <f aca="false">A105+1</f>
        <v>80</v>
      </c>
      <c r="B106" s="21" t="n">
        <f aca="false">MAX(0,ROUND(B105*(1+B$15),2)-O105)</f>
        <v>0</v>
      </c>
      <c r="C106" s="21" t="n">
        <f aca="false">MAX(0,ROUND(C105*(1+C$15),2)-P105)</f>
        <v>0</v>
      </c>
      <c r="D106" s="21" t="n">
        <f aca="false">MAX(0,ROUND(D105*(1+D$15),2)-Q105)</f>
        <v>0</v>
      </c>
      <c r="E106" s="21" t="n">
        <f aca="false">MAX(0,ROUND(E105*(1+E$15),2)-R105)</f>
        <v>0</v>
      </c>
      <c r="F106" s="21" t="n">
        <f aca="false">MAX(0,ROUND(F105*(1+F$15),2)-S105)</f>
        <v>0</v>
      </c>
      <c r="G106" s="21" t="n">
        <f aca="false">MAX(0,ROUND(G105*(1+G$15),2)-T105)</f>
        <v>0</v>
      </c>
      <c r="H106" s="21" t="n">
        <f aca="false">MIN(B$16,ROUND(B106*(1+B$15),2))</f>
        <v>0</v>
      </c>
      <c r="I106" s="21" t="n">
        <f aca="false">MIN(C$16,ROUND(C106*(1+C$15),2))</f>
        <v>0</v>
      </c>
      <c r="J106" s="21" t="n">
        <f aca="false">MIN(D$16,ROUND(D106*(1+D$15),2))</f>
        <v>0</v>
      </c>
      <c r="K106" s="21" t="n">
        <f aca="false">MIN(E$16,ROUND(E106*(1+E$15),2))</f>
        <v>0</v>
      </c>
      <c r="L106" s="21" t="n">
        <f aca="false">MIN(F$16,ROUND(F106*(1+F$15),2))</f>
        <v>0</v>
      </c>
      <c r="M106" s="21" t="n">
        <f aca="false">MIN(G$16,ROUND(G106*(1+G$15),2))</f>
        <v>0</v>
      </c>
      <c r="N106" s="21" t="n">
        <f aca="false">B$20-SUM(H106:M106)</f>
        <v>1170</v>
      </c>
      <c r="O106" s="21" t="n">
        <f aca="false">MIN(ROUND(B106*(1+B$15),2),H106+MAX(0,N106))</f>
        <v>0</v>
      </c>
      <c r="P106" s="21" t="n">
        <f aca="false">MIN(ROUND(C106*(1+C$15),2),I106+MAX(0,N106-O106+H106))</f>
        <v>0</v>
      </c>
      <c r="Q106" s="21" t="n">
        <f aca="false">MIN(ROUND(D106*(1+D$15),2),J106+MAX(0,N106-O106+H106-P106+I106))</f>
        <v>0</v>
      </c>
      <c r="R106" s="21" t="n">
        <f aca="false">MIN(ROUND(E106*(1+E$15),2),K106+MAX(0,N106-O106+H106-P106+I106-Q106+J106))</f>
        <v>0</v>
      </c>
      <c r="S106" s="21" t="n">
        <f aca="false">MIN(ROUND(F106*(1+F$15),2),L106+MAX(0,N106-O106+H106-P106+I106-Q106+J106-R106+K106))</f>
        <v>0</v>
      </c>
      <c r="T106" s="21" t="n">
        <f aca="false">MIN(ROUND(G106*(1+G$15),2),M106+MAX(0,N106-O106+H106-P106+I106-Q106+J106-R106+K106-S106+L106))</f>
        <v>0</v>
      </c>
      <c r="U106" s="21" t="n">
        <f aca="false">SUM(B106:G106)</f>
        <v>0</v>
      </c>
      <c r="V106" s="21" t="n">
        <f aca="false">SUM(O106:T106)</f>
        <v>0</v>
      </c>
      <c r="X106" s="25" t="n">
        <f aca="false">X105+1</f>
        <v>80</v>
      </c>
      <c r="Y106" s="21" t="n">
        <f aca="false">MAX(0,ROUND(Y105*(1+Y$15),2)-AL105)</f>
        <v>0</v>
      </c>
      <c r="Z106" s="21" t="n">
        <f aca="false">MAX(0,ROUND(Z105*(1+Z$15),2)-AM105)</f>
        <v>0</v>
      </c>
      <c r="AA106" s="21" t="n">
        <f aca="false">MAX(0,ROUND(AA105*(1+AA$15),2)-AN105)</f>
        <v>0</v>
      </c>
      <c r="AB106" s="21" t="n">
        <f aca="false">MAX(0,ROUND(AB105*(1+AB$15),2)-AO105)</f>
        <v>0</v>
      </c>
      <c r="AC106" s="21" t="n">
        <f aca="false">MAX(0,ROUND(AC105*(1+AC$15),2)-AP105)</f>
        <v>0</v>
      </c>
      <c r="AD106" s="21" t="n">
        <f aca="false">MAX(0,ROUND(AD105*(1+AD$15),2)-AQ105)</f>
        <v>0</v>
      </c>
      <c r="AE106" s="21" t="n">
        <f aca="false">MIN(Y$16,ROUND(Y106*(1+Y$15),2))</f>
        <v>0</v>
      </c>
      <c r="AF106" s="21" t="n">
        <f aca="false">MIN(Z$16,ROUND(Z106*(1+Z$15),2))</f>
        <v>0</v>
      </c>
      <c r="AG106" s="21" t="n">
        <f aca="false">MIN(AA$16,ROUND(AA106*(1+AA$15),2))</f>
        <v>0</v>
      </c>
      <c r="AH106" s="21" t="n">
        <f aca="false">MIN(AB$16,ROUND(AB106*(1+AB$15),2))</f>
        <v>0</v>
      </c>
      <c r="AI106" s="21" t="n">
        <f aca="false">MIN(AC$16,ROUND(AC106*(1+AC$15),2))</f>
        <v>0</v>
      </c>
      <c r="AJ106" s="21" t="n">
        <f aca="false">MIN(AD$16,ROUND(AD106*(1+AD$15),2))</f>
        <v>0</v>
      </c>
      <c r="AK106" s="21" t="n">
        <f aca="false">Y$20-SUM(AE106:AJ106)</f>
        <v>1170</v>
      </c>
      <c r="AL106" s="21" t="n">
        <f aca="false">MIN(ROUND(Y106*(1+Y$15),2),AE106+MAX(0,AK106))</f>
        <v>0</v>
      </c>
      <c r="AM106" s="21" t="n">
        <f aca="false">MIN(ROUND(Z106*(1+Z$15),2),AF106+MAX(0,AK106-AL106+AE106))</f>
        <v>0</v>
      </c>
      <c r="AN106" s="21" t="n">
        <f aca="false">MIN(ROUND(AA106*(1+AA$15),2),AG106+MAX(0,AK106-AL106+AE106-AM106+AF106))</f>
        <v>0</v>
      </c>
      <c r="AO106" s="21" t="n">
        <f aca="false">MIN(ROUND(AB106*(1+AB$15),2),AH106+MAX(0,AK106-AL106+AE106-AM106+AF106-AN106+AG106))</f>
        <v>0</v>
      </c>
      <c r="AP106" s="21" t="n">
        <f aca="false">MIN(ROUND(AC106*(1+AC$15),2),AI106+MAX(0,AK106-AL106+AE106-AM106+AF106-AN106+AG106-AO106+AH106))</f>
        <v>0</v>
      </c>
      <c r="AQ106" s="21" t="n">
        <f aca="false">MIN(ROUND(AD106*(1+AD$15),2),AJ106+MAX(0,AK106-AL106+AE106-AM106+AF106-AN106+AG106-AO106+AH106-AP106+AI106))</f>
        <v>0</v>
      </c>
      <c r="AR106" s="21" t="n">
        <f aca="false">SUM(Y106:AD106)</f>
        <v>0</v>
      </c>
      <c r="AS106" s="21" t="n">
        <f aca="false">SUM(AL106:AQ106)</f>
        <v>0</v>
      </c>
    </row>
    <row r="107" customFormat="false" ht="15" hidden="false" customHeight="false" outlineLevel="0" collapsed="false">
      <c r="A107" s="25" t="n">
        <f aca="false">A106+1</f>
        <v>81</v>
      </c>
      <c r="B107" s="21" t="n">
        <f aca="false">MAX(0,ROUND(B106*(1+B$15),2)-O106)</f>
        <v>0</v>
      </c>
      <c r="C107" s="21" t="n">
        <f aca="false">MAX(0,ROUND(C106*(1+C$15),2)-P106)</f>
        <v>0</v>
      </c>
      <c r="D107" s="21" t="n">
        <f aca="false">MAX(0,ROUND(D106*(1+D$15),2)-Q106)</f>
        <v>0</v>
      </c>
      <c r="E107" s="21" t="n">
        <f aca="false">MAX(0,ROUND(E106*(1+E$15),2)-R106)</f>
        <v>0</v>
      </c>
      <c r="F107" s="21" t="n">
        <f aca="false">MAX(0,ROUND(F106*(1+F$15),2)-S106)</f>
        <v>0</v>
      </c>
      <c r="G107" s="21" t="n">
        <f aca="false">MAX(0,ROUND(G106*(1+G$15),2)-T106)</f>
        <v>0</v>
      </c>
      <c r="H107" s="21" t="n">
        <f aca="false">MIN(B$16,ROUND(B107*(1+B$15),2))</f>
        <v>0</v>
      </c>
      <c r="I107" s="21" t="n">
        <f aca="false">MIN(C$16,ROUND(C107*(1+C$15),2))</f>
        <v>0</v>
      </c>
      <c r="J107" s="21" t="n">
        <f aca="false">MIN(D$16,ROUND(D107*(1+D$15),2))</f>
        <v>0</v>
      </c>
      <c r="K107" s="21" t="n">
        <f aca="false">MIN(E$16,ROUND(E107*(1+E$15),2))</f>
        <v>0</v>
      </c>
      <c r="L107" s="21" t="n">
        <f aca="false">MIN(F$16,ROUND(F107*(1+F$15),2))</f>
        <v>0</v>
      </c>
      <c r="M107" s="21" t="n">
        <f aca="false">MIN(G$16,ROUND(G107*(1+G$15),2))</f>
        <v>0</v>
      </c>
      <c r="N107" s="21" t="n">
        <f aca="false">B$20-SUM(H107:M107)</f>
        <v>1170</v>
      </c>
      <c r="O107" s="21" t="n">
        <f aca="false">MIN(ROUND(B107*(1+B$15),2),H107+MAX(0,N107))</f>
        <v>0</v>
      </c>
      <c r="P107" s="21" t="n">
        <f aca="false">MIN(ROUND(C107*(1+C$15),2),I107+MAX(0,N107-O107+H107))</f>
        <v>0</v>
      </c>
      <c r="Q107" s="21" t="n">
        <f aca="false">MIN(ROUND(D107*(1+D$15),2),J107+MAX(0,N107-O107+H107-P107+I107))</f>
        <v>0</v>
      </c>
      <c r="R107" s="21" t="n">
        <f aca="false">MIN(ROUND(E107*(1+E$15),2),K107+MAX(0,N107-O107+H107-P107+I107-Q107+J107))</f>
        <v>0</v>
      </c>
      <c r="S107" s="21" t="n">
        <f aca="false">MIN(ROUND(F107*(1+F$15),2),L107+MAX(0,N107-O107+H107-P107+I107-Q107+J107-R107+K107))</f>
        <v>0</v>
      </c>
      <c r="T107" s="21" t="n">
        <f aca="false">MIN(ROUND(G107*(1+G$15),2),M107+MAX(0,N107-O107+H107-P107+I107-Q107+J107-R107+K107-S107+L107))</f>
        <v>0</v>
      </c>
      <c r="U107" s="21" t="n">
        <f aca="false">SUM(B107:G107)</f>
        <v>0</v>
      </c>
      <c r="V107" s="21" t="n">
        <f aca="false">SUM(O107:T107)</f>
        <v>0</v>
      </c>
      <c r="X107" s="25" t="n">
        <f aca="false">X106+1</f>
        <v>81</v>
      </c>
      <c r="Y107" s="21" t="n">
        <f aca="false">MAX(0,ROUND(Y106*(1+Y$15),2)-AL106)</f>
        <v>0</v>
      </c>
      <c r="Z107" s="21" t="n">
        <f aca="false">MAX(0,ROUND(Z106*(1+Z$15),2)-AM106)</f>
        <v>0</v>
      </c>
      <c r="AA107" s="21" t="n">
        <f aca="false">MAX(0,ROUND(AA106*(1+AA$15),2)-AN106)</f>
        <v>0</v>
      </c>
      <c r="AB107" s="21" t="n">
        <f aca="false">MAX(0,ROUND(AB106*(1+AB$15),2)-AO106)</f>
        <v>0</v>
      </c>
      <c r="AC107" s="21" t="n">
        <f aca="false">MAX(0,ROUND(AC106*(1+AC$15),2)-AP106)</f>
        <v>0</v>
      </c>
      <c r="AD107" s="21" t="n">
        <f aca="false">MAX(0,ROUND(AD106*(1+AD$15),2)-AQ106)</f>
        <v>0</v>
      </c>
      <c r="AE107" s="21" t="n">
        <f aca="false">MIN(Y$16,ROUND(Y107*(1+Y$15),2))</f>
        <v>0</v>
      </c>
      <c r="AF107" s="21" t="n">
        <f aca="false">MIN(Z$16,ROUND(Z107*(1+Z$15),2))</f>
        <v>0</v>
      </c>
      <c r="AG107" s="21" t="n">
        <f aca="false">MIN(AA$16,ROUND(AA107*(1+AA$15),2))</f>
        <v>0</v>
      </c>
      <c r="AH107" s="21" t="n">
        <f aca="false">MIN(AB$16,ROUND(AB107*(1+AB$15),2))</f>
        <v>0</v>
      </c>
      <c r="AI107" s="21" t="n">
        <f aca="false">MIN(AC$16,ROUND(AC107*(1+AC$15),2))</f>
        <v>0</v>
      </c>
      <c r="AJ107" s="21" t="n">
        <f aca="false">MIN(AD$16,ROUND(AD107*(1+AD$15),2))</f>
        <v>0</v>
      </c>
      <c r="AK107" s="21" t="n">
        <f aca="false">Y$20-SUM(AE107:AJ107)</f>
        <v>1170</v>
      </c>
      <c r="AL107" s="21" t="n">
        <f aca="false">MIN(ROUND(Y107*(1+Y$15),2),AE107+MAX(0,AK107))</f>
        <v>0</v>
      </c>
      <c r="AM107" s="21" t="n">
        <f aca="false">MIN(ROUND(Z107*(1+Z$15),2),AF107+MAX(0,AK107-AL107+AE107))</f>
        <v>0</v>
      </c>
      <c r="AN107" s="21" t="n">
        <f aca="false">MIN(ROUND(AA107*(1+AA$15),2),AG107+MAX(0,AK107-AL107+AE107-AM107+AF107))</f>
        <v>0</v>
      </c>
      <c r="AO107" s="21" t="n">
        <f aca="false">MIN(ROUND(AB107*(1+AB$15),2),AH107+MAX(0,AK107-AL107+AE107-AM107+AF107-AN107+AG107))</f>
        <v>0</v>
      </c>
      <c r="AP107" s="21" t="n">
        <f aca="false">MIN(ROUND(AC107*(1+AC$15),2),AI107+MAX(0,AK107-AL107+AE107-AM107+AF107-AN107+AG107-AO107+AH107))</f>
        <v>0</v>
      </c>
      <c r="AQ107" s="21" t="n">
        <f aca="false">MIN(ROUND(AD107*(1+AD$15),2),AJ107+MAX(0,AK107-AL107+AE107-AM107+AF107-AN107+AG107-AO107+AH107-AP107+AI107))</f>
        <v>0</v>
      </c>
      <c r="AR107" s="21" t="n">
        <f aca="false">SUM(Y107:AD107)</f>
        <v>0</v>
      </c>
      <c r="AS107" s="21" t="n">
        <f aca="false">SUM(AL107:AQ107)</f>
        <v>0</v>
      </c>
    </row>
    <row r="108" customFormat="false" ht="15" hidden="false" customHeight="false" outlineLevel="0" collapsed="false">
      <c r="A108" s="25" t="n">
        <f aca="false">A107+1</f>
        <v>82</v>
      </c>
      <c r="B108" s="21" t="n">
        <f aca="false">MAX(0,ROUND(B107*(1+B$15),2)-O107)</f>
        <v>0</v>
      </c>
      <c r="C108" s="21" t="n">
        <f aca="false">MAX(0,ROUND(C107*(1+C$15),2)-P107)</f>
        <v>0</v>
      </c>
      <c r="D108" s="21" t="n">
        <f aca="false">MAX(0,ROUND(D107*(1+D$15),2)-Q107)</f>
        <v>0</v>
      </c>
      <c r="E108" s="21" t="n">
        <f aca="false">MAX(0,ROUND(E107*(1+E$15),2)-R107)</f>
        <v>0</v>
      </c>
      <c r="F108" s="21" t="n">
        <f aca="false">MAX(0,ROUND(F107*(1+F$15),2)-S107)</f>
        <v>0</v>
      </c>
      <c r="G108" s="21" t="n">
        <f aca="false">MAX(0,ROUND(G107*(1+G$15),2)-T107)</f>
        <v>0</v>
      </c>
      <c r="H108" s="21" t="n">
        <f aca="false">MIN(B$16,ROUND(B108*(1+B$15),2))</f>
        <v>0</v>
      </c>
      <c r="I108" s="21" t="n">
        <f aca="false">MIN(C$16,ROUND(C108*(1+C$15),2))</f>
        <v>0</v>
      </c>
      <c r="J108" s="21" t="n">
        <f aca="false">MIN(D$16,ROUND(D108*(1+D$15),2))</f>
        <v>0</v>
      </c>
      <c r="K108" s="21" t="n">
        <f aca="false">MIN(E$16,ROUND(E108*(1+E$15),2))</f>
        <v>0</v>
      </c>
      <c r="L108" s="21" t="n">
        <f aca="false">MIN(F$16,ROUND(F108*(1+F$15),2))</f>
        <v>0</v>
      </c>
      <c r="M108" s="21" t="n">
        <f aca="false">MIN(G$16,ROUND(G108*(1+G$15),2))</f>
        <v>0</v>
      </c>
      <c r="N108" s="21" t="n">
        <f aca="false">B$20-SUM(H108:M108)</f>
        <v>1170</v>
      </c>
      <c r="O108" s="21" t="n">
        <f aca="false">MIN(ROUND(B108*(1+B$15),2),H108+MAX(0,N108))</f>
        <v>0</v>
      </c>
      <c r="P108" s="21" t="n">
        <f aca="false">MIN(ROUND(C108*(1+C$15),2),I108+MAX(0,N108-O108+H108))</f>
        <v>0</v>
      </c>
      <c r="Q108" s="21" t="n">
        <f aca="false">MIN(ROUND(D108*(1+D$15),2),J108+MAX(0,N108-O108+H108-P108+I108))</f>
        <v>0</v>
      </c>
      <c r="R108" s="21" t="n">
        <f aca="false">MIN(ROUND(E108*(1+E$15),2),K108+MAX(0,N108-O108+H108-P108+I108-Q108+J108))</f>
        <v>0</v>
      </c>
      <c r="S108" s="21" t="n">
        <f aca="false">MIN(ROUND(F108*(1+F$15),2),L108+MAX(0,N108-O108+H108-P108+I108-Q108+J108-R108+K108))</f>
        <v>0</v>
      </c>
      <c r="T108" s="21" t="n">
        <f aca="false">MIN(ROUND(G108*(1+G$15),2),M108+MAX(0,N108-O108+H108-P108+I108-Q108+J108-R108+K108-S108+L108))</f>
        <v>0</v>
      </c>
      <c r="U108" s="21" t="n">
        <f aca="false">SUM(B108:G108)</f>
        <v>0</v>
      </c>
      <c r="V108" s="21" t="n">
        <f aca="false">SUM(O108:T108)</f>
        <v>0</v>
      </c>
      <c r="X108" s="25" t="n">
        <f aca="false">X107+1</f>
        <v>82</v>
      </c>
      <c r="Y108" s="21" t="n">
        <f aca="false">MAX(0,ROUND(Y107*(1+Y$15),2)-AL107)</f>
        <v>0</v>
      </c>
      <c r="Z108" s="21" t="n">
        <f aca="false">MAX(0,ROUND(Z107*(1+Z$15),2)-AM107)</f>
        <v>0</v>
      </c>
      <c r="AA108" s="21" t="n">
        <f aca="false">MAX(0,ROUND(AA107*(1+AA$15),2)-AN107)</f>
        <v>0</v>
      </c>
      <c r="AB108" s="21" t="n">
        <f aca="false">MAX(0,ROUND(AB107*(1+AB$15),2)-AO107)</f>
        <v>0</v>
      </c>
      <c r="AC108" s="21" t="n">
        <f aca="false">MAX(0,ROUND(AC107*(1+AC$15),2)-AP107)</f>
        <v>0</v>
      </c>
      <c r="AD108" s="21" t="n">
        <f aca="false">MAX(0,ROUND(AD107*(1+AD$15),2)-AQ107)</f>
        <v>0</v>
      </c>
      <c r="AE108" s="21" t="n">
        <f aca="false">MIN(Y$16,ROUND(Y108*(1+Y$15),2))</f>
        <v>0</v>
      </c>
      <c r="AF108" s="21" t="n">
        <f aca="false">MIN(Z$16,ROUND(Z108*(1+Z$15),2))</f>
        <v>0</v>
      </c>
      <c r="AG108" s="21" t="n">
        <f aca="false">MIN(AA$16,ROUND(AA108*(1+AA$15),2))</f>
        <v>0</v>
      </c>
      <c r="AH108" s="21" t="n">
        <f aca="false">MIN(AB$16,ROUND(AB108*(1+AB$15),2))</f>
        <v>0</v>
      </c>
      <c r="AI108" s="21" t="n">
        <f aca="false">MIN(AC$16,ROUND(AC108*(1+AC$15),2))</f>
        <v>0</v>
      </c>
      <c r="AJ108" s="21" t="n">
        <f aca="false">MIN(AD$16,ROUND(AD108*(1+AD$15),2))</f>
        <v>0</v>
      </c>
      <c r="AK108" s="21" t="n">
        <f aca="false">Y$20-SUM(AE108:AJ108)</f>
        <v>1170</v>
      </c>
      <c r="AL108" s="21" t="n">
        <f aca="false">MIN(ROUND(Y108*(1+Y$15),2),AE108+MAX(0,AK108))</f>
        <v>0</v>
      </c>
      <c r="AM108" s="21" t="n">
        <f aca="false">MIN(ROUND(Z108*(1+Z$15),2),AF108+MAX(0,AK108-AL108+AE108))</f>
        <v>0</v>
      </c>
      <c r="AN108" s="21" t="n">
        <f aca="false">MIN(ROUND(AA108*(1+AA$15),2),AG108+MAX(0,AK108-AL108+AE108-AM108+AF108))</f>
        <v>0</v>
      </c>
      <c r="AO108" s="21" t="n">
        <f aca="false">MIN(ROUND(AB108*(1+AB$15),2),AH108+MAX(0,AK108-AL108+AE108-AM108+AF108-AN108+AG108))</f>
        <v>0</v>
      </c>
      <c r="AP108" s="21" t="n">
        <f aca="false">MIN(ROUND(AC108*(1+AC$15),2),AI108+MAX(0,AK108-AL108+AE108-AM108+AF108-AN108+AG108-AO108+AH108))</f>
        <v>0</v>
      </c>
      <c r="AQ108" s="21" t="n">
        <f aca="false">MIN(ROUND(AD108*(1+AD$15),2),AJ108+MAX(0,AK108-AL108+AE108-AM108+AF108-AN108+AG108-AO108+AH108-AP108+AI108))</f>
        <v>0</v>
      </c>
      <c r="AR108" s="21" t="n">
        <f aca="false">SUM(Y108:AD108)</f>
        <v>0</v>
      </c>
      <c r="AS108" s="21" t="n">
        <f aca="false">SUM(AL108:AQ108)</f>
        <v>0</v>
      </c>
    </row>
    <row r="109" customFormat="false" ht="15" hidden="false" customHeight="false" outlineLevel="0" collapsed="false">
      <c r="A109" s="25" t="n">
        <f aca="false">A108+1</f>
        <v>83</v>
      </c>
      <c r="B109" s="21" t="n">
        <f aca="false">MAX(0,ROUND(B108*(1+B$15),2)-O108)</f>
        <v>0</v>
      </c>
      <c r="C109" s="21" t="n">
        <f aca="false">MAX(0,ROUND(C108*(1+C$15),2)-P108)</f>
        <v>0</v>
      </c>
      <c r="D109" s="21" t="n">
        <f aca="false">MAX(0,ROUND(D108*(1+D$15),2)-Q108)</f>
        <v>0</v>
      </c>
      <c r="E109" s="21" t="n">
        <f aca="false">MAX(0,ROUND(E108*(1+E$15),2)-R108)</f>
        <v>0</v>
      </c>
      <c r="F109" s="21" t="n">
        <f aca="false">MAX(0,ROUND(F108*(1+F$15),2)-S108)</f>
        <v>0</v>
      </c>
      <c r="G109" s="21" t="n">
        <f aca="false">MAX(0,ROUND(G108*(1+G$15),2)-T108)</f>
        <v>0</v>
      </c>
      <c r="H109" s="21" t="n">
        <f aca="false">MIN(B$16,ROUND(B109*(1+B$15),2))</f>
        <v>0</v>
      </c>
      <c r="I109" s="21" t="n">
        <f aca="false">MIN(C$16,ROUND(C109*(1+C$15),2))</f>
        <v>0</v>
      </c>
      <c r="J109" s="21" t="n">
        <f aca="false">MIN(D$16,ROUND(D109*(1+D$15),2))</f>
        <v>0</v>
      </c>
      <c r="K109" s="21" t="n">
        <f aca="false">MIN(E$16,ROUND(E109*(1+E$15),2))</f>
        <v>0</v>
      </c>
      <c r="L109" s="21" t="n">
        <f aca="false">MIN(F$16,ROUND(F109*(1+F$15),2))</f>
        <v>0</v>
      </c>
      <c r="M109" s="21" t="n">
        <f aca="false">MIN(G$16,ROUND(G109*(1+G$15),2))</f>
        <v>0</v>
      </c>
      <c r="N109" s="21" t="n">
        <f aca="false">B$20-SUM(H109:M109)</f>
        <v>1170</v>
      </c>
      <c r="O109" s="21" t="n">
        <f aca="false">MIN(ROUND(B109*(1+B$15),2),H109+MAX(0,N109))</f>
        <v>0</v>
      </c>
      <c r="P109" s="21" t="n">
        <f aca="false">MIN(ROUND(C109*(1+C$15),2),I109+MAX(0,N109-O109+H109))</f>
        <v>0</v>
      </c>
      <c r="Q109" s="21" t="n">
        <f aca="false">MIN(ROUND(D109*(1+D$15),2),J109+MAX(0,N109-O109+H109-P109+I109))</f>
        <v>0</v>
      </c>
      <c r="R109" s="21" t="n">
        <f aca="false">MIN(ROUND(E109*(1+E$15),2),K109+MAX(0,N109-O109+H109-P109+I109-Q109+J109))</f>
        <v>0</v>
      </c>
      <c r="S109" s="21" t="n">
        <f aca="false">MIN(ROUND(F109*(1+F$15),2),L109+MAX(0,N109-O109+H109-P109+I109-Q109+J109-R109+K109))</f>
        <v>0</v>
      </c>
      <c r="T109" s="21" t="n">
        <f aca="false">MIN(ROUND(G109*(1+G$15),2),M109+MAX(0,N109-O109+H109-P109+I109-Q109+J109-R109+K109-S109+L109))</f>
        <v>0</v>
      </c>
      <c r="U109" s="21" t="n">
        <f aca="false">SUM(B109:G109)</f>
        <v>0</v>
      </c>
      <c r="V109" s="21" t="n">
        <f aca="false">SUM(O109:T109)</f>
        <v>0</v>
      </c>
      <c r="X109" s="25" t="n">
        <f aca="false">X108+1</f>
        <v>83</v>
      </c>
      <c r="Y109" s="21" t="n">
        <f aca="false">MAX(0,ROUND(Y108*(1+Y$15),2)-AL108)</f>
        <v>0</v>
      </c>
      <c r="Z109" s="21" t="n">
        <f aca="false">MAX(0,ROUND(Z108*(1+Z$15),2)-AM108)</f>
        <v>0</v>
      </c>
      <c r="AA109" s="21" t="n">
        <f aca="false">MAX(0,ROUND(AA108*(1+AA$15),2)-AN108)</f>
        <v>0</v>
      </c>
      <c r="AB109" s="21" t="n">
        <f aca="false">MAX(0,ROUND(AB108*(1+AB$15),2)-AO108)</f>
        <v>0</v>
      </c>
      <c r="AC109" s="21" t="n">
        <f aca="false">MAX(0,ROUND(AC108*(1+AC$15),2)-AP108)</f>
        <v>0</v>
      </c>
      <c r="AD109" s="21" t="n">
        <f aca="false">MAX(0,ROUND(AD108*(1+AD$15),2)-AQ108)</f>
        <v>0</v>
      </c>
      <c r="AE109" s="21" t="n">
        <f aca="false">MIN(Y$16,ROUND(Y109*(1+Y$15),2))</f>
        <v>0</v>
      </c>
      <c r="AF109" s="21" t="n">
        <f aca="false">MIN(Z$16,ROUND(Z109*(1+Z$15),2))</f>
        <v>0</v>
      </c>
      <c r="AG109" s="21" t="n">
        <f aca="false">MIN(AA$16,ROUND(AA109*(1+AA$15),2))</f>
        <v>0</v>
      </c>
      <c r="AH109" s="21" t="n">
        <f aca="false">MIN(AB$16,ROUND(AB109*(1+AB$15),2))</f>
        <v>0</v>
      </c>
      <c r="AI109" s="21" t="n">
        <f aca="false">MIN(AC$16,ROUND(AC109*(1+AC$15),2))</f>
        <v>0</v>
      </c>
      <c r="AJ109" s="21" t="n">
        <f aca="false">MIN(AD$16,ROUND(AD109*(1+AD$15),2))</f>
        <v>0</v>
      </c>
      <c r="AK109" s="21" t="n">
        <f aca="false">Y$20-SUM(AE109:AJ109)</f>
        <v>1170</v>
      </c>
      <c r="AL109" s="21" t="n">
        <f aca="false">MIN(ROUND(Y109*(1+Y$15),2),AE109+MAX(0,AK109))</f>
        <v>0</v>
      </c>
      <c r="AM109" s="21" t="n">
        <f aca="false">MIN(ROUND(Z109*(1+Z$15),2),AF109+MAX(0,AK109-AL109+AE109))</f>
        <v>0</v>
      </c>
      <c r="AN109" s="21" t="n">
        <f aca="false">MIN(ROUND(AA109*(1+AA$15),2),AG109+MAX(0,AK109-AL109+AE109-AM109+AF109))</f>
        <v>0</v>
      </c>
      <c r="AO109" s="21" t="n">
        <f aca="false">MIN(ROUND(AB109*(1+AB$15),2),AH109+MAX(0,AK109-AL109+AE109-AM109+AF109-AN109+AG109))</f>
        <v>0</v>
      </c>
      <c r="AP109" s="21" t="n">
        <f aca="false">MIN(ROUND(AC109*(1+AC$15),2),AI109+MAX(0,AK109-AL109+AE109-AM109+AF109-AN109+AG109-AO109+AH109))</f>
        <v>0</v>
      </c>
      <c r="AQ109" s="21" t="n">
        <f aca="false">MIN(ROUND(AD109*(1+AD$15),2),AJ109+MAX(0,AK109-AL109+AE109-AM109+AF109-AN109+AG109-AO109+AH109-AP109+AI109))</f>
        <v>0</v>
      </c>
      <c r="AR109" s="21" t="n">
        <f aca="false">SUM(Y109:AD109)</f>
        <v>0</v>
      </c>
      <c r="AS109" s="21" t="n">
        <f aca="false">SUM(AL109:AQ109)</f>
        <v>0</v>
      </c>
    </row>
    <row r="110" customFormat="false" ht="15" hidden="false" customHeight="false" outlineLevel="0" collapsed="false">
      <c r="A110" s="25" t="n">
        <f aca="false">A109+1</f>
        <v>84</v>
      </c>
      <c r="B110" s="21" t="n">
        <f aca="false">MAX(0,ROUND(B109*(1+B$15),2)-O109)</f>
        <v>0</v>
      </c>
      <c r="C110" s="21" t="n">
        <f aca="false">MAX(0,ROUND(C109*(1+C$15),2)-P109)</f>
        <v>0</v>
      </c>
      <c r="D110" s="21" t="n">
        <f aca="false">MAX(0,ROUND(D109*(1+D$15),2)-Q109)</f>
        <v>0</v>
      </c>
      <c r="E110" s="21" t="n">
        <f aca="false">MAX(0,ROUND(E109*(1+E$15),2)-R109)</f>
        <v>0</v>
      </c>
      <c r="F110" s="21" t="n">
        <f aca="false">MAX(0,ROUND(F109*(1+F$15),2)-S109)</f>
        <v>0</v>
      </c>
      <c r="G110" s="21" t="n">
        <f aca="false">MAX(0,ROUND(G109*(1+G$15),2)-T109)</f>
        <v>0</v>
      </c>
      <c r="H110" s="21" t="n">
        <f aca="false">MIN(B$16,ROUND(B110*(1+B$15),2))</f>
        <v>0</v>
      </c>
      <c r="I110" s="21" t="n">
        <f aca="false">MIN(C$16,ROUND(C110*(1+C$15),2))</f>
        <v>0</v>
      </c>
      <c r="J110" s="21" t="n">
        <f aca="false">MIN(D$16,ROUND(D110*(1+D$15),2))</f>
        <v>0</v>
      </c>
      <c r="K110" s="21" t="n">
        <f aca="false">MIN(E$16,ROUND(E110*(1+E$15),2))</f>
        <v>0</v>
      </c>
      <c r="L110" s="21" t="n">
        <f aca="false">MIN(F$16,ROUND(F110*(1+F$15),2))</f>
        <v>0</v>
      </c>
      <c r="M110" s="21" t="n">
        <f aca="false">MIN(G$16,ROUND(G110*(1+G$15),2))</f>
        <v>0</v>
      </c>
      <c r="N110" s="21" t="n">
        <f aca="false">B$20-SUM(H110:M110)</f>
        <v>1170</v>
      </c>
      <c r="O110" s="21" t="n">
        <f aca="false">MIN(ROUND(B110*(1+B$15),2),H110+MAX(0,N110))</f>
        <v>0</v>
      </c>
      <c r="P110" s="21" t="n">
        <f aca="false">MIN(ROUND(C110*(1+C$15),2),I110+MAX(0,N110-O110+H110))</f>
        <v>0</v>
      </c>
      <c r="Q110" s="21" t="n">
        <f aca="false">MIN(ROUND(D110*(1+D$15),2),J110+MAX(0,N110-O110+H110-P110+I110))</f>
        <v>0</v>
      </c>
      <c r="R110" s="21" t="n">
        <f aca="false">MIN(ROUND(E110*(1+E$15),2),K110+MAX(0,N110-O110+H110-P110+I110-Q110+J110))</f>
        <v>0</v>
      </c>
      <c r="S110" s="21" t="n">
        <f aca="false">MIN(ROUND(F110*(1+F$15),2),L110+MAX(0,N110-O110+H110-P110+I110-Q110+J110-R110+K110))</f>
        <v>0</v>
      </c>
      <c r="T110" s="21" t="n">
        <f aca="false">MIN(ROUND(G110*(1+G$15),2),M110+MAX(0,N110-O110+H110-P110+I110-Q110+J110-R110+K110-S110+L110))</f>
        <v>0</v>
      </c>
      <c r="U110" s="21" t="n">
        <f aca="false">SUM(B110:G110)</f>
        <v>0</v>
      </c>
      <c r="V110" s="21" t="n">
        <f aca="false">SUM(O110:T110)</f>
        <v>0</v>
      </c>
      <c r="X110" s="25" t="n">
        <f aca="false">X109+1</f>
        <v>84</v>
      </c>
      <c r="Y110" s="21" t="n">
        <f aca="false">MAX(0,ROUND(Y109*(1+Y$15),2)-AL109)</f>
        <v>0</v>
      </c>
      <c r="Z110" s="21" t="n">
        <f aca="false">MAX(0,ROUND(Z109*(1+Z$15),2)-AM109)</f>
        <v>0</v>
      </c>
      <c r="AA110" s="21" t="n">
        <f aca="false">MAX(0,ROUND(AA109*(1+AA$15),2)-AN109)</f>
        <v>0</v>
      </c>
      <c r="AB110" s="21" t="n">
        <f aca="false">MAX(0,ROUND(AB109*(1+AB$15),2)-AO109)</f>
        <v>0</v>
      </c>
      <c r="AC110" s="21" t="n">
        <f aca="false">MAX(0,ROUND(AC109*(1+AC$15),2)-AP109)</f>
        <v>0</v>
      </c>
      <c r="AD110" s="21" t="n">
        <f aca="false">MAX(0,ROUND(AD109*(1+AD$15),2)-AQ109)</f>
        <v>0</v>
      </c>
      <c r="AE110" s="21" t="n">
        <f aca="false">MIN(Y$16,ROUND(Y110*(1+Y$15),2))</f>
        <v>0</v>
      </c>
      <c r="AF110" s="21" t="n">
        <f aca="false">MIN(Z$16,ROUND(Z110*(1+Z$15),2))</f>
        <v>0</v>
      </c>
      <c r="AG110" s="21" t="n">
        <f aca="false">MIN(AA$16,ROUND(AA110*(1+AA$15),2))</f>
        <v>0</v>
      </c>
      <c r="AH110" s="21" t="n">
        <f aca="false">MIN(AB$16,ROUND(AB110*(1+AB$15),2))</f>
        <v>0</v>
      </c>
      <c r="AI110" s="21" t="n">
        <f aca="false">MIN(AC$16,ROUND(AC110*(1+AC$15),2))</f>
        <v>0</v>
      </c>
      <c r="AJ110" s="21" t="n">
        <f aca="false">MIN(AD$16,ROUND(AD110*(1+AD$15),2))</f>
        <v>0</v>
      </c>
      <c r="AK110" s="21" t="n">
        <f aca="false">Y$20-SUM(AE110:AJ110)</f>
        <v>1170</v>
      </c>
      <c r="AL110" s="21" t="n">
        <f aca="false">MIN(ROUND(Y110*(1+Y$15),2),AE110+MAX(0,AK110))</f>
        <v>0</v>
      </c>
      <c r="AM110" s="21" t="n">
        <f aca="false">MIN(ROUND(Z110*(1+Z$15),2),AF110+MAX(0,AK110-AL110+AE110))</f>
        <v>0</v>
      </c>
      <c r="AN110" s="21" t="n">
        <f aca="false">MIN(ROUND(AA110*(1+AA$15),2),AG110+MAX(0,AK110-AL110+AE110-AM110+AF110))</f>
        <v>0</v>
      </c>
      <c r="AO110" s="21" t="n">
        <f aca="false">MIN(ROUND(AB110*(1+AB$15),2),AH110+MAX(0,AK110-AL110+AE110-AM110+AF110-AN110+AG110))</f>
        <v>0</v>
      </c>
      <c r="AP110" s="21" t="n">
        <f aca="false">MIN(ROUND(AC110*(1+AC$15),2),AI110+MAX(0,AK110-AL110+AE110-AM110+AF110-AN110+AG110-AO110+AH110))</f>
        <v>0</v>
      </c>
      <c r="AQ110" s="21" t="n">
        <f aca="false">MIN(ROUND(AD110*(1+AD$15),2),AJ110+MAX(0,AK110-AL110+AE110-AM110+AF110-AN110+AG110-AO110+AH110-AP110+AI110))</f>
        <v>0</v>
      </c>
      <c r="AR110" s="21" t="n">
        <f aca="false">SUM(Y110:AD110)</f>
        <v>0</v>
      </c>
      <c r="AS110" s="21" t="n">
        <f aca="false">SUM(AL110:AQ110)</f>
        <v>0</v>
      </c>
    </row>
    <row r="111" customFormat="false" ht="15" hidden="false" customHeight="false" outlineLevel="0" collapsed="false">
      <c r="A111" s="25" t="n">
        <f aca="false">A110+1</f>
        <v>85</v>
      </c>
      <c r="B111" s="21" t="n">
        <f aca="false">MAX(0,ROUND(B110*(1+B$15),2)-O110)</f>
        <v>0</v>
      </c>
      <c r="C111" s="21" t="n">
        <f aca="false">MAX(0,ROUND(C110*(1+C$15),2)-P110)</f>
        <v>0</v>
      </c>
      <c r="D111" s="21" t="n">
        <f aca="false">MAX(0,ROUND(D110*(1+D$15),2)-Q110)</f>
        <v>0</v>
      </c>
      <c r="E111" s="21" t="n">
        <f aca="false">MAX(0,ROUND(E110*(1+E$15),2)-R110)</f>
        <v>0</v>
      </c>
      <c r="F111" s="21" t="n">
        <f aca="false">MAX(0,ROUND(F110*(1+F$15),2)-S110)</f>
        <v>0</v>
      </c>
      <c r="G111" s="21" t="n">
        <f aca="false">MAX(0,ROUND(G110*(1+G$15),2)-T110)</f>
        <v>0</v>
      </c>
      <c r="H111" s="21" t="n">
        <f aca="false">MIN(B$16,ROUND(B111*(1+B$15),2))</f>
        <v>0</v>
      </c>
      <c r="I111" s="21" t="n">
        <f aca="false">MIN(C$16,ROUND(C111*(1+C$15),2))</f>
        <v>0</v>
      </c>
      <c r="J111" s="21" t="n">
        <f aca="false">MIN(D$16,ROUND(D111*(1+D$15),2))</f>
        <v>0</v>
      </c>
      <c r="K111" s="21" t="n">
        <f aca="false">MIN(E$16,ROUND(E111*(1+E$15),2))</f>
        <v>0</v>
      </c>
      <c r="L111" s="21" t="n">
        <f aca="false">MIN(F$16,ROUND(F111*(1+F$15),2))</f>
        <v>0</v>
      </c>
      <c r="M111" s="21" t="n">
        <f aca="false">MIN(G$16,ROUND(G111*(1+G$15),2))</f>
        <v>0</v>
      </c>
      <c r="N111" s="21" t="n">
        <f aca="false">B$20-SUM(H111:M111)</f>
        <v>1170</v>
      </c>
      <c r="O111" s="21" t="n">
        <f aca="false">MIN(ROUND(B111*(1+B$15),2),H111+MAX(0,N111))</f>
        <v>0</v>
      </c>
      <c r="P111" s="21" t="n">
        <f aca="false">MIN(ROUND(C111*(1+C$15),2),I111+MAX(0,N111-O111+H111))</f>
        <v>0</v>
      </c>
      <c r="Q111" s="21" t="n">
        <f aca="false">MIN(ROUND(D111*(1+D$15),2),J111+MAX(0,N111-O111+H111-P111+I111))</f>
        <v>0</v>
      </c>
      <c r="R111" s="21" t="n">
        <f aca="false">MIN(ROUND(E111*(1+E$15),2),K111+MAX(0,N111-O111+H111-P111+I111-Q111+J111))</f>
        <v>0</v>
      </c>
      <c r="S111" s="21" t="n">
        <f aca="false">MIN(ROUND(F111*(1+F$15),2),L111+MAX(0,N111-O111+H111-P111+I111-Q111+J111-R111+K111))</f>
        <v>0</v>
      </c>
      <c r="T111" s="21" t="n">
        <f aca="false">MIN(ROUND(G111*(1+G$15),2),M111+MAX(0,N111-O111+H111-P111+I111-Q111+J111-R111+K111-S111+L111))</f>
        <v>0</v>
      </c>
      <c r="U111" s="21" t="n">
        <f aca="false">SUM(B111:G111)</f>
        <v>0</v>
      </c>
      <c r="V111" s="21" t="n">
        <f aca="false">SUM(O111:T111)</f>
        <v>0</v>
      </c>
      <c r="X111" s="25" t="n">
        <f aca="false">X110+1</f>
        <v>85</v>
      </c>
      <c r="Y111" s="21" t="n">
        <f aca="false">MAX(0,ROUND(Y110*(1+Y$15),2)-AL110)</f>
        <v>0</v>
      </c>
      <c r="Z111" s="21" t="n">
        <f aca="false">MAX(0,ROUND(Z110*(1+Z$15),2)-AM110)</f>
        <v>0</v>
      </c>
      <c r="AA111" s="21" t="n">
        <f aca="false">MAX(0,ROUND(AA110*(1+AA$15),2)-AN110)</f>
        <v>0</v>
      </c>
      <c r="AB111" s="21" t="n">
        <f aca="false">MAX(0,ROUND(AB110*(1+AB$15),2)-AO110)</f>
        <v>0</v>
      </c>
      <c r="AC111" s="21" t="n">
        <f aca="false">MAX(0,ROUND(AC110*(1+AC$15),2)-AP110)</f>
        <v>0</v>
      </c>
      <c r="AD111" s="21" t="n">
        <f aca="false">MAX(0,ROUND(AD110*(1+AD$15),2)-AQ110)</f>
        <v>0</v>
      </c>
      <c r="AE111" s="21" t="n">
        <f aca="false">MIN(Y$16,ROUND(Y111*(1+Y$15),2))</f>
        <v>0</v>
      </c>
      <c r="AF111" s="21" t="n">
        <f aca="false">MIN(Z$16,ROUND(Z111*(1+Z$15),2))</f>
        <v>0</v>
      </c>
      <c r="AG111" s="21" t="n">
        <f aca="false">MIN(AA$16,ROUND(AA111*(1+AA$15),2))</f>
        <v>0</v>
      </c>
      <c r="AH111" s="21" t="n">
        <f aca="false">MIN(AB$16,ROUND(AB111*(1+AB$15),2))</f>
        <v>0</v>
      </c>
      <c r="AI111" s="21" t="n">
        <f aca="false">MIN(AC$16,ROUND(AC111*(1+AC$15),2))</f>
        <v>0</v>
      </c>
      <c r="AJ111" s="21" t="n">
        <f aca="false">MIN(AD$16,ROUND(AD111*(1+AD$15),2))</f>
        <v>0</v>
      </c>
      <c r="AK111" s="21" t="n">
        <f aca="false">Y$20-SUM(AE111:AJ111)</f>
        <v>1170</v>
      </c>
      <c r="AL111" s="21" t="n">
        <f aca="false">MIN(ROUND(Y111*(1+Y$15),2),AE111+MAX(0,AK111))</f>
        <v>0</v>
      </c>
      <c r="AM111" s="21" t="n">
        <f aca="false">MIN(ROUND(Z111*(1+Z$15),2),AF111+MAX(0,AK111-AL111+AE111))</f>
        <v>0</v>
      </c>
      <c r="AN111" s="21" t="n">
        <f aca="false">MIN(ROUND(AA111*(1+AA$15),2),AG111+MAX(0,AK111-AL111+AE111-AM111+AF111))</f>
        <v>0</v>
      </c>
      <c r="AO111" s="21" t="n">
        <f aca="false">MIN(ROUND(AB111*(1+AB$15),2),AH111+MAX(0,AK111-AL111+AE111-AM111+AF111-AN111+AG111))</f>
        <v>0</v>
      </c>
      <c r="AP111" s="21" t="n">
        <f aca="false">MIN(ROUND(AC111*(1+AC$15),2),AI111+MAX(0,AK111-AL111+AE111-AM111+AF111-AN111+AG111-AO111+AH111))</f>
        <v>0</v>
      </c>
      <c r="AQ111" s="21" t="n">
        <f aca="false">MIN(ROUND(AD111*(1+AD$15),2),AJ111+MAX(0,AK111-AL111+AE111-AM111+AF111-AN111+AG111-AO111+AH111-AP111+AI111))</f>
        <v>0</v>
      </c>
      <c r="AR111" s="21" t="n">
        <f aca="false">SUM(Y111:AD111)</f>
        <v>0</v>
      </c>
      <c r="AS111" s="21" t="n">
        <f aca="false">SUM(AL111:AQ111)</f>
        <v>0</v>
      </c>
    </row>
    <row r="112" customFormat="false" ht="15" hidden="false" customHeight="false" outlineLevel="0" collapsed="false">
      <c r="A112" s="25" t="n">
        <f aca="false">A111+1</f>
        <v>86</v>
      </c>
      <c r="B112" s="21" t="n">
        <f aca="false">MAX(0,ROUND(B111*(1+B$15),2)-O111)</f>
        <v>0</v>
      </c>
      <c r="C112" s="21" t="n">
        <f aca="false">MAX(0,ROUND(C111*(1+C$15),2)-P111)</f>
        <v>0</v>
      </c>
      <c r="D112" s="21" t="n">
        <f aca="false">MAX(0,ROUND(D111*(1+D$15),2)-Q111)</f>
        <v>0</v>
      </c>
      <c r="E112" s="21" t="n">
        <f aca="false">MAX(0,ROUND(E111*(1+E$15),2)-R111)</f>
        <v>0</v>
      </c>
      <c r="F112" s="21" t="n">
        <f aca="false">MAX(0,ROUND(F111*(1+F$15),2)-S111)</f>
        <v>0</v>
      </c>
      <c r="G112" s="21" t="n">
        <f aca="false">MAX(0,ROUND(G111*(1+G$15),2)-T111)</f>
        <v>0</v>
      </c>
      <c r="H112" s="21" t="n">
        <f aca="false">MIN(B$16,ROUND(B112*(1+B$15),2))</f>
        <v>0</v>
      </c>
      <c r="I112" s="21" t="n">
        <f aca="false">MIN(C$16,ROUND(C112*(1+C$15),2))</f>
        <v>0</v>
      </c>
      <c r="J112" s="21" t="n">
        <f aca="false">MIN(D$16,ROUND(D112*(1+D$15),2))</f>
        <v>0</v>
      </c>
      <c r="K112" s="21" t="n">
        <f aca="false">MIN(E$16,ROUND(E112*(1+E$15),2))</f>
        <v>0</v>
      </c>
      <c r="L112" s="21" t="n">
        <f aca="false">MIN(F$16,ROUND(F112*(1+F$15),2))</f>
        <v>0</v>
      </c>
      <c r="M112" s="21" t="n">
        <f aca="false">MIN(G$16,ROUND(G112*(1+G$15),2))</f>
        <v>0</v>
      </c>
      <c r="N112" s="21" t="n">
        <f aca="false">B$20-SUM(H112:M112)</f>
        <v>1170</v>
      </c>
      <c r="O112" s="21" t="n">
        <f aca="false">MIN(ROUND(B112*(1+B$15),2),H112+MAX(0,N112))</f>
        <v>0</v>
      </c>
      <c r="P112" s="21" t="n">
        <f aca="false">MIN(ROUND(C112*(1+C$15),2),I112+MAX(0,N112-O112+H112))</f>
        <v>0</v>
      </c>
      <c r="Q112" s="21" t="n">
        <f aca="false">MIN(ROUND(D112*(1+D$15),2),J112+MAX(0,N112-O112+H112-P112+I112))</f>
        <v>0</v>
      </c>
      <c r="R112" s="21" t="n">
        <f aca="false">MIN(ROUND(E112*(1+E$15),2),K112+MAX(0,N112-O112+H112-P112+I112-Q112+J112))</f>
        <v>0</v>
      </c>
      <c r="S112" s="21" t="n">
        <f aca="false">MIN(ROUND(F112*(1+F$15),2),L112+MAX(0,N112-O112+H112-P112+I112-Q112+J112-R112+K112))</f>
        <v>0</v>
      </c>
      <c r="T112" s="21" t="n">
        <f aca="false">MIN(ROUND(G112*(1+G$15),2),M112+MAX(0,N112-O112+H112-P112+I112-Q112+J112-R112+K112-S112+L112))</f>
        <v>0</v>
      </c>
      <c r="U112" s="21" t="n">
        <f aca="false">SUM(B112:G112)</f>
        <v>0</v>
      </c>
      <c r="V112" s="21" t="n">
        <f aca="false">SUM(O112:T112)</f>
        <v>0</v>
      </c>
      <c r="X112" s="25" t="n">
        <f aca="false">X111+1</f>
        <v>86</v>
      </c>
      <c r="Y112" s="21" t="n">
        <f aca="false">MAX(0,ROUND(Y111*(1+Y$15),2)-AL111)</f>
        <v>0</v>
      </c>
      <c r="Z112" s="21" t="n">
        <f aca="false">MAX(0,ROUND(Z111*(1+Z$15),2)-AM111)</f>
        <v>0</v>
      </c>
      <c r="AA112" s="21" t="n">
        <f aca="false">MAX(0,ROUND(AA111*(1+AA$15),2)-AN111)</f>
        <v>0</v>
      </c>
      <c r="AB112" s="21" t="n">
        <f aca="false">MAX(0,ROUND(AB111*(1+AB$15),2)-AO111)</f>
        <v>0</v>
      </c>
      <c r="AC112" s="21" t="n">
        <f aca="false">MAX(0,ROUND(AC111*(1+AC$15),2)-AP111)</f>
        <v>0</v>
      </c>
      <c r="AD112" s="21" t="n">
        <f aca="false">MAX(0,ROUND(AD111*(1+AD$15),2)-AQ111)</f>
        <v>0</v>
      </c>
      <c r="AE112" s="21" t="n">
        <f aca="false">MIN(Y$16,ROUND(Y112*(1+Y$15),2))</f>
        <v>0</v>
      </c>
      <c r="AF112" s="21" t="n">
        <f aca="false">MIN(Z$16,ROUND(Z112*(1+Z$15),2))</f>
        <v>0</v>
      </c>
      <c r="AG112" s="21" t="n">
        <f aca="false">MIN(AA$16,ROUND(AA112*(1+AA$15),2))</f>
        <v>0</v>
      </c>
      <c r="AH112" s="21" t="n">
        <f aca="false">MIN(AB$16,ROUND(AB112*(1+AB$15),2))</f>
        <v>0</v>
      </c>
      <c r="AI112" s="21" t="n">
        <f aca="false">MIN(AC$16,ROUND(AC112*(1+AC$15),2))</f>
        <v>0</v>
      </c>
      <c r="AJ112" s="21" t="n">
        <f aca="false">MIN(AD$16,ROUND(AD112*(1+AD$15),2))</f>
        <v>0</v>
      </c>
      <c r="AK112" s="21" t="n">
        <f aca="false">Y$20-SUM(AE112:AJ112)</f>
        <v>1170</v>
      </c>
      <c r="AL112" s="21" t="n">
        <f aca="false">MIN(ROUND(Y112*(1+Y$15),2),AE112+MAX(0,AK112))</f>
        <v>0</v>
      </c>
      <c r="AM112" s="21" t="n">
        <f aca="false">MIN(ROUND(Z112*(1+Z$15),2),AF112+MAX(0,AK112-AL112+AE112))</f>
        <v>0</v>
      </c>
      <c r="AN112" s="21" t="n">
        <f aca="false">MIN(ROUND(AA112*(1+AA$15),2),AG112+MAX(0,AK112-AL112+AE112-AM112+AF112))</f>
        <v>0</v>
      </c>
      <c r="AO112" s="21" t="n">
        <f aca="false">MIN(ROUND(AB112*(1+AB$15),2),AH112+MAX(0,AK112-AL112+AE112-AM112+AF112-AN112+AG112))</f>
        <v>0</v>
      </c>
      <c r="AP112" s="21" t="n">
        <f aca="false">MIN(ROUND(AC112*(1+AC$15),2),AI112+MAX(0,AK112-AL112+AE112-AM112+AF112-AN112+AG112-AO112+AH112))</f>
        <v>0</v>
      </c>
      <c r="AQ112" s="21" t="n">
        <f aca="false">MIN(ROUND(AD112*(1+AD$15),2),AJ112+MAX(0,AK112-AL112+AE112-AM112+AF112-AN112+AG112-AO112+AH112-AP112+AI112))</f>
        <v>0</v>
      </c>
      <c r="AR112" s="21" t="n">
        <f aca="false">SUM(Y112:AD112)</f>
        <v>0</v>
      </c>
      <c r="AS112" s="21" t="n">
        <f aca="false">SUM(AL112:AQ112)</f>
        <v>0</v>
      </c>
    </row>
    <row r="113" customFormat="false" ht="15" hidden="false" customHeight="false" outlineLevel="0" collapsed="false">
      <c r="A113" s="25" t="n">
        <f aca="false">A112+1</f>
        <v>87</v>
      </c>
      <c r="B113" s="21" t="n">
        <f aca="false">MAX(0,ROUND(B112*(1+B$15),2)-O112)</f>
        <v>0</v>
      </c>
      <c r="C113" s="21" t="n">
        <f aca="false">MAX(0,ROUND(C112*(1+C$15),2)-P112)</f>
        <v>0</v>
      </c>
      <c r="D113" s="21" t="n">
        <f aca="false">MAX(0,ROUND(D112*(1+D$15),2)-Q112)</f>
        <v>0</v>
      </c>
      <c r="E113" s="21" t="n">
        <f aca="false">MAX(0,ROUND(E112*(1+E$15),2)-R112)</f>
        <v>0</v>
      </c>
      <c r="F113" s="21" t="n">
        <f aca="false">MAX(0,ROUND(F112*(1+F$15),2)-S112)</f>
        <v>0</v>
      </c>
      <c r="G113" s="21" t="n">
        <f aca="false">MAX(0,ROUND(G112*(1+G$15),2)-T112)</f>
        <v>0</v>
      </c>
      <c r="H113" s="21" t="n">
        <f aca="false">MIN(B$16,ROUND(B113*(1+B$15),2))</f>
        <v>0</v>
      </c>
      <c r="I113" s="21" t="n">
        <f aca="false">MIN(C$16,ROUND(C113*(1+C$15),2))</f>
        <v>0</v>
      </c>
      <c r="J113" s="21" t="n">
        <f aca="false">MIN(D$16,ROUND(D113*(1+D$15),2))</f>
        <v>0</v>
      </c>
      <c r="K113" s="21" t="n">
        <f aca="false">MIN(E$16,ROUND(E113*(1+E$15),2))</f>
        <v>0</v>
      </c>
      <c r="L113" s="21" t="n">
        <f aca="false">MIN(F$16,ROUND(F113*(1+F$15),2))</f>
        <v>0</v>
      </c>
      <c r="M113" s="21" t="n">
        <f aca="false">MIN(G$16,ROUND(G113*(1+G$15),2))</f>
        <v>0</v>
      </c>
      <c r="N113" s="21" t="n">
        <f aca="false">B$20-SUM(H113:M113)</f>
        <v>1170</v>
      </c>
      <c r="O113" s="21" t="n">
        <f aca="false">MIN(ROUND(B113*(1+B$15),2),H113+MAX(0,N113))</f>
        <v>0</v>
      </c>
      <c r="P113" s="21" t="n">
        <f aca="false">MIN(ROUND(C113*(1+C$15),2),I113+MAX(0,N113-O113+H113))</f>
        <v>0</v>
      </c>
      <c r="Q113" s="21" t="n">
        <f aca="false">MIN(ROUND(D113*(1+D$15),2),J113+MAX(0,N113-O113+H113-P113+I113))</f>
        <v>0</v>
      </c>
      <c r="R113" s="21" t="n">
        <f aca="false">MIN(ROUND(E113*(1+E$15),2),K113+MAX(0,N113-O113+H113-P113+I113-Q113+J113))</f>
        <v>0</v>
      </c>
      <c r="S113" s="21" t="n">
        <f aca="false">MIN(ROUND(F113*(1+F$15),2),L113+MAX(0,N113-O113+H113-P113+I113-Q113+J113-R113+K113))</f>
        <v>0</v>
      </c>
      <c r="T113" s="21" t="n">
        <f aca="false">MIN(ROUND(G113*(1+G$15),2),M113+MAX(0,N113-O113+H113-P113+I113-Q113+J113-R113+K113-S113+L113))</f>
        <v>0</v>
      </c>
      <c r="U113" s="21" t="n">
        <f aca="false">SUM(B113:G113)</f>
        <v>0</v>
      </c>
      <c r="V113" s="21" t="n">
        <f aca="false">SUM(O113:T113)</f>
        <v>0</v>
      </c>
      <c r="X113" s="25" t="n">
        <f aca="false">X112+1</f>
        <v>87</v>
      </c>
      <c r="Y113" s="21" t="n">
        <f aca="false">MAX(0,ROUND(Y112*(1+Y$15),2)-AL112)</f>
        <v>0</v>
      </c>
      <c r="Z113" s="21" t="n">
        <f aca="false">MAX(0,ROUND(Z112*(1+Z$15),2)-AM112)</f>
        <v>0</v>
      </c>
      <c r="AA113" s="21" t="n">
        <f aca="false">MAX(0,ROUND(AA112*(1+AA$15),2)-AN112)</f>
        <v>0</v>
      </c>
      <c r="AB113" s="21" t="n">
        <f aca="false">MAX(0,ROUND(AB112*(1+AB$15),2)-AO112)</f>
        <v>0</v>
      </c>
      <c r="AC113" s="21" t="n">
        <f aca="false">MAX(0,ROUND(AC112*(1+AC$15),2)-AP112)</f>
        <v>0</v>
      </c>
      <c r="AD113" s="21" t="n">
        <f aca="false">MAX(0,ROUND(AD112*(1+AD$15),2)-AQ112)</f>
        <v>0</v>
      </c>
      <c r="AE113" s="21" t="n">
        <f aca="false">MIN(Y$16,ROUND(Y113*(1+Y$15),2))</f>
        <v>0</v>
      </c>
      <c r="AF113" s="21" t="n">
        <f aca="false">MIN(Z$16,ROUND(Z113*(1+Z$15),2))</f>
        <v>0</v>
      </c>
      <c r="AG113" s="21" t="n">
        <f aca="false">MIN(AA$16,ROUND(AA113*(1+AA$15),2))</f>
        <v>0</v>
      </c>
      <c r="AH113" s="21" t="n">
        <f aca="false">MIN(AB$16,ROUND(AB113*(1+AB$15),2))</f>
        <v>0</v>
      </c>
      <c r="AI113" s="21" t="n">
        <f aca="false">MIN(AC$16,ROUND(AC113*(1+AC$15),2))</f>
        <v>0</v>
      </c>
      <c r="AJ113" s="21" t="n">
        <f aca="false">MIN(AD$16,ROUND(AD113*(1+AD$15),2))</f>
        <v>0</v>
      </c>
      <c r="AK113" s="21" t="n">
        <f aca="false">Y$20-SUM(AE113:AJ113)</f>
        <v>1170</v>
      </c>
      <c r="AL113" s="21" t="n">
        <f aca="false">MIN(ROUND(Y113*(1+Y$15),2),AE113+MAX(0,AK113))</f>
        <v>0</v>
      </c>
      <c r="AM113" s="21" t="n">
        <f aca="false">MIN(ROUND(Z113*(1+Z$15),2),AF113+MAX(0,AK113-AL113+AE113))</f>
        <v>0</v>
      </c>
      <c r="AN113" s="21" t="n">
        <f aca="false">MIN(ROUND(AA113*(1+AA$15),2),AG113+MAX(0,AK113-AL113+AE113-AM113+AF113))</f>
        <v>0</v>
      </c>
      <c r="AO113" s="21" t="n">
        <f aca="false">MIN(ROUND(AB113*(1+AB$15),2),AH113+MAX(0,AK113-AL113+AE113-AM113+AF113-AN113+AG113))</f>
        <v>0</v>
      </c>
      <c r="AP113" s="21" t="n">
        <f aca="false">MIN(ROUND(AC113*(1+AC$15),2),AI113+MAX(0,AK113-AL113+AE113-AM113+AF113-AN113+AG113-AO113+AH113))</f>
        <v>0</v>
      </c>
      <c r="AQ113" s="21" t="n">
        <f aca="false">MIN(ROUND(AD113*(1+AD$15),2),AJ113+MAX(0,AK113-AL113+AE113-AM113+AF113-AN113+AG113-AO113+AH113-AP113+AI113))</f>
        <v>0</v>
      </c>
      <c r="AR113" s="21" t="n">
        <f aca="false">SUM(Y113:AD113)</f>
        <v>0</v>
      </c>
      <c r="AS113" s="21" t="n">
        <f aca="false">SUM(AL113:AQ113)</f>
        <v>0</v>
      </c>
    </row>
    <row r="114" customFormat="false" ht="15" hidden="false" customHeight="false" outlineLevel="0" collapsed="false">
      <c r="A114" s="25" t="n">
        <f aca="false">A113+1</f>
        <v>88</v>
      </c>
      <c r="B114" s="21" t="n">
        <f aca="false">MAX(0,ROUND(B113*(1+B$15),2)-O113)</f>
        <v>0</v>
      </c>
      <c r="C114" s="21" t="n">
        <f aca="false">MAX(0,ROUND(C113*(1+C$15),2)-P113)</f>
        <v>0</v>
      </c>
      <c r="D114" s="21" t="n">
        <f aca="false">MAX(0,ROUND(D113*(1+D$15),2)-Q113)</f>
        <v>0</v>
      </c>
      <c r="E114" s="21" t="n">
        <f aca="false">MAX(0,ROUND(E113*(1+E$15),2)-R113)</f>
        <v>0</v>
      </c>
      <c r="F114" s="21" t="n">
        <f aca="false">MAX(0,ROUND(F113*(1+F$15),2)-S113)</f>
        <v>0</v>
      </c>
      <c r="G114" s="21" t="n">
        <f aca="false">MAX(0,ROUND(G113*(1+G$15),2)-T113)</f>
        <v>0</v>
      </c>
      <c r="H114" s="21" t="n">
        <f aca="false">MIN(B$16,ROUND(B114*(1+B$15),2))</f>
        <v>0</v>
      </c>
      <c r="I114" s="21" t="n">
        <f aca="false">MIN(C$16,ROUND(C114*(1+C$15),2))</f>
        <v>0</v>
      </c>
      <c r="J114" s="21" t="n">
        <f aca="false">MIN(D$16,ROUND(D114*(1+D$15),2))</f>
        <v>0</v>
      </c>
      <c r="K114" s="21" t="n">
        <f aca="false">MIN(E$16,ROUND(E114*(1+E$15),2))</f>
        <v>0</v>
      </c>
      <c r="L114" s="21" t="n">
        <f aca="false">MIN(F$16,ROUND(F114*(1+F$15),2))</f>
        <v>0</v>
      </c>
      <c r="M114" s="21" t="n">
        <f aca="false">MIN(G$16,ROUND(G114*(1+G$15),2))</f>
        <v>0</v>
      </c>
      <c r="N114" s="21" t="n">
        <f aca="false">B$20-SUM(H114:M114)</f>
        <v>1170</v>
      </c>
      <c r="O114" s="21" t="n">
        <f aca="false">MIN(ROUND(B114*(1+B$15),2),H114+MAX(0,N114))</f>
        <v>0</v>
      </c>
      <c r="P114" s="21" t="n">
        <f aca="false">MIN(ROUND(C114*(1+C$15),2),I114+MAX(0,N114-O114+H114))</f>
        <v>0</v>
      </c>
      <c r="Q114" s="21" t="n">
        <f aca="false">MIN(ROUND(D114*(1+D$15),2),J114+MAX(0,N114-O114+H114-P114+I114))</f>
        <v>0</v>
      </c>
      <c r="R114" s="21" t="n">
        <f aca="false">MIN(ROUND(E114*(1+E$15),2),K114+MAX(0,N114-O114+H114-P114+I114-Q114+J114))</f>
        <v>0</v>
      </c>
      <c r="S114" s="21" t="n">
        <f aca="false">MIN(ROUND(F114*(1+F$15),2),L114+MAX(0,N114-O114+H114-P114+I114-Q114+J114-R114+K114))</f>
        <v>0</v>
      </c>
      <c r="T114" s="21" t="n">
        <f aca="false">MIN(ROUND(G114*(1+G$15),2),M114+MAX(0,N114-O114+H114-P114+I114-Q114+J114-R114+K114-S114+L114))</f>
        <v>0</v>
      </c>
      <c r="U114" s="21" t="n">
        <f aca="false">SUM(B114:G114)</f>
        <v>0</v>
      </c>
      <c r="V114" s="21" t="n">
        <f aca="false">SUM(O114:T114)</f>
        <v>0</v>
      </c>
      <c r="X114" s="25" t="n">
        <f aca="false">X113+1</f>
        <v>88</v>
      </c>
      <c r="Y114" s="21" t="n">
        <f aca="false">MAX(0,ROUND(Y113*(1+Y$15),2)-AL113)</f>
        <v>0</v>
      </c>
      <c r="Z114" s="21" t="n">
        <f aca="false">MAX(0,ROUND(Z113*(1+Z$15),2)-AM113)</f>
        <v>0</v>
      </c>
      <c r="AA114" s="21" t="n">
        <f aca="false">MAX(0,ROUND(AA113*(1+AA$15),2)-AN113)</f>
        <v>0</v>
      </c>
      <c r="AB114" s="21" t="n">
        <f aca="false">MAX(0,ROUND(AB113*(1+AB$15),2)-AO113)</f>
        <v>0</v>
      </c>
      <c r="AC114" s="21" t="n">
        <f aca="false">MAX(0,ROUND(AC113*(1+AC$15),2)-AP113)</f>
        <v>0</v>
      </c>
      <c r="AD114" s="21" t="n">
        <f aca="false">MAX(0,ROUND(AD113*(1+AD$15),2)-AQ113)</f>
        <v>0</v>
      </c>
      <c r="AE114" s="21" t="n">
        <f aca="false">MIN(Y$16,ROUND(Y114*(1+Y$15),2))</f>
        <v>0</v>
      </c>
      <c r="AF114" s="21" t="n">
        <f aca="false">MIN(Z$16,ROUND(Z114*(1+Z$15),2))</f>
        <v>0</v>
      </c>
      <c r="AG114" s="21" t="n">
        <f aca="false">MIN(AA$16,ROUND(AA114*(1+AA$15),2))</f>
        <v>0</v>
      </c>
      <c r="AH114" s="21" t="n">
        <f aca="false">MIN(AB$16,ROUND(AB114*(1+AB$15),2))</f>
        <v>0</v>
      </c>
      <c r="AI114" s="21" t="n">
        <f aca="false">MIN(AC$16,ROUND(AC114*(1+AC$15),2))</f>
        <v>0</v>
      </c>
      <c r="AJ114" s="21" t="n">
        <f aca="false">MIN(AD$16,ROUND(AD114*(1+AD$15),2))</f>
        <v>0</v>
      </c>
      <c r="AK114" s="21" t="n">
        <f aca="false">Y$20-SUM(AE114:AJ114)</f>
        <v>1170</v>
      </c>
      <c r="AL114" s="21" t="n">
        <f aca="false">MIN(ROUND(Y114*(1+Y$15),2),AE114+MAX(0,AK114))</f>
        <v>0</v>
      </c>
      <c r="AM114" s="21" t="n">
        <f aca="false">MIN(ROUND(Z114*(1+Z$15),2),AF114+MAX(0,AK114-AL114+AE114))</f>
        <v>0</v>
      </c>
      <c r="AN114" s="21" t="n">
        <f aca="false">MIN(ROUND(AA114*(1+AA$15),2),AG114+MAX(0,AK114-AL114+AE114-AM114+AF114))</f>
        <v>0</v>
      </c>
      <c r="AO114" s="21" t="n">
        <f aca="false">MIN(ROUND(AB114*(1+AB$15),2),AH114+MAX(0,AK114-AL114+AE114-AM114+AF114-AN114+AG114))</f>
        <v>0</v>
      </c>
      <c r="AP114" s="21" t="n">
        <f aca="false">MIN(ROUND(AC114*(1+AC$15),2),AI114+MAX(0,AK114-AL114+AE114-AM114+AF114-AN114+AG114-AO114+AH114))</f>
        <v>0</v>
      </c>
      <c r="AQ114" s="21" t="n">
        <f aca="false">MIN(ROUND(AD114*(1+AD$15),2),AJ114+MAX(0,AK114-AL114+AE114-AM114+AF114-AN114+AG114-AO114+AH114-AP114+AI114))</f>
        <v>0</v>
      </c>
      <c r="AR114" s="21" t="n">
        <f aca="false">SUM(Y114:AD114)</f>
        <v>0</v>
      </c>
      <c r="AS114" s="21" t="n">
        <f aca="false">SUM(AL114:AQ114)</f>
        <v>0</v>
      </c>
    </row>
    <row r="115" customFormat="false" ht="15" hidden="false" customHeight="false" outlineLevel="0" collapsed="false">
      <c r="A115" s="25" t="n">
        <f aca="false">A114+1</f>
        <v>89</v>
      </c>
      <c r="B115" s="21" t="n">
        <f aca="false">MAX(0,ROUND(B114*(1+B$15),2)-O114)</f>
        <v>0</v>
      </c>
      <c r="C115" s="21" t="n">
        <f aca="false">MAX(0,ROUND(C114*(1+C$15),2)-P114)</f>
        <v>0</v>
      </c>
      <c r="D115" s="21" t="n">
        <f aca="false">MAX(0,ROUND(D114*(1+D$15),2)-Q114)</f>
        <v>0</v>
      </c>
      <c r="E115" s="21" t="n">
        <f aca="false">MAX(0,ROUND(E114*(1+E$15),2)-R114)</f>
        <v>0</v>
      </c>
      <c r="F115" s="21" t="n">
        <f aca="false">MAX(0,ROUND(F114*(1+F$15),2)-S114)</f>
        <v>0</v>
      </c>
      <c r="G115" s="21" t="n">
        <f aca="false">MAX(0,ROUND(G114*(1+G$15),2)-T114)</f>
        <v>0</v>
      </c>
      <c r="H115" s="21" t="n">
        <f aca="false">MIN(B$16,ROUND(B115*(1+B$15),2))</f>
        <v>0</v>
      </c>
      <c r="I115" s="21" t="n">
        <f aca="false">MIN(C$16,ROUND(C115*(1+C$15),2))</f>
        <v>0</v>
      </c>
      <c r="J115" s="21" t="n">
        <f aca="false">MIN(D$16,ROUND(D115*(1+D$15),2))</f>
        <v>0</v>
      </c>
      <c r="K115" s="21" t="n">
        <f aca="false">MIN(E$16,ROUND(E115*(1+E$15),2))</f>
        <v>0</v>
      </c>
      <c r="L115" s="21" t="n">
        <f aca="false">MIN(F$16,ROUND(F115*(1+F$15),2))</f>
        <v>0</v>
      </c>
      <c r="M115" s="21" t="n">
        <f aca="false">MIN(G$16,ROUND(G115*(1+G$15),2))</f>
        <v>0</v>
      </c>
      <c r="N115" s="21" t="n">
        <f aca="false">B$20-SUM(H115:M115)</f>
        <v>1170</v>
      </c>
      <c r="O115" s="21" t="n">
        <f aca="false">MIN(ROUND(B115*(1+B$15),2),H115+MAX(0,N115))</f>
        <v>0</v>
      </c>
      <c r="P115" s="21" t="n">
        <f aca="false">MIN(ROUND(C115*(1+C$15),2),I115+MAX(0,N115-O115+H115))</f>
        <v>0</v>
      </c>
      <c r="Q115" s="21" t="n">
        <f aca="false">MIN(ROUND(D115*(1+D$15),2),J115+MAX(0,N115-O115+H115-P115+I115))</f>
        <v>0</v>
      </c>
      <c r="R115" s="21" t="n">
        <f aca="false">MIN(ROUND(E115*(1+E$15),2),K115+MAX(0,N115-O115+H115-P115+I115-Q115+J115))</f>
        <v>0</v>
      </c>
      <c r="S115" s="21" t="n">
        <f aca="false">MIN(ROUND(F115*(1+F$15),2),L115+MAX(0,N115-O115+H115-P115+I115-Q115+J115-R115+K115))</f>
        <v>0</v>
      </c>
      <c r="T115" s="21" t="n">
        <f aca="false">MIN(ROUND(G115*(1+G$15),2),M115+MAX(0,N115-O115+H115-P115+I115-Q115+J115-R115+K115-S115+L115))</f>
        <v>0</v>
      </c>
      <c r="U115" s="21" t="n">
        <f aca="false">SUM(B115:G115)</f>
        <v>0</v>
      </c>
      <c r="V115" s="21" t="n">
        <f aca="false">SUM(O115:T115)</f>
        <v>0</v>
      </c>
      <c r="X115" s="25" t="n">
        <f aca="false">X114+1</f>
        <v>89</v>
      </c>
      <c r="Y115" s="21" t="n">
        <f aca="false">MAX(0,ROUND(Y114*(1+Y$15),2)-AL114)</f>
        <v>0</v>
      </c>
      <c r="Z115" s="21" t="n">
        <f aca="false">MAX(0,ROUND(Z114*(1+Z$15),2)-AM114)</f>
        <v>0</v>
      </c>
      <c r="AA115" s="21" t="n">
        <f aca="false">MAX(0,ROUND(AA114*(1+AA$15),2)-AN114)</f>
        <v>0</v>
      </c>
      <c r="AB115" s="21" t="n">
        <f aca="false">MAX(0,ROUND(AB114*(1+AB$15),2)-AO114)</f>
        <v>0</v>
      </c>
      <c r="AC115" s="21" t="n">
        <f aca="false">MAX(0,ROUND(AC114*(1+AC$15),2)-AP114)</f>
        <v>0</v>
      </c>
      <c r="AD115" s="21" t="n">
        <f aca="false">MAX(0,ROUND(AD114*(1+AD$15),2)-AQ114)</f>
        <v>0</v>
      </c>
      <c r="AE115" s="21" t="n">
        <f aca="false">MIN(Y$16,ROUND(Y115*(1+Y$15),2))</f>
        <v>0</v>
      </c>
      <c r="AF115" s="21" t="n">
        <f aca="false">MIN(Z$16,ROUND(Z115*(1+Z$15),2))</f>
        <v>0</v>
      </c>
      <c r="AG115" s="21" t="n">
        <f aca="false">MIN(AA$16,ROUND(AA115*(1+AA$15),2))</f>
        <v>0</v>
      </c>
      <c r="AH115" s="21" t="n">
        <f aca="false">MIN(AB$16,ROUND(AB115*(1+AB$15),2))</f>
        <v>0</v>
      </c>
      <c r="AI115" s="21" t="n">
        <f aca="false">MIN(AC$16,ROUND(AC115*(1+AC$15),2))</f>
        <v>0</v>
      </c>
      <c r="AJ115" s="21" t="n">
        <f aca="false">MIN(AD$16,ROUND(AD115*(1+AD$15),2))</f>
        <v>0</v>
      </c>
      <c r="AK115" s="21" t="n">
        <f aca="false">Y$20-SUM(AE115:AJ115)</f>
        <v>1170</v>
      </c>
      <c r="AL115" s="21" t="n">
        <f aca="false">MIN(ROUND(Y115*(1+Y$15),2),AE115+MAX(0,AK115))</f>
        <v>0</v>
      </c>
      <c r="AM115" s="21" t="n">
        <f aca="false">MIN(ROUND(Z115*(1+Z$15),2),AF115+MAX(0,AK115-AL115+AE115))</f>
        <v>0</v>
      </c>
      <c r="AN115" s="21" t="n">
        <f aca="false">MIN(ROUND(AA115*(1+AA$15),2),AG115+MAX(0,AK115-AL115+AE115-AM115+AF115))</f>
        <v>0</v>
      </c>
      <c r="AO115" s="21" t="n">
        <f aca="false">MIN(ROUND(AB115*(1+AB$15),2),AH115+MAX(0,AK115-AL115+AE115-AM115+AF115-AN115+AG115))</f>
        <v>0</v>
      </c>
      <c r="AP115" s="21" t="n">
        <f aca="false">MIN(ROUND(AC115*(1+AC$15),2),AI115+MAX(0,AK115-AL115+AE115-AM115+AF115-AN115+AG115-AO115+AH115))</f>
        <v>0</v>
      </c>
      <c r="AQ115" s="21" t="n">
        <f aca="false">MIN(ROUND(AD115*(1+AD$15),2),AJ115+MAX(0,AK115-AL115+AE115-AM115+AF115-AN115+AG115-AO115+AH115-AP115+AI115))</f>
        <v>0</v>
      </c>
      <c r="AR115" s="21" t="n">
        <f aca="false">SUM(Y115:AD115)</f>
        <v>0</v>
      </c>
      <c r="AS115" s="21" t="n">
        <f aca="false">SUM(AL115:AQ115)</f>
        <v>0</v>
      </c>
    </row>
    <row r="116" customFormat="false" ht="15" hidden="false" customHeight="false" outlineLevel="0" collapsed="false">
      <c r="A116" s="25" t="n">
        <f aca="false">A115+1</f>
        <v>90</v>
      </c>
      <c r="B116" s="21" t="n">
        <f aca="false">MAX(0,ROUND(B115*(1+B$15),2)-O115)</f>
        <v>0</v>
      </c>
      <c r="C116" s="21" t="n">
        <f aca="false">MAX(0,ROUND(C115*(1+C$15),2)-P115)</f>
        <v>0</v>
      </c>
      <c r="D116" s="21" t="n">
        <f aca="false">MAX(0,ROUND(D115*(1+D$15),2)-Q115)</f>
        <v>0</v>
      </c>
      <c r="E116" s="21" t="n">
        <f aca="false">MAX(0,ROUND(E115*(1+E$15),2)-R115)</f>
        <v>0</v>
      </c>
      <c r="F116" s="21" t="n">
        <f aca="false">MAX(0,ROUND(F115*(1+F$15),2)-S115)</f>
        <v>0</v>
      </c>
      <c r="G116" s="21" t="n">
        <f aca="false">MAX(0,ROUND(G115*(1+G$15),2)-T115)</f>
        <v>0</v>
      </c>
      <c r="H116" s="21" t="n">
        <f aca="false">MIN(B$16,ROUND(B116*(1+B$15),2))</f>
        <v>0</v>
      </c>
      <c r="I116" s="21" t="n">
        <f aca="false">MIN(C$16,ROUND(C116*(1+C$15),2))</f>
        <v>0</v>
      </c>
      <c r="J116" s="21" t="n">
        <f aca="false">MIN(D$16,ROUND(D116*(1+D$15),2))</f>
        <v>0</v>
      </c>
      <c r="K116" s="21" t="n">
        <f aca="false">MIN(E$16,ROUND(E116*(1+E$15),2))</f>
        <v>0</v>
      </c>
      <c r="L116" s="21" t="n">
        <f aca="false">MIN(F$16,ROUND(F116*(1+F$15),2))</f>
        <v>0</v>
      </c>
      <c r="M116" s="21" t="n">
        <f aca="false">MIN(G$16,ROUND(G116*(1+G$15),2))</f>
        <v>0</v>
      </c>
      <c r="N116" s="21" t="n">
        <f aca="false">B$20-SUM(H116:M116)</f>
        <v>1170</v>
      </c>
      <c r="O116" s="21" t="n">
        <f aca="false">MIN(ROUND(B116*(1+B$15),2),H116+MAX(0,N116))</f>
        <v>0</v>
      </c>
      <c r="P116" s="21" t="n">
        <f aca="false">MIN(ROUND(C116*(1+C$15),2),I116+MAX(0,N116-O116+H116))</f>
        <v>0</v>
      </c>
      <c r="Q116" s="21" t="n">
        <f aca="false">MIN(ROUND(D116*(1+D$15),2),J116+MAX(0,N116-O116+H116-P116+I116))</f>
        <v>0</v>
      </c>
      <c r="R116" s="21" t="n">
        <f aca="false">MIN(ROUND(E116*(1+E$15),2),K116+MAX(0,N116-O116+H116-P116+I116-Q116+J116))</f>
        <v>0</v>
      </c>
      <c r="S116" s="21" t="n">
        <f aca="false">MIN(ROUND(F116*(1+F$15),2),L116+MAX(0,N116-O116+H116-P116+I116-Q116+J116-R116+K116))</f>
        <v>0</v>
      </c>
      <c r="T116" s="21" t="n">
        <f aca="false">MIN(ROUND(G116*(1+G$15),2),M116+MAX(0,N116-O116+H116-P116+I116-Q116+J116-R116+K116-S116+L116))</f>
        <v>0</v>
      </c>
      <c r="U116" s="21" t="n">
        <f aca="false">SUM(B116:G116)</f>
        <v>0</v>
      </c>
      <c r="V116" s="21" t="n">
        <f aca="false">SUM(O116:T116)</f>
        <v>0</v>
      </c>
      <c r="X116" s="25" t="n">
        <f aca="false">X115+1</f>
        <v>90</v>
      </c>
      <c r="Y116" s="21" t="n">
        <f aca="false">MAX(0,ROUND(Y115*(1+Y$15),2)-AL115)</f>
        <v>0</v>
      </c>
      <c r="Z116" s="21" t="n">
        <f aca="false">MAX(0,ROUND(Z115*(1+Z$15),2)-AM115)</f>
        <v>0</v>
      </c>
      <c r="AA116" s="21" t="n">
        <f aca="false">MAX(0,ROUND(AA115*(1+AA$15),2)-AN115)</f>
        <v>0</v>
      </c>
      <c r="AB116" s="21" t="n">
        <f aca="false">MAX(0,ROUND(AB115*(1+AB$15),2)-AO115)</f>
        <v>0</v>
      </c>
      <c r="AC116" s="21" t="n">
        <f aca="false">MAX(0,ROUND(AC115*(1+AC$15),2)-AP115)</f>
        <v>0</v>
      </c>
      <c r="AD116" s="21" t="n">
        <f aca="false">MAX(0,ROUND(AD115*(1+AD$15),2)-AQ115)</f>
        <v>0</v>
      </c>
      <c r="AE116" s="21" t="n">
        <f aca="false">MIN(Y$16,ROUND(Y116*(1+Y$15),2))</f>
        <v>0</v>
      </c>
      <c r="AF116" s="21" t="n">
        <f aca="false">MIN(Z$16,ROUND(Z116*(1+Z$15),2))</f>
        <v>0</v>
      </c>
      <c r="AG116" s="21" t="n">
        <f aca="false">MIN(AA$16,ROUND(AA116*(1+AA$15),2))</f>
        <v>0</v>
      </c>
      <c r="AH116" s="21" t="n">
        <f aca="false">MIN(AB$16,ROUND(AB116*(1+AB$15),2))</f>
        <v>0</v>
      </c>
      <c r="AI116" s="21" t="n">
        <f aca="false">MIN(AC$16,ROUND(AC116*(1+AC$15),2))</f>
        <v>0</v>
      </c>
      <c r="AJ116" s="21" t="n">
        <f aca="false">MIN(AD$16,ROUND(AD116*(1+AD$15),2))</f>
        <v>0</v>
      </c>
      <c r="AK116" s="21" t="n">
        <f aca="false">Y$20-SUM(AE116:AJ116)</f>
        <v>1170</v>
      </c>
      <c r="AL116" s="21" t="n">
        <f aca="false">MIN(ROUND(Y116*(1+Y$15),2),AE116+MAX(0,AK116))</f>
        <v>0</v>
      </c>
      <c r="AM116" s="21" t="n">
        <f aca="false">MIN(ROUND(Z116*(1+Z$15),2),AF116+MAX(0,AK116-AL116+AE116))</f>
        <v>0</v>
      </c>
      <c r="AN116" s="21" t="n">
        <f aca="false">MIN(ROUND(AA116*(1+AA$15),2),AG116+MAX(0,AK116-AL116+AE116-AM116+AF116))</f>
        <v>0</v>
      </c>
      <c r="AO116" s="21" t="n">
        <f aca="false">MIN(ROUND(AB116*(1+AB$15),2),AH116+MAX(0,AK116-AL116+AE116-AM116+AF116-AN116+AG116))</f>
        <v>0</v>
      </c>
      <c r="AP116" s="21" t="n">
        <f aca="false">MIN(ROUND(AC116*(1+AC$15),2),AI116+MAX(0,AK116-AL116+AE116-AM116+AF116-AN116+AG116-AO116+AH116))</f>
        <v>0</v>
      </c>
      <c r="AQ116" s="21" t="n">
        <f aca="false">MIN(ROUND(AD116*(1+AD$15),2),AJ116+MAX(0,AK116-AL116+AE116-AM116+AF116-AN116+AG116-AO116+AH116-AP116+AI116))</f>
        <v>0</v>
      </c>
      <c r="AR116" s="21" t="n">
        <f aca="false">SUM(Y116:AD116)</f>
        <v>0</v>
      </c>
      <c r="AS116" s="21" t="n">
        <f aca="false">SUM(AL116:AQ116)</f>
        <v>0</v>
      </c>
    </row>
    <row r="117" customFormat="false" ht="15" hidden="false" customHeight="false" outlineLevel="0" collapsed="false">
      <c r="A117" s="25" t="n">
        <f aca="false">A116+1</f>
        <v>91</v>
      </c>
      <c r="B117" s="21" t="n">
        <f aca="false">MAX(0,ROUND(B116*(1+B$15),2)-O116)</f>
        <v>0</v>
      </c>
      <c r="C117" s="21" t="n">
        <f aca="false">MAX(0,ROUND(C116*(1+C$15),2)-P116)</f>
        <v>0</v>
      </c>
      <c r="D117" s="21" t="n">
        <f aca="false">MAX(0,ROUND(D116*(1+D$15),2)-Q116)</f>
        <v>0</v>
      </c>
      <c r="E117" s="21" t="n">
        <f aca="false">MAX(0,ROUND(E116*(1+E$15),2)-R116)</f>
        <v>0</v>
      </c>
      <c r="F117" s="21" t="n">
        <f aca="false">MAX(0,ROUND(F116*(1+F$15),2)-S116)</f>
        <v>0</v>
      </c>
      <c r="G117" s="21" t="n">
        <f aca="false">MAX(0,ROUND(G116*(1+G$15),2)-T116)</f>
        <v>0</v>
      </c>
      <c r="H117" s="21" t="n">
        <f aca="false">MIN(B$16,ROUND(B117*(1+B$15),2))</f>
        <v>0</v>
      </c>
      <c r="I117" s="21" t="n">
        <f aca="false">MIN(C$16,ROUND(C117*(1+C$15),2))</f>
        <v>0</v>
      </c>
      <c r="J117" s="21" t="n">
        <f aca="false">MIN(D$16,ROUND(D117*(1+D$15),2))</f>
        <v>0</v>
      </c>
      <c r="K117" s="21" t="n">
        <f aca="false">MIN(E$16,ROUND(E117*(1+E$15),2))</f>
        <v>0</v>
      </c>
      <c r="L117" s="21" t="n">
        <f aca="false">MIN(F$16,ROUND(F117*(1+F$15),2))</f>
        <v>0</v>
      </c>
      <c r="M117" s="21" t="n">
        <f aca="false">MIN(G$16,ROUND(G117*(1+G$15),2))</f>
        <v>0</v>
      </c>
      <c r="N117" s="21" t="n">
        <f aca="false">B$20-SUM(H117:M117)</f>
        <v>1170</v>
      </c>
      <c r="O117" s="21" t="n">
        <f aca="false">MIN(ROUND(B117*(1+B$15),2),H117+MAX(0,N117))</f>
        <v>0</v>
      </c>
      <c r="P117" s="21" t="n">
        <f aca="false">MIN(ROUND(C117*(1+C$15),2),I117+MAX(0,N117-O117+H117))</f>
        <v>0</v>
      </c>
      <c r="Q117" s="21" t="n">
        <f aca="false">MIN(ROUND(D117*(1+D$15),2),J117+MAX(0,N117-O117+H117-P117+I117))</f>
        <v>0</v>
      </c>
      <c r="R117" s="21" t="n">
        <f aca="false">MIN(ROUND(E117*(1+E$15),2),K117+MAX(0,N117-O117+H117-P117+I117-Q117+J117))</f>
        <v>0</v>
      </c>
      <c r="S117" s="21" t="n">
        <f aca="false">MIN(ROUND(F117*(1+F$15),2),L117+MAX(0,N117-O117+H117-P117+I117-Q117+J117-R117+K117))</f>
        <v>0</v>
      </c>
      <c r="T117" s="21" t="n">
        <f aca="false">MIN(ROUND(G117*(1+G$15),2),M117+MAX(0,N117-O117+H117-P117+I117-Q117+J117-R117+K117-S117+L117))</f>
        <v>0</v>
      </c>
      <c r="U117" s="21" t="n">
        <f aca="false">SUM(B117:G117)</f>
        <v>0</v>
      </c>
      <c r="V117" s="21" t="n">
        <f aca="false">SUM(O117:T117)</f>
        <v>0</v>
      </c>
      <c r="X117" s="25" t="n">
        <f aca="false">X116+1</f>
        <v>91</v>
      </c>
      <c r="Y117" s="21" t="n">
        <f aca="false">MAX(0,ROUND(Y116*(1+Y$15),2)-AL116)</f>
        <v>0</v>
      </c>
      <c r="Z117" s="21" t="n">
        <f aca="false">MAX(0,ROUND(Z116*(1+Z$15),2)-AM116)</f>
        <v>0</v>
      </c>
      <c r="AA117" s="21" t="n">
        <f aca="false">MAX(0,ROUND(AA116*(1+AA$15),2)-AN116)</f>
        <v>0</v>
      </c>
      <c r="AB117" s="21" t="n">
        <f aca="false">MAX(0,ROUND(AB116*(1+AB$15),2)-AO116)</f>
        <v>0</v>
      </c>
      <c r="AC117" s="21" t="n">
        <f aca="false">MAX(0,ROUND(AC116*(1+AC$15),2)-AP116)</f>
        <v>0</v>
      </c>
      <c r="AD117" s="21" t="n">
        <f aca="false">MAX(0,ROUND(AD116*(1+AD$15),2)-AQ116)</f>
        <v>0</v>
      </c>
      <c r="AE117" s="21" t="n">
        <f aca="false">MIN(Y$16,ROUND(Y117*(1+Y$15),2))</f>
        <v>0</v>
      </c>
      <c r="AF117" s="21" t="n">
        <f aca="false">MIN(Z$16,ROUND(Z117*(1+Z$15),2))</f>
        <v>0</v>
      </c>
      <c r="AG117" s="21" t="n">
        <f aca="false">MIN(AA$16,ROUND(AA117*(1+AA$15),2))</f>
        <v>0</v>
      </c>
      <c r="AH117" s="21" t="n">
        <f aca="false">MIN(AB$16,ROUND(AB117*(1+AB$15),2))</f>
        <v>0</v>
      </c>
      <c r="AI117" s="21" t="n">
        <f aca="false">MIN(AC$16,ROUND(AC117*(1+AC$15),2))</f>
        <v>0</v>
      </c>
      <c r="AJ117" s="21" t="n">
        <f aca="false">MIN(AD$16,ROUND(AD117*(1+AD$15),2))</f>
        <v>0</v>
      </c>
      <c r="AK117" s="21" t="n">
        <f aca="false">Y$20-SUM(AE117:AJ117)</f>
        <v>1170</v>
      </c>
      <c r="AL117" s="21" t="n">
        <f aca="false">MIN(ROUND(Y117*(1+Y$15),2),AE117+MAX(0,AK117))</f>
        <v>0</v>
      </c>
      <c r="AM117" s="21" t="n">
        <f aca="false">MIN(ROUND(Z117*(1+Z$15),2),AF117+MAX(0,AK117-AL117+AE117))</f>
        <v>0</v>
      </c>
      <c r="AN117" s="21" t="n">
        <f aca="false">MIN(ROUND(AA117*(1+AA$15),2),AG117+MAX(0,AK117-AL117+AE117-AM117+AF117))</f>
        <v>0</v>
      </c>
      <c r="AO117" s="21" t="n">
        <f aca="false">MIN(ROUND(AB117*(1+AB$15),2),AH117+MAX(0,AK117-AL117+AE117-AM117+AF117-AN117+AG117))</f>
        <v>0</v>
      </c>
      <c r="AP117" s="21" t="n">
        <f aca="false">MIN(ROUND(AC117*(1+AC$15),2),AI117+MAX(0,AK117-AL117+AE117-AM117+AF117-AN117+AG117-AO117+AH117))</f>
        <v>0</v>
      </c>
      <c r="AQ117" s="21" t="n">
        <f aca="false">MIN(ROUND(AD117*(1+AD$15),2),AJ117+MAX(0,AK117-AL117+AE117-AM117+AF117-AN117+AG117-AO117+AH117-AP117+AI117))</f>
        <v>0</v>
      </c>
      <c r="AR117" s="21" t="n">
        <f aca="false">SUM(Y117:AD117)</f>
        <v>0</v>
      </c>
      <c r="AS117" s="21" t="n">
        <f aca="false">SUM(AL117:AQ117)</f>
        <v>0</v>
      </c>
    </row>
    <row r="118" customFormat="false" ht="15" hidden="false" customHeight="false" outlineLevel="0" collapsed="false">
      <c r="A118" s="25" t="n">
        <f aca="false">A117+1</f>
        <v>92</v>
      </c>
      <c r="B118" s="21" t="n">
        <f aca="false">MAX(0,ROUND(B117*(1+B$15),2)-O117)</f>
        <v>0</v>
      </c>
      <c r="C118" s="21" t="n">
        <f aca="false">MAX(0,ROUND(C117*(1+C$15),2)-P117)</f>
        <v>0</v>
      </c>
      <c r="D118" s="21" t="n">
        <f aca="false">MAX(0,ROUND(D117*(1+D$15),2)-Q117)</f>
        <v>0</v>
      </c>
      <c r="E118" s="21" t="n">
        <f aca="false">MAX(0,ROUND(E117*(1+E$15),2)-R117)</f>
        <v>0</v>
      </c>
      <c r="F118" s="21" t="n">
        <f aca="false">MAX(0,ROUND(F117*(1+F$15),2)-S117)</f>
        <v>0</v>
      </c>
      <c r="G118" s="21" t="n">
        <f aca="false">MAX(0,ROUND(G117*(1+G$15),2)-T117)</f>
        <v>0</v>
      </c>
      <c r="H118" s="21" t="n">
        <f aca="false">MIN(B$16,ROUND(B118*(1+B$15),2))</f>
        <v>0</v>
      </c>
      <c r="I118" s="21" t="n">
        <f aca="false">MIN(C$16,ROUND(C118*(1+C$15),2))</f>
        <v>0</v>
      </c>
      <c r="J118" s="21" t="n">
        <f aca="false">MIN(D$16,ROUND(D118*(1+D$15),2))</f>
        <v>0</v>
      </c>
      <c r="K118" s="21" t="n">
        <f aca="false">MIN(E$16,ROUND(E118*(1+E$15),2))</f>
        <v>0</v>
      </c>
      <c r="L118" s="21" t="n">
        <f aca="false">MIN(F$16,ROUND(F118*(1+F$15),2))</f>
        <v>0</v>
      </c>
      <c r="M118" s="21" t="n">
        <f aca="false">MIN(G$16,ROUND(G118*(1+G$15),2))</f>
        <v>0</v>
      </c>
      <c r="N118" s="21" t="n">
        <f aca="false">B$20-SUM(H118:M118)</f>
        <v>1170</v>
      </c>
      <c r="O118" s="21" t="n">
        <f aca="false">MIN(ROUND(B118*(1+B$15),2),H118+MAX(0,N118))</f>
        <v>0</v>
      </c>
      <c r="P118" s="21" t="n">
        <f aca="false">MIN(ROUND(C118*(1+C$15),2),I118+MAX(0,N118-O118+H118))</f>
        <v>0</v>
      </c>
      <c r="Q118" s="21" t="n">
        <f aca="false">MIN(ROUND(D118*(1+D$15),2),J118+MAX(0,N118-O118+H118-P118+I118))</f>
        <v>0</v>
      </c>
      <c r="R118" s="21" t="n">
        <f aca="false">MIN(ROUND(E118*(1+E$15),2),K118+MAX(0,N118-O118+H118-P118+I118-Q118+J118))</f>
        <v>0</v>
      </c>
      <c r="S118" s="21" t="n">
        <f aca="false">MIN(ROUND(F118*(1+F$15),2),L118+MAX(0,N118-O118+H118-P118+I118-Q118+J118-R118+K118))</f>
        <v>0</v>
      </c>
      <c r="T118" s="21" t="n">
        <f aca="false">MIN(ROUND(G118*(1+G$15),2),M118+MAX(0,N118-O118+H118-P118+I118-Q118+J118-R118+K118-S118+L118))</f>
        <v>0</v>
      </c>
      <c r="U118" s="21" t="n">
        <f aca="false">SUM(B118:G118)</f>
        <v>0</v>
      </c>
      <c r="V118" s="21" t="n">
        <f aca="false">SUM(O118:T118)</f>
        <v>0</v>
      </c>
      <c r="X118" s="25" t="n">
        <f aca="false">X117+1</f>
        <v>92</v>
      </c>
      <c r="Y118" s="21" t="n">
        <f aca="false">MAX(0,ROUND(Y117*(1+Y$15),2)-AL117)</f>
        <v>0</v>
      </c>
      <c r="Z118" s="21" t="n">
        <f aca="false">MAX(0,ROUND(Z117*(1+Z$15),2)-AM117)</f>
        <v>0</v>
      </c>
      <c r="AA118" s="21" t="n">
        <f aca="false">MAX(0,ROUND(AA117*(1+AA$15),2)-AN117)</f>
        <v>0</v>
      </c>
      <c r="AB118" s="21" t="n">
        <f aca="false">MAX(0,ROUND(AB117*(1+AB$15),2)-AO117)</f>
        <v>0</v>
      </c>
      <c r="AC118" s="21" t="n">
        <f aca="false">MAX(0,ROUND(AC117*(1+AC$15),2)-AP117)</f>
        <v>0</v>
      </c>
      <c r="AD118" s="21" t="n">
        <f aca="false">MAX(0,ROUND(AD117*(1+AD$15),2)-AQ117)</f>
        <v>0</v>
      </c>
      <c r="AE118" s="21" t="n">
        <f aca="false">MIN(Y$16,ROUND(Y118*(1+Y$15),2))</f>
        <v>0</v>
      </c>
      <c r="AF118" s="21" t="n">
        <f aca="false">MIN(Z$16,ROUND(Z118*(1+Z$15),2))</f>
        <v>0</v>
      </c>
      <c r="AG118" s="21" t="n">
        <f aca="false">MIN(AA$16,ROUND(AA118*(1+AA$15),2))</f>
        <v>0</v>
      </c>
      <c r="AH118" s="21" t="n">
        <f aca="false">MIN(AB$16,ROUND(AB118*(1+AB$15),2))</f>
        <v>0</v>
      </c>
      <c r="AI118" s="21" t="n">
        <f aca="false">MIN(AC$16,ROUND(AC118*(1+AC$15),2))</f>
        <v>0</v>
      </c>
      <c r="AJ118" s="21" t="n">
        <f aca="false">MIN(AD$16,ROUND(AD118*(1+AD$15),2))</f>
        <v>0</v>
      </c>
      <c r="AK118" s="21" t="n">
        <f aca="false">Y$20-SUM(AE118:AJ118)</f>
        <v>1170</v>
      </c>
      <c r="AL118" s="21" t="n">
        <f aca="false">MIN(ROUND(Y118*(1+Y$15),2),AE118+MAX(0,AK118))</f>
        <v>0</v>
      </c>
      <c r="AM118" s="21" t="n">
        <f aca="false">MIN(ROUND(Z118*(1+Z$15),2),AF118+MAX(0,AK118-AL118+AE118))</f>
        <v>0</v>
      </c>
      <c r="AN118" s="21" t="n">
        <f aca="false">MIN(ROUND(AA118*(1+AA$15),2),AG118+MAX(0,AK118-AL118+AE118-AM118+AF118))</f>
        <v>0</v>
      </c>
      <c r="AO118" s="21" t="n">
        <f aca="false">MIN(ROUND(AB118*(1+AB$15),2),AH118+MAX(0,AK118-AL118+AE118-AM118+AF118-AN118+AG118))</f>
        <v>0</v>
      </c>
      <c r="AP118" s="21" t="n">
        <f aca="false">MIN(ROUND(AC118*(1+AC$15),2),AI118+MAX(0,AK118-AL118+AE118-AM118+AF118-AN118+AG118-AO118+AH118))</f>
        <v>0</v>
      </c>
      <c r="AQ118" s="21" t="n">
        <f aca="false">MIN(ROUND(AD118*(1+AD$15),2),AJ118+MAX(0,AK118-AL118+AE118-AM118+AF118-AN118+AG118-AO118+AH118-AP118+AI118))</f>
        <v>0</v>
      </c>
      <c r="AR118" s="21" t="n">
        <f aca="false">SUM(Y118:AD118)</f>
        <v>0</v>
      </c>
      <c r="AS118" s="21" t="n">
        <f aca="false">SUM(AL118:AQ118)</f>
        <v>0</v>
      </c>
    </row>
    <row r="119" customFormat="false" ht="15" hidden="false" customHeight="false" outlineLevel="0" collapsed="false">
      <c r="A119" s="25" t="n">
        <f aca="false">A118+1</f>
        <v>93</v>
      </c>
      <c r="B119" s="21" t="n">
        <f aca="false">MAX(0,ROUND(B118*(1+B$15),2)-O118)</f>
        <v>0</v>
      </c>
      <c r="C119" s="21" t="n">
        <f aca="false">MAX(0,ROUND(C118*(1+C$15),2)-P118)</f>
        <v>0</v>
      </c>
      <c r="D119" s="21" t="n">
        <f aca="false">MAX(0,ROUND(D118*(1+D$15),2)-Q118)</f>
        <v>0</v>
      </c>
      <c r="E119" s="21" t="n">
        <f aca="false">MAX(0,ROUND(E118*(1+E$15),2)-R118)</f>
        <v>0</v>
      </c>
      <c r="F119" s="21" t="n">
        <f aca="false">MAX(0,ROUND(F118*(1+F$15),2)-S118)</f>
        <v>0</v>
      </c>
      <c r="G119" s="21" t="n">
        <f aca="false">MAX(0,ROUND(G118*(1+G$15),2)-T118)</f>
        <v>0</v>
      </c>
      <c r="H119" s="21" t="n">
        <f aca="false">MIN(B$16,ROUND(B119*(1+B$15),2))</f>
        <v>0</v>
      </c>
      <c r="I119" s="21" t="n">
        <f aca="false">MIN(C$16,ROUND(C119*(1+C$15),2))</f>
        <v>0</v>
      </c>
      <c r="J119" s="21" t="n">
        <f aca="false">MIN(D$16,ROUND(D119*(1+D$15),2))</f>
        <v>0</v>
      </c>
      <c r="K119" s="21" t="n">
        <f aca="false">MIN(E$16,ROUND(E119*(1+E$15),2))</f>
        <v>0</v>
      </c>
      <c r="L119" s="21" t="n">
        <f aca="false">MIN(F$16,ROUND(F119*(1+F$15),2))</f>
        <v>0</v>
      </c>
      <c r="M119" s="21" t="n">
        <f aca="false">MIN(G$16,ROUND(G119*(1+G$15),2))</f>
        <v>0</v>
      </c>
      <c r="N119" s="21" t="n">
        <f aca="false">B$20-SUM(H119:M119)</f>
        <v>1170</v>
      </c>
      <c r="O119" s="21" t="n">
        <f aca="false">MIN(ROUND(B119*(1+B$15),2),H119+MAX(0,N119))</f>
        <v>0</v>
      </c>
      <c r="P119" s="21" t="n">
        <f aca="false">MIN(ROUND(C119*(1+C$15),2),I119+MAX(0,N119-O119+H119))</f>
        <v>0</v>
      </c>
      <c r="Q119" s="21" t="n">
        <f aca="false">MIN(ROUND(D119*(1+D$15),2),J119+MAX(0,N119-O119+H119-P119+I119))</f>
        <v>0</v>
      </c>
      <c r="R119" s="21" t="n">
        <f aca="false">MIN(ROUND(E119*(1+E$15),2),K119+MAX(0,N119-O119+H119-P119+I119-Q119+J119))</f>
        <v>0</v>
      </c>
      <c r="S119" s="21" t="n">
        <f aca="false">MIN(ROUND(F119*(1+F$15),2),L119+MAX(0,N119-O119+H119-P119+I119-Q119+J119-R119+K119))</f>
        <v>0</v>
      </c>
      <c r="T119" s="21" t="n">
        <f aca="false">MIN(ROUND(G119*(1+G$15),2),M119+MAX(0,N119-O119+H119-P119+I119-Q119+J119-R119+K119-S119+L119))</f>
        <v>0</v>
      </c>
      <c r="U119" s="21" t="n">
        <f aca="false">SUM(B119:G119)</f>
        <v>0</v>
      </c>
      <c r="V119" s="21" t="n">
        <f aca="false">SUM(O119:T119)</f>
        <v>0</v>
      </c>
      <c r="X119" s="25" t="n">
        <f aca="false">X118+1</f>
        <v>93</v>
      </c>
      <c r="Y119" s="21" t="n">
        <f aca="false">MAX(0,ROUND(Y118*(1+Y$15),2)-AL118)</f>
        <v>0</v>
      </c>
      <c r="Z119" s="21" t="n">
        <f aca="false">MAX(0,ROUND(Z118*(1+Z$15),2)-AM118)</f>
        <v>0</v>
      </c>
      <c r="AA119" s="21" t="n">
        <f aca="false">MAX(0,ROUND(AA118*(1+AA$15),2)-AN118)</f>
        <v>0</v>
      </c>
      <c r="AB119" s="21" t="n">
        <f aca="false">MAX(0,ROUND(AB118*(1+AB$15),2)-AO118)</f>
        <v>0</v>
      </c>
      <c r="AC119" s="21" t="n">
        <f aca="false">MAX(0,ROUND(AC118*(1+AC$15),2)-AP118)</f>
        <v>0</v>
      </c>
      <c r="AD119" s="21" t="n">
        <f aca="false">MAX(0,ROUND(AD118*(1+AD$15),2)-AQ118)</f>
        <v>0</v>
      </c>
      <c r="AE119" s="21" t="n">
        <f aca="false">MIN(Y$16,ROUND(Y119*(1+Y$15),2))</f>
        <v>0</v>
      </c>
      <c r="AF119" s="21" t="n">
        <f aca="false">MIN(Z$16,ROUND(Z119*(1+Z$15),2))</f>
        <v>0</v>
      </c>
      <c r="AG119" s="21" t="n">
        <f aca="false">MIN(AA$16,ROUND(AA119*(1+AA$15),2))</f>
        <v>0</v>
      </c>
      <c r="AH119" s="21" t="n">
        <f aca="false">MIN(AB$16,ROUND(AB119*(1+AB$15),2))</f>
        <v>0</v>
      </c>
      <c r="AI119" s="21" t="n">
        <f aca="false">MIN(AC$16,ROUND(AC119*(1+AC$15),2))</f>
        <v>0</v>
      </c>
      <c r="AJ119" s="21" t="n">
        <f aca="false">MIN(AD$16,ROUND(AD119*(1+AD$15),2))</f>
        <v>0</v>
      </c>
      <c r="AK119" s="21" t="n">
        <f aca="false">Y$20-SUM(AE119:AJ119)</f>
        <v>1170</v>
      </c>
      <c r="AL119" s="21" t="n">
        <f aca="false">MIN(ROUND(Y119*(1+Y$15),2),AE119+MAX(0,AK119))</f>
        <v>0</v>
      </c>
      <c r="AM119" s="21" t="n">
        <f aca="false">MIN(ROUND(Z119*(1+Z$15),2),AF119+MAX(0,AK119-AL119+AE119))</f>
        <v>0</v>
      </c>
      <c r="AN119" s="21" t="n">
        <f aca="false">MIN(ROUND(AA119*(1+AA$15),2),AG119+MAX(0,AK119-AL119+AE119-AM119+AF119))</f>
        <v>0</v>
      </c>
      <c r="AO119" s="21" t="n">
        <f aca="false">MIN(ROUND(AB119*(1+AB$15),2),AH119+MAX(0,AK119-AL119+AE119-AM119+AF119-AN119+AG119))</f>
        <v>0</v>
      </c>
      <c r="AP119" s="21" t="n">
        <f aca="false">MIN(ROUND(AC119*(1+AC$15),2),AI119+MAX(0,AK119-AL119+AE119-AM119+AF119-AN119+AG119-AO119+AH119))</f>
        <v>0</v>
      </c>
      <c r="AQ119" s="21" t="n">
        <f aca="false">MIN(ROUND(AD119*(1+AD$15),2),AJ119+MAX(0,AK119-AL119+AE119-AM119+AF119-AN119+AG119-AO119+AH119-AP119+AI119))</f>
        <v>0</v>
      </c>
      <c r="AR119" s="21" t="n">
        <f aca="false">SUM(Y119:AD119)</f>
        <v>0</v>
      </c>
      <c r="AS119" s="21" t="n">
        <f aca="false">SUM(AL119:AQ119)</f>
        <v>0</v>
      </c>
    </row>
    <row r="120" customFormat="false" ht="15" hidden="false" customHeight="false" outlineLevel="0" collapsed="false">
      <c r="A120" s="25" t="n">
        <f aca="false">A119+1</f>
        <v>94</v>
      </c>
      <c r="B120" s="21" t="n">
        <f aca="false">MAX(0,ROUND(B119*(1+B$15),2)-O119)</f>
        <v>0</v>
      </c>
      <c r="C120" s="21" t="n">
        <f aca="false">MAX(0,ROUND(C119*(1+C$15),2)-P119)</f>
        <v>0</v>
      </c>
      <c r="D120" s="21" t="n">
        <f aca="false">MAX(0,ROUND(D119*(1+D$15),2)-Q119)</f>
        <v>0</v>
      </c>
      <c r="E120" s="21" t="n">
        <f aca="false">MAX(0,ROUND(E119*(1+E$15),2)-R119)</f>
        <v>0</v>
      </c>
      <c r="F120" s="21" t="n">
        <f aca="false">MAX(0,ROUND(F119*(1+F$15),2)-S119)</f>
        <v>0</v>
      </c>
      <c r="G120" s="21" t="n">
        <f aca="false">MAX(0,ROUND(G119*(1+G$15),2)-T119)</f>
        <v>0</v>
      </c>
      <c r="H120" s="21" t="n">
        <f aca="false">MIN(B$16,ROUND(B120*(1+B$15),2))</f>
        <v>0</v>
      </c>
      <c r="I120" s="21" t="n">
        <f aca="false">MIN(C$16,ROUND(C120*(1+C$15),2))</f>
        <v>0</v>
      </c>
      <c r="J120" s="21" t="n">
        <f aca="false">MIN(D$16,ROUND(D120*(1+D$15),2))</f>
        <v>0</v>
      </c>
      <c r="K120" s="21" t="n">
        <f aca="false">MIN(E$16,ROUND(E120*(1+E$15),2))</f>
        <v>0</v>
      </c>
      <c r="L120" s="21" t="n">
        <f aca="false">MIN(F$16,ROUND(F120*(1+F$15),2))</f>
        <v>0</v>
      </c>
      <c r="M120" s="21" t="n">
        <f aca="false">MIN(G$16,ROUND(G120*(1+G$15),2))</f>
        <v>0</v>
      </c>
      <c r="N120" s="21" t="n">
        <f aca="false">B$20-SUM(H120:M120)</f>
        <v>1170</v>
      </c>
      <c r="O120" s="21" t="n">
        <f aca="false">MIN(ROUND(B120*(1+B$15),2),H120+MAX(0,N120))</f>
        <v>0</v>
      </c>
      <c r="P120" s="21" t="n">
        <f aca="false">MIN(ROUND(C120*(1+C$15),2),I120+MAX(0,N120-O120+H120))</f>
        <v>0</v>
      </c>
      <c r="Q120" s="21" t="n">
        <f aca="false">MIN(ROUND(D120*(1+D$15),2),J120+MAX(0,N120-O120+H120-P120+I120))</f>
        <v>0</v>
      </c>
      <c r="R120" s="21" t="n">
        <f aca="false">MIN(ROUND(E120*(1+E$15),2),K120+MAX(0,N120-O120+H120-P120+I120-Q120+J120))</f>
        <v>0</v>
      </c>
      <c r="S120" s="21" t="n">
        <f aca="false">MIN(ROUND(F120*(1+F$15),2),L120+MAX(0,N120-O120+H120-P120+I120-Q120+J120-R120+K120))</f>
        <v>0</v>
      </c>
      <c r="T120" s="21" t="n">
        <f aca="false">MIN(ROUND(G120*(1+G$15),2),M120+MAX(0,N120-O120+H120-P120+I120-Q120+J120-R120+K120-S120+L120))</f>
        <v>0</v>
      </c>
      <c r="U120" s="21" t="n">
        <f aca="false">SUM(B120:G120)</f>
        <v>0</v>
      </c>
      <c r="V120" s="21" t="n">
        <f aca="false">SUM(O120:T120)</f>
        <v>0</v>
      </c>
      <c r="X120" s="25" t="n">
        <f aca="false">X119+1</f>
        <v>94</v>
      </c>
      <c r="Y120" s="21" t="n">
        <f aca="false">MAX(0,ROUND(Y119*(1+Y$15),2)-AL119)</f>
        <v>0</v>
      </c>
      <c r="Z120" s="21" t="n">
        <f aca="false">MAX(0,ROUND(Z119*(1+Z$15),2)-AM119)</f>
        <v>0</v>
      </c>
      <c r="AA120" s="21" t="n">
        <f aca="false">MAX(0,ROUND(AA119*(1+AA$15),2)-AN119)</f>
        <v>0</v>
      </c>
      <c r="AB120" s="21" t="n">
        <f aca="false">MAX(0,ROUND(AB119*(1+AB$15),2)-AO119)</f>
        <v>0</v>
      </c>
      <c r="AC120" s="21" t="n">
        <f aca="false">MAX(0,ROUND(AC119*(1+AC$15),2)-AP119)</f>
        <v>0</v>
      </c>
      <c r="AD120" s="21" t="n">
        <f aca="false">MAX(0,ROUND(AD119*(1+AD$15),2)-AQ119)</f>
        <v>0</v>
      </c>
      <c r="AE120" s="21" t="n">
        <f aca="false">MIN(Y$16,ROUND(Y120*(1+Y$15),2))</f>
        <v>0</v>
      </c>
      <c r="AF120" s="21" t="n">
        <f aca="false">MIN(Z$16,ROUND(Z120*(1+Z$15),2))</f>
        <v>0</v>
      </c>
      <c r="AG120" s="21" t="n">
        <f aca="false">MIN(AA$16,ROUND(AA120*(1+AA$15),2))</f>
        <v>0</v>
      </c>
      <c r="AH120" s="21" t="n">
        <f aca="false">MIN(AB$16,ROUND(AB120*(1+AB$15),2))</f>
        <v>0</v>
      </c>
      <c r="AI120" s="21" t="n">
        <f aca="false">MIN(AC$16,ROUND(AC120*(1+AC$15),2))</f>
        <v>0</v>
      </c>
      <c r="AJ120" s="21" t="n">
        <f aca="false">MIN(AD$16,ROUND(AD120*(1+AD$15),2))</f>
        <v>0</v>
      </c>
      <c r="AK120" s="21" t="n">
        <f aca="false">Y$20-SUM(AE120:AJ120)</f>
        <v>1170</v>
      </c>
      <c r="AL120" s="21" t="n">
        <f aca="false">MIN(ROUND(Y120*(1+Y$15),2),AE120+MAX(0,AK120))</f>
        <v>0</v>
      </c>
      <c r="AM120" s="21" t="n">
        <f aca="false">MIN(ROUND(Z120*(1+Z$15),2),AF120+MAX(0,AK120-AL120+AE120))</f>
        <v>0</v>
      </c>
      <c r="AN120" s="21" t="n">
        <f aca="false">MIN(ROUND(AA120*(1+AA$15),2),AG120+MAX(0,AK120-AL120+AE120-AM120+AF120))</f>
        <v>0</v>
      </c>
      <c r="AO120" s="21" t="n">
        <f aca="false">MIN(ROUND(AB120*(1+AB$15),2),AH120+MAX(0,AK120-AL120+AE120-AM120+AF120-AN120+AG120))</f>
        <v>0</v>
      </c>
      <c r="AP120" s="21" t="n">
        <f aca="false">MIN(ROUND(AC120*(1+AC$15),2),AI120+MAX(0,AK120-AL120+AE120-AM120+AF120-AN120+AG120-AO120+AH120))</f>
        <v>0</v>
      </c>
      <c r="AQ120" s="21" t="n">
        <f aca="false">MIN(ROUND(AD120*(1+AD$15),2),AJ120+MAX(0,AK120-AL120+AE120-AM120+AF120-AN120+AG120-AO120+AH120-AP120+AI120))</f>
        <v>0</v>
      </c>
      <c r="AR120" s="21" t="n">
        <f aca="false">SUM(Y120:AD120)</f>
        <v>0</v>
      </c>
      <c r="AS120" s="21" t="n">
        <f aca="false">SUM(AL120:AQ120)</f>
        <v>0</v>
      </c>
    </row>
    <row r="121" customFormat="false" ht="15" hidden="false" customHeight="false" outlineLevel="0" collapsed="false">
      <c r="A121" s="25" t="n">
        <f aca="false">A120+1</f>
        <v>95</v>
      </c>
      <c r="B121" s="21" t="n">
        <f aca="false">MAX(0,ROUND(B120*(1+B$15),2)-O120)</f>
        <v>0</v>
      </c>
      <c r="C121" s="21" t="n">
        <f aca="false">MAX(0,ROUND(C120*(1+C$15),2)-P120)</f>
        <v>0</v>
      </c>
      <c r="D121" s="21" t="n">
        <f aca="false">MAX(0,ROUND(D120*(1+D$15),2)-Q120)</f>
        <v>0</v>
      </c>
      <c r="E121" s="21" t="n">
        <f aca="false">MAX(0,ROUND(E120*(1+E$15),2)-R120)</f>
        <v>0</v>
      </c>
      <c r="F121" s="21" t="n">
        <f aca="false">MAX(0,ROUND(F120*(1+F$15),2)-S120)</f>
        <v>0</v>
      </c>
      <c r="G121" s="21" t="n">
        <f aca="false">MAX(0,ROUND(G120*(1+G$15),2)-T120)</f>
        <v>0</v>
      </c>
      <c r="H121" s="21" t="n">
        <f aca="false">MIN(B$16,ROUND(B121*(1+B$15),2))</f>
        <v>0</v>
      </c>
      <c r="I121" s="21" t="n">
        <f aca="false">MIN(C$16,ROUND(C121*(1+C$15),2))</f>
        <v>0</v>
      </c>
      <c r="J121" s="21" t="n">
        <f aca="false">MIN(D$16,ROUND(D121*(1+D$15),2))</f>
        <v>0</v>
      </c>
      <c r="K121" s="21" t="n">
        <f aca="false">MIN(E$16,ROUND(E121*(1+E$15),2))</f>
        <v>0</v>
      </c>
      <c r="L121" s="21" t="n">
        <f aca="false">MIN(F$16,ROUND(F121*(1+F$15),2))</f>
        <v>0</v>
      </c>
      <c r="M121" s="21" t="n">
        <f aca="false">MIN(G$16,ROUND(G121*(1+G$15),2))</f>
        <v>0</v>
      </c>
      <c r="N121" s="21" t="n">
        <f aca="false">B$20-SUM(H121:M121)</f>
        <v>1170</v>
      </c>
      <c r="O121" s="21" t="n">
        <f aca="false">MIN(ROUND(B121*(1+B$15),2),H121+MAX(0,N121))</f>
        <v>0</v>
      </c>
      <c r="P121" s="21" t="n">
        <f aca="false">MIN(ROUND(C121*(1+C$15),2),I121+MAX(0,N121-O121+H121))</f>
        <v>0</v>
      </c>
      <c r="Q121" s="21" t="n">
        <f aca="false">MIN(ROUND(D121*(1+D$15),2),J121+MAX(0,N121-O121+H121-P121+I121))</f>
        <v>0</v>
      </c>
      <c r="R121" s="21" t="n">
        <f aca="false">MIN(ROUND(E121*(1+E$15),2),K121+MAX(0,N121-O121+H121-P121+I121-Q121+J121))</f>
        <v>0</v>
      </c>
      <c r="S121" s="21" t="n">
        <f aca="false">MIN(ROUND(F121*(1+F$15),2),L121+MAX(0,N121-O121+H121-P121+I121-Q121+J121-R121+K121))</f>
        <v>0</v>
      </c>
      <c r="T121" s="21" t="n">
        <f aca="false">MIN(ROUND(G121*(1+G$15),2),M121+MAX(0,N121-O121+H121-P121+I121-Q121+J121-R121+K121-S121+L121))</f>
        <v>0</v>
      </c>
      <c r="U121" s="21" t="n">
        <f aca="false">SUM(B121:G121)</f>
        <v>0</v>
      </c>
      <c r="V121" s="21" t="n">
        <f aca="false">SUM(O121:T121)</f>
        <v>0</v>
      </c>
      <c r="X121" s="25" t="n">
        <f aca="false">X120+1</f>
        <v>95</v>
      </c>
      <c r="Y121" s="21" t="n">
        <f aca="false">MAX(0,ROUND(Y120*(1+Y$15),2)-AL120)</f>
        <v>0</v>
      </c>
      <c r="Z121" s="21" t="n">
        <f aca="false">MAX(0,ROUND(Z120*(1+Z$15),2)-AM120)</f>
        <v>0</v>
      </c>
      <c r="AA121" s="21" t="n">
        <f aca="false">MAX(0,ROUND(AA120*(1+AA$15),2)-AN120)</f>
        <v>0</v>
      </c>
      <c r="AB121" s="21" t="n">
        <f aca="false">MAX(0,ROUND(AB120*(1+AB$15),2)-AO120)</f>
        <v>0</v>
      </c>
      <c r="AC121" s="21" t="n">
        <f aca="false">MAX(0,ROUND(AC120*(1+AC$15),2)-AP120)</f>
        <v>0</v>
      </c>
      <c r="AD121" s="21" t="n">
        <f aca="false">MAX(0,ROUND(AD120*(1+AD$15),2)-AQ120)</f>
        <v>0</v>
      </c>
      <c r="AE121" s="21" t="n">
        <f aca="false">MIN(Y$16,ROUND(Y121*(1+Y$15),2))</f>
        <v>0</v>
      </c>
      <c r="AF121" s="21" t="n">
        <f aca="false">MIN(Z$16,ROUND(Z121*(1+Z$15),2))</f>
        <v>0</v>
      </c>
      <c r="AG121" s="21" t="n">
        <f aca="false">MIN(AA$16,ROUND(AA121*(1+AA$15),2))</f>
        <v>0</v>
      </c>
      <c r="AH121" s="21" t="n">
        <f aca="false">MIN(AB$16,ROUND(AB121*(1+AB$15),2))</f>
        <v>0</v>
      </c>
      <c r="AI121" s="21" t="n">
        <f aca="false">MIN(AC$16,ROUND(AC121*(1+AC$15),2))</f>
        <v>0</v>
      </c>
      <c r="AJ121" s="21" t="n">
        <f aca="false">MIN(AD$16,ROUND(AD121*(1+AD$15),2))</f>
        <v>0</v>
      </c>
      <c r="AK121" s="21" t="n">
        <f aca="false">Y$20-SUM(AE121:AJ121)</f>
        <v>1170</v>
      </c>
      <c r="AL121" s="21" t="n">
        <f aca="false">MIN(ROUND(Y121*(1+Y$15),2),AE121+MAX(0,AK121))</f>
        <v>0</v>
      </c>
      <c r="AM121" s="21" t="n">
        <f aca="false">MIN(ROUND(Z121*(1+Z$15),2),AF121+MAX(0,AK121-AL121+AE121))</f>
        <v>0</v>
      </c>
      <c r="AN121" s="21" t="n">
        <f aca="false">MIN(ROUND(AA121*(1+AA$15),2),AG121+MAX(0,AK121-AL121+AE121-AM121+AF121))</f>
        <v>0</v>
      </c>
      <c r="AO121" s="21" t="n">
        <f aca="false">MIN(ROUND(AB121*(1+AB$15),2),AH121+MAX(0,AK121-AL121+AE121-AM121+AF121-AN121+AG121))</f>
        <v>0</v>
      </c>
      <c r="AP121" s="21" t="n">
        <f aca="false">MIN(ROUND(AC121*(1+AC$15),2),AI121+MAX(0,AK121-AL121+AE121-AM121+AF121-AN121+AG121-AO121+AH121))</f>
        <v>0</v>
      </c>
      <c r="AQ121" s="21" t="n">
        <f aca="false">MIN(ROUND(AD121*(1+AD$15),2),AJ121+MAX(0,AK121-AL121+AE121-AM121+AF121-AN121+AG121-AO121+AH121-AP121+AI121))</f>
        <v>0</v>
      </c>
      <c r="AR121" s="21" t="n">
        <f aca="false">SUM(Y121:AD121)</f>
        <v>0</v>
      </c>
      <c r="AS121" s="21" t="n">
        <f aca="false">SUM(AL121:AQ121)</f>
        <v>0</v>
      </c>
    </row>
    <row r="122" customFormat="false" ht="15" hidden="false" customHeight="false" outlineLevel="0" collapsed="false">
      <c r="A122" s="25" t="n">
        <f aca="false">A121+1</f>
        <v>96</v>
      </c>
      <c r="B122" s="21" t="n">
        <f aca="false">MAX(0,ROUND(B121*(1+B$15),2)-O121)</f>
        <v>0</v>
      </c>
      <c r="C122" s="21" t="n">
        <f aca="false">MAX(0,ROUND(C121*(1+C$15),2)-P121)</f>
        <v>0</v>
      </c>
      <c r="D122" s="21" t="n">
        <f aca="false">MAX(0,ROUND(D121*(1+D$15),2)-Q121)</f>
        <v>0</v>
      </c>
      <c r="E122" s="21" t="n">
        <f aca="false">MAX(0,ROUND(E121*(1+E$15),2)-R121)</f>
        <v>0</v>
      </c>
      <c r="F122" s="21" t="n">
        <f aca="false">MAX(0,ROUND(F121*(1+F$15),2)-S121)</f>
        <v>0</v>
      </c>
      <c r="G122" s="21" t="n">
        <f aca="false">MAX(0,ROUND(G121*(1+G$15),2)-T121)</f>
        <v>0</v>
      </c>
      <c r="H122" s="21" t="n">
        <f aca="false">MIN(B$16,ROUND(B122*(1+B$15),2))</f>
        <v>0</v>
      </c>
      <c r="I122" s="21" t="n">
        <f aca="false">MIN(C$16,ROUND(C122*(1+C$15),2))</f>
        <v>0</v>
      </c>
      <c r="J122" s="21" t="n">
        <f aca="false">MIN(D$16,ROUND(D122*(1+D$15),2))</f>
        <v>0</v>
      </c>
      <c r="K122" s="21" t="n">
        <f aca="false">MIN(E$16,ROUND(E122*(1+E$15),2))</f>
        <v>0</v>
      </c>
      <c r="L122" s="21" t="n">
        <f aca="false">MIN(F$16,ROUND(F122*(1+F$15),2))</f>
        <v>0</v>
      </c>
      <c r="M122" s="21" t="n">
        <f aca="false">MIN(G$16,ROUND(G122*(1+G$15),2))</f>
        <v>0</v>
      </c>
      <c r="N122" s="21" t="n">
        <f aca="false">B$20-SUM(H122:M122)</f>
        <v>1170</v>
      </c>
      <c r="O122" s="21" t="n">
        <f aca="false">MIN(ROUND(B122*(1+B$15),2),H122+MAX(0,N122))</f>
        <v>0</v>
      </c>
      <c r="P122" s="21" t="n">
        <f aca="false">MIN(ROUND(C122*(1+C$15),2),I122+MAX(0,N122-O122+H122))</f>
        <v>0</v>
      </c>
      <c r="Q122" s="21" t="n">
        <f aca="false">MIN(ROUND(D122*(1+D$15),2),J122+MAX(0,N122-O122+H122-P122+I122))</f>
        <v>0</v>
      </c>
      <c r="R122" s="21" t="n">
        <f aca="false">MIN(ROUND(E122*(1+E$15),2),K122+MAX(0,N122-O122+H122-P122+I122-Q122+J122))</f>
        <v>0</v>
      </c>
      <c r="S122" s="21" t="n">
        <f aca="false">MIN(ROUND(F122*(1+F$15),2),L122+MAX(0,N122-O122+H122-P122+I122-Q122+J122-R122+K122))</f>
        <v>0</v>
      </c>
      <c r="T122" s="21" t="n">
        <f aca="false">MIN(ROUND(G122*(1+G$15),2),M122+MAX(0,N122-O122+H122-P122+I122-Q122+J122-R122+K122-S122+L122))</f>
        <v>0</v>
      </c>
      <c r="U122" s="21" t="n">
        <f aca="false">SUM(B122:G122)</f>
        <v>0</v>
      </c>
      <c r="V122" s="21" t="n">
        <f aca="false">SUM(O122:T122)</f>
        <v>0</v>
      </c>
      <c r="X122" s="25" t="n">
        <f aca="false">X121+1</f>
        <v>96</v>
      </c>
      <c r="Y122" s="21" t="n">
        <f aca="false">MAX(0,ROUND(Y121*(1+Y$15),2)-AL121)</f>
        <v>0</v>
      </c>
      <c r="Z122" s="21" t="n">
        <f aca="false">MAX(0,ROUND(Z121*(1+Z$15),2)-AM121)</f>
        <v>0</v>
      </c>
      <c r="AA122" s="21" t="n">
        <f aca="false">MAX(0,ROUND(AA121*(1+AA$15),2)-AN121)</f>
        <v>0</v>
      </c>
      <c r="AB122" s="21" t="n">
        <f aca="false">MAX(0,ROUND(AB121*(1+AB$15),2)-AO121)</f>
        <v>0</v>
      </c>
      <c r="AC122" s="21" t="n">
        <f aca="false">MAX(0,ROUND(AC121*(1+AC$15),2)-AP121)</f>
        <v>0</v>
      </c>
      <c r="AD122" s="21" t="n">
        <f aca="false">MAX(0,ROUND(AD121*(1+AD$15),2)-AQ121)</f>
        <v>0</v>
      </c>
      <c r="AE122" s="21" t="n">
        <f aca="false">MIN(Y$16,ROUND(Y122*(1+Y$15),2))</f>
        <v>0</v>
      </c>
      <c r="AF122" s="21" t="n">
        <f aca="false">MIN(Z$16,ROUND(Z122*(1+Z$15),2))</f>
        <v>0</v>
      </c>
      <c r="AG122" s="21" t="n">
        <f aca="false">MIN(AA$16,ROUND(AA122*(1+AA$15),2))</f>
        <v>0</v>
      </c>
      <c r="AH122" s="21" t="n">
        <f aca="false">MIN(AB$16,ROUND(AB122*(1+AB$15),2))</f>
        <v>0</v>
      </c>
      <c r="AI122" s="21" t="n">
        <f aca="false">MIN(AC$16,ROUND(AC122*(1+AC$15),2))</f>
        <v>0</v>
      </c>
      <c r="AJ122" s="21" t="n">
        <f aca="false">MIN(AD$16,ROUND(AD122*(1+AD$15),2))</f>
        <v>0</v>
      </c>
      <c r="AK122" s="21" t="n">
        <f aca="false">Y$20-SUM(AE122:AJ122)</f>
        <v>1170</v>
      </c>
      <c r="AL122" s="21" t="n">
        <f aca="false">MIN(ROUND(Y122*(1+Y$15),2),AE122+MAX(0,AK122))</f>
        <v>0</v>
      </c>
      <c r="AM122" s="21" t="n">
        <f aca="false">MIN(ROUND(Z122*(1+Z$15),2),AF122+MAX(0,AK122-AL122+AE122))</f>
        <v>0</v>
      </c>
      <c r="AN122" s="21" t="n">
        <f aca="false">MIN(ROUND(AA122*(1+AA$15),2),AG122+MAX(0,AK122-AL122+AE122-AM122+AF122))</f>
        <v>0</v>
      </c>
      <c r="AO122" s="21" t="n">
        <f aca="false">MIN(ROUND(AB122*(1+AB$15),2),AH122+MAX(0,AK122-AL122+AE122-AM122+AF122-AN122+AG122))</f>
        <v>0</v>
      </c>
      <c r="AP122" s="21" t="n">
        <f aca="false">MIN(ROUND(AC122*(1+AC$15),2),AI122+MAX(0,AK122-AL122+AE122-AM122+AF122-AN122+AG122-AO122+AH122))</f>
        <v>0</v>
      </c>
      <c r="AQ122" s="21" t="n">
        <f aca="false">MIN(ROUND(AD122*(1+AD$15),2),AJ122+MAX(0,AK122-AL122+AE122-AM122+AF122-AN122+AG122-AO122+AH122-AP122+AI122))</f>
        <v>0</v>
      </c>
      <c r="AR122" s="21" t="n">
        <f aca="false">SUM(Y122:AD122)</f>
        <v>0</v>
      </c>
      <c r="AS122" s="21" t="n">
        <f aca="false">SUM(AL122:AQ122)</f>
        <v>0</v>
      </c>
    </row>
    <row r="123" customFormat="false" ht="15" hidden="false" customHeight="false" outlineLevel="0" collapsed="false">
      <c r="A123" s="25" t="n">
        <f aca="false">A122+1</f>
        <v>97</v>
      </c>
      <c r="B123" s="21" t="n">
        <f aca="false">MAX(0,ROUND(B122*(1+B$15),2)-O122)</f>
        <v>0</v>
      </c>
      <c r="C123" s="21" t="n">
        <f aca="false">MAX(0,ROUND(C122*(1+C$15),2)-P122)</f>
        <v>0</v>
      </c>
      <c r="D123" s="21" t="n">
        <f aca="false">MAX(0,ROUND(D122*(1+D$15),2)-Q122)</f>
        <v>0</v>
      </c>
      <c r="E123" s="21" t="n">
        <f aca="false">MAX(0,ROUND(E122*(1+E$15),2)-R122)</f>
        <v>0</v>
      </c>
      <c r="F123" s="21" t="n">
        <f aca="false">MAX(0,ROUND(F122*(1+F$15),2)-S122)</f>
        <v>0</v>
      </c>
      <c r="G123" s="21" t="n">
        <f aca="false">MAX(0,ROUND(G122*(1+G$15),2)-T122)</f>
        <v>0</v>
      </c>
      <c r="H123" s="21" t="n">
        <f aca="false">MIN(B$16,ROUND(B123*(1+B$15),2))</f>
        <v>0</v>
      </c>
      <c r="I123" s="21" t="n">
        <f aca="false">MIN(C$16,ROUND(C123*(1+C$15),2))</f>
        <v>0</v>
      </c>
      <c r="J123" s="21" t="n">
        <f aca="false">MIN(D$16,ROUND(D123*(1+D$15),2))</f>
        <v>0</v>
      </c>
      <c r="K123" s="21" t="n">
        <f aca="false">MIN(E$16,ROUND(E123*(1+E$15),2))</f>
        <v>0</v>
      </c>
      <c r="L123" s="21" t="n">
        <f aca="false">MIN(F$16,ROUND(F123*(1+F$15),2))</f>
        <v>0</v>
      </c>
      <c r="M123" s="21" t="n">
        <f aca="false">MIN(G$16,ROUND(G123*(1+G$15),2))</f>
        <v>0</v>
      </c>
      <c r="N123" s="21" t="n">
        <f aca="false">B$20-SUM(H123:M123)</f>
        <v>1170</v>
      </c>
      <c r="O123" s="21" t="n">
        <f aca="false">MIN(ROUND(B123*(1+B$15),2),H123+MAX(0,N123))</f>
        <v>0</v>
      </c>
      <c r="P123" s="21" t="n">
        <f aca="false">MIN(ROUND(C123*(1+C$15),2),I123+MAX(0,N123-O123+H123))</f>
        <v>0</v>
      </c>
      <c r="Q123" s="21" t="n">
        <f aca="false">MIN(ROUND(D123*(1+D$15),2),J123+MAX(0,N123-O123+H123-P123+I123))</f>
        <v>0</v>
      </c>
      <c r="R123" s="21" t="n">
        <f aca="false">MIN(ROUND(E123*(1+E$15),2),K123+MAX(0,N123-O123+H123-P123+I123-Q123+J123))</f>
        <v>0</v>
      </c>
      <c r="S123" s="21" t="n">
        <f aca="false">MIN(ROUND(F123*(1+F$15),2),L123+MAX(0,N123-O123+H123-P123+I123-Q123+J123-R123+K123))</f>
        <v>0</v>
      </c>
      <c r="T123" s="21" t="n">
        <f aca="false">MIN(ROUND(G123*(1+G$15),2),M123+MAX(0,N123-O123+H123-P123+I123-Q123+J123-R123+K123-S123+L123))</f>
        <v>0</v>
      </c>
      <c r="U123" s="21" t="n">
        <f aca="false">SUM(B123:G123)</f>
        <v>0</v>
      </c>
      <c r="V123" s="21" t="n">
        <f aca="false">SUM(O123:T123)</f>
        <v>0</v>
      </c>
      <c r="X123" s="25" t="n">
        <f aca="false">X122+1</f>
        <v>97</v>
      </c>
      <c r="Y123" s="21" t="n">
        <f aca="false">MAX(0,ROUND(Y122*(1+Y$15),2)-AL122)</f>
        <v>0</v>
      </c>
      <c r="Z123" s="21" t="n">
        <f aca="false">MAX(0,ROUND(Z122*(1+Z$15),2)-AM122)</f>
        <v>0</v>
      </c>
      <c r="AA123" s="21" t="n">
        <f aca="false">MAX(0,ROUND(AA122*(1+AA$15),2)-AN122)</f>
        <v>0</v>
      </c>
      <c r="AB123" s="21" t="n">
        <f aca="false">MAX(0,ROUND(AB122*(1+AB$15),2)-AO122)</f>
        <v>0</v>
      </c>
      <c r="AC123" s="21" t="n">
        <f aca="false">MAX(0,ROUND(AC122*(1+AC$15),2)-AP122)</f>
        <v>0</v>
      </c>
      <c r="AD123" s="21" t="n">
        <f aca="false">MAX(0,ROUND(AD122*(1+AD$15),2)-AQ122)</f>
        <v>0</v>
      </c>
      <c r="AE123" s="21" t="n">
        <f aca="false">MIN(Y$16,ROUND(Y123*(1+Y$15),2))</f>
        <v>0</v>
      </c>
      <c r="AF123" s="21" t="n">
        <f aca="false">MIN(Z$16,ROUND(Z123*(1+Z$15),2))</f>
        <v>0</v>
      </c>
      <c r="AG123" s="21" t="n">
        <f aca="false">MIN(AA$16,ROUND(AA123*(1+AA$15),2))</f>
        <v>0</v>
      </c>
      <c r="AH123" s="21" t="n">
        <f aca="false">MIN(AB$16,ROUND(AB123*(1+AB$15),2))</f>
        <v>0</v>
      </c>
      <c r="AI123" s="21" t="n">
        <f aca="false">MIN(AC$16,ROUND(AC123*(1+AC$15),2))</f>
        <v>0</v>
      </c>
      <c r="AJ123" s="21" t="n">
        <f aca="false">MIN(AD$16,ROUND(AD123*(1+AD$15),2))</f>
        <v>0</v>
      </c>
      <c r="AK123" s="21" t="n">
        <f aca="false">Y$20-SUM(AE123:AJ123)</f>
        <v>1170</v>
      </c>
      <c r="AL123" s="21" t="n">
        <f aca="false">MIN(ROUND(Y123*(1+Y$15),2),AE123+MAX(0,AK123))</f>
        <v>0</v>
      </c>
      <c r="AM123" s="21" t="n">
        <f aca="false">MIN(ROUND(Z123*(1+Z$15),2),AF123+MAX(0,AK123-AL123+AE123))</f>
        <v>0</v>
      </c>
      <c r="AN123" s="21" t="n">
        <f aca="false">MIN(ROUND(AA123*(1+AA$15),2),AG123+MAX(0,AK123-AL123+AE123-AM123+AF123))</f>
        <v>0</v>
      </c>
      <c r="AO123" s="21" t="n">
        <f aca="false">MIN(ROUND(AB123*(1+AB$15),2),AH123+MAX(0,AK123-AL123+AE123-AM123+AF123-AN123+AG123))</f>
        <v>0</v>
      </c>
      <c r="AP123" s="21" t="n">
        <f aca="false">MIN(ROUND(AC123*(1+AC$15),2),AI123+MAX(0,AK123-AL123+AE123-AM123+AF123-AN123+AG123-AO123+AH123))</f>
        <v>0</v>
      </c>
      <c r="AQ123" s="21" t="n">
        <f aca="false">MIN(ROUND(AD123*(1+AD$15),2),AJ123+MAX(0,AK123-AL123+AE123-AM123+AF123-AN123+AG123-AO123+AH123-AP123+AI123))</f>
        <v>0</v>
      </c>
      <c r="AR123" s="21" t="n">
        <f aca="false">SUM(Y123:AD123)</f>
        <v>0</v>
      </c>
      <c r="AS123" s="21" t="n">
        <f aca="false">SUM(AL123:AQ123)</f>
        <v>0</v>
      </c>
    </row>
    <row r="124" customFormat="false" ht="15" hidden="false" customHeight="false" outlineLevel="0" collapsed="false">
      <c r="A124" s="25" t="n">
        <f aca="false">A123+1</f>
        <v>98</v>
      </c>
      <c r="B124" s="21" t="n">
        <f aca="false">MAX(0,ROUND(B123*(1+B$15),2)-O123)</f>
        <v>0</v>
      </c>
      <c r="C124" s="21" t="n">
        <f aca="false">MAX(0,ROUND(C123*(1+C$15),2)-P123)</f>
        <v>0</v>
      </c>
      <c r="D124" s="21" t="n">
        <f aca="false">MAX(0,ROUND(D123*(1+D$15),2)-Q123)</f>
        <v>0</v>
      </c>
      <c r="E124" s="21" t="n">
        <f aca="false">MAX(0,ROUND(E123*(1+E$15),2)-R123)</f>
        <v>0</v>
      </c>
      <c r="F124" s="21" t="n">
        <f aca="false">MAX(0,ROUND(F123*(1+F$15),2)-S123)</f>
        <v>0</v>
      </c>
      <c r="G124" s="21" t="n">
        <f aca="false">MAX(0,ROUND(G123*(1+G$15),2)-T123)</f>
        <v>0</v>
      </c>
      <c r="H124" s="21" t="n">
        <f aca="false">MIN(B$16,ROUND(B124*(1+B$15),2))</f>
        <v>0</v>
      </c>
      <c r="I124" s="21" t="n">
        <f aca="false">MIN(C$16,ROUND(C124*(1+C$15),2))</f>
        <v>0</v>
      </c>
      <c r="J124" s="21" t="n">
        <f aca="false">MIN(D$16,ROUND(D124*(1+D$15),2))</f>
        <v>0</v>
      </c>
      <c r="K124" s="21" t="n">
        <f aca="false">MIN(E$16,ROUND(E124*(1+E$15),2))</f>
        <v>0</v>
      </c>
      <c r="L124" s="21" t="n">
        <f aca="false">MIN(F$16,ROUND(F124*(1+F$15),2))</f>
        <v>0</v>
      </c>
      <c r="M124" s="21" t="n">
        <f aca="false">MIN(G$16,ROUND(G124*(1+G$15),2))</f>
        <v>0</v>
      </c>
      <c r="N124" s="21" t="n">
        <f aca="false">B$20-SUM(H124:M124)</f>
        <v>1170</v>
      </c>
      <c r="O124" s="21" t="n">
        <f aca="false">MIN(ROUND(B124*(1+B$15),2),H124+MAX(0,N124))</f>
        <v>0</v>
      </c>
      <c r="P124" s="21" t="n">
        <f aca="false">MIN(ROUND(C124*(1+C$15),2),I124+MAX(0,N124-O124+H124))</f>
        <v>0</v>
      </c>
      <c r="Q124" s="21" t="n">
        <f aca="false">MIN(ROUND(D124*(1+D$15),2),J124+MAX(0,N124-O124+H124-P124+I124))</f>
        <v>0</v>
      </c>
      <c r="R124" s="21" t="n">
        <f aca="false">MIN(ROUND(E124*(1+E$15),2),K124+MAX(0,N124-O124+H124-P124+I124-Q124+J124))</f>
        <v>0</v>
      </c>
      <c r="S124" s="21" t="n">
        <f aca="false">MIN(ROUND(F124*(1+F$15),2),L124+MAX(0,N124-O124+H124-P124+I124-Q124+J124-R124+K124))</f>
        <v>0</v>
      </c>
      <c r="T124" s="21" t="n">
        <f aca="false">MIN(ROUND(G124*(1+G$15),2),M124+MAX(0,N124-O124+H124-P124+I124-Q124+J124-R124+K124-S124+L124))</f>
        <v>0</v>
      </c>
      <c r="U124" s="21" t="n">
        <f aca="false">SUM(B124:G124)</f>
        <v>0</v>
      </c>
      <c r="V124" s="21" t="n">
        <f aca="false">SUM(O124:T124)</f>
        <v>0</v>
      </c>
      <c r="X124" s="25" t="n">
        <f aca="false">X123+1</f>
        <v>98</v>
      </c>
      <c r="Y124" s="21" t="n">
        <f aca="false">MAX(0,ROUND(Y123*(1+Y$15),2)-AL123)</f>
        <v>0</v>
      </c>
      <c r="Z124" s="21" t="n">
        <f aca="false">MAX(0,ROUND(Z123*(1+Z$15),2)-AM123)</f>
        <v>0</v>
      </c>
      <c r="AA124" s="21" t="n">
        <f aca="false">MAX(0,ROUND(AA123*(1+AA$15),2)-AN123)</f>
        <v>0</v>
      </c>
      <c r="AB124" s="21" t="n">
        <f aca="false">MAX(0,ROUND(AB123*(1+AB$15),2)-AO123)</f>
        <v>0</v>
      </c>
      <c r="AC124" s="21" t="n">
        <f aca="false">MAX(0,ROUND(AC123*(1+AC$15),2)-AP123)</f>
        <v>0</v>
      </c>
      <c r="AD124" s="21" t="n">
        <f aca="false">MAX(0,ROUND(AD123*(1+AD$15),2)-AQ123)</f>
        <v>0</v>
      </c>
      <c r="AE124" s="21" t="n">
        <f aca="false">MIN(Y$16,ROUND(Y124*(1+Y$15),2))</f>
        <v>0</v>
      </c>
      <c r="AF124" s="21" t="n">
        <f aca="false">MIN(Z$16,ROUND(Z124*(1+Z$15),2))</f>
        <v>0</v>
      </c>
      <c r="AG124" s="21" t="n">
        <f aca="false">MIN(AA$16,ROUND(AA124*(1+AA$15),2))</f>
        <v>0</v>
      </c>
      <c r="AH124" s="21" t="n">
        <f aca="false">MIN(AB$16,ROUND(AB124*(1+AB$15),2))</f>
        <v>0</v>
      </c>
      <c r="AI124" s="21" t="n">
        <f aca="false">MIN(AC$16,ROUND(AC124*(1+AC$15),2))</f>
        <v>0</v>
      </c>
      <c r="AJ124" s="21" t="n">
        <f aca="false">MIN(AD$16,ROUND(AD124*(1+AD$15),2))</f>
        <v>0</v>
      </c>
      <c r="AK124" s="21" t="n">
        <f aca="false">Y$20-SUM(AE124:AJ124)</f>
        <v>1170</v>
      </c>
      <c r="AL124" s="21" t="n">
        <f aca="false">MIN(ROUND(Y124*(1+Y$15),2),AE124+MAX(0,AK124))</f>
        <v>0</v>
      </c>
      <c r="AM124" s="21" t="n">
        <f aca="false">MIN(ROUND(Z124*(1+Z$15),2),AF124+MAX(0,AK124-AL124+AE124))</f>
        <v>0</v>
      </c>
      <c r="AN124" s="21" t="n">
        <f aca="false">MIN(ROUND(AA124*(1+AA$15),2),AG124+MAX(0,AK124-AL124+AE124-AM124+AF124))</f>
        <v>0</v>
      </c>
      <c r="AO124" s="21" t="n">
        <f aca="false">MIN(ROUND(AB124*(1+AB$15),2),AH124+MAX(0,AK124-AL124+AE124-AM124+AF124-AN124+AG124))</f>
        <v>0</v>
      </c>
      <c r="AP124" s="21" t="n">
        <f aca="false">MIN(ROUND(AC124*(1+AC$15),2),AI124+MAX(0,AK124-AL124+AE124-AM124+AF124-AN124+AG124-AO124+AH124))</f>
        <v>0</v>
      </c>
      <c r="AQ124" s="21" t="n">
        <f aca="false">MIN(ROUND(AD124*(1+AD$15),2),AJ124+MAX(0,AK124-AL124+AE124-AM124+AF124-AN124+AG124-AO124+AH124-AP124+AI124))</f>
        <v>0</v>
      </c>
      <c r="AR124" s="21" t="n">
        <f aca="false">SUM(Y124:AD124)</f>
        <v>0</v>
      </c>
      <c r="AS124" s="21" t="n">
        <f aca="false">SUM(AL124:AQ124)</f>
        <v>0</v>
      </c>
    </row>
    <row r="125" customFormat="false" ht="15" hidden="false" customHeight="false" outlineLevel="0" collapsed="false">
      <c r="A125" s="25" t="n">
        <f aca="false">A124+1</f>
        <v>99</v>
      </c>
      <c r="B125" s="21" t="n">
        <f aca="false">MAX(0,ROUND(B124*(1+B$15),2)-O124)</f>
        <v>0</v>
      </c>
      <c r="C125" s="21" t="n">
        <f aca="false">MAX(0,ROUND(C124*(1+C$15),2)-P124)</f>
        <v>0</v>
      </c>
      <c r="D125" s="21" t="n">
        <f aca="false">MAX(0,ROUND(D124*(1+D$15),2)-Q124)</f>
        <v>0</v>
      </c>
      <c r="E125" s="21" t="n">
        <f aca="false">MAX(0,ROUND(E124*(1+E$15),2)-R124)</f>
        <v>0</v>
      </c>
      <c r="F125" s="21" t="n">
        <f aca="false">MAX(0,ROUND(F124*(1+F$15),2)-S124)</f>
        <v>0</v>
      </c>
      <c r="G125" s="21" t="n">
        <f aca="false">MAX(0,ROUND(G124*(1+G$15),2)-T124)</f>
        <v>0</v>
      </c>
      <c r="H125" s="21" t="n">
        <f aca="false">MIN(B$16,ROUND(B125*(1+B$15),2))</f>
        <v>0</v>
      </c>
      <c r="I125" s="21" t="n">
        <f aca="false">MIN(C$16,ROUND(C125*(1+C$15),2))</f>
        <v>0</v>
      </c>
      <c r="J125" s="21" t="n">
        <f aca="false">MIN(D$16,ROUND(D125*(1+D$15),2))</f>
        <v>0</v>
      </c>
      <c r="K125" s="21" t="n">
        <f aca="false">MIN(E$16,ROUND(E125*(1+E$15),2))</f>
        <v>0</v>
      </c>
      <c r="L125" s="21" t="n">
        <f aca="false">MIN(F$16,ROUND(F125*(1+F$15),2))</f>
        <v>0</v>
      </c>
      <c r="M125" s="21" t="n">
        <f aca="false">MIN(G$16,ROUND(G125*(1+G$15),2))</f>
        <v>0</v>
      </c>
      <c r="N125" s="21" t="n">
        <f aca="false">B$20-SUM(H125:M125)</f>
        <v>1170</v>
      </c>
      <c r="O125" s="21" t="n">
        <f aca="false">MIN(ROUND(B125*(1+B$15),2),H125+MAX(0,N125))</f>
        <v>0</v>
      </c>
      <c r="P125" s="21" t="n">
        <f aca="false">MIN(ROUND(C125*(1+C$15),2),I125+MAX(0,N125-O125+H125))</f>
        <v>0</v>
      </c>
      <c r="Q125" s="21" t="n">
        <f aca="false">MIN(ROUND(D125*(1+D$15),2),J125+MAX(0,N125-O125+H125-P125+I125))</f>
        <v>0</v>
      </c>
      <c r="R125" s="21" t="n">
        <f aca="false">MIN(ROUND(E125*(1+E$15),2),K125+MAX(0,N125-O125+H125-P125+I125-Q125+J125))</f>
        <v>0</v>
      </c>
      <c r="S125" s="21" t="n">
        <f aca="false">MIN(ROUND(F125*(1+F$15),2),L125+MAX(0,N125-O125+H125-P125+I125-Q125+J125-R125+K125))</f>
        <v>0</v>
      </c>
      <c r="T125" s="21" t="n">
        <f aca="false">MIN(ROUND(G125*(1+G$15),2),M125+MAX(0,N125-O125+H125-P125+I125-Q125+J125-R125+K125-S125+L125))</f>
        <v>0</v>
      </c>
      <c r="U125" s="21" t="n">
        <f aca="false">SUM(B125:G125)</f>
        <v>0</v>
      </c>
      <c r="V125" s="21" t="n">
        <f aca="false">SUM(O125:T125)</f>
        <v>0</v>
      </c>
      <c r="X125" s="25" t="n">
        <f aca="false">X124+1</f>
        <v>99</v>
      </c>
      <c r="Y125" s="21" t="n">
        <f aca="false">MAX(0,ROUND(Y124*(1+Y$15),2)-AL124)</f>
        <v>0</v>
      </c>
      <c r="Z125" s="21" t="n">
        <f aca="false">MAX(0,ROUND(Z124*(1+Z$15),2)-AM124)</f>
        <v>0</v>
      </c>
      <c r="AA125" s="21" t="n">
        <f aca="false">MAX(0,ROUND(AA124*(1+AA$15),2)-AN124)</f>
        <v>0</v>
      </c>
      <c r="AB125" s="21" t="n">
        <f aca="false">MAX(0,ROUND(AB124*(1+AB$15),2)-AO124)</f>
        <v>0</v>
      </c>
      <c r="AC125" s="21" t="n">
        <f aca="false">MAX(0,ROUND(AC124*(1+AC$15),2)-AP124)</f>
        <v>0</v>
      </c>
      <c r="AD125" s="21" t="n">
        <f aca="false">MAX(0,ROUND(AD124*(1+AD$15),2)-AQ124)</f>
        <v>0</v>
      </c>
      <c r="AE125" s="21" t="n">
        <f aca="false">MIN(Y$16,ROUND(Y125*(1+Y$15),2))</f>
        <v>0</v>
      </c>
      <c r="AF125" s="21" t="n">
        <f aca="false">MIN(Z$16,ROUND(Z125*(1+Z$15),2))</f>
        <v>0</v>
      </c>
      <c r="AG125" s="21" t="n">
        <f aca="false">MIN(AA$16,ROUND(AA125*(1+AA$15),2))</f>
        <v>0</v>
      </c>
      <c r="AH125" s="21" t="n">
        <f aca="false">MIN(AB$16,ROUND(AB125*(1+AB$15),2))</f>
        <v>0</v>
      </c>
      <c r="AI125" s="21" t="n">
        <f aca="false">MIN(AC$16,ROUND(AC125*(1+AC$15),2))</f>
        <v>0</v>
      </c>
      <c r="AJ125" s="21" t="n">
        <f aca="false">MIN(AD$16,ROUND(AD125*(1+AD$15),2))</f>
        <v>0</v>
      </c>
      <c r="AK125" s="21" t="n">
        <f aca="false">Y$20-SUM(AE125:AJ125)</f>
        <v>1170</v>
      </c>
      <c r="AL125" s="21" t="n">
        <f aca="false">MIN(ROUND(Y125*(1+Y$15),2),AE125+MAX(0,AK125))</f>
        <v>0</v>
      </c>
      <c r="AM125" s="21" t="n">
        <f aca="false">MIN(ROUND(Z125*(1+Z$15),2),AF125+MAX(0,AK125-AL125+AE125))</f>
        <v>0</v>
      </c>
      <c r="AN125" s="21" t="n">
        <f aca="false">MIN(ROUND(AA125*(1+AA$15),2),AG125+MAX(0,AK125-AL125+AE125-AM125+AF125))</f>
        <v>0</v>
      </c>
      <c r="AO125" s="21" t="n">
        <f aca="false">MIN(ROUND(AB125*(1+AB$15),2),AH125+MAX(0,AK125-AL125+AE125-AM125+AF125-AN125+AG125))</f>
        <v>0</v>
      </c>
      <c r="AP125" s="21" t="n">
        <f aca="false">MIN(ROUND(AC125*(1+AC$15),2),AI125+MAX(0,AK125-AL125+AE125-AM125+AF125-AN125+AG125-AO125+AH125))</f>
        <v>0</v>
      </c>
      <c r="AQ125" s="21" t="n">
        <f aca="false">MIN(ROUND(AD125*(1+AD$15),2),AJ125+MAX(0,AK125-AL125+AE125-AM125+AF125-AN125+AG125-AO125+AH125-AP125+AI125))</f>
        <v>0</v>
      </c>
      <c r="AR125" s="21" t="n">
        <f aca="false">SUM(Y125:AD125)</f>
        <v>0</v>
      </c>
      <c r="AS125" s="21" t="n">
        <f aca="false">SUM(AL125:AQ125)</f>
        <v>0</v>
      </c>
    </row>
    <row r="126" customFormat="false" ht="15" hidden="false" customHeight="false" outlineLevel="0" collapsed="false">
      <c r="A126" s="25" t="n">
        <f aca="false">A125+1</f>
        <v>100</v>
      </c>
      <c r="B126" s="21" t="n">
        <f aca="false">MAX(0,ROUND(B125*(1+B$15),2)-O125)</f>
        <v>0</v>
      </c>
      <c r="C126" s="21" t="n">
        <f aca="false">MAX(0,ROUND(C125*(1+C$15),2)-P125)</f>
        <v>0</v>
      </c>
      <c r="D126" s="21" t="n">
        <f aca="false">MAX(0,ROUND(D125*(1+D$15),2)-Q125)</f>
        <v>0</v>
      </c>
      <c r="E126" s="21" t="n">
        <f aca="false">MAX(0,ROUND(E125*(1+E$15),2)-R125)</f>
        <v>0</v>
      </c>
      <c r="F126" s="21" t="n">
        <f aca="false">MAX(0,ROUND(F125*(1+F$15),2)-S125)</f>
        <v>0</v>
      </c>
      <c r="G126" s="21" t="n">
        <f aca="false">MAX(0,ROUND(G125*(1+G$15),2)-T125)</f>
        <v>0</v>
      </c>
      <c r="H126" s="21" t="n">
        <f aca="false">MIN(B$16,ROUND(B126*(1+B$15),2))</f>
        <v>0</v>
      </c>
      <c r="I126" s="21" t="n">
        <f aca="false">MIN(C$16,ROUND(C126*(1+C$15),2))</f>
        <v>0</v>
      </c>
      <c r="J126" s="21" t="n">
        <f aca="false">MIN(D$16,ROUND(D126*(1+D$15),2))</f>
        <v>0</v>
      </c>
      <c r="K126" s="21" t="n">
        <f aca="false">MIN(E$16,ROUND(E126*(1+E$15),2))</f>
        <v>0</v>
      </c>
      <c r="L126" s="21" t="n">
        <f aca="false">MIN(F$16,ROUND(F126*(1+F$15),2))</f>
        <v>0</v>
      </c>
      <c r="M126" s="21" t="n">
        <f aca="false">MIN(G$16,ROUND(G126*(1+G$15),2))</f>
        <v>0</v>
      </c>
      <c r="N126" s="21" t="n">
        <f aca="false">B$20-SUM(H126:M126)</f>
        <v>1170</v>
      </c>
      <c r="O126" s="21" t="n">
        <f aca="false">MIN(ROUND(B126*(1+B$15),2),H126+MAX(0,N126))</f>
        <v>0</v>
      </c>
      <c r="P126" s="21" t="n">
        <f aca="false">MIN(ROUND(C126*(1+C$15),2),I126+MAX(0,N126-O126+H126))</f>
        <v>0</v>
      </c>
      <c r="Q126" s="21" t="n">
        <f aca="false">MIN(ROUND(D126*(1+D$15),2),J126+MAX(0,N126-O126+H126-P126+I126))</f>
        <v>0</v>
      </c>
      <c r="R126" s="21" t="n">
        <f aca="false">MIN(ROUND(E126*(1+E$15),2),K126+MAX(0,N126-O126+H126-P126+I126-Q126+J126))</f>
        <v>0</v>
      </c>
      <c r="S126" s="21" t="n">
        <f aca="false">MIN(ROUND(F126*(1+F$15),2),L126+MAX(0,N126-O126+H126-P126+I126-Q126+J126-R126+K126))</f>
        <v>0</v>
      </c>
      <c r="T126" s="21" t="n">
        <f aca="false">MIN(ROUND(G126*(1+G$15),2),M126+MAX(0,N126-O126+H126-P126+I126-Q126+J126-R126+K126-S126+L126))</f>
        <v>0</v>
      </c>
      <c r="U126" s="21" t="n">
        <f aca="false">SUM(B126:G126)</f>
        <v>0</v>
      </c>
      <c r="V126" s="21" t="n">
        <f aca="false">SUM(O126:T126)</f>
        <v>0</v>
      </c>
      <c r="X126" s="25" t="n">
        <f aca="false">X125+1</f>
        <v>100</v>
      </c>
      <c r="Y126" s="21" t="n">
        <f aca="false">MAX(0,ROUND(Y125*(1+Y$15),2)-AL125)</f>
        <v>0</v>
      </c>
      <c r="Z126" s="21" t="n">
        <f aca="false">MAX(0,ROUND(Z125*(1+Z$15),2)-AM125)</f>
        <v>0</v>
      </c>
      <c r="AA126" s="21" t="n">
        <f aca="false">MAX(0,ROUND(AA125*(1+AA$15),2)-AN125)</f>
        <v>0</v>
      </c>
      <c r="AB126" s="21" t="n">
        <f aca="false">MAX(0,ROUND(AB125*(1+AB$15),2)-AO125)</f>
        <v>0</v>
      </c>
      <c r="AC126" s="21" t="n">
        <f aca="false">MAX(0,ROUND(AC125*(1+AC$15),2)-AP125)</f>
        <v>0</v>
      </c>
      <c r="AD126" s="21" t="n">
        <f aca="false">MAX(0,ROUND(AD125*(1+AD$15),2)-AQ125)</f>
        <v>0</v>
      </c>
      <c r="AE126" s="21" t="n">
        <f aca="false">MIN(Y$16,ROUND(Y126*(1+Y$15),2))</f>
        <v>0</v>
      </c>
      <c r="AF126" s="21" t="n">
        <f aca="false">MIN(Z$16,ROUND(Z126*(1+Z$15),2))</f>
        <v>0</v>
      </c>
      <c r="AG126" s="21" t="n">
        <f aca="false">MIN(AA$16,ROUND(AA126*(1+AA$15),2))</f>
        <v>0</v>
      </c>
      <c r="AH126" s="21" t="n">
        <f aca="false">MIN(AB$16,ROUND(AB126*(1+AB$15),2))</f>
        <v>0</v>
      </c>
      <c r="AI126" s="21" t="n">
        <f aca="false">MIN(AC$16,ROUND(AC126*(1+AC$15),2))</f>
        <v>0</v>
      </c>
      <c r="AJ126" s="21" t="n">
        <f aca="false">MIN(AD$16,ROUND(AD126*(1+AD$15),2))</f>
        <v>0</v>
      </c>
      <c r="AK126" s="21" t="n">
        <f aca="false">Y$20-SUM(AE126:AJ126)</f>
        <v>1170</v>
      </c>
      <c r="AL126" s="21" t="n">
        <f aca="false">MIN(ROUND(Y126*(1+Y$15),2),AE126+MAX(0,AK126))</f>
        <v>0</v>
      </c>
      <c r="AM126" s="21" t="n">
        <f aca="false">MIN(ROUND(Z126*(1+Z$15),2),AF126+MAX(0,AK126-AL126+AE126))</f>
        <v>0</v>
      </c>
      <c r="AN126" s="21" t="n">
        <f aca="false">MIN(ROUND(AA126*(1+AA$15),2),AG126+MAX(0,AK126-AL126+AE126-AM126+AF126))</f>
        <v>0</v>
      </c>
      <c r="AO126" s="21" t="n">
        <f aca="false">MIN(ROUND(AB126*(1+AB$15),2),AH126+MAX(0,AK126-AL126+AE126-AM126+AF126-AN126+AG126))</f>
        <v>0</v>
      </c>
      <c r="AP126" s="21" t="n">
        <f aca="false">MIN(ROUND(AC126*(1+AC$15),2),AI126+MAX(0,AK126-AL126+AE126-AM126+AF126-AN126+AG126-AO126+AH126))</f>
        <v>0</v>
      </c>
      <c r="AQ126" s="21" t="n">
        <f aca="false">MIN(ROUND(AD126*(1+AD$15),2),AJ126+MAX(0,AK126-AL126+AE126-AM126+AF126-AN126+AG126-AO126+AH126-AP126+AI126))</f>
        <v>0</v>
      </c>
      <c r="AR126" s="21" t="n">
        <f aca="false">SUM(Y126:AD126)</f>
        <v>0</v>
      </c>
      <c r="AS126" s="21" t="n">
        <f aca="false">SUM(AL126:AQ126)</f>
        <v>0</v>
      </c>
    </row>
    <row r="127" customFormat="false" ht="15" hidden="false" customHeight="false" outlineLevel="0" collapsed="false">
      <c r="A127" s="25" t="n">
        <f aca="false">A126+1</f>
        <v>101</v>
      </c>
      <c r="B127" s="21" t="n">
        <f aca="false">MAX(0,ROUND(B126*(1+B$15),2)-O126)</f>
        <v>0</v>
      </c>
      <c r="C127" s="21" t="n">
        <f aca="false">MAX(0,ROUND(C126*(1+C$15),2)-P126)</f>
        <v>0</v>
      </c>
      <c r="D127" s="21" t="n">
        <f aca="false">MAX(0,ROUND(D126*(1+D$15),2)-Q126)</f>
        <v>0</v>
      </c>
      <c r="E127" s="21" t="n">
        <f aca="false">MAX(0,ROUND(E126*(1+E$15),2)-R126)</f>
        <v>0</v>
      </c>
      <c r="F127" s="21" t="n">
        <f aca="false">MAX(0,ROUND(F126*(1+F$15),2)-S126)</f>
        <v>0</v>
      </c>
      <c r="G127" s="21" t="n">
        <f aca="false">MAX(0,ROUND(G126*(1+G$15),2)-T126)</f>
        <v>0</v>
      </c>
      <c r="H127" s="21" t="n">
        <f aca="false">MIN(B$16,ROUND(B127*(1+B$15),2))</f>
        <v>0</v>
      </c>
      <c r="I127" s="21" t="n">
        <f aca="false">MIN(C$16,ROUND(C127*(1+C$15),2))</f>
        <v>0</v>
      </c>
      <c r="J127" s="21" t="n">
        <f aca="false">MIN(D$16,ROUND(D127*(1+D$15),2))</f>
        <v>0</v>
      </c>
      <c r="K127" s="21" t="n">
        <f aca="false">MIN(E$16,ROUND(E127*(1+E$15),2))</f>
        <v>0</v>
      </c>
      <c r="L127" s="21" t="n">
        <f aca="false">MIN(F$16,ROUND(F127*(1+F$15),2))</f>
        <v>0</v>
      </c>
      <c r="M127" s="21" t="n">
        <f aca="false">MIN(G$16,ROUND(G127*(1+G$15),2))</f>
        <v>0</v>
      </c>
      <c r="N127" s="21" t="n">
        <f aca="false">B$20-SUM(H127:M127)</f>
        <v>1170</v>
      </c>
      <c r="O127" s="21" t="n">
        <f aca="false">MIN(ROUND(B127*(1+B$15),2),H127+MAX(0,N127))</f>
        <v>0</v>
      </c>
      <c r="P127" s="21" t="n">
        <f aca="false">MIN(ROUND(C127*(1+C$15),2),I127+MAX(0,N127-O127+H127))</f>
        <v>0</v>
      </c>
      <c r="Q127" s="21" t="n">
        <f aca="false">MIN(ROUND(D127*(1+D$15),2),J127+MAX(0,N127-O127+H127-P127+I127))</f>
        <v>0</v>
      </c>
      <c r="R127" s="21" t="n">
        <f aca="false">MIN(ROUND(E127*(1+E$15),2),K127+MAX(0,N127-O127+H127-P127+I127-Q127+J127))</f>
        <v>0</v>
      </c>
      <c r="S127" s="21" t="n">
        <f aca="false">MIN(ROUND(F127*(1+F$15),2),L127+MAX(0,N127-O127+H127-P127+I127-Q127+J127-R127+K127))</f>
        <v>0</v>
      </c>
      <c r="T127" s="21" t="n">
        <f aca="false">MIN(ROUND(G127*(1+G$15),2),M127+MAX(0,N127-O127+H127-P127+I127-Q127+J127-R127+K127-S127+L127))</f>
        <v>0</v>
      </c>
      <c r="U127" s="21" t="n">
        <f aca="false">SUM(B127:G127)</f>
        <v>0</v>
      </c>
      <c r="V127" s="21" t="n">
        <f aca="false">SUM(O127:T127)</f>
        <v>0</v>
      </c>
      <c r="X127" s="25" t="n">
        <f aca="false">X126+1</f>
        <v>101</v>
      </c>
      <c r="Y127" s="21" t="n">
        <f aca="false">MAX(0,ROUND(Y126*(1+Y$15),2)-AL126)</f>
        <v>0</v>
      </c>
      <c r="Z127" s="21" t="n">
        <f aca="false">MAX(0,ROUND(Z126*(1+Z$15),2)-AM126)</f>
        <v>0</v>
      </c>
      <c r="AA127" s="21" t="n">
        <f aca="false">MAX(0,ROUND(AA126*(1+AA$15),2)-AN126)</f>
        <v>0</v>
      </c>
      <c r="AB127" s="21" t="n">
        <f aca="false">MAX(0,ROUND(AB126*(1+AB$15),2)-AO126)</f>
        <v>0</v>
      </c>
      <c r="AC127" s="21" t="n">
        <f aca="false">MAX(0,ROUND(AC126*(1+AC$15),2)-AP126)</f>
        <v>0</v>
      </c>
      <c r="AD127" s="21" t="n">
        <f aca="false">MAX(0,ROUND(AD126*(1+AD$15),2)-AQ126)</f>
        <v>0</v>
      </c>
      <c r="AE127" s="21" t="n">
        <f aca="false">MIN(Y$16,ROUND(Y127*(1+Y$15),2))</f>
        <v>0</v>
      </c>
      <c r="AF127" s="21" t="n">
        <f aca="false">MIN(Z$16,ROUND(Z127*(1+Z$15),2))</f>
        <v>0</v>
      </c>
      <c r="AG127" s="21" t="n">
        <f aca="false">MIN(AA$16,ROUND(AA127*(1+AA$15),2))</f>
        <v>0</v>
      </c>
      <c r="AH127" s="21" t="n">
        <f aca="false">MIN(AB$16,ROUND(AB127*(1+AB$15),2))</f>
        <v>0</v>
      </c>
      <c r="AI127" s="21" t="n">
        <f aca="false">MIN(AC$16,ROUND(AC127*(1+AC$15),2))</f>
        <v>0</v>
      </c>
      <c r="AJ127" s="21" t="n">
        <f aca="false">MIN(AD$16,ROUND(AD127*(1+AD$15),2))</f>
        <v>0</v>
      </c>
      <c r="AK127" s="21" t="n">
        <f aca="false">Y$20-SUM(AE127:AJ127)</f>
        <v>1170</v>
      </c>
      <c r="AL127" s="21" t="n">
        <f aca="false">MIN(ROUND(Y127*(1+Y$15),2),AE127+MAX(0,AK127))</f>
        <v>0</v>
      </c>
      <c r="AM127" s="21" t="n">
        <f aca="false">MIN(ROUND(Z127*(1+Z$15),2),AF127+MAX(0,AK127-AL127+AE127))</f>
        <v>0</v>
      </c>
      <c r="AN127" s="21" t="n">
        <f aca="false">MIN(ROUND(AA127*(1+AA$15),2),AG127+MAX(0,AK127-AL127+AE127-AM127+AF127))</f>
        <v>0</v>
      </c>
      <c r="AO127" s="21" t="n">
        <f aca="false">MIN(ROUND(AB127*(1+AB$15),2),AH127+MAX(0,AK127-AL127+AE127-AM127+AF127-AN127+AG127))</f>
        <v>0</v>
      </c>
      <c r="AP127" s="21" t="n">
        <f aca="false">MIN(ROUND(AC127*(1+AC$15),2),AI127+MAX(0,AK127-AL127+AE127-AM127+AF127-AN127+AG127-AO127+AH127))</f>
        <v>0</v>
      </c>
      <c r="AQ127" s="21" t="n">
        <f aca="false">MIN(ROUND(AD127*(1+AD$15),2),AJ127+MAX(0,AK127-AL127+AE127-AM127+AF127-AN127+AG127-AO127+AH127-AP127+AI127))</f>
        <v>0</v>
      </c>
      <c r="AR127" s="21" t="n">
        <f aca="false">SUM(Y127:AD127)</f>
        <v>0</v>
      </c>
      <c r="AS127" s="21" t="n">
        <f aca="false">SUM(AL127:AQ127)</f>
        <v>0</v>
      </c>
    </row>
    <row r="128" customFormat="false" ht="15" hidden="false" customHeight="false" outlineLevel="0" collapsed="false">
      <c r="A128" s="25" t="n">
        <f aca="false">A127+1</f>
        <v>102</v>
      </c>
      <c r="B128" s="21" t="n">
        <f aca="false">MAX(0,ROUND(B127*(1+B$15),2)-O127)</f>
        <v>0</v>
      </c>
      <c r="C128" s="21" t="n">
        <f aca="false">MAX(0,ROUND(C127*(1+C$15),2)-P127)</f>
        <v>0</v>
      </c>
      <c r="D128" s="21" t="n">
        <f aca="false">MAX(0,ROUND(D127*(1+D$15),2)-Q127)</f>
        <v>0</v>
      </c>
      <c r="E128" s="21" t="n">
        <f aca="false">MAX(0,ROUND(E127*(1+E$15),2)-R127)</f>
        <v>0</v>
      </c>
      <c r="F128" s="21" t="n">
        <f aca="false">MAX(0,ROUND(F127*(1+F$15),2)-S127)</f>
        <v>0</v>
      </c>
      <c r="G128" s="21" t="n">
        <f aca="false">MAX(0,ROUND(G127*(1+G$15),2)-T127)</f>
        <v>0</v>
      </c>
      <c r="H128" s="21" t="n">
        <f aca="false">MIN(B$16,ROUND(B128*(1+B$15),2))</f>
        <v>0</v>
      </c>
      <c r="I128" s="21" t="n">
        <f aca="false">MIN(C$16,ROUND(C128*(1+C$15),2))</f>
        <v>0</v>
      </c>
      <c r="J128" s="21" t="n">
        <f aca="false">MIN(D$16,ROUND(D128*(1+D$15),2))</f>
        <v>0</v>
      </c>
      <c r="K128" s="21" t="n">
        <f aca="false">MIN(E$16,ROUND(E128*(1+E$15),2))</f>
        <v>0</v>
      </c>
      <c r="L128" s="21" t="n">
        <f aca="false">MIN(F$16,ROUND(F128*(1+F$15),2))</f>
        <v>0</v>
      </c>
      <c r="M128" s="21" t="n">
        <f aca="false">MIN(G$16,ROUND(G128*(1+G$15),2))</f>
        <v>0</v>
      </c>
      <c r="N128" s="21" t="n">
        <f aca="false">B$20-SUM(H128:M128)</f>
        <v>1170</v>
      </c>
      <c r="O128" s="21" t="n">
        <f aca="false">MIN(ROUND(B128*(1+B$15),2),H128+MAX(0,N128))</f>
        <v>0</v>
      </c>
      <c r="P128" s="21" t="n">
        <f aca="false">MIN(ROUND(C128*(1+C$15),2),I128+MAX(0,N128-O128+H128))</f>
        <v>0</v>
      </c>
      <c r="Q128" s="21" t="n">
        <f aca="false">MIN(ROUND(D128*(1+D$15),2),J128+MAX(0,N128-O128+H128-P128+I128))</f>
        <v>0</v>
      </c>
      <c r="R128" s="21" t="n">
        <f aca="false">MIN(ROUND(E128*(1+E$15),2),K128+MAX(0,N128-O128+H128-P128+I128-Q128+J128))</f>
        <v>0</v>
      </c>
      <c r="S128" s="21" t="n">
        <f aca="false">MIN(ROUND(F128*(1+F$15),2),L128+MAX(0,N128-O128+H128-P128+I128-Q128+J128-R128+K128))</f>
        <v>0</v>
      </c>
      <c r="T128" s="21" t="n">
        <f aca="false">MIN(ROUND(G128*(1+G$15),2),M128+MAX(0,N128-O128+H128-P128+I128-Q128+J128-R128+K128-S128+L128))</f>
        <v>0</v>
      </c>
      <c r="U128" s="21" t="n">
        <f aca="false">SUM(B128:G128)</f>
        <v>0</v>
      </c>
      <c r="V128" s="21" t="n">
        <f aca="false">SUM(O128:T128)</f>
        <v>0</v>
      </c>
      <c r="X128" s="25" t="n">
        <f aca="false">X127+1</f>
        <v>102</v>
      </c>
      <c r="Y128" s="21" t="n">
        <f aca="false">MAX(0,ROUND(Y127*(1+Y$15),2)-AL127)</f>
        <v>0</v>
      </c>
      <c r="Z128" s="21" t="n">
        <f aca="false">MAX(0,ROUND(Z127*(1+Z$15),2)-AM127)</f>
        <v>0</v>
      </c>
      <c r="AA128" s="21" t="n">
        <f aca="false">MAX(0,ROUND(AA127*(1+AA$15),2)-AN127)</f>
        <v>0</v>
      </c>
      <c r="AB128" s="21" t="n">
        <f aca="false">MAX(0,ROUND(AB127*(1+AB$15),2)-AO127)</f>
        <v>0</v>
      </c>
      <c r="AC128" s="21" t="n">
        <f aca="false">MAX(0,ROUND(AC127*(1+AC$15),2)-AP127)</f>
        <v>0</v>
      </c>
      <c r="AD128" s="21" t="n">
        <f aca="false">MAX(0,ROUND(AD127*(1+AD$15),2)-AQ127)</f>
        <v>0</v>
      </c>
      <c r="AE128" s="21" t="n">
        <f aca="false">MIN(Y$16,ROUND(Y128*(1+Y$15),2))</f>
        <v>0</v>
      </c>
      <c r="AF128" s="21" t="n">
        <f aca="false">MIN(Z$16,ROUND(Z128*(1+Z$15),2))</f>
        <v>0</v>
      </c>
      <c r="AG128" s="21" t="n">
        <f aca="false">MIN(AA$16,ROUND(AA128*(1+AA$15),2))</f>
        <v>0</v>
      </c>
      <c r="AH128" s="21" t="n">
        <f aca="false">MIN(AB$16,ROUND(AB128*(1+AB$15),2))</f>
        <v>0</v>
      </c>
      <c r="AI128" s="21" t="n">
        <f aca="false">MIN(AC$16,ROUND(AC128*(1+AC$15),2))</f>
        <v>0</v>
      </c>
      <c r="AJ128" s="21" t="n">
        <f aca="false">MIN(AD$16,ROUND(AD128*(1+AD$15),2))</f>
        <v>0</v>
      </c>
      <c r="AK128" s="21" t="n">
        <f aca="false">Y$20-SUM(AE128:AJ128)</f>
        <v>1170</v>
      </c>
      <c r="AL128" s="21" t="n">
        <f aca="false">MIN(ROUND(Y128*(1+Y$15),2),AE128+MAX(0,AK128))</f>
        <v>0</v>
      </c>
      <c r="AM128" s="21" t="n">
        <f aca="false">MIN(ROUND(Z128*(1+Z$15),2),AF128+MAX(0,AK128-AL128+AE128))</f>
        <v>0</v>
      </c>
      <c r="AN128" s="21" t="n">
        <f aca="false">MIN(ROUND(AA128*(1+AA$15),2),AG128+MAX(0,AK128-AL128+AE128-AM128+AF128))</f>
        <v>0</v>
      </c>
      <c r="AO128" s="21" t="n">
        <f aca="false">MIN(ROUND(AB128*(1+AB$15),2),AH128+MAX(0,AK128-AL128+AE128-AM128+AF128-AN128+AG128))</f>
        <v>0</v>
      </c>
      <c r="AP128" s="21" t="n">
        <f aca="false">MIN(ROUND(AC128*(1+AC$15),2),AI128+MAX(0,AK128-AL128+AE128-AM128+AF128-AN128+AG128-AO128+AH128))</f>
        <v>0</v>
      </c>
      <c r="AQ128" s="21" t="n">
        <f aca="false">MIN(ROUND(AD128*(1+AD$15),2),AJ128+MAX(0,AK128-AL128+AE128-AM128+AF128-AN128+AG128-AO128+AH128-AP128+AI128))</f>
        <v>0</v>
      </c>
      <c r="AR128" s="21" t="n">
        <f aca="false">SUM(Y128:AD128)</f>
        <v>0</v>
      </c>
      <c r="AS128" s="21" t="n">
        <f aca="false">SUM(AL128:AQ128)</f>
        <v>0</v>
      </c>
    </row>
    <row r="129" customFormat="false" ht="15" hidden="false" customHeight="false" outlineLevel="0" collapsed="false">
      <c r="A129" s="25" t="n">
        <f aca="false">A128+1</f>
        <v>103</v>
      </c>
      <c r="B129" s="21" t="n">
        <f aca="false">MAX(0,ROUND(B128*(1+B$15),2)-O128)</f>
        <v>0</v>
      </c>
      <c r="C129" s="21" t="n">
        <f aca="false">MAX(0,ROUND(C128*(1+C$15),2)-P128)</f>
        <v>0</v>
      </c>
      <c r="D129" s="21" t="n">
        <f aca="false">MAX(0,ROUND(D128*(1+D$15),2)-Q128)</f>
        <v>0</v>
      </c>
      <c r="E129" s="21" t="n">
        <f aca="false">MAX(0,ROUND(E128*(1+E$15),2)-R128)</f>
        <v>0</v>
      </c>
      <c r="F129" s="21" t="n">
        <f aca="false">MAX(0,ROUND(F128*(1+F$15),2)-S128)</f>
        <v>0</v>
      </c>
      <c r="G129" s="21" t="n">
        <f aca="false">MAX(0,ROUND(G128*(1+G$15),2)-T128)</f>
        <v>0</v>
      </c>
      <c r="H129" s="21" t="n">
        <f aca="false">MIN(B$16,ROUND(B129*(1+B$15),2))</f>
        <v>0</v>
      </c>
      <c r="I129" s="21" t="n">
        <f aca="false">MIN(C$16,ROUND(C129*(1+C$15),2))</f>
        <v>0</v>
      </c>
      <c r="J129" s="21" t="n">
        <f aca="false">MIN(D$16,ROUND(D129*(1+D$15),2))</f>
        <v>0</v>
      </c>
      <c r="K129" s="21" t="n">
        <f aca="false">MIN(E$16,ROUND(E129*(1+E$15),2))</f>
        <v>0</v>
      </c>
      <c r="L129" s="21" t="n">
        <f aca="false">MIN(F$16,ROUND(F129*(1+F$15),2))</f>
        <v>0</v>
      </c>
      <c r="M129" s="21" t="n">
        <f aca="false">MIN(G$16,ROUND(G129*(1+G$15),2))</f>
        <v>0</v>
      </c>
      <c r="N129" s="21" t="n">
        <f aca="false">B$20-SUM(H129:M129)</f>
        <v>1170</v>
      </c>
      <c r="O129" s="21" t="n">
        <f aca="false">MIN(ROUND(B129*(1+B$15),2),H129+MAX(0,N129))</f>
        <v>0</v>
      </c>
      <c r="P129" s="21" t="n">
        <f aca="false">MIN(ROUND(C129*(1+C$15),2),I129+MAX(0,N129-O129+H129))</f>
        <v>0</v>
      </c>
      <c r="Q129" s="21" t="n">
        <f aca="false">MIN(ROUND(D129*(1+D$15),2),J129+MAX(0,N129-O129+H129-P129+I129))</f>
        <v>0</v>
      </c>
      <c r="R129" s="21" t="n">
        <f aca="false">MIN(ROUND(E129*(1+E$15),2),K129+MAX(0,N129-O129+H129-P129+I129-Q129+J129))</f>
        <v>0</v>
      </c>
      <c r="S129" s="21" t="n">
        <f aca="false">MIN(ROUND(F129*(1+F$15),2),L129+MAX(0,N129-O129+H129-P129+I129-Q129+J129-R129+K129))</f>
        <v>0</v>
      </c>
      <c r="T129" s="21" t="n">
        <f aca="false">MIN(ROUND(G129*(1+G$15),2),M129+MAX(0,N129-O129+H129-P129+I129-Q129+J129-R129+K129-S129+L129))</f>
        <v>0</v>
      </c>
      <c r="U129" s="21" t="n">
        <f aca="false">SUM(B129:G129)</f>
        <v>0</v>
      </c>
      <c r="V129" s="21" t="n">
        <f aca="false">SUM(O129:T129)</f>
        <v>0</v>
      </c>
      <c r="X129" s="25" t="n">
        <f aca="false">X128+1</f>
        <v>103</v>
      </c>
      <c r="Y129" s="21" t="n">
        <f aca="false">MAX(0,ROUND(Y128*(1+Y$15),2)-AL128)</f>
        <v>0</v>
      </c>
      <c r="Z129" s="21" t="n">
        <f aca="false">MAX(0,ROUND(Z128*(1+Z$15),2)-AM128)</f>
        <v>0</v>
      </c>
      <c r="AA129" s="21" t="n">
        <f aca="false">MAX(0,ROUND(AA128*(1+AA$15),2)-AN128)</f>
        <v>0</v>
      </c>
      <c r="AB129" s="21" t="n">
        <f aca="false">MAX(0,ROUND(AB128*(1+AB$15),2)-AO128)</f>
        <v>0</v>
      </c>
      <c r="AC129" s="21" t="n">
        <f aca="false">MAX(0,ROUND(AC128*(1+AC$15),2)-AP128)</f>
        <v>0</v>
      </c>
      <c r="AD129" s="21" t="n">
        <f aca="false">MAX(0,ROUND(AD128*(1+AD$15),2)-AQ128)</f>
        <v>0</v>
      </c>
      <c r="AE129" s="21" t="n">
        <f aca="false">MIN(Y$16,ROUND(Y129*(1+Y$15),2))</f>
        <v>0</v>
      </c>
      <c r="AF129" s="21" t="n">
        <f aca="false">MIN(Z$16,ROUND(Z129*(1+Z$15),2))</f>
        <v>0</v>
      </c>
      <c r="AG129" s="21" t="n">
        <f aca="false">MIN(AA$16,ROUND(AA129*(1+AA$15),2))</f>
        <v>0</v>
      </c>
      <c r="AH129" s="21" t="n">
        <f aca="false">MIN(AB$16,ROUND(AB129*(1+AB$15),2))</f>
        <v>0</v>
      </c>
      <c r="AI129" s="21" t="n">
        <f aca="false">MIN(AC$16,ROUND(AC129*(1+AC$15),2))</f>
        <v>0</v>
      </c>
      <c r="AJ129" s="21" t="n">
        <f aca="false">MIN(AD$16,ROUND(AD129*(1+AD$15),2))</f>
        <v>0</v>
      </c>
      <c r="AK129" s="21" t="n">
        <f aca="false">Y$20-SUM(AE129:AJ129)</f>
        <v>1170</v>
      </c>
      <c r="AL129" s="21" t="n">
        <f aca="false">MIN(ROUND(Y129*(1+Y$15),2),AE129+MAX(0,AK129))</f>
        <v>0</v>
      </c>
      <c r="AM129" s="21" t="n">
        <f aca="false">MIN(ROUND(Z129*(1+Z$15),2),AF129+MAX(0,AK129-AL129+AE129))</f>
        <v>0</v>
      </c>
      <c r="AN129" s="21" t="n">
        <f aca="false">MIN(ROUND(AA129*(1+AA$15),2),AG129+MAX(0,AK129-AL129+AE129-AM129+AF129))</f>
        <v>0</v>
      </c>
      <c r="AO129" s="21" t="n">
        <f aca="false">MIN(ROUND(AB129*(1+AB$15),2),AH129+MAX(0,AK129-AL129+AE129-AM129+AF129-AN129+AG129))</f>
        <v>0</v>
      </c>
      <c r="AP129" s="21" t="n">
        <f aca="false">MIN(ROUND(AC129*(1+AC$15),2),AI129+MAX(0,AK129-AL129+AE129-AM129+AF129-AN129+AG129-AO129+AH129))</f>
        <v>0</v>
      </c>
      <c r="AQ129" s="21" t="n">
        <f aca="false">MIN(ROUND(AD129*(1+AD$15),2),AJ129+MAX(0,AK129-AL129+AE129-AM129+AF129-AN129+AG129-AO129+AH129-AP129+AI129))</f>
        <v>0</v>
      </c>
      <c r="AR129" s="21" t="n">
        <f aca="false">SUM(Y129:AD129)</f>
        <v>0</v>
      </c>
      <c r="AS129" s="21" t="n">
        <f aca="false">SUM(AL129:AQ129)</f>
        <v>0</v>
      </c>
    </row>
    <row r="130" customFormat="false" ht="15" hidden="false" customHeight="false" outlineLevel="0" collapsed="false">
      <c r="A130" s="25" t="n">
        <f aca="false">A129+1</f>
        <v>104</v>
      </c>
      <c r="B130" s="21" t="n">
        <f aca="false">MAX(0,ROUND(B129*(1+B$15),2)-O129)</f>
        <v>0</v>
      </c>
      <c r="C130" s="21" t="n">
        <f aca="false">MAX(0,ROUND(C129*(1+C$15),2)-P129)</f>
        <v>0</v>
      </c>
      <c r="D130" s="21" t="n">
        <f aca="false">MAX(0,ROUND(D129*(1+D$15),2)-Q129)</f>
        <v>0</v>
      </c>
      <c r="E130" s="21" t="n">
        <f aca="false">MAX(0,ROUND(E129*(1+E$15),2)-R129)</f>
        <v>0</v>
      </c>
      <c r="F130" s="21" t="n">
        <f aca="false">MAX(0,ROUND(F129*(1+F$15),2)-S129)</f>
        <v>0</v>
      </c>
      <c r="G130" s="21" t="n">
        <f aca="false">MAX(0,ROUND(G129*(1+G$15),2)-T129)</f>
        <v>0</v>
      </c>
      <c r="H130" s="21" t="n">
        <f aca="false">MIN(B$16,ROUND(B130*(1+B$15),2))</f>
        <v>0</v>
      </c>
      <c r="I130" s="21" t="n">
        <f aca="false">MIN(C$16,ROUND(C130*(1+C$15),2))</f>
        <v>0</v>
      </c>
      <c r="J130" s="21" t="n">
        <f aca="false">MIN(D$16,ROUND(D130*(1+D$15),2))</f>
        <v>0</v>
      </c>
      <c r="K130" s="21" t="n">
        <f aca="false">MIN(E$16,ROUND(E130*(1+E$15),2))</f>
        <v>0</v>
      </c>
      <c r="L130" s="21" t="n">
        <f aca="false">MIN(F$16,ROUND(F130*(1+F$15),2))</f>
        <v>0</v>
      </c>
      <c r="M130" s="21" t="n">
        <f aca="false">MIN(G$16,ROUND(G130*(1+G$15),2))</f>
        <v>0</v>
      </c>
      <c r="N130" s="21" t="n">
        <f aca="false">B$20-SUM(H130:M130)</f>
        <v>1170</v>
      </c>
      <c r="O130" s="21" t="n">
        <f aca="false">MIN(ROUND(B130*(1+B$15),2),H130+MAX(0,N130))</f>
        <v>0</v>
      </c>
      <c r="P130" s="21" t="n">
        <f aca="false">MIN(ROUND(C130*(1+C$15),2),I130+MAX(0,N130-O130+H130))</f>
        <v>0</v>
      </c>
      <c r="Q130" s="21" t="n">
        <f aca="false">MIN(ROUND(D130*(1+D$15),2),J130+MAX(0,N130-O130+H130-P130+I130))</f>
        <v>0</v>
      </c>
      <c r="R130" s="21" t="n">
        <f aca="false">MIN(ROUND(E130*(1+E$15),2),K130+MAX(0,N130-O130+H130-P130+I130-Q130+J130))</f>
        <v>0</v>
      </c>
      <c r="S130" s="21" t="n">
        <f aca="false">MIN(ROUND(F130*(1+F$15),2),L130+MAX(0,N130-O130+H130-P130+I130-Q130+J130-R130+K130))</f>
        <v>0</v>
      </c>
      <c r="T130" s="21" t="n">
        <f aca="false">MIN(ROUND(G130*(1+G$15),2),M130+MAX(0,N130-O130+H130-P130+I130-Q130+J130-R130+K130-S130+L130))</f>
        <v>0</v>
      </c>
      <c r="U130" s="21" t="n">
        <f aca="false">SUM(B130:G130)</f>
        <v>0</v>
      </c>
      <c r="V130" s="21" t="n">
        <f aca="false">SUM(O130:T130)</f>
        <v>0</v>
      </c>
      <c r="X130" s="25" t="n">
        <f aca="false">X129+1</f>
        <v>104</v>
      </c>
      <c r="Y130" s="21" t="n">
        <f aca="false">MAX(0,ROUND(Y129*(1+Y$15),2)-AL129)</f>
        <v>0</v>
      </c>
      <c r="Z130" s="21" t="n">
        <f aca="false">MAX(0,ROUND(Z129*(1+Z$15),2)-AM129)</f>
        <v>0</v>
      </c>
      <c r="AA130" s="21" t="n">
        <f aca="false">MAX(0,ROUND(AA129*(1+AA$15),2)-AN129)</f>
        <v>0</v>
      </c>
      <c r="AB130" s="21" t="n">
        <f aca="false">MAX(0,ROUND(AB129*(1+AB$15),2)-AO129)</f>
        <v>0</v>
      </c>
      <c r="AC130" s="21" t="n">
        <f aca="false">MAX(0,ROUND(AC129*(1+AC$15),2)-AP129)</f>
        <v>0</v>
      </c>
      <c r="AD130" s="21" t="n">
        <f aca="false">MAX(0,ROUND(AD129*(1+AD$15),2)-AQ129)</f>
        <v>0</v>
      </c>
      <c r="AE130" s="21" t="n">
        <f aca="false">MIN(Y$16,ROUND(Y130*(1+Y$15),2))</f>
        <v>0</v>
      </c>
      <c r="AF130" s="21" t="n">
        <f aca="false">MIN(Z$16,ROUND(Z130*(1+Z$15),2))</f>
        <v>0</v>
      </c>
      <c r="AG130" s="21" t="n">
        <f aca="false">MIN(AA$16,ROUND(AA130*(1+AA$15),2))</f>
        <v>0</v>
      </c>
      <c r="AH130" s="21" t="n">
        <f aca="false">MIN(AB$16,ROUND(AB130*(1+AB$15),2))</f>
        <v>0</v>
      </c>
      <c r="AI130" s="21" t="n">
        <f aca="false">MIN(AC$16,ROUND(AC130*(1+AC$15),2))</f>
        <v>0</v>
      </c>
      <c r="AJ130" s="21" t="n">
        <f aca="false">MIN(AD$16,ROUND(AD130*(1+AD$15),2))</f>
        <v>0</v>
      </c>
      <c r="AK130" s="21" t="n">
        <f aca="false">Y$20-SUM(AE130:AJ130)</f>
        <v>1170</v>
      </c>
      <c r="AL130" s="21" t="n">
        <f aca="false">MIN(ROUND(Y130*(1+Y$15),2),AE130+MAX(0,AK130))</f>
        <v>0</v>
      </c>
      <c r="AM130" s="21" t="n">
        <f aca="false">MIN(ROUND(Z130*(1+Z$15),2),AF130+MAX(0,AK130-AL130+AE130))</f>
        <v>0</v>
      </c>
      <c r="AN130" s="21" t="n">
        <f aca="false">MIN(ROUND(AA130*(1+AA$15),2),AG130+MAX(0,AK130-AL130+AE130-AM130+AF130))</f>
        <v>0</v>
      </c>
      <c r="AO130" s="21" t="n">
        <f aca="false">MIN(ROUND(AB130*(1+AB$15),2),AH130+MAX(0,AK130-AL130+AE130-AM130+AF130-AN130+AG130))</f>
        <v>0</v>
      </c>
      <c r="AP130" s="21" t="n">
        <f aca="false">MIN(ROUND(AC130*(1+AC$15),2),AI130+MAX(0,AK130-AL130+AE130-AM130+AF130-AN130+AG130-AO130+AH130))</f>
        <v>0</v>
      </c>
      <c r="AQ130" s="21" t="n">
        <f aca="false">MIN(ROUND(AD130*(1+AD$15),2),AJ130+MAX(0,AK130-AL130+AE130-AM130+AF130-AN130+AG130-AO130+AH130-AP130+AI130))</f>
        <v>0</v>
      </c>
      <c r="AR130" s="21" t="n">
        <f aca="false">SUM(Y130:AD130)</f>
        <v>0</v>
      </c>
      <c r="AS130" s="21" t="n">
        <f aca="false">SUM(AL130:AQ130)</f>
        <v>0</v>
      </c>
    </row>
    <row r="131" customFormat="false" ht="15" hidden="false" customHeight="false" outlineLevel="0" collapsed="false">
      <c r="A131" s="25" t="n">
        <f aca="false">A130+1</f>
        <v>105</v>
      </c>
      <c r="B131" s="21" t="n">
        <f aca="false">MAX(0,ROUND(B130*(1+B$15),2)-O130)</f>
        <v>0</v>
      </c>
      <c r="C131" s="21" t="n">
        <f aca="false">MAX(0,ROUND(C130*(1+C$15),2)-P130)</f>
        <v>0</v>
      </c>
      <c r="D131" s="21" t="n">
        <f aca="false">MAX(0,ROUND(D130*(1+D$15),2)-Q130)</f>
        <v>0</v>
      </c>
      <c r="E131" s="21" t="n">
        <f aca="false">MAX(0,ROUND(E130*(1+E$15),2)-R130)</f>
        <v>0</v>
      </c>
      <c r="F131" s="21" t="n">
        <f aca="false">MAX(0,ROUND(F130*(1+F$15),2)-S130)</f>
        <v>0</v>
      </c>
      <c r="G131" s="21" t="n">
        <f aca="false">MAX(0,ROUND(G130*(1+G$15),2)-T130)</f>
        <v>0</v>
      </c>
      <c r="H131" s="21" t="n">
        <f aca="false">MIN(B$16,ROUND(B131*(1+B$15),2))</f>
        <v>0</v>
      </c>
      <c r="I131" s="21" t="n">
        <f aca="false">MIN(C$16,ROUND(C131*(1+C$15),2))</f>
        <v>0</v>
      </c>
      <c r="J131" s="21" t="n">
        <f aca="false">MIN(D$16,ROUND(D131*(1+D$15),2))</f>
        <v>0</v>
      </c>
      <c r="K131" s="21" t="n">
        <f aca="false">MIN(E$16,ROUND(E131*(1+E$15),2))</f>
        <v>0</v>
      </c>
      <c r="L131" s="21" t="n">
        <f aca="false">MIN(F$16,ROUND(F131*(1+F$15),2))</f>
        <v>0</v>
      </c>
      <c r="M131" s="21" t="n">
        <f aca="false">MIN(G$16,ROUND(G131*(1+G$15),2))</f>
        <v>0</v>
      </c>
      <c r="N131" s="21" t="n">
        <f aca="false">B$20-SUM(H131:M131)</f>
        <v>1170</v>
      </c>
      <c r="O131" s="21" t="n">
        <f aca="false">MIN(ROUND(B131*(1+B$15),2),H131+MAX(0,N131))</f>
        <v>0</v>
      </c>
      <c r="P131" s="21" t="n">
        <f aca="false">MIN(ROUND(C131*(1+C$15),2),I131+MAX(0,N131-O131+H131))</f>
        <v>0</v>
      </c>
      <c r="Q131" s="21" t="n">
        <f aca="false">MIN(ROUND(D131*(1+D$15),2),J131+MAX(0,N131-O131+H131-P131+I131))</f>
        <v>0</v>
      </c>
      <c r="R131" s="21" t="n">
        <f aca="false">MIN(ROUND(E131*(1+E$15),2),K131+MAX(0,N131-O131+H131-P131+I131-Q131+J131))</f>
        <v>0</v>
      </c>
      <c r="S131" s="21" t="n">
        <f aca="false">MIN(ROUND(F131*(1+F$15),2),L131+MAX(0,N131-O131+H131-P131+I131-Q131+J131-R131+K131))</f>
        <v>0</v>
      </c>
      <c r="T131" s="21" t="n">
        <f aca="false">MIN(ROUND(G131*(1+G$15),2),M131+MAX(0,N131-O131+H131-P131+I131-Q131+J131-R131+K131-S131+L131))</f>
        <v>0</v>
      </c>
      <c r="U131" s="21" t="n">
        <f aca="false">SUM(B131:G131)</f>
        <v>0</v>
      </c>
      <c r="V131" s="21" t="n">
        <f aca="false">SUM(O131:T131)</f>
        <v>0</v>
      </c>
      <c r="X131" s="25" t="n">
        <f aca="false">X130+1</f>
        <v>105</v>
      </c>
      <c r="Y131" s="21" t="n">
        <f aca="false">MAX(0,ROUND(Y130*(1+Y$15),2)-AL130)</f>
        <v>0</v>
      </c>
      <c r="Z131" s="21" t="n">
        <f aca="false">MAX(0,ROUND(Z130*(1+Z$15),2)-AM130)</f>
        <v>0</v>
      </c>
      <c r="AA131" s="21" t="n">
        <f aca="false">MAX(0,ROUND(AA130*(1+AA$15),2)-AN130)</f>
        <v>0</v>
      </c>
      <c r="AB131" s="21" t="n">
        <f aca="false">MAX(0,ROUND(AB130*(1+AB$15),2)-AO130)</f>
        <v>0</v>
      </c>
      <c r="AC131" s="21" t="n">
        <f aca="false">MAX(0,ROUND(AC130*(1+AC$15),2)-AP130)</f>
        <v>0</v>
      </c>
      <c r="AD131" s="21" t="n">
        <f aca="false">MAX(0,ROUND(AD130*(1+AD$15),2)-AQ130)</f>
        <v>0</v>
      </c>
      <c r="AE131" s="21" t="n">
        <f aca="false">MIN(Y$16,ROUND(Y131*(1+Y$15),2))</f>
        <v>0</v>
      </c>
      <c r="AF131" s="21" t="n">
        <f aca="false">MIN(Z$16,ROUND(Z131*(1+Z$15),2))</f>
        <v>0</v>
      </c>
      <c r="AG131" s="21" t="n">
        <f aca="false">MIN(AA$16,ROUND(AA131*(1+AA$15),2))</f>
        <v>0</v>
      </c>
      <c r="AH131" s="21" t="n">
        <f aca="false">MIN(AB$16,ROUND(AB131*(1+AB$15),2))</f>
        <v>0</v>
      </c>
      <c r="AI131" s="21" t="n">
        <f aca="false">MIN(AC$16,ROUND(AC131*(1+AC$15),2))</f>
        <v>0</v>
      </c>
      <c r="AJ131" s="21" t="n">
        <f aca="false">MIN(AD$16,ROUND(AD131*(1+AD$15),2))</f>
        <v>0</v>
      </c>
      <c r="AK131" s="21" t="n">
        <f aca="false">Y$20-SUM(AE131:AJ131)</f>
        <v>1170</v>
      </c>
      <c r="AL131" s="21" t="n">
        <f aca="false">MIN(ROUND(Y131*(1+Y$15),2),AE131+MAX(0,AK131))</f>
        <v>0</v>
      </c>
      <c r="AM131" s="21" t="n">
        <f aca="false">MIN(ROUND(Z131*(1+Z$15),2),AF131+MAX(0,AK131-AL131+AE131))</f>
        <v>0</v>
      </c>
      <c r="AN131" s="21" t="n">
        <f aca="false">MIN(ROUND(AA131*(1+AA$15),2),AG131+MAX(0,AK131-AL131+AE131-AM131+AF131))</f>
        <v>0</v>
      </c>
      <c r="AO131" s="21" t="n">
        <f aca="false">MIN(ROUND(AB131*(1+AB$15),2),AH131+MAX(0,AK131-AL131+AE131-AM131+AF131-AN131+AG131))</f>
        <v>0</v>
      </c>
      <c r="AP131" s="21" t="n">
        <f aca="false">MIN(ROUND(AC131*(1+AC$15),2),AI131+MAX(0,AK131-AL131+AE131-AM131+AF131-AN131+AG131-AO131+AH131))</f>
        <v>0</v>
      </c>
      <c r="AQ131" s="21" t="n">
        <f aca="false">MIN(ROUND(AD131*(1+AD$15),2),AJ131+MAX(0,AK131-AL131+AE131-AM131+AF131-AN131+AG131-AO131+AH131-AP131+AI131))</f>
        <v>0</v>
      </c>
      <c r="AR131" s="21" t="n">
        <f aca="false">SUM(Y131:AD131)</f>
        <v>0</v>
      </c>
      <c r="AS131" s="21" t="n">
        <f aca="false">SUM(AL131:AQ131)</f>
        <v>0</v>
      </c>
    </row>
    <row r="132" customFormat="false" ht="15" hidden="false" customHeight="false" outlineLevel="0" collapsed="false">
      <c r="A132" s="25" t="n">
        <f aca="false">A131+1</f>
        <v>106</v>
      </c>
      <c r="B132" s="21" t="n">
        <f aca="false">MAX(0,ROUND(B131*(1+B$15),2)-O131)</f>
        <v>0</v>
      </c>
      <c r="C132" s="21" t="n">
        <f aca="false">MAX(0,ROUND(C131*(1+C$15),2)-P131)</f>
        <v>0</v>
      </c>
      <c r="D132" s="21" t="n">
        <f aca="false">MAX(0,ROUND(D131*(1+D$15),2)-Q131)</f>
        <v>0</v>
      </c>
      <c r="E132" s="21" t="n">
        <f aca="false">MAX(0,ROUND(E131*(1+E$15),2)-R131)</f>
        <v>0</v>
      </c>
      <c r="F132" s="21" t="n">
        <f aca="false">MAX(0,ROUND(F131*(1+F$15),2)-S131)</f>
        <v>0</v>
      </c>
      <c r="G132" s="21" t="n">
        <f aca="false">MAX(0,ROUND(G131*(1+G$15),2)-T131)</f>
        <v>0</v>
      </c>
      <c r="H132" s="21" t="n">
        <f aca="false">MIN(B$16,ROUND(B132*(1+B$15),2))</f>
        <v>0</v>
      </c>
      <c r="I132" s="21" t="n">
        <f aca="false">MIN(C$16,ROUND(C132*(1+C$15),2))</f>
        <v>0</v>
      </c>
      <c r="J132" s="21" t="n">
        <f aca="false">MIN(D$16,ROUND(D132*(1+D$15),2))</f>
        <v>0</v>
      </c>
      <c r="K132" s="21" t="n">
        <f aca="false">MIN(E$16,ROUND(E132*(1+E$15),2))</f>
        <v>0</v>
      </c>
      <c r="L132" s="21" t="n">
        <f aca="false">MIN(F$16,ROUND(F132*(1+F$15),2))</f>
        <v>0</v>
      </c>
      <c r="M132" s="21" t="n">
        <f aca="false">MIN(G$16,ROUND(G132*(1+G$15),2))</f>
        <v>0</v>
      </c>
      <c r="N132" s="21" t="n">
        <f aca="false">B$20-SUM(H132:M132)</f>
        <v>1170</v>
      </c>
      <c r="O132" s="21" t="n">
        <f aca="false">MIN(ROUND(B132*(1+B$15),2),H132+MAX(0,N132))</f>
        <v>0</v>
      </c>
      <c r="P132" s="21" t="n">
        <f aca="false">MIN(ROUND(C132*(1+C$15),2),I132+MAX(0,N132-O132+H132))</f>
        <v>0</v>
      </c>
      <c r="Q132" s="21" t="n">
        <f aca="false">MIN(ROUND(D132*(1+D$15),2),J132+MAX(0,N132-O132+H132-P132+I132))</f>
        <v>0</v>
      </c>
      <c r="R132" s="21" t="n">
        <f aca="false">MIN(ROUND(E132*(1+E$15),2),K132+MAX(0,N132-O132+H132-P132+I132-Q132+J132))</f>
        <v>0</v>
      </c>
      <c r="S132" s="21" t="n">
        <f aca="false">MIN(ROUND(F132*(1+F$15),2),L132+MAX(0,N132-O132+H132-P132+I132-Q132+J132-R132+K132))</f>
        <v>0</v>
      </c>
      <c r="T132" s="21" t="n">
        <f aca="false">MIN(ROUND(G132*(1+G$15),2),M132+MAX(0,N132-O132+H132-P132+I132-Q132+J132-R132+K132-S132+L132))</f>
        <v>0</v>
      </c>
      <c r="U132" s="21" t="n">
        <f aca="false">SUM(B132:G132)</f>
        <v>0</v>
      </c>
      <c r="V132" s="21" t="n">
        <f aca="false">SUM(O132:T132)</f>
        <v>0</v>
      </c>
      <c r="X132" s="25" t="n">
        <f aca="false">X131+1</f>
        <v>106</v>
      </c>
      <c r="Y132" s="21" t="n">
        <f aca="false">MAX(0,ROUND(Y131*(1+Y$15),2)-AL131)</f>
        <v>0</v>
      </c>
      <c r="Z132" s="21" t="n">
        <f aca="false">MAX(0,ROUND(Z131*(1+Z$15),2)-AM131)</f>
        <v>0</v>
      </c>
      <c r="AA132" s="21" t="n">
        <f aca="false">MAX(0,ROUND(AA131*(1+AA$15),2)-AN131)</f>
        <v>0</v>
      </c>
      <c r="AB132" s="21" t="n">
        <f aca="false">MAX(0,ROUND(AB131*(1+AB$15),2)-AO131)</f>
        <v>0</v>
      </c>
      <c r="AC132" s="21" t="n">
        <f aca="false">MAX(0,ROUND(AC131*(1+AC$15),2)-AP131)</f>
        <v>0</v>
      </c>
      <c r="AD132" s="21" t="n">
        <f aca="false">MAX(0,ROUND(AD131*(1+AD$15),2)-AQ131)</f>
        <v>0</v>
      </c>
      <c r="AE132" s="21" t="n">
        <f aca="false">MIN(Y$16,ROUND(Y132*(1+Y$15),2))</f>
        <v>0</v>
      </c>
      <c r="AF132" s="21" t="n">
        <f aca="false">MIN(Z$16,ROUND(Z132*(1+Z$15),2))</f>
        <v>0</v>
      </c>
      <c r="AG132" s="21" t="n">
        <f aca="false">MIN(AA$16,ROUND(AA132*(1+AA$15),2))</f>
        <v>0</v>
      </c>
      <c r="AH132" s="21" t="n">
        <f aca="false">MIN(AB$16,ROUND(AB132*(1+AB$15),2))</f>
        <v>0</v>
      </c>
      <c r="AI132" s="21" t="n">
        <f aca="false">MIN(AC$16,ROUND(AC132*(1+AC$15),2))</f>
        <v>0</v>
      </c>
      <c r="AJ132" s="21" t="n">
        <f aca="false">MIN(AD$16,ROUND(AD132*(1+AD$15),2))</f>
        <v>0</v>
      </c>
      <c r="AK132" s="21" t="n">
        <f aca="false">Y$20-SUM(AE132:AJ132)</f>
        <v>1170</v>
      </c>
      <c r="AL132" s="21" t="n">
        <f aca="false">MIN(ROUND(Y132*(1+Y$15),2),AE132+MAX(0,AK132))</f>
        <v>0</v>
      </c>
      <c r="AM132" s="21" t="n">
        <f aca="false">MIN(ROUND(Z132*(1+Z$15),2),AF132+MAX(0,AK132-AL132+AE132))</f>
        <v>0</v>
      </c>
      <c r="AN132" s="21" t="n">
        <f aca="false">MIN(ROUND(AA132*(1+AA$15),2),AG132+MAX(0,AK132-AL132+AE132-AM132+AF132))</f>
        <v>0</v>
      </c>
      <c r="AO132" s="21" t="n">
        <f aca="false">MIN(ROUND(AB132*(1+AB$15),2),AH132+MAX(0,AK132-AL132+AE132-AM132+AF132-AN132+AG132))</f>
        <v>0</v>
      </c>
      <c r="AP132" s="21" t="n">
        <f aca="false">MIN(ROUND(AC132*(1+AC$15),2),AI132+MAX(0,AK132-AL132+AE132-AM132+AF132-AN132+AG132-AO132+AH132))</f>
        <v>0</v>
      </c>
      <c r="AQ132" s="21" t="n">
        <f aca="false">MIN(ROUND(AD132*(1+AD$15),2),AJ132+MAX(0,AK132-AL132+AE132-AM132+AF132-AN132+AG132-AO132+AH132-AP132+AI132))</f>
        <v>0</v>
      </c>
      <c r="AR132" s="21" t="n">
        <f aca="false">SUM(Y132:AD132)</f>
        <v>0</v>
      </c>
      <c r="AS132" s="21" t="n">
        <f aca="false">SUM(AL132:AQ132)</f>
        <v>0</v>
      </c>
    </row>
    <row r="133" customFormat="false" ht="15" hidden="false" customHeight="false" outlineLevel="0" collapsed="false">
      <c r="A133" s="25" t="n">
        <f aca="false">A132+1</f>
        <v>107</v>
      </c>
      <c r="B133" s="21" t="n">
        <f aca="false">MAX(0,ROUND(B132*(1+B$15),2)-O132)</f>
        <v>0</v>
      </c>
      <c r="C133" s="21" t="n">
        <f aca="false">MAX(0,ROUND(C132*(1+C$15),2)-P132)</f>
        <v>0</v>
      </c>
      <c r="D133" s="21" t="n">
        <f aca="false">MAX(0,ROUND(D132*(1+D$15),2)-Q132)</f>
        <v>0</v>
      </c>
      <c r="E133" s="21" t="n">
        <f aca="false">MAX(0,ROUND(E132*(1+E$15),2)-R132)</f>
        <v>0</v>
      </c>
      <c r="F133" s="21" t="n">
        <f aca="false">MAX(0,ROUND(F132*(1+F$15),2)-S132)</f>
        <v>0</v>
      </c>
      <c r="G133" s="21" t="n">
        <f aca="false">MAX(0,ROUND(G132*(1+G$15),2)-T132)</f>
        <v>0</v>
      </c>
      <c r="H133" s="21" t="n">
        <f aca="false">MIN(B$16,ROUND(B133*(1+B$15),2))</f>
        <v>0</v>
      </c>
      <c r="I133" s="21" t="n">
        <f aca="false">MIN(C$16,ROUND(C133*(1+C$15),2))</f>
        <v>0</v>
      </c>
      <c r="J133" s="21" t="n">
        <f aca="false">MIN(D$16,ROUND(D133*(1+D$15),2))</f>
        <v>0</v>
      </c>
      <c r="K133" s="21" t="n">
        <f aca="false">MIN(E$16,ROUND(E133*(1+E$15),2))</f>
        <v>0</v>
      </c>
      <c r="L133" s="21" t="n">
        <f aca="false">MIN(F$16,ROUND(F133*(1+F$15),2))</f>
        <v>0</v>
      </c>
      <c r="M133" s="21" t="n">
        <f aca="false">MIN(G$16,ROUND(G133*(1+G$15),2))</f>
        <v>0</v>
      </c>
      <c r="N133" s="21" t="n">
        <f aca="false">B$20-SUM(H133:M133)</f>
        <v>1170</v>
      </c>
      <c r="O133" s="21" t="n">
        <f aca="false">MIN(ROUND(B133*(1+B$15),2),H133+MAX(0,N133))</f>
        <v>0</v>
      </c>
      <c r="P133" s="21" t="n">
        <f aca="false">MIN(ROUND(C133*(1+C$15),2),I133+MAX(0,N133-O133+H133))</f>
        <v>0</v>
      </c>
      <c r="Q133" s="21" t="n">
        <f aca="false">MIN(ROUND(D133*(1+D$15),2),J133+MAX(0,N133-O133+H133-P133+I133))</f>
        <v>0</v>
      </c>
      <c r="R133" s="21" t="n">
        <f aca="false">MIN(ROUND(E133*(1+E$15),2),K133+MAX(0,N133-O133+H133-P133+I133-Q133+J133))</f>
        <v>0</v>
      </c>
      <c r="S133" s="21" t="n">
        <f aca="false">MIN(ROUND(F133*(1+F$15),2),L133+MAX(0,N133-O133+H133-P133+I133-Q133+J133-R133+K133))</f>
        <v>0</v>
      </c>
      <c r="T133" s="21" t="n">
        <f aca="false">MIN(ROUND(G133*(1+G$15),2),M133+MAX(0,N133-O133+H133-P133+I133-Q133+J133-R133+K133-S133+L133))</f>
        <v>0</v>
      </c>
      <c r="U133" s="21" t="n">
        <f aca="false">SUM(B133:G133)</f>
        <v>0</v>
      </c>
      <c r="V133" s="21" t="n">
        <f aca="false">SUM(O133:T133)</f>
        <v>0</v>
      </c>
      <c r="X133" s="25" t="n">
        <f aca="false">X132+1</f>
        <v>107</v>
      </c>
      <c r="Y133" s="21" t="n">
        <f aca="false">MAX(0,ROUND(Y132*(1+Y$15),2)-AL132)</f>
        <v>0</v>
      </c>
      <c r="Z133" s="21" t="n">
        <f aca="false">MAX(0,ROUND(Z132*(1+Z$15),2)-AM132)</f>
        <v>0</v>
      </c>
      <c r="AA133" s="21" t="n">
        <f aca="false">MAX(0,ROUND(AA132*(1+AA$15),2)-AN132)</f>
        <v>0</v>
      </c>
      <c r="AB133" s="21" t="n">
        <f aca="false">MAX(0,ROUND(AB132*(1+AB$15),2)-AO132)</f>
        <v>0</v>
      </c>
      <c r="AC133" s="21" t="n">
        <f aca="false">MAX(0,ROUND(AC132*(1+AC$15),2)-AP132)</f>
        <v>0</v>
      </c>
      <c r="AD133" s="21" t="n">
        <f aca="false">MAX(0,ROUND(AD132*(1+AD$15),2)-AQ132)</f>
        <v>0</v>
      </c>
      <c r="AE133" s="21" t="n">
        <f aca="false">MIN(Y$16,ROUND(Y133*(1+Y$15),2))</f>
        <v>0</v>
      </c>
      <c r="AF133" s="21" t="n">
        <f aca="false">MIN(Z$16,ROUND(Z133*(1+Z$15),2))</f>
        <v>0</v>
      </c>
      <c r="AG133" s="21" t="n">
        <f aca="false">MIN(AA$16,ROUND(AA133*(1+AA$15),2))</f>
        <v>0</v>
      </c>
      <c r="AH133" s="21" t="n">
        <f aca="false">MIN(AB$16,ROUND(AB133*(1+AB$15),2))</f>
        <v>0</v>
      </c>
      <c r="AI133" s="21" t="n">
        <f aca="false">MIN(AC$16,ROUND(AC133*(1+AC$15),2))</f>
        <v>0</v>
      </c>
      <c r="AJ133" s="21" t="n">
        <f aca="false">MIN(AD$16,ROUND(AD133*(1+AD$15),2))</f>
        <v>0</v>
      </c>
      <c r="AK133" s="21" t="n">
        <f aca="false">Y$20-SUM(AE133:AJ133)</f>
        <v>1170</v>
      </c>
      <c r="AL133" s="21" t="n">
        <f aca="false">MIN(ROUND(Y133*(1+Y$15),2),AE133+MAX(0,AK133))</f>
        <v>0</v>
      </c>
      <c r="AM133" s="21" t="n">
        <f aca="false">MIN(ROUND(Z133*(1+Z$15),2),AF133+MAX(0,AK133-AL133+AE133))</f>
        <v>0</v>
      </c>
      <c r="AN133" s="21" t="n">
        <f aca="false">MIN(ROUND(AA133*(1+AA$15),2),AG133+MAX(0,AK133-AL133+AE133-AM133+AF133))</f>
        <v>0</v>
      </c>
      <c r="AO133" s="21" t="n">
        <f aca="false">MIN(ROUND(AB133*(1+AB$15),2),AH133+MAX(0,AK133-AL133+AE133-AM133+AF133-AN133+AG133))</f>
        <v>0</v>
      </c>
      <c r="AP133" s="21" t="n">
        <f aca="false">MIN(ROUND(AC133*(1+AC$15),2),AI133+MAX(0,AK133-AL133+AE133-AM133+AF133-AN133+AG133-AO133+AH133))</f>
        <v>0</v>
      </c>
      <c r="AQ133" s="21" t="n">
        <f aca="false">MIN(ROUND(AD133*(1+AD$15),2),AJ133+MAX(0,AK133-AL133+AE133-AM133+AF133-AN133+AG133-AO133+AH133-AP133+AI133))</f>
        <v>0</v>
      </c>
      <c r="AR133" s="21" t="n">
        <f aca="false">SUM(Y133:AD133)</f>
        <v>0</v>
      </c>
      <c r="AS133" s="21" t="n">
        <f aca="false">SUM(AL133:AQ133)</f>
        <v>0</v>
      </c>
    </row>
    <row r="134" customFormat="false" ht="15" hidden="false" customHeight="false" outlineLevel="0" collapsed="false">
      <c r="A134" s="25" t="n">
        <f aca="false">A133+1</f>
        <v>108</v>
      </c>
      <c r="B134" s="21" t="n">
        <f aca="false">MAX(0,ROUND(B133*(1+B$15),2)-O133)</f>
        <v>0</v>
      </c>
      <c r="C134" s="21" t="n">
        <f aca="false">MAX(0,ROUND(C133*(1+C$15),2)-P133)</f>
        <v>0</v>
      </c>
      <c r="D134" s="21" t="n">
        <f aca="false">MAX(0,ROUND(D133*(1+D$15),2)-Q133)</f>
        <v>0</v>
      </c>
      <c r="E134" s="21" t="n">
        <f aca="false">MAX(0,ROUND(E133*(1+E$15),2)-R133)</f>
        <v>0</v>
      </c>
      <c r="F134" s="21" t="n">
        <f aca="false">MAX(0,ROUND(F133*(1+F$15),2)-S133)</f>
        <v>0</v>
      </c>
      <c r="G134" s="21" t="n">
        <f aca="false">MAX(0,ROUND(G133*(1+G$15),2)-T133)</f>
        <v>0</v>
      </c>
      <c r="H134" s="21" t="n">
        <f aca="false">MIN(B$16,ROUND(B134*(1+B$15),2))</f>
        <v>0</v>
      </c>
      <c r="I134" s="21" t="n">
        <f aca="false">MIN(C$16,ROUND(C134*(1+C$15),2))</f>
        <v>0</v>
      </c>
      <c r="J134" s="21" t="n">
        <f aca="false">MIN(D$16,ROUND(D134*(1+D$15),2))</f>
        <v>0</v>
      </c>
      <c r="K134" s="21" t="n">
        <f aca="false">MIN(E$16,ROUND(E134*(1+E$15),2))</f>
        <v>0</v>
      </c>
      <c r="L134" s="21" t="n">
        <f aca="false">MIN(F$16,ROUND(F134*(1+F$15),2))</f>
        <v>0</v>
      </c>
      <c r="M134" s="21" t="n">
        <f aca="false">MIN(G$16,ROUND(G134*(1+G$15),2))</f>
        <v>0</v>
      </c>
      <c r="N134" s="21" t="n">
        <f aca="false">B$20-SUM(H134:M134)</f>
        <v>1170</v>
      </c>
      <c r="O134" s="21" t="n">
        <f aca="false">MIN(ROUND(B134*(1+B$15),2),H134+MAX(0,N134))</f>
        <v>0</v>
      </c>
      <c r="P134" s="21" t="n">
        <f aca="false">MIN(ROUND(C134*(1+C$15),2),I134+MAX(0,N134-O134+H134))</f>
        <v>0</v>
      </c>
      <c r="Q134" s="21" t="n">
        <f aca="false">MIN(ROUND(D134*(1+D$15),2),J134+MAX(0,N134-O134+H134-P134+I134))</f>
        <v>0</v>
      </c>
      <c r="R134" s="21" t="n">
        <f aca="false">MIN(ROUND(E134*(1+E$15),2),K134+MAX(0,N134-O134+H134-P134+I134-Q134+J134))</f>
        <v>0</v>
      </c>
      <c r="S134" s="21" t="n">
        <f aca="false">MIN(ROUND(F134*(1+F$15),2),L134+MAX(0,N134-O134+H134-P134+I134-Q134+J134-R134+K134))</f>
        <v>0</v>
      </c>
      <c r="T134" s="21" t="n">
        <f aca="false">MIN(ROUND(G134*(1+G$15),2),M134+MAX(0,N134-O134+H134-P134+I134-Q134+J134-R134+K134-S134+L134))</f>
        <v>0</v>
      </c>
      <c r="U134" s="21" t="n">
        <f aca="false">SUM(B134:G134)</f>
        <v>0</v>
      </c>
      <c r="V134" s="21" t="n">
        <f aca="false">SUM(O134:T134)</f>
        <v>0</v>
      </c>
      <c r="X134" s="25" t="n">
        <f aca="false">X133+1</f>
        <v>108</v>
      </c>
      <c r="Y134" s="21" t="n">
        <f aca="false">MAX(0,ROUND(Y133*(1+Y$15),2)-AL133)</f>
        <v>0</v>
      </c>
      <c r="Z134" s="21" t="n">
        <f aca="false">MAX(0,ROUND(Z133*(1+Z$15),2)-AM133)</f>
        <v>0</v>
      </c>
      <c r="AA134" s="21" t="n">
        <f aca="false">MAX(0,ROUND(AA133*(1+AA$15),2)-AN133)</f>
        <v>0</v>
      </c>
      <c r="AB134" s="21" t="n">
        <f aca="false">MAX(0,ROUND(AB133*(1+AB$15),2)-AO133)</f>
        <v>0</v>
      </c>
      <c r="AC134" s="21" t="n">
        <f aca="false">MAX(0,ROUND(AC133*(1+AC$15),2)-AP133)</f>
        <v>0</v>
      </c>
      <c r="AD134" s="21" t="n">
        <f aca="false">MAX(0,ROUND(AD133*(1+AD$15),2)-AQ133)</f>
        <v>0</v>
      </c>
      <c r="AE134" s="21" t="n">
        <f aca="false">MIN(Y$16,ROUND(Y134*(1+Y$15),2))</f>
        <v>0</v>
      </c>
      <c r="AF134" s="21" t="n">
        <f aca="false">MIN(Z$16,ROUND(Z134*(1+Z$15),2))</f>
        <v>0</v>
      </c>
      <c r="AG134" s="21" t="n">
        <f aca="false">MIN(AA$16,ROUND(AA134*(1+AA$15),2))</f>
        <v>0</v>
      </c>
      <c r="AH134" s="21" t="n">
        <f aca="false">MIN(AB$16,ROUND(AB134*(1+AB$15),2))</f>
        <v>0</v>
      </c>
      <c r="AI134" s="21" t="n">
        <f aca="false">MIN(AC$16,ROUND(AC134*(1+AC$15),2))</f>
        <v>0</v>
      </c>
      <c r="AJ134" s="21" t="n">
        <f aca="false">MIN(AD$16,ROUND(AD134*(1+AD$15),2))</f>
        <v>0</v>
      </c>
      <c r="AK134" s="21" t="n">
        <f aca="false">Y$20-SUM(AE134:AJ134)</f>
        <v>1170</v>
      </c>
      <c r="AL134" s="21" t="n">
        <f aca="false">MIN(ROUND(Y134*(1+Y$15),2),AE134+MAX(0,AK134))</f>
        <v>0</v>
      </c>
      <c r="AM134" s="21" t="n">
        <f aca="false">MIN(ROUND(Z134*(1+Z$15),2),AF134+MAX(0,AK134-AL134+AE134))</f>
        <v>0</v>
      </c>
      <c r="AN134" s="21" t="n">
        <f aca="false">MIN(ROUND(AA134*(1+AA$15),2),AG134+MAX(0,AK134-AL134+AE134-AM134+AF134))</f>
        <v>0</v>
      </c>
      <c r="AO134" s="21" t="n">
        <f aca="false">MIN(ROUND(AB134*(1+AB$15),2),AH134+MAX(0,AK134-AL134+AE134-AM134+AF134-AN134+AG134))</f>
        <v>0</v>
      </c>
      <c r="AP134" s="21" t="n">
        <f aca="false">MIN(ROUND(AC134*(1+AC$15),2),AI134+MAX(0,AK134-AL134+AE134-AM134+AF134-AN134+AG134-AO134+AH134))</f>
        <v>0</v>
      </c>
      <c r="AQ134" s="21" t="n">
        <f aca="false">MIN(ROUND(AD134*(1+AD$15),2),AJ134+MAX(0,AK134-AL134+AE134-AM134+AF134-AN134+AG134-AO134+AH134-AP134+AI134))</f>
        <v>0</v>
      </c>
      <c r="AR134" s="21" t="n">
        <f aca="false">SUM(Y134:AD134)</f>
        <v>0</v>
      </c>
      <c r="AS134" s="21" t="n">
        <f aca="false">SUM(AL134:AQ134)</f>
        <v>0</v>
      </c>
    </row>
    <row r="135" customFormat="false" ht="15" hidden="false" customHeight="false" outlineLevel="0" collapsed="false">
      <c r="A135" s="25" t="n">
        <f aca="false">A134+1</f>
        <v>109</v>
      </c>
      <c r="B135" s="21" t="n">
        <f aca="false">MAX(0,ROUND(B134*(1+B$15),2)-O134)</f>
        <v>0</v>
      </c>
      <c r="C135" s="21" t="n">
        <f aca="false">MAX(0,ROUND(C134*(1+C$15),2)-P134)</f>
        <v>0</v>
      </c>
      <c r="D135" s="21" t="n">
        <f aca="false">MAX(0,ROUND(D134*(1+D$15),2)-Q134)</f>
        <v>0</v>
      </c>
      <c r="E135" s="21" t="n">
        <f aca="false">MAX(0,ROUND(E134*(1+E$15),2)-R134)</f>
        <v>0</v>
      </c>
      <c r="F135" s="21" t="n">
        <f aca="false">MAX(0,ROUND(F134*(1+F$15),2)-S134)</f>
        <v>0</v>
      </c>
      <c r="G135" s="21" t="n">
        <f aca="false">MAX(0,ROUND(G134*(1+G$15),2)-T134)</f>
        <v>0</v>
      </c>
      <c r="H135" s="21" t="n">
        <f aca="false">MIN(B$16,ROUND(B135*(1+B$15),2))</f>
        <v>0</v>
      </c>
      <c r="I135" s="21" t="n">
        <f aca="false">MIN(C$16,ROUND(C135*(1+C$15),2))</f>
        <v>0</v>
      </c>
      <c r="J135" s="21" t="n">
        <f aca="false">MIN(D$16,ROUND(D135*(1+D$15),2))</f>
        <v>0</v>
      </c>
      <c r="K135" s="21" t="n">
        <f aca="false">MIN(E$16,ROUND(E135*(1+E$15),2))</f>
        <v>0</v>
      </c>
      <c r="L135" s="21" t="n">
        <f aca="false">MIN(F$16,ROUND(F135*(1+F$15),2))</f>
        <v>0</v>
      </c>
      <c r="M135" s="21" t="n">
        <f aca="false">MIN(G$16,ROUND(G135*(1+G$15),2))</f>
        <v>0</v>
      </c>
      <c r="N135" s="21" t="n">
        <f aca="false">B$20-SUM(H135:M135)</f>
        <v>1170</v>
      </c>
      <c r="O135" s="21" t="n">
        <f aca="false">MIN(ROUND(B135*(1+B$15),2),H135+MAX(0,N135))</f>
        <v>0</v>
      </c>
      <c r="P135" s="21" t="n">
        <f aca="false">MIN(ROUND(C135*(1+C$15),2),I135+MAX(0,N135-O135+H135))</f>
        <v>0</v>
      </c>
      <c r="Q135" s="21" t="n">
        <f aca="false">MIN(ROUND(D135*(1+D$15),2),J135+MAX(0,N135-O135+H135-P135+I135))</f>
        <v>0</v>
      </c>
      <c r="R135" s="21" t="n">
        <f aca="false">MIN(ROUND(E135*(1+E$15),2),K135+MAX(0,N135-O135+H135-P135+I135-Q135+J135))</f>
        <v>0</v>
      </c>
      <c r="S135" s="21" t="n">
        <f aca="false">MIN(ROUND(F135*(1+F$15),2),L135+MAX(0,N135-O135+H135-P135+I135-Q135+J135-R135+K135))</f>
        <v>0</v>
      </c>
      <c r="T135" s="21" t="n">
        <f aca="false">MIN(ROUND(G135*(1+G$15),2),M135+MAX(0,N135-O135+H135-P135+I135-Q135+J135-R135+K135-S135+L135))</f>
        <v>0</v>
      </c>
      <c r="U135" s="21" t="n">
        <f aca="false">SUM(B135:G135)</f>
        <v>0</v>
      </c>
      <c r="V135" s="21" t="n">
        <f aca="false">SUM(O135:T135)</f>
        <v>0</v>
      </c>
      <c r="X135" s="25" t="n">
        <f aca="false">X134+1</f>
        <v>109</v>
      </c>
      <c r="Y135" s="21" t="n">
        <f aca="false">MAX(0,ROUND(Y134*(1+Y$15),2)-AL134)</f>
        <v>0</v>
      </c>
      <c r="Z135" s="21" t="n">
        <f aca="false">MAX(0,ROUND(Z134*(1+Z$15),2)-AM134)</f>
        <v>0</v>
      </c>
      <c r="AA135" s="21" t="n">
        <f aca="false">MAX(0,ROUND(AA134*(1+AA$15),2)-AN134)</f>
        <v>0</v>
      </c>
      <c r="AB135" s="21" t="n">
        <f aca="false">MAX(0,ROUND(AB134*(1+AB$15),2)-AO134)</f>
        <v>0</v>
      </c>
      <c r="AC135" s="21" t="n">
        <f aca="false">MAX(0,ROUND(AC134*(1+AC$15),2)-AP134)</f>
        <v>0</v>
      </c>
      <c r="AD135" s="21" t="n">
        <f aca="false">MAX(0,ROUND(AD134*(1+AD$15),2)-AQ134)</f>
        <v>0</v>
      </c>
      <c r="AE135" s="21" t="n">
        <f aca="false">MIN(Y$16,ROUND(Y135*(1+Y$15),2))</f>
        <v>0</v>
      </c>
      <c r="AF135" s="21" t="n">
        <f aca="false">MIN(Z$16,ROUND(Z135*(1+Z$15),2))</f>
        <v>0</v>
      </c>
      <c r="AG135" s="21" t="n">
        <f aca="false">MIN(AA$16,ROUND(AA135*(1+AA$15),2))</f>
        <v>0</v>
      </c>
      <c r="AH135" s="21" t="n">
        <f aca="false">MIN(AB$16,ROUND(AB135*(1+AB$15),2))</f>
        <v>0</v>
      </c>
      <c r="AI135" s="21" t="n">
        <f aca="false">MIN(AC$16,ROUND(AC135*(1+AC$15),2))</f>
        <v>0</v>
      </c>
      <c r="AJ135" s="21" t="n">
        <f aca="false">MIN(AD$16,ROUND(AD135*(1+AD$15),2))</f>
        <v>0</v>
      </c>
      <c r="AK135" s="21" t="n">
        <f aca="false">Y$20-SUM(AE135:AJ135)</f>
        <v>1170</v>
      </c>
      <c r="AL135" s="21" t="n">
        <f aca="false">MIN(ROUND(Y135*(1+Y$15),2),AE135+MAX(0,AK135))</f>
        <v>0</v>
      </c>
      <c r="AM135" s="21" t="n">
        <f aca="false">MIN(ROUND(Z135*(1+Z$15),2),AF135+MAX(0,AK135-AL135+AE135))</f>
        <v>0</v>
      </c>
      <c r="AN135" s="21" t="n">
        <f aca="false">MIN(ROUND(AA135*(1+AA$15),2),AG135+MAX(0,AK135-AL135+AE135-AM135+AF135))</f>
        <v>0</v>
      </c>
      <c r="AO135" s="21" t="n">
        <f aca="false">MIN(ROUND(AB135*(1+AB$15),2),AH135+MAX(0,AK135-AL135+AE135-AM135+AF135-AN135+AG135))</f>
        <v>0</v>
      </c>
      <c r="AP135" s="21" t="n">
        <f aca="false">MIN(ROUND(AC135*(1+AC$15),2),AI135+MAX(0,AK135-AL135+AE135-AM135+AF135-AN135+AG135-AO135+AH135))</f>
        <v>0</v>
      </c>
      <c r="AQ135" s="21" t="n">
        <f aca="false">MIN(ROUND(AD135*(1+AD$15),2),AJ135+MAX(0,AK135-AL135+AE135-AM135+AF135-AN135+AG135-AO135+AH135-AP135+AI135))</f>
        <v>0</v>
      </c>
      <c r="AR135" s="21" t="n">
        <f aca="false">SUM(Y135:AD135)</f>
        <v>0</v>
      </c>
      <c r="AS135" s="21" t="n">
        <f aca="false">SUM(AL135:AQ135)</f>
        <v>0</v>
      </c>
    </row>
    <row r="136" customFormat="false" ht="15" hidden="false" customHeight="false" outlineLevel="0" collapsed="false">
      <c r="A136" s="25" t="n">
        <f aca="false">A135+1</f>
        <v>110</v>
      </c>
      <c r="B136" s="21" t="n">
        <f aca="false">MAX(0,ROUND(B135*(1+B$15),2)-O135)</f>
        <v>0</v>
      </c>
      <c r="C136" s="21" t="n">
        <f aca="false">MAX(0,ROUND(C135*(1+C$15),2)-P135)</f>
        <v>0</v>
      </c>
      <c r="D136" s="21" t="n">
        <f aca="false">MAX(0,ROUND(D135*(1+D$15),2)-Q135)</f>
        <v>0</v>
      </c>
      <c r="E136" s="21" t="n">
        <f aca="false">MAX(0,ROUND(E135*(1+E$15),2)-R135)</f>
        <v>0</v>
      </c>
      <c r="F136" s="21" t="n">
        <f aca="false">MAX(0,ROUND(F135*(1+F$15),2)-S135)</f>
        <v>0</v>
      </c>
      <c r="G136" s="21" t="n">
        <f aca="false">MAX(0,ROUND(G135*(1+G$15),2)-T135)</f>
        <v>0</v>
      </c>
      <c r="H136" s="21" t="n">
        <f aca="false">MIN(B$16,ROUND(B136*(1+B$15),2))</f>
        <v>0</v>
      </c>
      <c r="I136" s="21" t="n">
        <f aca="false">MIN(C$16,ROUND(C136*(1+C$15),2))</f>
        <v>0</v>
      </c>
      <c r="J136" s="21" t="n">
        <f aca="false">MIN(D$16,ROUND(D136*(1+D$15),2))</f>
        <v>0</v>
      </c>
      <c r="K136" s="21" t="n">
        <f aca="false">MIN(E$16,ROUND(E136*(1+E$15),2))</f>
        <v>0</v>
      </c>
      <c r="L136" s="21" t="n">
        <f aca="false">MIN(F$16,ROUND(F136*(1+F$15),2))</f>
        <v>0</v>
      </c>
      <c r="M136" s="21" t="n">
        <f aca="false">MIN(G$16,ROUND(G136*(1+G$15),2))</f>
        <v>0</v>
      </c>
      <c r="N136" s="21" t="n">
        <f aca="false">B$20-SUM(H136:M136)</f>
        <v>1170</v>
      </c>
      <c r="O136" s="21" t="n">
        <f aca="false">MIN(ROUND(B136*(1+B$15),2),H136+MAX(0,N136))</f>
        <v>0</v>
      </c>
      <c r="P136" s="21" t="n">
        <f aca="false">MIN(ROUND(C136*(1+C$15),2),I136+MAX(0,N136-O136+H136))</f>
        <v>0</v>
      </c>
      <c r="Q136" s="21" t="n">
        <f aca="false">MIN(ROUND(D136*(1+D$15),2),J136+MAX(0,N136-O136+H136-P136+I136))</f>
        <v>0</v>
      </c>
      <c r="R136" s="21" t="n">
        <f aca="false">MIN(ROUND(E136*(1+E$15),2),K136+MAX(0,N136-O136+H136-P136+I136-Q136+J136))</f>
        <v>0</v>
      </c>
      <c r="S136" s="21" t="n">
        <f aca="false">MIN(ROUND(F136*(1+F$15),2),L136+MAX(0,N136-O136+H136-P136+I136-Q136+J136-R136+K136))</f>
        <v>0</v>
      </c>
      <c r="T136" s="21" t="n">
        <f aca="false">MIN(ROUND(G136*(1+G$15),2),M136+MAX(0,N136-O136+H136-P136+I136-Q136+J136-R136+K136-S136+L136))</f>
        <v>0</v>
      </c>
      <c r="U136" s="21" t="n">
        <f aca="false">SUM(B136:G136)</f>
        <v>0</v>
      </c>
      <c r="V136" s="21" t="n">
        <f aca="false">SUM(O136:T136)</f>
        <v>0</v>
      </c>
      <c r="X136" s="25" t="n">
        <f aca="false">X135+1</f>
        <v>110</v>
      </c>
      <c r="Y136" s="21" t="n">
        <f aca="false">MAX(0,ROUND(Y135*(1+Y$15),2)-AL135)</f>
        <v>0</v>
      </c>
      <c r="Z136" s="21" t="n">
        <f aca="false">MAX(0,ROUND(Z135*(1+Z$15),2)-AM135)</f>
        <v>0</v>
      </c>
      <c r="AA136" s="21" t="n">
        <f aca="false">MAX(0,ROUND(AA135*(1+AA$15),2)-AN135)</f>
        <v>0</v>
      </c>
      <c r="AB136" s="21" t="n">
        <f aca="false">MAX(0,ROUND(AB135*(1+AB$15),2)-AO135)</f>
        <v>0</v>
      </c>
      <c r="AC136" s="21" t="n">
        <f aca="false">MAX(0,ROUND(AC135*(1+AC$15),2)-AP135)</f>
        <v>0</v>
      </c>
      <c r="AD136" s="21" t="n">
        <f aca="false">MAX(0,ROUND(AD135*(1+AD$15),2)-AQ135)</f>
        <v>0</v>
      </c>
      <c r="AE136" s="21" t="n">
        <f aca="false">MIN(Y$16,ROUND(Y136*(1+Y$15),2))</f>
        <v>0</v>
      </c>
      <c r="AF136" s="21" t="n">
        <f aca="false">MIN(Z$16,ROUND(Z136*(1+Z$15),2))</f>
        <v>0</v>
      </c>
      <c r="AG136" s="21" t="n">
        <f aca="false">MIN(AA$16,ROUND(AA136*(1+AA$15),2))</f>
        <v>0</v>
      </c>
      <c r="AH136" s="21" t="n">
        <f aca="false">MIN(AB$16,ROUND(AB136*(1+AB$15),2))</f>
        <v>0</v>
      </c>
      <c r="AI136" s="21" t="n">
        <f aca="false">MIN(AC$16,ROUND(AC136*(1+AC$15),2))</f>
        <v>0</v>
      </c>
      <c r="AJ136" s="21" t="n">
        <f aca="false">MIN(AD$16,ROUND(AD136*(1+AD$15),2))</f>
        <v>0</v>
      </c>
      <c r="AK136" s="21" t="n">
        <f aca="false">Y$20-SUM(AE136:AJ136)</f>
        <v>1170</v>
      </c>
      <c r="AL136" s="21" t="n">
        <f aca="false">MIN(ROUND(Y136*(1+Y$15),2),AE136+MAX(0,AK136))</f>
        <v>0</v>
      </c>
      <c r="AM136" s="21" t="n">
        <f aca="false">MIN(ROUND(Z136*(1+Z$15),2),AF136+MAX(0,AK136-AL136+AE136))</f>
        <v>0</v>
      </c>
      <c r="AN136" s="21" t="n">
        <f aca="false">MIN(ROUND(AA136*(1+AA$15),2),AG136+MAX(0,AK136-AL136+AE136-AM136+AF136))</f>
        <v>0</v>
      </c>
      <c r="AO136" s="21" t="n">
        <f aca="false">MIN(ROUND(AB136*(1+AB$15),2),AH136+MAX(0,AK136-AL136+AE136-AM136+AF136-AN136+AG136))</f>
        <v>0</v>
      </c>
      <c r="AP136" s="21" t="n">
        <f aca="false">MIN(ROUND(AC136*(1+AC$15),2),AI136+MAX(0,AK136-AL136+AE136-AM136+AF136-AN136+AG136-AO136+AH136))</f>
        <v>0</v>
      </c>
      <c r="AQ136" s="21" t="n">
        <f aca="false">MIN(ROUND(AD136*(1+AD$15),2),AJ136+MAX(0,AK136-AL136+AE136-AM136+AF136-AN136+AG136-AO136+AH136-AP136+AI136))</f>
        <v>0</v>
      </c>
      <c r="AR136" s="21" t="n">
        <f aca="false">SUM(Y136:AD136)</f>
        <v>0</v>
      </c>
      <c r="AS136" s="21" t="n">
        <f aca="false">SUM(AL136:AQ136)</f>
        <v>0</v>
      </c>
    </row>
    <row r="137" customFormat="false" ht="15" hidden="false" customHeight="false" outlineLevel="0" collapsed="false">
      <c r="A137" s="25" t="n">
        <f aca="false">A136+1</f>
        <v>111</v>
      </c>
      <c r="B137" s="21" t="n">
        <f aca="false">MAX(0,ROUND(B136*(1+B$15),2)-O136)</f>
        <v>0</v>
      </c>
      <c r="C137" s="21" t="n">
        <f aca="false">MAX(0,ROUND(C136*(1+C$15),2)-P136)</f>
        <v>0</v>
      </c>
      <c r="D137" s="21" t="n">
        <f aca="false">MAX(0,ROUND(D136*(1+D$15),2)-Q136)</f>
        <v>0</v>
      </c>
      <c r="E137" s="21" t="n">
        <f aca="false">MAX(0,ROUND(E136*(1+E$15),2)-R136)</f>
        <v>0</v>
      </c>
      <c r="F137" s="21" t="n">
        <f aca="false">MAX(0,ROUND(F136*(1+F$15),2)-S136)</f>
        <v>0</v>
      </c>
      <c r="G137" s="21" t="n">
        <f aca="false">MAX(0,ROUND(G136*(1+G$15),2)-T136)</f>
        <v>0</v>
      </c>
      <c r="H137" s="21" t="n">
        <f aca="false">MIN(B$16,ROUND(B137*(1+B$15),2))</f>
        <v>0</v>
      </c>
      <c r="I137" s="21" t="n">
        <f aca="false">MIN(C$16,ROUND(C137*(1+C$15),2))</f>
        <v>0</v>
      </c>
      <c r="J137" s="21" t="n">
        <f aca="false">MIN(D$16,ROUND(D137*(1+D$15),2))</f>
        <v>0</v>
      </c>
      <c r="K137" s="21" t="n">
        <f aca="false">MIN(E$16,ROUND(E137*(1+E$15),2))</f>
        <v>0</v>
      </c>
      <c r="L137" s="21" t="n">
        <f aca="false">MIN(F$16,ROUND(F137*(1+F$15),2))</f>
        <v>0</v>
      </c>
      <c r="M137" s="21" t="n">
        <f aca="false">MIN(G$16,ROUND(G137*(1+G$15),2))</f>
        <v>0</v>
      </c>
      <c r="N137" s="21" t="n">
        <f aca="false">B$20-SUM(H137:M137)</f>
        <v>1170</v>
      </c>
      <c r="O137" s="21" t="n">
        <f aca="false">MIN(ROUND(B137*(1+B$15),2),H137+MAX(0,N137))</f>
        <v>0</v>
      </c>
      <c r="P137" s="21" t="n">
        <f aca="false">MIN(ROUND(C137*(1+C$15),2),I137+MAX(0,N137-O137+H137))</f>
        <v>0</v>
      </c>
      <c r="Q137" s="21" t="n">
        <f aca="false">MIN(ROUND(D137*(1+D$15),2),J137+MAX(0,N137-O137+H137-P137+I137))</f>
        <v>0</v>
      </c>
      <c r="R137" s="21" t="n">
        <f aca="false">MIN(ROUND(E137*(1+E$15),2),K137+MAX(0,N137-O137+H137-P137+I137-Q137+J137))</f>
        <v>0</v>
      </c>
      <c r="S137" s="21" t="n">
        <f aca="false">MIN(ROUND(F137*(1+F$15),2),L137+MAX(0,N137-O137+H137-P137+I137-Q137+J137-R137+K137))</f>
        <v>0</v>
      </c>
      <c r="T137" s="21" t="n">
        <f aca="false">MIN(ROUND(G137*(1+G$15),2),M137+MAX(0,N137-O137+H137-P137+I137-Q137+J137-R137+K137-S137+L137))</f>
        <v>0</v>
      </c>
      <c r="U137" s="21" t="n">
        <f aca="false">SUM(B137:G137)</f>
        <v>0</v>
      </c>
      <c r="V137" s="21" t="n">
        <f aca="false">SUM(O137:T137)</f>
        <v>0</v>
      </c>
      <c r="X137" s="25" t="n">
        <f aca="false">X136+1</f>
        <v>111</v>
      </c>
      <c r="Y137" s="21" t="n">
        <f aca="false">MAX(0,ROUND(Y136*(1+Y$15),2)-AL136)</f>
        <v>0</v>
      </c>
      <c r="Z137" s="21" t="n">
        <f aca="false">MAX(0,ROUND(Z136*(1+Z$15),2)-AM136)</f>
        <v>0</v>
      </c>
      <c r="AA137" s="21" t="n">
        <f aca="false">MAX(0,ROUND(AA136*(1+AA$15),2)-AN136)</f>
        <v>0</v>
      </c>
      <c r="AB137" s="21" t="n">
        <f aca="false">MAX(0,ROUND(AB136*(1+AB$15),2)-AO136)</f>
        <v>0</v>
      </c>
      <c r="AC137" s="21" t="n">
        <f aca="false">MAX(0,ROUND(AC136*(1+AC$15),2)-AP136)</f>
        <v>0</v>
      </c>
      <c r="AD137" s="21" t="n">
        <f aca="false">MAX(0,ROUND(AD136*(1+AD$15),2)-AQ136)</f>
        <v>0</v>
      </c>
      <c r="AE137" s="21" t="n">
        <f aca="false">MIN(Y$16,ROUND(Y137*(1+Y$15),2))</f>
        <v>0</v>
      </c>
      <c r="AF137" s="21" t="n">
        <f aca="false">MIN(Z$16,ROUND(Z137*(1+Z$15),2))</f>
        <v>0</v>
      </c>
      <c r="AG137" s="21" t="n">
        <f aca="false">MIN(AA$16,ROUND(AA137*(1+AA$15),2))</f>
        <v>0</v>
      </c>
      <c r="AH137" s="21" t="n">
        <f aca="false">MIN(AB$16,ROUND(AB137*(1+AB$15),2))</f>
        <v>0</v>
      </c>
      <c r="AI137" s="21" t="n">
        <f aca="false">MIN(AC$16,ROUND(AC137*(1+AC$15),2))</f>
        <v>0</v>
      </c>
      <c r="AJ137" s="21" t="n">
        <f aca="false">MIN(AD$16,ROUND(AD137*(1+AD$15),2))</f>
        <v>0</v>
      </c>
      <c r="AK137" s="21" t="n">
        <f aca="false">Y$20-SUM(AE137:AJ137)</f>
        <v>1170</v>
      </c>
      <c r="AL137" s="21" t="n">
        <f aca="false">MIN(ROUND(Y137*(1+Y$15),2),AE137+MAX(0,AK137))</f>
        <v>0</v>
      </c>
      <c r="AM137" s="21" t="n">
        <f aca="false">MIN(ROUND(Z137*(1+Z$15),2),AF137+MAX(0,AK137-AL137+AE137))</f>
        <v>0</v>
      </c>
      <c r="AN137" s="21" t="n">
        <f aca="false">MIN(ROUND(AA137*(1+AA$15),2),AG137+MAX(0,AK137-AL137+AE137-AM137+AF137))</f>
        <v>0</v>
      </c>
      <c r="AO137" s="21" t="n">
        <f aca="false">MIN(ROUND(AB137*(1+AB$15),2),AH137+MAX(0,AK137-AL137+AE137-AM137+AF137-AN137+AG137))</f>
        <v>0</v>
      </c>
      <c r="AP137" s="21" t="n">
        <f aca="false">MIN(ROUND(AC137*(1+AC$15),2),AI137+MAX(0,AK137-AL137+AE137-AM137+AF137-AN137+AG137-AO137+AH137))</f>
        <v>0</v>
      </c>
      <c r="AQ137" s="21" t="n">
        <f aca="false">MIN(ROUND(AD137*(1+AD$15),2),AJ137+MAX(0,AK137-AL137+AE137-AM137+AF137-AN137+AG137-AO137+AH137-AP137+AI137))</f>
        <v>0</v>
      </c>
      <c r="AR137" s="21" t="n">
        <f aca="false">SUM(Y137:AD137)</f>
        <v>0</v>
      </c>
      <c r="AS137" s="21" t="n">
        <f aca="false">SUM(AL137:AQ137)</f>
        <v>0</v>
      </c>
    </row>
    <row r="138" customFormat="false" ht="15" hidden="false" customHeight="false" outlineLevel="0" collapsed="false">
      <c r="A138" s="25" t="n">
        <f aca="false">A137+1</f>
        <v>112</v>
      </c>
      <c r="B138" s="21" t="n">
        <f aca="false">MAX(0,ROUND(B137*(1+B$15),2)-O137)</f>
        <v>0</v>
      </c>
      <c r="C138" s="21" t="n">
        <f aca="false">MAX(0,ROUND(C137*(1+C$15),2)-P137)</f>
        <v>0</v>
      </c>
      <c r="D138" s="21" t="n">
        <f aca="false">MAX(0,ROUND(D137*(1+D$15),2)-Q137)</f>
        <v>0</v>
      </c>
      <c r="E138" s="21" t="n">
        <f aca="false">MAX(0,ROUND(E137*(1+E$15),2)-R137)</f>
        <v>0</v>
      </c>
      <c r="F138" s="21" t="n">
        <f aca="false">MAX(0,ROUND(F137*(1+F$15),2)-S137)</f>
        <v>0</v>
      </c>
      <c r="G138" s="21" t="n">
        <f aca="false">MAX(0,ROUND(G137*(1+G$15),2)-T137)</f>
        <v>0</v>
      </c>
      <c r="H138" s="21" t="n">
        <f aca="false">MIN(B$16,ROUND(B138*(1+B$15),2))</f>
        <v>0</v>
      </c>
      <c r="I138" s="21" t="n">
        <f aca="false">MIN(C$16,ROUND(C138*(1+C$15),2))</f>
        <v>0</v>
      </c>
      <c r="J138" s="21" t="n">
        <f aca="false">MIN(D$16,ROUND(D138*(1+D$15),2))</f>
        <v>0</v>
      </c>
      <c r="K138" s="21" t="n">
        <f aca="false">MIN(E$16,ROUND(E138*(1+E$15),2))</f>
        <v>0</v>
      </c>
      <c r="L138" s="21" t="n">
        <f aca="false">MIN(F$16,ROUND(F138*(1+F$15),2))</f>
        <v>0</v>
      </c>
      <c r="M138" s="21" t="n">
        <f aca="false">MIN(G$16,ROUND(G138*(1+G$15),2))</f>
        <v>0</v>
      </c>
      <c r="N138" s="21" t="n">
        <f aca="false">B$20-SUM(H138:M138)</f>
        <v>1170</v>
      </c>
      <c r="O138" s="21" t="n">
        <f aca="false">MIN(ROUND(B138*(1+B$15),2),H138+MAX(0,N138))</f>
        <v>0</v>
      </c>
      <c r="P138" s="21" t="n">
        <f aca="false">MIN(ROUND(C138*(1+C$15),2),I138+MAX(0,N138-O138+H138))</f>
        <v>0</v>
      </c>
      <c r="Q138" s="21" t="n">
        <f aca="false">MIN(ROUND(D138*(1+D$15),2),J138+MAX(0,N138-O138+H138-P138+I138))</f>
        <v>0</v>
      </c>
      <c r="R138" s="21" t="n">
        <f aca="false">MIN(ROUND(E138*(1+E$15),2),K138+MAX(0,N138-O138+H138-P138+I138-Q138+J138))</f>
        <v>0</v>
      </c>
      <c r="S138" s="21" t="n">
        <f aca="false">MIN(ROUND(F138*(1+F$15),2),L138+MAX(0,N138-O138+H138-P138+I138-Q138+J138-R138+K138))</f>
        <v>0</v>
      </c>
      <c r="T138" s="21" t="n">
        <f aca="false">MIN(ROUND(G138*(1+G$15),2),M138+MAX(0,N138-O138+H138-P138+I138-Q138+J138-R138+K138-S138+L138))</f>
        <v>0</v>
      </c>
      <c r="U138" s="21" t="n">
        <f aca="false">SUM(B138:G138)</f>
        <v>0</v>
      </c>
      <c r="V138" s="21" t="n">
        <f aca="false">SUM(O138:T138)</f>
        <v>0</v>
      </c>
      <c r="X138" s="25" t="n">
        <f aca="false">X137+1</f>
        <v>112</v>
      </c>
      <c r="Y138" s="21" t="n">
        <f aca="false">MAX(0,ROUND(Y137*(1+Y$15),2)-AL137)</f>
        <v>0</v>
      </c>
      <c r="Z138" s="21" t="n">
        <f aca="false">MAX(0,ROUND(Z137*(1+Z$15),2)-AM137)</f>
        <v>0</v>
      </c>
      <c r="AA138" s="21" t="n">
        <f aca="false">MAX(0,ROUND(AA137*(1+AA$15),2)-AN137)</f>
        <v>0</v>
      </c>
      <c r="AB138" s="21" t="n">
        <f aca="false">MAX(0,ROUND(AB137*(1+AB$15),2)-AO137)</f>
        <v>0</v>
      </c>
      <c r="AC138" s="21" t="n">
        <f aca="false">MAX(0,ROUND(AC137*(1+AC$15),2)-AP137)</f>
        <v>0</v>
      </c>
      <c r="AD138" s="21" t="n">
        <f aca="false">MAX(0,ROUND(AD137*(1+AD$15),2)-AQ137)</f>
        <v>0</v>
      </c>
      <c r="AE138" s="21" t="n">
        <f aca="false">MIN(Y$16,ROUND(Y138*(1+Y$15),2))</f>
        <v>0</v>
      </c>
      <c r="AF138" s="21" t="n">
        <f aca="false">MIN(Z$16,ROUND(Z138*(1+Z$15),2))</f>
        <v>0</v>
      </c>
      <c r="AG138" s="21" t="n">
        <f aca="false">MIN(AA$16,ROUND(AA138*(1+AA$15),2))</f>
        <v>0</v>
      </c>
      <c r="AH138" s="21" t="n">
        <f aca="false">MIN(AB$16,ROUND(AB138*(1+AB$15),2))</f>
        <v>0</v>
      </c>
      <c r="AI138" s="21" t="n">
        <f aca="false">MIN(AC$16,ROUND(AC138*(1+AC$15),2))</f>
        <v>0</v>
      </c>
      <c r="AJ138" s="21" t="n">
        <f aca="false">MIN(AD$16,ROUND(AD138*(1+AD$15),2))</f>
        <v>0</v>
      </c>
      <c r="AK138" s="21" t="n">
        <f aca="false">Y$20-SUM(AE138:AJ138)</f>
        <v>1170</v>
      </c>
      <c r="AL138" s="21" t="n">
        <f aca="false">MIN(ROUND(Y138*(1+Y$15),2),AE138+MAX(0,AK138))</f>
        <v>0</v>
      </c>
      <c r="AM138" s="21" t="n">
        <f aca="false">MIN(ROUND(Z138*(1+Z$15),2),AF138+MAX(0,AK138-AL138+AE138))</f>
        <v>0</v>
      </c>
      <c r="AN138" s="21" t="n">
        <f aca="false">MIN(ROUND(AA138*(1+AA$15),2),AG138+MAX(0,AK138-AL138+AE138-AM138+AF138))</f>
        <v>0</v>
      </c>
      <c r="AO138" s="21" t="n">
        <f aca="false">MIN(ROUND(AB138*(1+AB$15),2),AH138+MAX(0,AK138-AL138+AE138-AM138+AF138-AN138+AG138))</f>
        <v>0</v>
      </c>
      <c r="AP138" s="21" t="n">
        <f aca="false">MIN(ROUND(AC138*(1+AC$15),2),AI138+MAX(0,AK138-AL138+AE138-AM138+AF138-AN138+AG138-AO138+AH138))</f>
        <v>0</v>
      </c>
      <c r="AQ138" s="21" t="n">
        <f aca="false">MIN(ROUND(AD138*(1+AD$15),2),AJ138+MAX(0,AK138-AL138+AE138-AM138+AF138-AN138+AG138-AO138+AH138-AP138+AI138))</f>
        <v>0</v>
      </c>
      <c r="AR138" s="21" t="n">
        <f aca="false">SUM(Y138:AD138)</f>
        <v>0</v>
      </c>
      <c r="AS138" s="21" t="n">
        <f aca="false">SUM(AL138:AQ138)</f>
        <v>0</v>
      </c>
    </row>
    <row r="139" customFormat="false" ht="15" hidden="false" customHeight="false" outlineLevel="0" collapsed="false">
      <c r="A139" s="25" t="n">
        <f aca="false">A138+1</f>
        <v>113</v>
      </c>
      <c r="B139" s="21" t="n">
        <f aca="false">MAX(0,ROUND(B138*(1+B$15),2)-O138)</f>
        <v>0</v>
      </c>
      <c r="C139" s="21" t="n">
        <f aca="false">MAX(0,ROUND(C138*(1+C$15),2)-P138)</f>
        <v>0</v>
      </c>
      <c r="D139" s="21" t="n">
        <f aca="false">MAX(0,ROUND(D138*(1+D$15),2)-Q138)</f>
        <v>0</v>
      </c>
      <c r="E139" s="21" t="n">
        <f aca="false">MAX(0,ROUND(E138*(1+E$15),2)-R138)</f>
        <v>0</v>
      </c>
      <c r="F139" s="21" t="n">
        <f aca="false">MAX(0,ROUND(F138*(1+F$15),2)-S138)</f>
        <v>0</v>
      </c>
      <c r="G139" s="21" t="n">
        <f aca="false">MAX(0,ROUND(G138*(1+G$15),2)-T138)</f>
        <v>0</v>
      </c>
      <c r="H139" s="21" t="n">
        <f aca="false">MIN(B$16,ROUND(B139*(1+B$15),2))</f>
        <v>0</v>
      </c>
      <c r="I139" s="21" t="n">
        <f aca="false">MIN(C$16,ROUND(C139*(1+C$15),2))</f>
        <v>0</v>
      </c>
      <c r="J139" s="21" t="n">
        <f aca="false">MIN(D$16,ROUND(D139*(1+D$15),2))</f>
        <v>0</v>
      </c>
      <c r="K139" s="21" t="n">
        <f aca="false">MIN(E$16,ROUND(E139*(1+E$15),2))</f>
        <v>0</v>
      </c>
      <c r="L139" s="21" t="n">
        <f aca="false">MIN(F$16,ROUND(F139*(1+F$15),2))</f>
        <v>0</v>
      </c>
      <c r="M139" s="21" t="n">
        <f aca="false">MIN(G$16,ROUND(G139*(1+G$15),2))</f>
        <v>0</v>
      </c>
      <c r="N139" s="21" t="n">
        <f aca="false">B$20-SUM(H139:M139)</f>
        <v>1170</v>
      </c>
      <c r="O139" s="21" t="n">
        <f aca="false">MIN(ROUND(B139*(1+B$15),2),H139+MAX(0,N139))</f>
        <v>0</v>
      </c>
      <c r="P139" s="21" t="n">
        <f aca="false">MIN(ROUND(C139*(1+C$15),2),I139+MAX(0,N139-O139+H139))</f>
        <v>0</v>
      </c>
      <c r="Q139" s="21" t="n">
        <f aca="false">MIN(ROUND(D139*(1+D$15),2),J139+MAX(0,N139-O139+H139-P139+I139))</f>
        <v>0</v>
      </c>
      <c r="R139" s="21" t="n">
        <f aca="false">MIN(ROUND(E139*(1+E$15),2),K139+MAX(0,N139-O139+H139-P139+I139-Q139+J139))</f>
        <v>0</v>
      </c>
      <c r="S139" s="21" t="n">
        <f aca="false">MIN(ROUND(F139*(1+F$15),2),L139+MAX(0,N139-O139+H139-P139+I139-Q139+J139-R139+K139))</f>
        <v>0</v>
      </c>
      <c r="T139" s="21" t="n">
        <f aca="false">MIN(ROUND(G139*(1+G$15),2),M139+MAX(0,N139-O139+H139-P139+I139-Q139+J139-R139+K139-S139+L139))</f>
        <v>0</v>
      </c>
      <c r="U139" s="21" t="n">
        <f aca="false">SUM(B139:G139)</f>
        <v>0</v>
      </c>
      <c r="V139" s="21" t="n">
        <f aca="false">SUM(O139:T139)</f>
        <v>0</v>
      </c>
      <c r="X139" s="25" t="n">
        <f aca="false">X138+1</f>
        <v>113</v>
      </c>
      <c r="Y139" s="21" t="n">
        <f aca="false">MAX(0,ROUND(Y138*(1+Y$15),2)-AL138)</f>
        <v>0</v>
      </c>
      <c r="Z139" s="21" t="n">
        <f aca="false">MAX(0,ROUND(Z138*(1+Z$15),2)-AM138)</f>
        <v>0</v>
      </c>
      <c r="AA139" s="21" t="n">
        <f aca="false">MAX(0,ROUND(AA138*(1+AA$15),2)-AN138)</f>
        <v>0</v>
      </c>
      <c r="AB139" s="21" t="n">
        <f aca="false">MAX(0,ROUND(AB138*(1+AB$15),2)-AO138)</f>
        <v>0</v>
      </c>
      <c r="AC139" s="21" t="n">
        <f aca="false">MAX(0,ROUND(AC138*(1+AC$15),2)-AP138)</f>
        <v>0</v>
      </c>
      <c r="AD139" s="21" t="n">
        <f aca="false">MAX(0,ROUND(AD138*(1+AD$15),2)-AQ138)</f>
        <v>0</v>
      </c>
      <c r="AE139" s="21" t="n">
        <f aca="false">MIN(Y$16,ROUND(Y139*(1+Y$15),2))</f>
        <v>0</v>
      </c>
      <c r="AF139" s="21" t="n">
        <f aca="false">MIN(Z$16,ROUND(Z139*(1+Z$15),2))</f>
        <v>0</v>
      </c>
      <c r="AG139" s="21" t="n">
        <f aca="false">MIN(AA$16,ROUND(AA139*(1+AA$15),2))</f>
        <v>0</v>
      </c>
      <c r="AH139" s="21" t="n">
        <f aca="false">MIN(AB$16,ROUND(AB139*(1+AB$15),2))</f>
        <v>0</v>
      </c>
      <c r="AI139" s="21" t="n">
        <f aca="false">MIN(AC$16,ROUND(AC139*(1+AC$15),2))</f>
        <v>0</v>
      </c>
      <c r="AJ139" s="21" t="n">
        <f aca="false">MIN(AD$16,ROUND(AD139*(1+AD$15),2))</f>
        <v>0</v>
      </c>
      <c r="AK139" s="21" t="n">
        <f aca="false">Y$20-SUM(AE139:AJ139)</f>
        <v>1170</v>
      </c>
      <c r="AL139" s="21" t="n">
        <f aca="false">MIN(ROUND(Y139*(1+Y$15),2),AE139+MAX(0,AK139))</f>
        <v>0</v>
      </c>
      <c r="AM139" s="21" t="n">
        <f aca="false">MIN(ROUND(Z139*(1+Z$15),2),AF139+MAX(0,AK139-AL139+AE139))</f>
        <v>0</v>
      </c>
      <c r="AN139" s="21" t="n">
        <f aca="false">MIN(ROUND(AA139*(1+AA$15),2),AG139+MAX(0,AK139-AL139+AE139-AM139+AF139))</f>
        <v>0</v>
      </c>
      <c r="AO139" s="21" t="n">
        <f aca="false">MIN(ROUND(AB139*(1+AB$15),2),AH139+MAX(0,AK139-AL139+AE139-AM139+AF139-AN139+AG139))</f>
        <v>0</v>
      </c>
      <c r="AP139" s="21" t="n">
        <f aca="false">MIN(ROUND(AC139*(1+AC$15),2),AI139+MAX(0,AK139-AL139+AE139-AM139+AF139-AN139+AG139-AO139+AH139))</f>
        <v>0</v>
      </c>
      <c r="AQ139" s="21" t="n">
        <f aca="false">MIN(ROUND(AD139*(1+AD$15),2),AJ139+MAX(0,AK139-AL139+AE139-AM139+AF139-AN139+AG139-AO139+AH139-AP139+AI139))</f>
        <v>0</v>
      </c>
      <c r="AR139" s="21" t="n">
        <f aca="false">SUM(Y139:AD139)</f>
        <v>0</v>
      </c>
      <c r="AS139" s="21" t="n">
        <f aca="false">SUM(AL139:AQ139)</f>
        <v>0</v>
      </c>
    </row>
    <row r="140" customFormat="false" ht="15" hidden="false" customHeight="false" outlineLevel="0" collapsed="false">
      <c r="A140" s="25" t="n">
        <f aca="false">A139+1</f>
        <v>114</v>
      </c>
      <c r="B140" s="21" t="n">
        <f aca="false">MAX(0,ROUND(B139*(1+B$15),2)-O139)</f>
        <v>0</v>
      </c>
      <c r="C140" s="21" t="n">
        <f aca="false">MAX(0,ROUND(C139*(1+C$15),2)-P139)</f>
        <v>0</v>
      </c>
      <c r="D140" s="21" t="n">
        <f aca="false">MAX(0,ROUND(D139*(1+D$15),2)-Q139)</f>
        <v>0</v>
      </c>
      <c r="E140" s="21" t="n">
        <f aca="false">MAX(0,ROUND(E139*(1+E$15),2)-R139)</f>
        <v>0</v>
      </c>
      <c r="F140" s="21" t="n">
        <f aca="false">MAX(0,ROUND(F139*(1+F$15),2)-S139)</f>
        <v>0</v>
      </c>
      <c r="G140" s="21" t="n">
        <f aca="false">MAX(0,ROUND(G139*(1+G$15),2)-T139)</f>
        <v>0</v>
      </c>
      <c r="H140" s="21" t="n">
        <f aca="false">MIN(B$16,ROUND(B140*(1+B$15),2))</f>
        <v>0</v>
      </c>
      <c r="I140" s="21" t="n">
        <f aca="false">MIN(C$16,ROUND(C140*(1+C$15),2))</f>
        <v>0</v>
      </c>
      <c r="J140" s="21" t="n">
        <f aca="false">MIN(D$16,ROUND(D140*(1+D$15),2))</f>
        <v>0</v>
      </c>
      <c r="K140" s="21" t="n">
        <f aca="false">MIN(E$16,ROUND(E140*(1+E$15),2))</f>
        <v>0</v>
      </c>
      <c r="L140" s="21" t="n">
        <f aca="false">MIN(F$16,ROUND(F140*(1+F$15),2))</f>
        <v>0</v>
      </c>
      <c r="M140" s="21" t="n">
        <f aca="false">MIN(G$16,ROUND(G140*(1+G$15),2))</f>
        <v>0</v>
      </c>
      <c r="N140" s="21" t="n">
        <f aca="false">B$20-SUM(H140:M140)</f>
        <v>1170</v>
      </c>
      <c r="O140" s="21" t="n">
        <f aca="false">MIN(ROUND(B140*(1+B$15),2),H140+MAX(0,N140))</f>
        <v>0</v>
      </c>
      <c r="P140" s="21" t="n">
        <f aca="false">MIN(ROUND(C140*(1+C$15),2),I140+MAX(0,N140-O140+H140))</f>
        <v>0</v>
      </c>
      <c r="Q140" s="21" t="n">
        <f aca="false">MIN(ROUND(D140*(1+D$15),2),J140+MAX(0,N140-O140+H140-P140+I140))</f>
        <v>0</v>
      </c>
      <c r="R140" s="21" t="n">
        <f aca="false">MIN(ROUND(E140*(1+E$15),2),K140+MAX(0,N140-O140+H140-P140+I140-Q140+J140))</f>
        <v>0</v>
      </c>
      <c r="S140" s="21" t="n">
        <f aca="false">MIN(ROUND(F140*(1+F$15),2),L140+MAX(0,N140-O140+H140-P140+I140-Q140+J140-R140+K140))</f>
        <v>0</v>
      </c>
      <c r="T140" s="21" t="n">
        <f aca="false">MIN(ROUND(G140*(1+G$15),2),M140+MAX(0,N140-O140+H140-P140+I140-Q140+J140-R140+K140-S140+L140))</f>
        <v>0</v>
      </c>
      <c r="U140" s="21" t="n">
        <f aca="false">SUM(B140:G140)</f>
        <v>0</v>
      </c>
      <c r="V140" s="21" t="n">
        <f aca="false">SUM(O140:T140)</f>
        <v>0</v>
      </c>
      <c r="X140" s="25" t="n">
        <f aca="false">X139+1</f>
        <v>114</v>
      </c>
      <c r="Y140" s="21" t="n">
        <f aca="false">MAX(0,ROUND(Y139*(1+Y$15),2)-AL139)</f>
        <v>0</v>
      </c>
      <c r="Z140" s="21" t="n">
        <f aca="false">MAX(0,ROUND(Z139*(1+Z$15),2)-AM139)</f>
        <v>0</v>
      </c>
      <c r="AA140" s="21" t="n">
        <f aca="false">MAX(0,ROUND(AA139*(1+AA$15),2)-AN139)</f>
        <v>0</v>
      </c>
      <c r="AB140" s="21" t="n">
        <f aca="false">MAX(0,ROUND(AB139*(1+AB$15),2)-AO139)</f>
        <v>0</v>
      </c>
      <c r="AC140" s="21" t="n">
        <f aca="false">MAX(0,ROUND(AC139*(1+AC$15),2)-AP139)</f>
        <v>0</v>
      </c>
      <c r="AD140" s="21" t="n">
        <f aca="false">MAX(0,ROUND(AD139*(1+AD$15),2)-AQ139)</f>
        <v>0</v>
      </c>
      <c r="AE140" s="21" t="n">
        <f aca="false">MIN(Y$16,ROUND(Y140*(1+Y$15),2))</f>
        <v>0</v>
      </c>
      <c r="AF140" s="21" t="n">
        <f aca="false">MIN(Z$16,ROUND(Z140*(1+Z$15),2))</f>
        <v>0</v>
      </c>
      <c r="AG140" s="21" t="n">
        <f aca="false">MIN(AA$16,ROUND(AA140*(1+AA$15),2))</f>
        <v>0</v>
      </c>
      <c r="AH140" s="21" t="n">
        <f aca="false">MIN(AB$16,ROUND(AB140*(1+AB$15),2))</f>
        <v>0</v>
      </c>
      <c r="AI140" s="21" t="n">
        <f aca="false">MIN(AC$16,ROUND(AC140*(1+AC$15),2))</f>
        <v>0</v>
      </c>
      <c r="AJ140" s="21" t="n">
        <f aca="false">MIN(AD$16,ROUND(AD140*(1+AD$15),2))</f>
        <v>0</v>
      </c>
      <c r="AK140" s="21" t="n">
        <f aca="false">Y$20-SUM(AE140:AJ140)</f>
        <v>1170</v>
      </c>
      <c r="AL140" s="21" t="n">
        <f aca="false">MIN(ROUND(Y140*(1+Y$15),2),AE140+MAX(0,AK140))</f>
        <v>0</v>
      </c>
      <c r="AM140" s="21" t="n">
        <f aca="false">MIN(ROUND(Z140*(1+Z$15),2),AF140+MAX(0,AK140-AL140+AE140))</f>
        <v>0</v>
      </c>
      <c r="AN140" s="21" t="n">
        <f aca="false">MIN(ROUND(AA140*(1+AA$15),2),AG140+MAX(0,AK140-AL140+AE140-AM140+AF140))</f>
        <v>0</v>
      </c>
      <c r="AO140" s="21" t="n">
        <f aca="false">MIN(ROUND(AB140*(1+AB$15),2),AH140+MAX(0,AK140-AL140+AE140-AM140+AF140-AN140+AG140))</f>
        <v>0</v>
      </c>
      <c r="AP140" s="21" t="n">
        <f aca="false">MIN(ROUND(AC140*(1+AC$15),2),AI140+MAX(0,AK140-AL140+AE140-AM140+AF140-AN140+AG140-AO140+AH140))</f>
        <v>0</v>
      </c>
      <c r="AQ140" s="21" t="n">
        <f aca="false">MIN(ROUND(AD140*(1+AD$15),2),AJ140+MAX(0,AK140-AL140+AE140-AM140+AF140-AN140+AG140-AO140+AH140-AP140+AI140))</f>
        <v>0</v>
      </c>
      <c r="AR140" s="21" t="n">
        <f aca="false">SUM(Y140:AD140)</f>
        <v>0</v>
      </c>
      <c r="AS140" s="21" t="n">
        <f aca="false">SUM(AL140:AQ140)</f>
        <v>0</v>
      </c>
    </row>
    <row r="141" customFormat="false" ht="15" hidden="false" customHeight="false" outlineLevel="0" collapsed="false">
      <c r="A141" s="25" t="n">
        <f aca="false">A140+1</f>
        <v>115</v>
      </c>
      <c r="B141" s="21" t="n">
        <f aca="false">MAX(0,ROUND(B140*(1+B$15),2)-O140)</f>
        <v>0</v>
      </c>
      <c r="C141" s="21" t="n">
        <f aca="false">MAX(0,ROUND(C140*(1+C$15),2)-P140)</f>
        <v>0</v>
      </c>
      <c r="D141" s="21" t="n">
        <f aca="false">MAX(0,ROUND(D140*(1+D$15),2)-Q140)</f>
        <v>0</v>
      </c>
      <c r="E141" s="21" t="n">
        <f aca="false">MAX(0,ROUND(E140*(1+E$15),2)-R140)</f>
        <v>0</v>
      </c>
      <c r="F141" s="21" t="n">
        <f aca="false">MAX(0,ROUND(F140*(1+F$15),2)-S140)</f>
        <v>0</v>
      </c>
      <c r="G141" s="21" t="n">
        <f aca="false">MAX(0,ROUND(G140*(1+G$15),2)-T140)</f>
        <v>0</v>
      </c>
      <c r="H141" s="21" t="n">
        <f aca="false">MIN(B$16,ROUND(B141*(1+B$15),2))</f>
        <v>0</v>
      </c>
      <c r="I141" s="21" t="n">
        <f aca="false">MIN(C$16,ROUND(C141*(1+C$15),2))</f>
        <v>0</v>
      </c>
      <c r="J141" s="21" t="n">
        <f aca="false">MIN(D$16,ROUND(D141*(1+D$15),2))</f>
        <v>0</v>
      </c>
      <c r="K141" s="21" t="n">
        <f aca="false">MIN(E$16,ROUND(E141*(1+E$15),2))</f>
        <v>0</v>
      </c>
      <c r="L141" s="21" t="n">
        <f aca="false">MIN(F$16,ROUND(F141*(1+F$15),2))</f>
        <v>0</v>
      </c>
      <c r="M141" s="21" t="n">
        <f aca="false">MIN(G$16,ROUND(G141*(1+G$15),2))</f>
        <v>0</v>
      </c>
      <c r="N141" s="21" t="n">
        <f aca="false">B$20-SUM(H141:M141)</f>
        <v>1170</v>
      </c>
      <c r="O141" s="21" t="n">
        <f aca="false">MIN(ROUND(B141*(1+B$15),2),H141+MAX(0,N141))</f>
        <v>0</v>
      </c>
      <c r="P141" s="21" t="n">
        <f aca="false">MIN(ROUND(C141*(1+C$15),2),I141+MAX(0,N141-O141+H141))</f>
        <v>0</v>
      </c>
      <c r="Q141" s="21" t="n">
        <f aca="false">MIN(ROUND(D141*(1+D$15),2),J141+MAX(0,N141-O141+H141-P141+I141))</f>
        <v>0</v>
      </c>
      <c r="R141" s="21" t="n">
        <f aca="false">MIN(ROUND(E141*(1+E$15),2),K141+MAX(0,N141-O141+H141-P141+I141-Q141+J141))</f>
        <v>0</v>
      </c>
      <c r="S141" s="21" t="n">
        <f aca="false">MIN(ROUND(F141*(1+F$15),2),L141+MAX(0,N141-O141+H141-P141+I141-Q141+J141-R141+K141))</f>
        <v>0</v>
      </c>
      <c r="T141" s="21" t="n">
        <f aca="false">MIN(ROUND(G141*(1+G$15),2),M141+MAX(0,N141-O141+H141-P141+I141-Q141+J141-R141+K141-S141+L141))</f>
        <v>0</v>
      </c>
      <c r="U141" s="21" t="n">
        <f aca="false">SUM(B141:G141)</f>
        <v>0</v>
      </c>
      <c r="V141" s="21" t="n">
        <f aca="false">SUM(O141:T141)</f>
        <v>0</v>
      </c>
      <c r="X141" s="25" t="n">
        <f aca="false">X140+1</f>
        <v>115</v>
      </c>
      <c r="Y141" s="21" t="n">
        <f aca="false">MAX(0,ROUND(Y140*(1+Y$15),2)-AL140)</f>
        <v>0</v>
      </c>
      <c r="Z141" s="21" t="n">
        <f aca="false">MAX(0,ROUND(Z140*(1+Z$15),2)-AM140)</f>
        <v>0</v>
      </c>
      <c r="AA141" s="21" t="n">
        <f aca="false">MAX(0,ROUND(AA140*(1+AA$15),2)-AN140)</f>
        <v>0</v>
      </c>
      <c r="AB141" s="21" t="n">
        <f aca="false">MAX(0,ROUND(AB140*(1+AB$15),2)-AO140)</f>
        <v>0</v>
      </c>
      <c r="AC141" s="21" t="n">
        <f aca="false">MAX(0,ROUND(AC140*(1+AC$15),2)-AP140)</f>
        <v>0</v>
      </c>
      <c r="AD141" s="21" t="n">
        <f aca="false">MAX(0,ROUND(AD140*(1+AD$15),2)-AQ140)</f>
        <v>0</v>
      </c>
      <c r="AE141" s="21" t="n">
        <f aca="false">MIN(Y$16,ROUND(Y141*(1+Y$15),2))</f>
        <v>0</v>
      </c>
      <c r="AF141" s="21" t="n">
        <f aca="false">MIN(Z$16,ROUND(Z141*(1+Z$15),2))</f>
        <v>0</v>
      </c>
      <c r="AG141" s="21" t="n">
        <f aca="false">MIN(AA$16,ROUND(AA141*(1+AA$15),2))</f>
        <v>0</v>
      </c>
      <c r="AH141" s="21" t="n">
        <f aca="false">MIN(AB$16,ROUND(AB141*(1+AB$15),2))</f>
        <v>0</v>
      </c>
      <c r="AI141" s="21" t="n">
        <f aca="false">MIN(AC$16,ROUND(AC141*(1+AC$15),2))</f>
        <v>0</v>
      </c>
      <c r="AJ141" s="21" t="n">
        <f aca="false">MIN(AD$16,ROUND(AD141*(1+AD$15),2))</f>
        <v>0</v>
      </c>
      <c r="AK141" s="21" t="n">
        <f aca="false">Y$20-SUM(AE141:AJ141)</f>
        <v>1170</v>
      </c>
      <c r="AL141" s="21" t="n">
        <f aca="false">MIN(ROUND(Y141*(1+Y$15),2),AE141+MAX(0,AK141))</f>
        <v>0</v>
      </c>
      <c r="AM141" s="21" t="n">
        <f aca="false">MIN(ROUND(Z141*(1+Z$15),2),AF141+MAX(0,AK141-AL141+AE141))</f>
        <v>0</v>
      </c>
      <c r="AN141" s="21" t="n">
        <f aca="false">MIN(ROUND(AA141*(1+AA$15),2),AG141+MAX(0,AK141-AL141+AE141-AM141+AF141))</f>
        <v>0</v>
      </c>
      <c r="AO141" s="21" t="n">
        <f aca="false">MIN(ROUND(AB141*(1+AB$15),2),AH141+MAX(0,AK141-AL141+AE141-AM141+AF141-AN141+AG141))</f>
        <v>0</v>
      </c>
      <c r="AP141" s="21" t="n">
        <f aca="false">MIN(ROUND(AC141*(1+AC$15),2),AI141+MAX(0,AK141-AL141+AE141-AM141+AF141-AN141+AG141-AO141+AH141))</f>
        <v>0</v>
      </c>
      <c r="AQ141" s="21" t="n">
        <f aca="false">MIN(ROUND(AD141*(1+AD$15),2),AJ141+MAX(0,AK141-AL141+AE141-AM141+AF141-AN141+AG141-AO141+AH141-AP141+AI141))</f>
        <v>0</v>
      </c>
      <c r="AR141" s="21" t="n">
        <f aca="false">SUM(Y141:AD141)</f>
        <v>0</v>
      </c>
      <c r="AS141" s="21" t="n">
        <f aca="false">SUM(AL141:AQ141)</f>
        <v>0</v>
      </c>
    </row>
    <row r="142" customFormat="false" ht="15" hidden="false" customHeight="false" outlineLevel="0" collapsed="false">
      <c r="A142" s="25" t="n">
        <f aca="false">A141+1</f>
        <v>116</v>
      </c>
      <c r="B142" s="21" t="n">
        <f aca="false">MAX(0,ROUND(B141*(1+B$15),2)-O141)</f>
        <v>0</v>
      </c>
      <c r="C142" s="21" t="n">
        <f aca="false">MAX(0,ROUND(C141*(1+C$15),2)-P141)</f>
        <v>0</v>
      </c>
      <c r="D142" s="21" t="n">
        <f aca="false">MAX(0,ROUND(D141*(1+D$15),2)-Q141)</f>
        <v>0</v>
      </c>
      <c r="E142" s="21" t="n">
        <f aca="false">MAX(0,ROUND(E141*(1+E$15),2)-R141)</f>
        <v>0</v>
      </c>
      <c r="F142" s="21" t="n">
        <f aca="false">MAX(0,ROUND(F141*(1+F$15),2)-S141)</f>
        <v>0</v>
      </c>
      <c r="G142" s="21" t="n">
        <f aca="false">MAX(0,ROUND(G141*(1+G$15),2)-T141)</f>
        <v>0</v>
      </c>
      <c r="H142" s="21" t="n">
        <f aca="false">MIN(B$16,ROUND(B142*(1+B$15),2))</f>
        <v>0</v>
      </c>
      <c r="I142" s="21" t="n">
        <f aca="false">MIN(C$16,ROUND(C142*(1+C$15),2))</f>
        <v>0</v>
      </c>
      <c r="J142" s="21" t="n">
        <f aca="false">MIN(D$16,ROUND(D142*(1+D$15),2))</f>
        <v>0</v>
      </c>
      <c r="K142" s="21" t="n">
        <f aca="false">MIN(E$16,ROUND(E142*(1+E$15),2))</f>
        <v>0</v>
      </c>
      <c r="L142" s="21" t="n">
        <f aca="false">MIN(F$16,ROUND(F142*(1+F$15),2))</f>
        <v>0</v>
      </c>
      <c r="M142" s="21" t="n">
        <f aca="false">MIN(G$16,ROUND(G142*(1+G$15),2))</f>
        <v>0</v>
      </c>
      <c r="N142" s="21" t="n">
        <f aca="false">B$20-SUM(H142:M142)</f>
        <v>1170</v>
      </c>
      <c r="O142" s="21" t="n">
        <f aca="false">MIN(ROUND(B142*(1+B$15),2),H142+MAX(0,N142))</f>
        <v>0</v>
      </c>
      <c r="P142" s="21" t="n">
        <f aca="false">MIN(ROUND(C142*(1+C$15),2),I142+MAX(0,N142-O142+H142))</f>
        <v>0</v>
      </c>
      <c r="Q142" s="21" t="n">
        <f aca="false">MIN(ROUND(D142*(1+D$15),2),J142+MAX(0,N142-O142+H142-P142+I142))</f>
        <v>0</v>
      </c>
      <c r="R142" s="21" t="n">
        <f aca="false">MIN(ROUND(E142*(1+E$15),2),K142+MAX(0,N142-O142+H142-P142+I142-Q142+J142))</f>
        <v>0</v>
      </c>
      <c r="S142" s="21" t="n">
        <f aca="false">MIN(ROUND(F142*(1+F$15),2),L142+MAX(0,N142-O142+H142-P142+I142-Q142+J142-R142+K142))</f>
        <v>0</v>
      </c>
      <c r="T142" s="21" t="n">
        <f aca="false">MIN(ROUND(G142*(1+G$15),2),M142+MAX(0,N142-O142+H142-P142+I142-Q142+J142-R142+K142-S142+L142))</f>
        <v>0</v>
      </c>
      <c r="U142" s="21" t="n">
        <f aca="false">SUM(B142:G142)</f>
        <v>0</v>
      </c>
      <c r="V142" s="21" t="n">
        <f aca="false">SUM(O142:T142)</f>
        <v>0</v>
      </c>
      <c r="X142" s="25" t="n">
        <f aca="false">X141+1</f>
        <v>116</v>
      </c>
      <c r="Y142" s="21" t="n">
        <f aca="false">MAX(0,ROUND(Y141*(1+Y$15),2)-AL141)</f>
        <v>0</v>
      </c>
      <c r="Z142" s="21" t="n">
        <f aca="false">MAX(0,ROUND(Z141*(1+Z$15),2)-AM141)</f>
        <v>0</v>
      </c>
      <c r="AA142" s="21" t="n">
        <f aca="false">MAX(0,ROUND(AA141*(1+AA$15),2)-AN141)</f>
        <v>0</v>
      </c>
      <c r="AB142" s="21" t="n">
        <f aca="false">MAX(0,ROUND(AB141*(1+AB$15),2)-AO141)</f>
        <v>0</v>
      </c>
      <c r="AC142" s="21" t="n">
        <f aca="false">MAX(0,ROUND(AC141*(1+AC$15),2)-AP141)</f>
        <v>0</v>
      </c>
      <c r="AD142" s="21" t="n">
        <f aca="false">MAX(0,ROUND(AD141*(1+AD$15),2)-AQ141)</f>
        <v>0</v>
      </c>
      <c r="AE142" s="21" t="n">
        <f aca="false">MIN(Y$16,ROUND(Y142*(1+Y$15),2))</f>
        <v>0</v>
      </c>
      <c r="AF142" s="21" t="n">
        <f aca="false">MIN(Z$16,ROUND(Z142*(1+Z$15),2))</f>
        <v>0</v>
      </c>
      <c r="AG142" s="21" t="n">
        <f aca="false">MIN(AA$16,ROUND(AA142*(1+AA$15),2))</f>
        <v>0</v>
      </c>
      <c r="AH142" s="21" t="n">
        <f aca="false">MIN(AB$16,ROUND(AB142*(1+AB$15),2))</f>
        <v>0</v>
      </c>
      <c r="AI142" s="21" t="n">
        <f aca="false">MIN(AC$16,ROUND(AC142*(1+AC$15),2))</f>
        <v>0</v>
      </c>
      <c r="AJ142" s="21" t="n">
        <f aca="false">MIN(AD$16,ROUND(AD142*(1+AD$15),2))</f>
        <v>0</v>
      </c>
      <c r="AK142" s="21" t="n">
        <f aca="false">Y$20-SUM(AE142:AJ142)</f>
        <v>1170</v>
      </c>
      <c r="AL142" s="21" t="n">
        <f aca="false">MIN(ROUND(Y142*(1+Y$15),2),AE142+MAX(0,AK142))</f>
        <v>0</v>
      </c>
      <c r="AM142" s="21" t="n">
        <f aca="false">MIN(ROUND(Z142*(1+Z$15),2),AF142+MAX(0,AK142-AL142+AE142))</f>
        <v>0</v>
      </c>
      <c r="AN142" s="21" t="n">
        <f aca="false">MIN(ROUND(AA142*(1+AA$15),2),AG142+MAX(0,AK142-AL142+AE142-AM142+AF142))</f>
        <v>0</v>
      </c>
      <c r="AO142" s="21" t="n">
        <f aca="false">MIN(ROUND(AB142*(1+AB$15),2),AH142+MAX(0,AK142-AL142+AE142-AM142+AF142-AN142+AG142))</f>
        <v>0</v>
      </c>
      <c r="AP142" s="21" t="n">
        <f aca="false">MIN(ROUND(AC142*(1+AC$15),2),AI142+MAX(0,AK142-AL142+AE142-AM142+AF142-AN142+AG142-AO142+AH142))</f>
        <v>0</v>
      </c>
      <c r="AQ142" s="21" t="n">
        <f aca="false">MIN(ROUND(AD142*(1+AD$15),2),AJ142+MAX(0,AK142-AL142+AE142-AM142+AF142-AN142+AG142-AO142+AH142-AP142+AI142))</f>
        <v>0</v>
      </c>
      <c r="AR142" s="21" t="n">
        <f aca="false">SUM(Y142:AD142)</f>
        <v>0</v>
      </c>
      <c r="AS142" s="21" t="n">
        <f aca="false">SUM(AL142:AQ142)</f>
        <v>0</v>
      </c>
    </row>
    <row r="143" customFormat="false" ht="15" hidden="false" customHeight="false" outlineLevel="0" collapsed="false">
      <c r="A143" s="25" t="n">
        <f aca="false">A142+1</f>
        <v>117</v>
      </c>
      <c r="B143" s="21" t="n">
        <f aca="false">MAX(0,ROUND(B142*(1+B$15),2)-O142)</f>
        <v>0</v>
      </c>
      <c r="C143" s="21" t="n">
        <f aca="false">MAX(0,ROUND(C142*(1+C$15),2)-P142)</f>
        <v>0</v>
      </c>
      <c r="D143" s="21" t="n">
        <f aca="false">MAX(0,ROUND(D142*(1+D$15),2)-Q142)</f>
        <v>0</v>
      </c>
      <c r="E143" s="21" t="n">
        <f aca="false">MAX(0,ROUND(E142*(1+E$15),2)-R142)</f>
        <v>0</v>
      </c>
      <c r="F143" s="21" t="n">
        <f aca="false">MAX(0,ROUND(F142*(1+F$15),2)-S142)</f>
        <v>0</v>
      </c>
      <c r="G143" s="21" t="n">
        <f aca="false">MAX(0,ROUND(G142*(1+G$15),2)-T142)</f>
        <v>0</v>
      </c>
      <c r="H143" s="21" t="n">
        <f aca="false">MIN(B$16,ROUND(B143*(1+B$15),2))</f>
        <v>0</v>
      </c>
      <c r="I143" s="21" t="n">
        <f aca="false">MIN(C$16,ROUND(C143*(1+C$15),2))</f>
        <v>0</v>
      </c>
      <c r="J143" s="21" t="n">
        <f aca="false">MIN(D$16,ROUND(D143*(1+D$15),2))</f>
        <v>0</v>
      </c>
      <c r="K143" s="21" t="n">
        <f aca="false">MIN(E$16,ROUND(E143*(1+E$15),2))</f>
        <v>0</v>
      </c>
      <c r="L143" s="21" t="n">
        <f aca="false">MIN(F$16,ROUND(F143*(1+F$15),2))</f>
        <v>0</v>
      </c>
      <c r="M143" s="21" t="n">
        <f aca="false">MIN(G$16,ROUND(G143*(1+G$15),2))</f>
        <v>0</v>
      </c>
      <c r="N143" s="21" t="n">
        <f aca="false">B$20-SUM(H143:M143)</f>
        <v>1170</v>
      </c>
      <c r="O143" s="21" t="n">
        <f aca="false">MIN(ROUND(B143*(1+B$15),2),H143+MAX(0,N143))</f>
        <v>0</v>
      </c>
      <c r="P143" s="21" t="n">
        <f aca="false">MIN(ROUND(C143*(1+C$15),2),I143+MAX(0,N143-O143+H143))</f>
        <v>0</v>
      </c>
      <c r="Q143" s="21" t="n">
        <f aca="false">MIN(ROUND(D143*(1+D$15),2),J143+MAX(0,N143-O143+H143-P143+I143))</f>
        <v>0</v>
      </c>
      <c r="R143" s="21" t="n">
        <f aca="false">MIN(ROUND(E143*(1+E$15),2),K143+MAX(0,N143-O143+H143-P143+I143-Q143+J143))</f>
        <v>0</v>
      </c>
      <c r="S143" s="21" t="n">
        <f aca="false">MIN(ROUND(F143*(1+F$15),2),L143+MAX(0,N143-O143+H143-P143+I143-Q143+J143-R143+K143))</f>
        <v>0</v>
      </c>
      <c r="T143" s="21" t="n">
        <f aca="false">MIN(ROUND(G143*(1+G$15),2),M143+MAX(0,N143-O143+H143-P143+I143-Q143+J143-R143+K143-S143+L143))</f>
        <v>0</v>
      </c>
      <c r="U143" s="21" t="n">
        <f aca="false">SUM(B143:G143)</f>
        <v>0</v>
      </c>
      <c r="V143" s="21" t="n">
        <f aca="false">SUM(O143:T143)</f>
        <v>0</v>
      </c>
      <c r="X143" s="25" t="n">
        <f aca="false">X142+1</f>
        <v>117</v>
      </c>
      <c r="Y143" s="21" t="n">
        <f aca="false">MAX(0,ROUND(Y142*(1+Y$15),2)-AL142)</f>
        <v>0</v>
      </c>
      <c r="Z143" s="21" t="n">
        <f aca="false">MAX(0,ROUND(Z142*(1+Z$15),2)-AM142)</f>
        <v>0</v>
      </c>
      <c r="AA143" s="21" t="n">
        <f aca="false">MAX(0,ROUND(AA142*(1+AA$15),2)-AN142)</f>
        <v>0</v>
      </c>
      <c r="AB143" s="21" t="n">
        <f aca="false">MAX(0,ROUND(AB142*(1+AB$15),2)-AO142)</f>
        <v>0</v>
      </c>
      <c r="AC143" s="21" t="n">
        <f aca="false">MAX(0,ROUND(AC142*(1+AC$15),2)-AP142)</f>
        <v>0</v>
      </c>
      <c r="AD143" s="21" t="n">
        <f aca="false">MAX(0,ROUND(AD142*(1+AD$15),2)-AQ142)</f>
        <v>0</v>
      </c>
      <c r="AE143" s="21" t="n">
        <f aca="false">MIN(Y$16,ROUND(Y143*(1+Y$15),2))</f>
        <v>0</v>
      </c>
      <c r="AF143" s="21" t="n">
        <f aca="false">MIN(Z$16,ROUND(Z143*(1+Z$15),2))</f>
        <v>0</v>
      </c>
      <c r="AG143" s="21" t="n">
        <f aca="false">MIN(AA$16,ROUND(AA143*(1+AA$15),2))</f>
        <v>0</v>
      </c>
      <c r="AH143" s="21" t="n">
        <f aca="false">MIN(AB$16,ROUND(AB143*(1+AB$15),2))</f>
        <v>0</v>
      </c>
      <c r="AI143" s="21" t="n">
        <f aca="false">MIN(AC$16,ROUND(AC143*(1+AC$15),2))</f>
        <v>0</v>
      </c>
      <c r="AJ143" s="21" t="n">
        <f aca="false">MIN(AD$16,ROUND(AD143*(1+AD$15),2))</f>
        <v>0</v>
      </c>
      <c r="AK143" s="21" t="n">
        <f aca="false">Y$20-SUM(AE143:AJ143)</f>
        <v>1170</v>
      </c>
      <c r="AL143" s="21" t="n">
        <f aca="false">MIN(ROUND(Y143*(1+Y$15),2),AE143+MAX(0,AK143))</f>
        <v>0</v>
      </c>
      <c r="AM143" s="21" t="n">
        <f aca="false">MIN(ROUND(Z143*(1+Z$15),2),AF143+MAX(0,AK143-AL143+AE143))</f>
        <v>0</v>
      </c>
      <c r="AN143" s="21" t="n">
        <f aca="false">MIN(ROUND(AA143*(1+AA$15),2),AG143+MAX(0,AK143-AL143+AE143-AM143+AF143))</f>
        <v>0</v>
      </c>
      <c r="AO143" s="21" t="n">
        <f aca="false">MIN(ROUND(AB143*(1+AB$15),2),AH143+MAX(0,AK143-AL143+AE143-AM143+AF143-AN143+AG143))</f>
        <v>0</v>
      </c>
      <c r="AP143" s="21" t="n">
        <f aca="false">MIN(ROUND(AC143*(1+AC$15),2),AI143+MAX(0,AK143-AL143+AE143-AM143+AF143-AN143+AG143-AO143+AH143))</f>
        <v>0</v>
      </c>
      <c r="AQ143" s="21" t="n">
        <f aca="false">MIN(ROUND(AD143*(1+AD$15),2),AJ143+MAX(0,AK143-AL143+AE143-AM143+AF143-AN143+AG143-AO143+AH143-AP143+AI143))</f>
        <v>0</v>
      </c>
      <c r="AR143" s="21" t="n">
        <f aca="false">SUM(Y143:AD143)</f>
        <v>0</v>
      </c>
      <c r="AS143" s="21" t="n">
        <f aca="false">SUM(AL143:AQ143)</f>
        <v>0</v>
      </c>
    </row>
    <row r="144" customFormat="false" ht="15" hidden="false" customHeight="false" outlineLevel="0" collapsed="false">
      <c r="A144" s="25" t="n">
        <f aca="false">A143+1</f>
        <v>118</v>
      </c>
      <c r="B144" s="21" t="n">
        <f aca="false">MAX(0,ROUND(B143*(1+B$15),2)-O143)</f>
        <v>0</v>
      </c>
      <c r="C144" s="21" t="n">
        <f aca="false">MAX(0,ROUND(C143*(1+C$15),2)-P143)</f>
        <v>0</v>
      </c>
      <c r="D144" s="21" t="n">
        <f aca="false">MAX(0,ROUND(D143*(1+D$15),2)-Q143)</f>
        <v>0</v>
      </c>
      <c r="E144" s="21" t="n">
        <f aca="false">MAX(0,ROUND(E143*(1+E$15),2)-R143)</f>
        <v>0</v>
      </c>
      <c r="F144" s="21" t="n">
        <f aca="false">MAX(0,ROUND(F143*(1+F$15),2)-S143)</f>
        <v>0</v>
      </c>
      <c r="G144" s="21" t="n">
        <f aca="false">MAX(0,ROUND(G143*(1+G$15),2)-T143)</f>
        <v>0</v>
      </c>
      <c r="H144" s="21" t="n">
        <f aca="false">MIN(B$16,ROUND(B144*(1+B$15),2))</f>
        <v>0</v>
      </c>
      <c r="I144" s="21" t="n">
        <f aca="false">MIN(C$16,ROUND(C144*(1+C$15),2))</f>
        <v>0</v>
      </c>
      <c r="J144" s="21" t="n">
        <f aca="false">MIN(D$16,ROUND(D144*(1+D$15),2))</f>
        <v>0</v>
      </c>
      <c r="K144" s="21" t="n">
        <f aca="false">MIN(E$16,ROUND(E144*(1+E$15),2))</f>
        <v>0</v>
      </c>
      <c r="L144" s="21" t="n">
        <f aca="false">MIN(F$16,ROUND(F144*(1+F$15),2))</f>
        <v>0</v>
      </c>
      <c r="M144" s="21" t="n">
        <f aca="false">MIN(G$16,ROUND(G144*(1+G$15),2))</f>
        <v>0</v>
      </c>
      <c r="N144" s="21" t="n">
        <f aca="false">B$20-SUM(H144:M144)</f>
        <v>1170</v>
      </c>
      <c r="O144" s="21" t="n">
        <f aca="false">MIN(ROUND(B144*(1+B$15),2),H144+MAX(0,N144))</f>
        <v>0</v>
      </c>
      <c r="P144" s="21" t="n">
        <f aca="false">MIN(ROUND(C144*(1+C$15),2),I144+MAX(0,N144-O144+H144))</f>
        <v>0</v>
      </c>
      <c r="Q144" s="21" t="n">
        <f aca="false">MIN(ROUND(D144*(1+D$15),2),J144+MAX(0,N144-O144+H144-P144+I144))</f>
        <v>0</v>
      </c>
      <c r="R144" s="21" t="n">
        <f aca="false">MIN(ROUND(E144*(1+E$15),2),K144+MAX(0,N144-O144+H144-P144+I144-Q144+J144))</f>
        <v>0</v>
      </c>
      <c r="S144" s="21" t="n">
        <f aca="false">MIN(ROUND(F144*(1+F$15),2),L144+MAX(0,N144-O144+H144-P144+I144-Q144+J144-R144+K144))</f>
        <v>0</v>
      </c>
      <c r="T144" s="21" t="n">
        <f aca="false">MIN(ROUND(G144*(1+G$15),2),M144+MAX(0,N144-O144+H144-P144+I144-Q144+J144-R144+K144-S144+L144))</f>
        <v>0</v>
      </c>
      <c r="U144" s="21" t="n">
        <f aca="false">SUM(B144:G144)</f>
        <v>0</v>
      </c>
      <c r="V144" s="21" t="n">
        <f aca="false">SUM(O144:T144)</f>
        <v>0</v>
      </c>
      <c r="X144" s="25" t="n">
        <f aca="false">X143+1</f>
        <v>118</v>
      </c>
      <c r="Y144" s="21" t="n">
        <f aca="false">MAX(0,ROUND(Y143*(1+Y$15),2)-AL143)</f>
        <v>0</v>
      </c>
      <c r="Z144" s="21" t="n">
        <f aca="false">MAX(0,ROUND(Z143*(1+Z$15),2)-AM143)</f>
        <v>0</v>
      </c>
      <c r="AA144" s="21" t="n">
        <f aca="false">MAX(0,ROUND(AA143*(1+AA$15),2)-AN143)</f>
        <v>0</v>
      </c>
      <c r="AB144" s="21" t="n">
        <f aca="false">MAX(0,ROUND(AB143*(1+AB$15),2)-AO143)</f>
        <v>0</v>
      </c>
      <c r="AC144" s="21" t="n">
        <f aca="false">MAX(0,ROUND(AC143*(1+AC$15),2)-AP143)</f>
        <v>0</v>
      </c>
      <c r="AD144" s="21" t="n">
        <f aca="false">MAX(0,ROUND(AD143*(1+AD$15),2)-AQ143)</f>
        <v>0</v>
      </c>
      <c r="AE144" s="21" t="n">
        <f aca="false">MIN(Y$16,ROUND(Y144*(1+Y$15),2))</f>
        <v>0</v>
      </c>
      <c r="AF144" s="21" t="n">
        <f aca="false">MIN(Z$16,ROUND(Z144*(1+Z$15),2))</f>
        <v>0</v>
      </c>
      <c r="AG144" s="21" t="n">
        <f aca="false">MIN(AA$16,ROUND(AA144*(1+AA$15),2))</f>
        <v>0</v>
      </c>
      <c r="AH144" s="21" t="n">
        <f aca="false">MIN(AB$16,ROUND(AB144*(1+AB$15),2))</f>
        <v>0</v>
      </c>
      <c r="AI144" s="21" t="n">
        <f aca="false">MIN(AC$16,ROUND(AC144*(1+AC$15),2))</f>
        <v>0</v>
      </c>
      <c r="AJ144" s="21" t="n">
        <f aca="false">MIN(AD$16,ROUND(AD144*(1+AD$15),2))</f>
        <v>0</v>
      </c>
      <c r="AK144" s="21" t="n">
        <f aca="false">Y$20-SUM(AE144:AJ144)</f>
        <v>1170</v>
      </c>
      <c r="AL144" s="21" t="n">
        <f aca="false">MIN(ROUND(Y144*(1+Y$15),2),AE144+MAX(0,AK144))</f>
        <v>0</v>
      </c>
      <c r="AM144" s="21" t="n">
        <f aca="false">MIN(ROUND(Z144*(1+Z$15),2),AF144+MAX(0,AK144-AL144+AE144))</f>
        <v>0</v>
      </c>
      <c r="AN144" s="21" t="n">
        <f aca="false">MIN(ROUND(AA144*(1+AA$15),2),AG144+MAX(0,AK144-AL144+AE144-AM144+AF144))</f>
        <v>0</v>
      </c>
      <c r="AO144" s="21" t="n">
        <f aca="false">MIN(ROUND(AB144*(1+AB$15),2),AH144+MAX(0,AK144-AL144+AE144-AM144+AF144-AN144+AG144))</f>
        <v>0</v>
      </c>
      <c r="AP144" s="21" t="n">
        <f aca="false">MIN(ROUND(AC144*(1+AC$15),2),AI144+MAX(0,AK144-AL144+AE144-AM144+AF144-AN144+AG144-AO144+AH144))</f>
        <v>0</v>
      </c>
      <c r="AQ144" s="21" t="n">
        <f aca="false">MIN(ROUND(AD144*(1+AD$15),2),AJ144+MAX(0,AK144-AL144+AE144-AM144+AF144-AN144+AG144-AO144+AH144-AP144+AI144))</f>
        <v>0</v>
      </c>
      <c r="AR144" s="21" t="n">
        <f aca="false">SUM(Y144:AD144)</f>
        <v>0</v>
      </c>
      <c r="AS144" s="21" t="n">
        <f aca="false">SUM(AL144:AQ144)</f>
        <v>0</v>
      </c>
    </row>
    <row r="145" customFormat="false" ht="15" hidden="false" customHeight="false" outlineLevel="0" collapsed="false">
      <c r="A145" s="25" t="n">
        <f aca="false">A144+1</f>
        <v>119</v>
      </c>
      <c r="B145" s="21" t="n">
        <f aca="false">MAX(0,ROUND(B144*(1+B$15),2)-O144)</f>
        <v>0</v>
      </c>
      <c r="C145" s="21" t="n">
        <f aca="false">MAX(0,ROUND(C144*(1+C$15),2)-P144)</f>
        <v>0</v>
      </c>
      <c r="D145" s="21" t="n">
        <f aca="false">MAX(0,ROUND(D144*(1+D$15),2)-Q144)</f>
        <v>0</v>
      </c>
      <c r="E145" s="21" t="n">
        <f aca="false">MAX(0,ROUND(E144*(1+E$15),2)-R144)</f>
        <v>0</v>
      </c>
      <c r="F145" s="21" t="n">
        <f aca="false">MAX(0,ROUND(F144*(1+F$15),2)-S144)</f>
        <v>0</v>
      </c>
      <c r="G145" s="21" t="n">
        <f aca="false">MAX(0,ROUND(G144*(1+G$15),2)-T144)</f>
        <v>0</v>
      </c>
      <c r="H145" s="21" t="n">
        <f aca="false">MIN(B$16,ROUND(B145*(1+B$15),2))</f>
        <v>0</v>
      </c>
      <c r="I145" s="21" t="n">
        <f aca="false">MIN(C$16,ROUND(C145*(1+C$15),2))</f>
        <v>0</v>
      </c>
      <c r="J145" s="21" t="n">
        <f aca="false">MIN(D$16,ROUND(D145*(1+D$15),2))</f>
        <v>0</v>
      </c>
      <c r="K145" s="21" t="n">
        <f aca="false">MIN(E$16,ROUND(E145*(1+E$15),2))</f>
        <v>0</v>
      </c>
      <c r="L145" s="21" t="n">
        <f aca="false">MIN(F$16,ROUND(F145*(1+F$15),2))</f>
        <v>0</v>
      </c>
      <c r="M145" s="21" t="n">
        <f aca="false">MIN(G$16,ROUND(G145*(1+G$15),2))</f>
        <v>0</v>
      </c>
      <c r="N145" s="21" t="n">
        <f aca="false">B$20-SUM(H145:M145)</f>
        <v>1170</v>
      </c>
      <c r="O145" s="21" t="n">
        <f aca="false">MIN(ROUND(B145*(1+B$15),2),H145+MAX(0,N145))</f>
        <v>0</v>
      </c>
      <c r="P145" s="21" t="n">
        <f aca="false">MIN(ROUND(C145*(1+C$15),2),I145+MAX(0,N145-O145+H145))</f>
        <v>0</v>
      </c>
      <c r="Q145" s="21" t="n">
        <f aca="false">MIN(ROUND(D145*(1+D$15),2),J145+MAX(0,N145-O145+H145-P145+I145))</f>
        <v>0</v>
      </c>
      <c r="R145" s="21" t="n">
        <f aca="false">MIN(ROUND(E145*(1+E$15),2),K145+MAX(0,N145-O145+H145-P145+I145-Q145+J145))</f>
        <v>0</v>
      </c>
      <c r="S145" s="21" t="n">
        <f aca="false">MIN(ROUND(F145*(1+F$15),2),L145+MAX(0,N145-O145+H145-P145+I145-Q145+J145-R145+K145))</f>
        <v>0</v>
      </c>
      <c r="T145" s="21" t="n">
        <f aca="false">MIN(ROUND(G145*(1+G$15),2),M145+MAX(0,N145-O145+H145-P145+I145-Q145+J145-R145+K145-S145+L145))</f>
        <v>0</v>
      </c>
      <c r="U145" s="21" t="n">
        <f aca="false">SUM(B145:G145)</f>
        <v>0</v>
      </c>
      <c r="V145" s="21" t="n">
        <f aca="false">SUM(O145:T145)</f>
        <v>0</v>
      </c>
      <c r="X145" s="25" t="n">
        <f aca="false">X144+1</f>
        <v>119</v>
      </c>
      <c r="Y145" s="21" t="n">
        <f aca="false">MAX(0,ROUND(Y144*(1+Y$15),2)-AL144)</f>
        <v>0</v>
      </c>
      <c r="Z145" s="21" t="n">
        <f aca="false">MAX(0,ROUND(Z144*(1+Z$15),2)-AM144)</f>
        <v>0</v>
      </c>
      <c r="AA145" s="21" t="n">
        <f aca="false">MAX(0,ROUND(AA144*(1+AA$15),2)-AN144)</f>
        <v>0</v>
      </c>
      <c r="AB145" s="21" t="n">
        <f aca="false">MAX(0,ROUND(AB144*(1+AB$15),2)-AO144)</f>
        <v>0</v>
      </c>
      <c r="AC145" s="21" t="n">
        <f aca="false">MAX(0,ROUND(AC144*(1+AC$15),2)-AP144)</f>
        <v>0</v>
      </c>
      <c r="AD145" s="21" t="n">
        <f aca="false">MAX(0,ROUND(AD144*(1+AD$15),2)-AQ144)</f>
        <v>0</v>
      </c>
      <c r="AE145" s="21" t="n">
        <f aca="false">MIN(Y$16,ROUND(Y145*(1+Y$15),2))</f>
        <v>0</v>
      </c>
      <c r="AF145" s="21" t="n">
        <f aca="false">MIN(Z$16,ROUND(Z145*(1+Z$15),2))</f>
        <v>0</v>
      </c>
      <c r="AG145" s="21" t="n">
        <f aca="false">MIN(AA$16,ROUND(AA145*(1+AA$15),2))</f>
        <v>0</v>
      </c>
      <c r="AH145" s="21" t="n">
        <f aca="false">MIN(AB$16,ROUND(AB145*(1+AB$15),2))</f>
        <v>0</v>
      </c>
      <c r="AI145" s="21" t="n">
        <f aca="false">MIN(AC$16,ROUND(AC145*(1+AC$15),2))</f>
        <v>0</v>
      </c>
      <c r="AJ145" s="21" t="n">
        <f aca="false">MIN(AD$16,ROUND(AD145*(1+AD$15),2))</f>
        <v>0</v>
      </c>
      <c r="AK145" s="21" t="n">
        <f aca="false">Y$20-SUM(AE145:AJ145)</f>
        <v>1170</v>
      </c>
      <c r="AL145" s="21" t="n">
        <f aca="false">MIN(ROUND(Y145*(1+Y$15),2),AE145+MAX(0,AK145))</f>
        <v>0</v>
      </c>
      <c r="AM145" s="21" t="n">
        <f aca="false">MIN(ROUND(Z145*(1+Z$15),2),AF145+MAX(0,AK145-AL145+AE145))</f>
        <v>0</v>
      </c>
      <c r="AN145" s="21" t="n">
        <f aca="false">MIN(ROUND(AA145*(1+AA$15),2),AG145+MAX(0,AK145-AL145+AE145-AM145+AF145))</f>
        <v>0</v>
      </c>
      <c r="AO145" s="21" t="n">
        <f aca="false">MIN(ROUND(AB145*(1+AB$15),2),AH145+MAX(0,AK145-AL145+AE145-AM145+AF145-AN145+AG145))</f>
        <v>0</v>
      </c>
      <c r="AP145" s="21" t="n">
        <f aca="false">MIN(ROUND(AC145*(1+AC$15),2),AI145+MAX(0,AK145-AL145+AE145-AM145+AF145-AN145+AG145-AO145+AH145))</f>
        <v>0</v>
      </c>
      <c r="AQ145" s="21" t="n">
        <f aca="false">MIN(ROUND(AD145*(1+AD$15),2),AJ145+MAX(0,AK145-AL145+AE145-AM145+AF145-AN145+AG145-AO145+AH145-AP145+AI145))</f>
        <v>0</v>
      </c>
      <c r="AR145" s="21" t="n">
        <f aca="false">SUM(Y145:AD145)</f>
        <v>0</v>
      </c>
      <c r="AS145" s="21" t="n">
        <f aca="false">SUM(AL145:AQ145)</f>
        <v>0</v>
      </c>
    </row>
    <row r="146" customFormat="false" ht="15" hidden="false" customHeight="false" outlineLevel="0" collapsed="false">
      <c r="A146" s="25" t="n">
        <f aca="false">A145+1</f>
        <v>120</v>
      </c>
      <c r="B146" s="21" t="n">
        <f aca="false">MAX(0,ROUND(B145*(1+B$15),2)-O145)</f>
        <v>0</v>
      </c>
      <c r="C146" s="21" t="n">
        <f aca="false">MAX(0,ROUND(C145*(1+C$15),2)-P145)</f>
        <v>0</v>
      </c>
      <c r="D146" s="21" t="n">
        <f aca="false">MAX(0,ROUND(D145*(1+D$15),2)-Q145)</f>
        <v>0</v>
      </c>
      <c r="E146" s="21" t="n">
        <f aca="false">MAX(0,ROUND(E145*(1+E$15),2)-R145)</f>
        <v>0</v>
      </c>
      <c r="F146" s="21" t="n">
        <f aca="false">MAX(0,ROUND(F145*(1+F$15),2)-S145)</f>
        <v>0</v>
      </c>
      <c r="G146" s="21" t="n">
        <f aca="false">MAX(0,ROUND(G145*(1+G$15),2)-T145)</f>
        <v>0</v>
      </c>
      <c r="H146" s="21" t="n">
        <f aca="false">MIN(B$16,ROUND(B146*(1+B$15),2))</f>
        <v>0</v>
      </c>
      <c r="I146" s="21" t="n">
        <f aca="false">MIN(C$16,ROUND(C146*(1+C$15),2))</f>
        <v>0</v>
      </c>
      <c r="J146" s="21" t="n">
        <f aca="false">MIN(D$16,ROUND(D146*(1+D$15),2))</f>
        <v>0</v>
      </c>
      <c r="K146" s="21" t="n">
        <f aca="false">MIN(E$16,ROUND(E146*(1+E$15),2))</f>
        <v>0</v>
      </c>
      <c r="L146" s="21" t="n">
        <f aca="false">MIN(F$16,ROUND(F146*(1+F$15),2))</f>
        <v>0</v>
      </c>
      <c r="M146" s="21" t="n">
        <f aca="false">MIN(G$16,ROUND(G146*(1+G$15),2))</f>
        <v>0</v>
      </c>
      <c r="N146" s="21" t="n">
        <f aca="false">B$20-SUM(H146:M146)</f>
        <v>1170</v>
      </c>
      <c r="O146" s="21" t="n">
        <f aca="false">MIN(ROUND(B146*(1+B$15),2),H146+MAX(0,N146))</f>
        <v>0</v>
      </c>
      <c r="P146" s="21" t="n">
        <f aca="false">MIN(ROUND(C146*(1+C$15),2),I146+MAX(0,N146-O146+H146))</f>
        <v>0</v>
      </c>
      <c r="Q146" s="21" t="n">
        <f aca="false">MIN(ROUND(D146*(1+D$15),2),J146+MAX(0,N146-O146+H146-P146+I146))</f>
        <v>0</v>
      </c>
      <c r="R146" s="21" t="n">
        <f aca="false">MIN(ROUND(E146*(1+E$15),2),K146+MAX(0,N146-O146+H146-P146+I146-Q146+J146))</f>
        <v>0</v>
      </c>
      <c r="S146" s="21" t="n">
        <f aca="false">MIN(ROUND(F146*(1+F$15),2),L146+MAX(0,N146-O146+H146-P146+I146-Q146+J146-R146+K146))</f>
        <v>0</v>
      </c>
      <c r="T146" s="21" t="n">
        <f aca="false">MIN(ROUND(G146*(1+G$15),2),M146+MAX(0,N146-O146+H146-P146+I146-Q146+J146-R146+K146-S146+L146))</f>
        <v>0</v>
      </c>
      <c r="U146" s="21" t="n">
        <f aca="false">SUM(B146:G146)</f>
        <v>0</v>
      </c>
      <c r="V146" s="21" t="n">
        <f aca="false">SUM(O146:T146)</f>
        <v>0</v>
      </c>
      <c r="X146" s="25" t="n">
        <f aca="false">X145+1</f>
        <v>120</v>
      </c>
      <c r="Y146" s="21" t="n">
        <f aca="false">MAX(0,ROUND(Y145*(1+Y$15),2)-AL145)</f>
        <v>0</v>
      </c>
      <c r="Z146" s="21" t="n">
        <f aca="false">MAX(0,ROUND(Z145*(1+Z$15),2)-AM145)</f>
        <v>0</v>
      </c>
      <c r="AA146" s="21" t="n">
        <f aca="false">MAX(0,ROUND(AA145*(1+AA$15),2)-AN145)</f>
        <v>0</v>
      </c>
      <c r="AB146" s="21" t="n">
        <f aca="false">MAX(0,ROUND(AB145*(1+AB$15),2)-AO145)</f>
        <v>0</v>
      </c>
      <c r="AC146" s="21" t="n">
        <f aca="false">MAX(0,ROUND(AC145*(1+AC$15),2)-AP145)</f>
        <v>0</v>
      </c>
      <c r="AD146" s="21" t="n">
        <f aca="false">MAX(0,ROUND(AD145*(1+AD$15),2)-AQ145)</f>
        <v>0</v>
      </c>
      <c r="AE146" s="21" t="n">
        <f aca="false">MIN(Y$16,ROUND(Y146*(1+Y$15),2))</f>
        <v>0</v>
      </c>
      <c r="AF146" s="21" t="n">
        <f aca="false">MIN(Z$16,ROUND(Z146*(1+Z$15),2))</f>
        <v>0</v>
      </c>
      <c r="AG146" s="21" t="n">
        <f aca="false">MIN(AA$16,ROUND(AA146*(1+AA$15),2))</f>
        <v>0</v>
      </c>
      <c r="AH146" s="21" t="n">
        <f aca="false">MIN(AB$16,ROUND(AB146*(1+AB$15),2))</f>
        <v>0</v>
      </c>
      <c r="AI146" s="21" t="n">
        <f aca="false">MIN(AC$16,ROUND(AC146*(1+AC$15),2))</f>
        <v>0</v>
      </c>
      <c r="AJ146" s="21" t="n">
        <f aca="false">MIN(AD$16,ROUND(AD146*(1+AD$15),2))</f>
        <v>0</v>
      </c>
      <c r="AK146" s="21" t="n">
        <f aca="false">Y$20-SUM(AE146:AJ146)</f>
        <v>1170</v>
      </c>
      <c r="AL146" s="21" t="n">
        <f aca="false">MIN(ROUND(Y146*(1+Y$15),2),AE146+MAX(0,AK146))</f>
        <v>0</v>
      </c>
      <c r="AM146" s="21" t="n">
        <f aca="false">MIN(ROUND(Z146*(1+Z$15),2),AF146+MAX(0,AK146-AL146+AE146))</f>
        <v>0</v>
      </c>
      <c r="AN146" s="21" t="n">
        <f aca="false">MIN(ROUND(AA146*(1+AA$15),2),AG146+MAX(0,AK146-AL146+AE146-AM146+AF146))</f>
        <v>0</v>
      </c>
      <c r="AO146" s="21" t="n">
        <f aca="false">MIN(ROUND(AB146*(1+AB$15),2),AH146+MAX(0,AK146-AL146+AE146-AM146+AF146-AN146+AG146))</f>
        <v>0</v>
      </c>
      <c r="AP146" s="21" t="n">
        <f aca="false">MIN(ROUND(AC146*(1+AC$15),2),AI146+MAX(0,AK146-AL146+AE146-AM146+AF146-AN146+AG146-AO146+AH146))</f>
        <v>0</v>
      </c>
      <c r="AQ146" s="21" t="n">
        <f aca="false">MIN(ROUND(AD146*(1+AD$15),2),AJ146+MAX(0,AK146-AL146+AE146-AM146+AF146-AN146+AG146-AO146+AH146-AP146+AI146))</f>
        <v>0</v>
      </c>
      <c r="AR146" s="21" t="n">
        <f aca="false">SUM(Y146:AD146)</f>
        <v>0</v>
      </c>
      <c r="AS146" s="21" t="n">
        <f aca="false">SUM(AL146:AQ146)</f>
        <v>0</v>
      </c>
    </row>
    <row r="147" customFormat="false" ht="15" hidden="false" customHeight="false" outlineLevel="0" collapsed="false">
      <c r="A147" s="25" t="n">
        <f aca="false">A146+1</f>
        <v>121</v>
      </c>
      <c r="B147" s="21" t="n">
        <f aca="false">MAX(0,ROUND(B146*(1+B$15),2)-O146)</f>
        <v>0</v>
      </c>
      <c r="C147" s="21" t="n">
        <f aca="false">MAX(0,ROUND(C146*(1+C$15),2)-P146)</f>
        <v>0</v>
      </c>
      <c r="D147" s="21" t="n">
        <f aca="false">MAX(0,ROUND(D146*(1+D$15),2)-Q146)</f>
        <v>0</v>
      </c>
      <c r="E147" s="21" t="n">
        <f aca="false">MAX(0,ROUND(E146*(1+E$15),2)-R146)</f>
        <v>0</v>
      </c>
      <c r="F147" s="21" t="n">
        <f aca="false">MAX(0,ROUND(F146*(1+F$15),2)-S146)</f>
        <v>0</v>
      </c>
      <c r="G147" s="21" t="n">
        <f aca="false">MAX(0,ROUND(G146*(1+G$15),2)-T146)</f>
        <v>0</v>
      </c>
      <c r="H147" s="21" t="n">
        <f aca="false">MIN(B$16,ROUND(B147*(1+B$15),2))</f>
        <v>0</v>
      </c>
      <c r="I147" s="21" t="n">
        <f aca="false">MIN(C$16,ROUND(C147*(1+C$15),2))</f>
        <v>0</v>
      </c>
      <c r="J147" s="21" t="n">
        <f aca="false">MIN(D$16,ROUND(D147*(1+D$15),2))</f>
        <v>0</v>
      </c>
      <c r="K147" s="21" t="n">
        <f aca="false">MIN(E$16,ROUND(E147*(1+E$15),2))</f>
        <v>0</v>
      </c>
      <c r="L147" s="21" t="n">
        <f aca="false">MIN(F$16,ROUND(F147*(1+F$15),2))</f>
        <v>0</v>
      </c>
      <c r="M147" s="21" t="n">
        <f aca="false">MIN(G$16,ROUND(G147*(1+G$15),2))</f>
        <v>0</v>
      </c>
      <c r="N147" s="21" t="n">
        <f aca="false">B$20-SUM(H147:M147)</f>
        <v>1170</v>
      </c>
      <c r="O147" s="21" t="n">
        <f aca="false">MIN(ROUND(B147*(1+B$15),2),H147+MAX(0,N147))</f>
        <v>0</v>
      </c>
      <c r="P147" s="21" t="n">
        <f aca="false">MIN(ROUND(C147*(1+C$15),2),I147+MAX(0,N147-O147+H147))</f>
        <v>0</v>
      </c>
      <c r="Q147" s="21" t="n">
        <f aca="false">MIN(ROUND(D147*(1+D$15),2),J147+MAX(0,N147-O147+H147-P147+I147))</f>
        <v>0</v>
      </c>
      <c r="R147" s="21" t="n">
        <f aca="false">MIN(ROUND(E147*(1+E$15),2),K147+MAX(0,N147-O147+H147-P147+I147-Q147+J147))</f>
        <v>0</v>
      </c>
      <c r="S147" s="21" t="n">
        <f aca="false">MIN(ROUND(F147*(1+F$15),2),L147+MAX(0,N147-O147+H147-P147+I147-Q147+J147-R147+K147))</f>
        <v>0</v>
      </c>
      <c r="T147" s="21" t="n">
        <f aca="false">MIN(ROUND(G147*(1+G$15),2),M147+MAX(0,N147-O147+H147-P147+I147-Q147+J147-R147+K147-S147+L147))</f>
        <v>0</v>
      </c>
      <c r="U147" s="21" t="n">
        <f aca="false">SUM(B147:G147)</f>
        <v>0</v>
      </c>
      <c r="V147" s="21" t="n">
        <f aca="false">SUM(O147:T147)</f>
        <v>0</v>
      </c>
      <c r="X147" s="25" t="n">
        <f aca="false">X146+1</f>
        <v>121</v>
      </c>
      <c r="Y147" s="21" t="n">
        <f aca="false">MAX(0,ROUND(Y146*(1+Y$15),2)-AL146)</f>
        <v>0</v>
      </c>
      <c r="Z147" s="21" t="n">
        <f aca="false">MAX(0,ROUND(Z146*(1+Z$15),2)-AM146)</f>
        <v>0</v>
      </c>
      <c r="AA147" s="21" t="n">
        <f aca="false">MAX(0,ROUND(AA146*(1+AA$15),2)-AN146)</f>
        <v>0</v>
      </c>
      <c r="AB147" s="21" t="n">
        <f aca="false">MAX(0,ROUND(AB146*(1+AB$15),2)-AO146)</f>
        <v>0</v>
      </c>
      <c r="AC147" s="21" t="n">
        <f aca="false">MAX(0,ROUND(AC146*(1+AC$15),2)-AP146)</f>
        <v>0</v>
      </c>
      <c r="AD147" s="21" t="n">
        <f aca="false">MAX(0,ROUND(AD146*(1+AD$15),2)-AQ146)</f>
        <v>0</v>
      </c>
      <c r="AE147" s="21" t="n">
        <f aca="false">MIN(Y$16,ROUND(Y147*(1+Y$15),2))</f>
        <v>0</v>
      </c>
      <c r="AF147" s="21" t="n">
        <f aca="false">MIN(Z$16,ROUND(Z147*(1+Z$15),2))</f>
        <v>0</v>
      </c>
      <c r="AG147" s="21" t="n">
        <f aca="false">MIN(AA$16,ROUND(AA147*(1+AA$15),2))</f>
        <v>0</v>
      </c>
      <c r="AH147" s="21" t="n">
        <f aca="false">MIN(AB$16,ROUND(AB147*(1+AB$15),2))</f>
        <v>0</v>
      </c>
      <c r="AI147" s="21" t="n">
        <f aca="false">MIN(AC$16,ROUND(AC147*(1+AC$15),2))</f>
        <v>0</v>
      </c>
      <c r="AJ147" s="21" t="n">
        <f aca="false">MIN(AD$16,ROUND(AD147*(1+AD$15),2))</f>
        <v>0</v>
      </c>
      <c r="AK147" s="21" t="n">
        <f aca="false">Y$20-SUM(AE147:AJ147)</f>
        <v>1170</v>
      </c>
      <c r="AL147" s="21" t="n">
        <f aca="false">MIN(ROUND(Y147*(1+Y$15),2),AE147+MAX(0,AK147))</f>
        <v>0</v>
      </c>
      <c r="AM147" s="21" t="n">
        <f aca="false">MIN(ROUND(Z147*(1+Z$15),2),AF147+MAX(0,AK147-AL147+AE147))</f>
        <v>0</v>
      </c>
      <c r="AN147" s="21" t="n">
        <f aca="false">MIN(ROUND(AA147*(1+AA$15),2),AG147+MAX(0,AK147-AL147+AE147-AM147+AF147))</f>
        <v>0</v>
      </c>
      <c r="AO147" s="21" t="n">
        <f aca="false">MIN(ROUND(AB147*(1+AB$15),2),AH147+MAX(0,AK147-AL147+AE147-AM147+AF147-AN147+AG147))</f>
        <v>0</v>
      </c>
      <c r="AP147" s="21" t="n">
        <f aca="false">MIN(ROUND(AC147*(1+AC$15),2),AI147+MAX(0,AK147-AL147+AE147-AM147+AF147-AN147+AG147-AO147+AH147))</f>
        <v>0</v>
      </c>
      <c r="AQ147" s="21" t="n">
        <f aca="false">MIN(ROUND(AD147*(1+AD$15),2),AJ147+MAX(0,AK147-AL147+AE147-AM147+AF147-AN147+AG147-AO147+AH147-AP147+AI147))</f>
        <v>0</v>
      </c>
      <c r="AR147" s="21" t="n">
        <f aca="false">SUM(Y147:AD147)</f>
        <v>0</v>
      </c>
      <c r="AS147" s="21" t="n">
        <f aca="false">SUM(AL147:AQ147)</f>
        <v>0</v>
      </c>
    </row>
    <row r="148" customFormat="false" ht="15" hidden="false" customHeight="false" outlineLevel="0" collapsed="false">
      <c r="A148" s="25" t="n">
        <f aca="false">A147+1</f>
        <v>122</v>
      </c>
      <c r="B148" s="21" t="n">
        <f aca="false">MAX(0,ROUND(B147*(1+B$15),2)-O147)</f>
        <v>0</v>
      </c>
      <c r="C148" s="21" t="n">
        <f aca="false">MAX(0,ROUND(C147*(1+C$15),2)-P147)</f>
        <v>0</v>
      </c>
      <c r="D148" s="21" t="n">
        <f aca="false">MAX(0,ROUND(D147*(1+D$15),2)-Q147)</f>
        <v>0</v>
      </c>
      <c r="E148" s="21" t="n">
        <f aca="false">MAX(0,ROUND(E147*(1+E$15),2)-R147)</f>
        <v>0</v>
      </c>
      <c r="F148" s="21" t="n">
        <f aca="false">MAX(0,ROUND(F147*(1+F$15),2)-S147)</f>
        <v>0</v>
      </c>
      <c r="G148" s="21" t="n">
        <f aca="false">MAX(0,ROUND(G147*(1+G$15),2)-T147)</f>
        <v>0</v>
      </c>
      <c r="H148" s="21" t="n">
        <f aca="false">MIN(B$16,ROUND(B148*(1+B$15),2))</f>
        <v>0</v>
      </c>
      <c r="I148" s="21" t="n">
        <f aca="false">MIN(C$16,ROUND(C148*(1+C$15),2))</f>
        <v>0</v>
      </c>
      <c r="J148" s="21" t="n">
        <f aca="false">MIN(D$16,ROUND(D148*(1+D$15),2))</f>
        <v>0</v>
      </c>
      <c r="K148" s="21" t="n">
        <f aca="false">MIN(E$16,ROUND(E148*(1+E$15),2))</f>
        <v>0</v>
      </c>
      <c r="L148" s="21" t="n">
        <f aca="false">MIN(F$16,ROUND(F148*(1+F$15),2))</f>
        <v>0</v>
      </c>
      <c r="M148" s="21" t="n">
        <f aca="false">MIN(G$16,ROUND(G148*(1+G$15),2))</f>
        <v>0</v>
      </c>
      <c r="N148" s="21" t="n">
        <f aca="false">B$20-SUM(H148:M148)</f>
        <v>1170</v>
      </c>
      <c r="O148" s="21" t="n">
        <f aca="false">MIN(ROUND(B148*(1+B$15),2),H148+MAX(0,N148))</f>
        <v>0</v>
      </c>
      <c r="P148" s="21" t="n">
        <f aca="false">MIN(ROUND(C148*(1+C$15),2),I148+MAX(0,N148-O148+H148))</f>
        <v>0</v>
      </c>
      <c r="Q148" s="21" t="n">
        <f aca="false">MIN(ROUND(D148*(1+D$15),2),J148+MAX(0,N148-O148+H148-P148+I148))</f>
        <v>0</v>
      </c>
      <c r="R148" s="21" t="n">
        <f aca="false">MIN(ROUND(E148*(1+E$15),2),K148+MAX(0,N148-O148+H148-P148+I148-Q148+J148))</f>
        <v>0</v>
      </c>
      <c r="S148" s="21" t="n">
        <f aca="false">MIN(ROUND(F148*(1+F$15),2),L148+MAX(0,N148-O148+H148-P148+I148-Q148+J148-R148+K148))</f>
        <v>0</v>
      </c>
      <c r="T148" s="21" t="n">
        <f aca="false">MIN(ROUND(G148*(1+G$15),2),M148+MAX(0,N148-O148+H148-P148+I148-Q148+J148-R148+K148-S148+L148))</f>
        <v>0</v>
      </c>
      <c r="U148" s="21" t="n">
        <f aca="false">SUM(B148:G148)</f>
        <v>0</v>
      </c>
      <c r="V148" s="21" t="n">
        <f aca="false">SUM(O148:T148)</f>
        <v>0</v>
      </c>
      <c r="X148" s="25" t="n">
        <f aca="false">X147+1</f>
        <v>122</v>
      </c>
      <c r="Y148" s="21" t="n">
        <f aca="false">MAX(0,ROUND(Y147*(1+Y$15),2)-AL147)</f>
        <v>0</v>
      </c>
      <c r="Z148" s="21" t="n">
        <f aca="false">MAX(0,ROUND(Z147*(1+Z$15),2)-AM147)</f>
        <v>0</v>
      </c>
      <c r="AA148" s="21" t="n">
        <f aca="false">MAX(0,ROUND(AA147*(1+AA$15),2)-AN147)</f>
        <v>0</v>
      </c>
      <c r="AB148" s="21" t="n">
        <f aca="false">MAX(0,ROUND(AB147*(1+AB$15),2)-AO147)</f>
        <v>0</v>
      </c>
      <c r="AC148" s="21" t="n">
        <f aca="false">MAX(0,ROUND(AC147*(1+AC$15),2)-AP147)</f>
        <v>0</v>
      </c>
      <c r="AD148" s="21" t="n">
        <f aca="false">MAX(0,ROUND(AD147*(1+AD$15),2)-AQ147)</f>
        <v>0</v>
      </c>
      <c r="AE148" s="21" t="n">
        <f aca="false">MIN(Y$16,ROUND(Y148*(1+Y$15),2))</f>
        <v>0</v>
      </c>
      <c r="AF148" s="21" t="n">
        <f aca="false">MIN(Z$16,ROUND(Z148*(1+Z$15),2))</f>
        <v>0</v>
      </c>
      <c r="AG148" s="21" t="n">
        <f aca="false">MIN(AA$16,ROUND(AA148*(1+AA$15),2))</f>
        <v>0</v>
      </c>
      <c r="AH148" s="21" t="n">
        <f aca="false">MIN(AB$16,ROUND(AB148*(1+AB$15),2))</f>
        <v>0</v>
      </c>
      <c r="AI148" s="21" t="n">
        <f aca="false">MIN(AC$16,ROUND(AC148*(1+AC$15),2))</f>
        <v>0</v>
      </c>
      <c r="AJ148" s="21" t="n">
        <f aca="false">MIN(AD$16,ROUND(AD148*(1+AD$15),2))</f>
        <v>0</v>
      </c>
      <c r="AK148" s="21" t="n">
        <f aca="false">Y$20-SUM(AE148:AJ148)</f>
        <v>1170</v>
      </c>
      <c r="AL148" s="21" t="n">
        <f aca="false">MIN(ROUND(Y148*(1+Y$15),2),AE148+MAX(0,AK148))</f>
        <v>0</v>
      </c>
      <c r="AM148" s="21" t="n">
        <f aca="false">MIN(ROUND(Z148*(1+Z$15),2),AF148+MAX(0,AK148-AL148+AE148))</f>
        <v>0</v>
      </c>
      <c r="AN148" s="21" t="n">
        <f aca="false">MIN(ROUND(AA148*(1+AA$15),2),AG148+MAX(0,AK148-AL148+AE148-AM148+AF148))</f>
        <v>0</v>
      </c>
      <c r="AO148" s="21" t="n">
        <f aca="false">MIN(ROUND(AB148*(1+AB$15),2),AH148+MAX(0,AK148-AL148+AE148-AM148+AF148-AN148+AG148))</f>
        <v>0</v>
      </c>
      <c r="AP148" s="21" t="n">
        <f aca="false">MIN(ROUND(AC148*(1+AC$15),2),AI148+MAX(0,AK148-AL148+AE148-AM148+AF148-AN148+AG148-AO148+AH148))</f>
        <v>0</v>
      </c>
      <c r="AQ148" s="21" t="n">
        <f aca="false">MIN(ROUND(AD148*(1+AD$15),2),AJ148+MAX(0,AK148-AL148+AE148-AM148+AF148-AN148+AG148-AO148+AH148-AP148+AI148))</f>
        <v>0</v>
      </c>
      <c r="AR148" s="21" t="n">
        <f aca="false">SUM(Y148:AD148)</f>
        <v>0</v>
      </c>
      <c r="AS148" s="21" t="n">
        <f aca="false">SUM(AL148:AQ148)</f>
        <v>0</v>
      </c>
    </row>
    <row r="149" customFormat="false" ht="15" hidden="false" customHeight="false" outlineLevel="0" collapsed="false">
      <c r="A149" s="25" t="n">
        <f aca="false">A148+1</f>
        <v>123</v>
      </c>
      <c r="B149" s="21" t="n">
        <f aca="false">MAX(0,ROUND(B148*(1+B$15),2)-O148)</f>
        <v>0</v>
      </c>
      <c r="C149" s="21" t="n">
        <f aca="false">MAX(0,ROUND(C148*(1+C$15),2)-P148)</f>
        <v>0</v>
      </c>
      <c r="D149" s="21" t="n">
        <f aca="false">MAX(0,ROUND(D148*(1+D$15),2)-Q148)</f>
        <v>0</v>
      </c>
      <c r="E149" s="21" t="n">
        <f aca="false">MAX(0,ROUND(E148*(1+E$15),2)-R148)</f>
        <v>0</v>
      </c>
      <c r="F149" s="21" t="n">
        <f aca="false">MAX(0,ROUND(F148*(1+F$15),2)-S148)</f>
        <v>0</v>
      </c>
      <c r="G149" s="21" t="n">
        <f aca="false">MAX(0,ROUND(G148*(1+G$15),2)-T148)</f>
        <v>0</v>
      </c>
      <c r="H149" s="21" t="n">
        <f aca="false">MIN(B$16,ROUND(B149*(1+B$15),2))</f>
        <v>0</v>
      </c>
      <c r="I149" s="21" t="n">
        <f aca="false">MIN(C$16,ROUND(C149*(1+C$15),2))</f>
        <v>0</v>
      </c>
      <c r="J149" s="21" t="n">
        <f aca="false">MIN(D$16,ROUND(D149*(1+D$15),2))</f>
        <v>0</v>
      </c>
      <c r="K149" s="21" t="n">
        <f aca="false">MIN(E$16,ROUND(E149*(1+E$15),2))</f>
        <v>0</v>
      </c>
      <c r="L149" s="21" t="n">
        <f aca="false">MIN(F$16,ROUND(F149*(1+F$15),2))</f>
        <v>0</v>
      </c>
      <c r="M149" s="21" t="n">
        <f aca="false">MIN(G$16,ROUND(G149*(1+G$15),2))</f>
        <v>0</v>
      </c>
      <c r="N149" s="21" t="n">
        <f aca="false">B$20-SUM(H149:M149)</f>
        <v>1170</v>
      </c>
      <c r="O149" s="21" t="n">
        <f aca="false">MIN(ROUND(B149*(1+B$15),2),H149+MAX(0,N149))</f>
        <v>0</v>
      </c>
      <c r="P149" s="21" t="n">
        <f aca="false">MIN(ROUND(C149*(1+C$15),2),I149+MAX(0,N149-O149+H149))</f>
        <v>0</v>
      </c>
      <c r="Q149" s="21" t="n">
        <f aca="false">MIN(ROUND(D149*(1+D$15),2),J149+MAX(0,N149-O149+H149-P149+I149))</f>
        <v>0</v>
      </c>
      <c r="R149" s="21" t="n">
        <f aca="false">MIN(ROUND(E149*(1+E$15),2),K149+MAX(0,N149-O149+H149-P149+I149-Q149+J149))</f>
        <v>0</v>
      </c>
      <c r="S149" s="21" t="n">
        <f aca="false">MIN(ROUND(F149*(1+F$15),2),L149+MAX(0,N149-O149+H149-P149+I149-Q149+J149-R149+K149))</f>
        <v>0</v>
      </c>
      <c r="T149" s="21" t="n">
        <f aca="false">MIN(ROUND(G149*(1+G$15),2),M149+MAX(0,N149-O149+H149-P149+I149-Q149+J149-R149+K149-S149+L149))</f>
        <v>0</v>
      </c>
      <c r="U149" s="21" t="n">
        <f aca="false">SUM(B149:G149)</f>
        <v>0</v>
      </c>
      <c r="V149" s="21" t="n">
        <f aca="false">SUM(O149:T149)</f>
        <v>0</v>
      </c>
      <c r="X149" s="25" t="n">
        <f aca="false">X148+1</f>
        <v>123</v>
      </c>
      <c r="Y149" s="21" t="n">
        <f aca="false">MAX(0,ROUND(Y148*(1+Y$15),2)-AL148)</f>
        <v>0</v>
      </c>
      <c r="Z149" s="21" t="n">
        <f aca="false">MAX(0,ROUND(Z148*(1+Z$15),2)-AM148)</f>
        <v>0</v>
      </c>
      <c r="AA149" s="21" t="n">
        <f aca="false">MAX(0,ROUND(AA148*(1+AA$15),2)-AN148)</f>
        <v>0</v>
      </c>
      <c r="AB149" s="21" t="n">
        <f aca="false">MAX(0,ROUND(AB148*(1+AB$15),2)-AO148)</f>
        <v>0</v>
      </c>
      <c r="AC149" s="21" t="n">
        <f aca="false">MAX(0,ROUND(AC148*(1+AC$15),2)-AP148)</f>
        <v>0</v>
      </c>
      <c r="AD149" s="21" t="n">
        <f aca="false">MAX(0,ROUND(AD148*(1+AD$15),2)-AQ148)</f>
        <v>0</v>
      </c>
      <c r="AE149" s="21" t="n">
        <f aca="false">MIN(Y$16,ROUND(Y149*(1+Y$15),2))</f>
        <v>0</v>
      </c>
      <c r="AF149" s="21" t="n">
        <f aca="false">MIN(Z$16,ROUND(Z149*(1+Z$15),2))</f>
        <v>0</v>
      </c>
      <c r="AG149" s="21" t="n">
        <f aca="false">MIN(AA$16,ROUND(AA149*(1+AA$15),2))</f>
        <v>0</v>
      </c>
      <c r="AH149" s="21" t="n">
        <f aca="false">MIN(AB$16,ROUND(AB149*(1+AB$15),2))</f>
        <v>0</v>
      </c>
      <c r="AI149" s="21" t="n">
        <f aca="false">MIN(AC$16,ROUND(AC149*(1+AC$15),2))</f>
        <v>0</v>
      </c>
      <c r="AJ149" s="21" t="n">
        <f aca="false">MIN(AD$16,ROUND(AD149*(1+AD$15),2))</f>
        <v>0</v>
      </c>
      <c r="AK149" s="21" t="n">
        <f aca="false">Y$20-SUM(AE149:AJ149)</f>
        <v>1170</v>
      </c>
      <c r="AL149" s="21" t="n">
        <f aca="false">MIN(ROUND(Y149*(1+Y$15),2),AE149+MAX(0,AK149))</f>
        <v>0</v>
      </c>
      <c r="AM149" s="21" t="n">
        <f aca="false">MIN(ROUND(Z149*(1+Z$15),2),AF149+MAX(0,AK149-AL149+AE149))</f>
        <v>0</v>
      </c>
      <c r="AN149" s="21" t="n">
        <f aca="false">MIN(ROUND(AA149*(1+AA$15),2),AG149+MAX(0,AK149-AL149+AE149-AM149+AF149))</f>
        <v>0</v>
      </c>
      <c r="AO149" s="21" t="n">
        <f aca="false">MIN(ROUND(AB149*(1+AB$15),2),AH149+MAX(0,AK149-AL149+AE149-AM149+AF149-AN149+AG149))</f>
        <v>0</v>
      </c>
      <c r="AP149" s="21" t="n">
        <f aca="false">MIN(ROUND(AC149*(1+AC$15),2),AI149+MAX(0,AK149-AL149+AE149-AM149+AF149-AN149+AG149-AO149+AH149))</f>
        <v>0</v>
      </c>
      <c r="AQ149" s="21" t="n">
        <f aca="false">MIN(ROUND(AD149*(1+AD$15),2),AJ149+MAX(0,AK149-AL149+AE149-AM149+AF149-AN149+AG149-AO149+AH149-AP149+AI149))</f>
        <v>0</v>
      </c>
      <c r="AR149" s="21" t="n">
        <f aca="false">SUM(Y149:AD149)</f>
        <v>0</v>
      </c>
      <c r="AS149" s="21" t="n">
        <f aca="false">SUM(AL149:AQ149)</f>
        <v>0</v>
      </c>
    </row>
    <row r="150" customFormat="false" ht="15" hidden="false" customHeight="false" outlineLevel="0" collapsed="false">
      <c r="A150" s="25" t="n">
        <f aca="false">A149+1</f>
        <v>124</v>
      </c>
      <c r="B150" s="21" t="n">
        <f aca="false">MAX(0,ROUND(B149*(1+B$15),2)-O149)</f>
        <v>0</v>
      </c>
      <c r="C150" s="21" t="n">
        <f aca="false">MAX(0,ROUND(C149*(1+C$15),2)-P149)</f>
        <v>0</v>
      </c>
      <c r="D150" s="21" t="n">
        <f aca="false">MAX(0,ROUND(D149*(1+D$15),2)-Q149)</f>
        <v>0</v>
      </c>
      <c r="E150" s="21" t="n">
        <f aca="false">MAX(0,ROUND(E149*(1+E$15),2)-R149)</f>
        <v>0</v>
      </c>
      <c r="F150" s="21" t="n">
        <f aca="false">MAX(0,ROUND(F149*(1+F$15),2)-S149)</f>
        <v>0</v>
      </c>
      <c r="G150" s="21" t="n">
        <f aca="false">MAX(0,ROUND(G149*(1+G$15),2)-T149)</f>
        <v>0</v>
      </c>
      <c r="H150" s="21" t="n">
        <f aca="false">MIN(B$16,ROUND(B150*(1+B$15),2))</f>
        <v>0</v>
      </c>
      <c r="I150" s="21" t="n">
        <f aca="false">MIN(C$16,ROUND(C150*(1+C$15),2))</f>
        <v>0</v>
      </c>
      <c r="J150" s="21" t="n">
        <f aca="false">MIN(D$16,ROUND(D150*(1+D$15),2))</f>
        <v>0</v>
      </c>
      <c r="K150" s="21" t="n">
        <f aca="false">MIN(E$16,ROUND(E150*(1+E$15),2))</f>
        <v>0</v>
      </c>
      <c r="L150" s="21" t="n">
        <f aca="false">MIN(F$16,ROUND(F150*(1+F$15),2))</f>
        <v>0</v>
      </c>
      <c r="M150" s="21" t="n">
        <f aca="false">MIN(G$16,ROUND(G150*(1+G$15),2))</f>
        <v>0</v>
      </c>
      <c r="N150" s="21" t="n">
        <f aca="false">B$20-SUM(H150:M150)</f>
        <v>1170</v>
      </c>
      <c r="O150" s="21" t="n">
        <f aca="false">MIN(ROUND(B150*(1+B$15),2),H150+MAX(0,N150))</f>
        <v>0</v>
      </c>
      <c r="P150" s="21" t="n">
        <f aca="false">MIN(ROUND(C150*(1+C$15),2),I150+MAX(0,N150-O150+H150))</f>
        <v>0</v>
      </c>
      <c r="Q150" s="21" t="n">
        <f aca="false">MIN(ROUND(D150*(1+D$15),2),J150+MAX(0,N150-O150+H150-P150+I150))</f>
        <v>0</v>
      </c>
      <c r="R150" s="21" t="n">
        <f aca="false">MIN(ROUND(E150*(1+E$15),2),K150+MAX(0,N150-O150+H150-P150+I150-Q150+J150))</f>
        <v>0</v>
      </c>
      <c r="S150" s="21" t="n">
        <f aca="false">MIN(ROUND(F150*(1+F$15),2),L150+MAX(0,N150-O150+H150-P150+I150-Q150+J150-R150+K150))</f>
        <v>0</v>
      </c>
      <c r="T150" s="21" t="n">
        <f aca="false">MIN(ROUND(G150*(1+G$15),2),M150+MAX(0,N150-O150+H150-P150+I150-Q150+J150-R150+K150-S150+L150))</f>
        <v>0</v>
      </c>
      <c r="U150" s="21" t="n">
        <f aca="false">SUM(B150:G150)</f>
        <v>0</v>
      </c>
      <c r="V150" s="21" t="n">
        <f aca="false">SUM(O150:T150)</f>
        <v>0</v>
      </c>
      <c r="X150" s="25" t="n">
        <f aca="false">X149+1</f>
        <v>124</v>
      </c>
      <c r="Y150" s="21" t="n">
        <f aca="false">MAX(0,ROUND(Y149*(1+Y$15),2)-AL149)</f>
        <v>0</v>
      </c>
      <c r="Z150" s="21" t="n">
        <f aca="false">MAX(0,ROUND(Z149*(1+Z$15),2)-AM149)</f>
        <v>0</v>
      </c>
      <c r="AA150" s="21" t="n">
        <f aca="false">MAX(0,ROUND(AA149*(1+AA$15),2)-AN149)</f>
        <v>0</v>
      </c>
      <c r="AB150" s="21" t="n">
        <f aca="false">MAX(0,ROUND(AB149*(1+AB$15),2)-AO149)</f>
        <v>0</v>
      </c>
      <c r="AC150" s="21" t="n">
        <f aca="false">MAX(0,ROUND(AC149*(1+AC$15),2)-AP149)</f>
        <v>0</v>
      </c>
      <c r="AD150" s="21" t="n">
        <f aca="false">MAX(0,ROUND(AD149*(1+AD$15),2)-AQ149)</f>
        <v>0</v>
      </c>
      <c r="AE150" s="21" t="n">
        <f aca="false">MIN(Y$16,ROUND(Y150*(1+Y$15),2))</f>
        <v>0</v>
      </c>
      <c r="AF150" s="21" t="n">
        <f aca="false">MIN(Z$16,ROUND(Z150*(1+Z$15),2))</f>
        <v>0</v>
      </c>
      <c r="AG150" s="21" t="n">
        <f aca="false">MIN(AA$16,ROUND(AA150*(1+AA$15),2))</f>
        <v>0</v>
      </c>
      <c r="AH150" s="21" t="n">
        <f aca="false">MIN(AB$16,ROUND(AB150*(1+AB$15),2))</f>
        <v>0</v>
      </c>
      <c r="AI150" s="21" t="n">
        <f aca="false">MIN(AC$16,ROUND(AC150*(1+AC$15),2))</f>
        <v>0</v>
      </c>
      <c r="AJ150" s="21" t="n">
        <f aca="false">MIN(AD$16,ROUND(AD150*(1+AD$15),2))</f>
        <v>0</v>
      </c>
      <c r="AK150" s="21" t="n">
        <f aca="false">Y$20-SUM(AE150:AJ150)</f>
        <v>1170</v>
      </c>
      <c r="AL150" s="21" t="n">
        <f aca="false">MIN(ROUND(Y150*(1+Y$15),2),AE150+MAX(0,AK150))</f>
        <v>0</v>
      </c>
      <c r="AM150" s="21" t="n">
        <f aca="false">MIN(ROUND(Z150*(1+Z$15),2),AF150+MAX(0,AK150-AL150+AE150))</f>
        <v>0</v>
      </c>
      <c r="AN150" s="21" t="n">
        <f aca="false">MIN(ROUND(AA150*(1+AA$15),2),AG150+MAX(0,AK150-AL150+AE150-AM150+AF150))</f>
        <v>0</v>
      </c>
      <c r="AO150" s="21" t="n">
        <f aca="false">MIN(ROUND(AB150*(1+AB$15),2),AH150+MAX(0,AK150-AL150+AE150-AM150+AF150-AN150+AG150))</f>
        <v>0</v>
      </c>
      <c r="AP150" s="21" t="n">
        <f aca="false">MIN(ROUND(AC150*(1+AC$15),2),AI150+MAX(0,AK150-AL150+AE150-AM150+AF150-AN150+AG150-AO150+AH150))</f>
        <v>0</v>
      </c>
      <c r="AQ150" s="21" t="n">
        <f aca="false">MIN(ROUND(AD150*(1+AD$15),2),AJ150+MAX(0,AK150-AL150+AE150-AM150+AF150-AN150+AG150-AO150+AH150-AP150+AI150))</f>
        <v>0</v>
      </c>
      <c r="AR150" s="21" t="n">
        <f aca="false">SUM(Y150:AD150)</f>
        <v>0</v>
      </c>
      <c r="AS150" s="21" t="n">
        <f aca="false">SUM(AL150:AQ150)</f>
        <v>0</v>
      </c>
    </row>
    <row r="151" customFormat="false" ht="15" hidden="false" customHeight="false" outlineLevel="0" collapsed="false">
      <c r="A151" s="25" t="n">
        <f aca="false">A150+1</f>
        <v>125</v>
      </c>
      <c r="B151" s="21" t="n">
        <f aca="false">MAX(0,ROUND(B150*(1+B$15),2)-O150)</f>
        <v>0</v>
      </c>
      <c r="C151" s="21" t="n">
        <f aca="false">MAX(0,ROUND(C150*(1+C$15),2)-P150)</f>
        <v>0</v>
      </c>
      <c r="D151" s="21" t="n">
        <f aca="false">MAX(0,ROUND(D150*(1+D$15),2)-Q150)</f>
        <v>0</v>
      </c>
      <c r="E151" s="21" t="n">
        <f aca="false">MAX(0,ROUND(E150*(1+E$15),2)-R150)</f>
        <v>0</v>
      </c>
      <c r="F151" s="21" t="n">
        <f aca="false">MAX(0,ROUND(F150*(1+F$15),2)-S150)</f>
        <v>0</v>
      </c>
      <c r="G151" s="21" t="n">
        <f aca="false">MAX(0,ROUND(G150*(1+G$15),2)-T150)</f>
        <v>0</v>
      </c>
      <c r="H151" s="21" t="n">
        <f aca="false">MIN(B$16,ROUND(B151*(1+B$15),2))</f>
        <v>0</v>
      </c>
      <c r="I151" s="21" t="n">
        <f aca="false">MIN(C$16,ROUND(C151*(1+C$15),2))</f>
        <v>0</v>
      </c>
      <c r="J151" s="21" t="n">
        <f aca="false">MIN(D$16,ROUND(D151*(1+D$15),2))</f>
        <v>0</v>
      </c>
      <c r="K151" s="21" t="n">
        <f aca="false">MIN(E$16,ROUND(E151*(1+E$15),2))</f>
        <v>0</v>
      </c>
      <c r="L151" s="21" t="n">
        <f aca="false">MIN(F$16,ROUND(F151*(1+F$15),2))</f>
        <v>0</v>
      </c>
      <c r="M151" s="21" t="n">
        <f aca="false">MIN(G$16,ROUND(G151*(1+G$15),2))</f>
        <v>0</v>
      </c>
      <c r="N151" s="21" t="n">
        <f aca="false">B$20-SUM(H151:M151)</f>
        <v>1170</v>
      </c>
      <c r="O151" s="21" t="n">
        <f aca="false">MIN(ROUND(B151*(1+B$15),2),H151+MAX(0,N151))</f>
        <v>0</v>
      </c>
      <c r="P151" s="21" t="n">
        <f aca="false">MIN(ROUND(C151*(1+C$15),2),I151+MAX(0,N151-O151+H151))</f>
        <v>0</v>
      </c>
      <c r="Q151" s="21" t="n">
        <f aca="false">MIN(ROUND(D151*(1+D$15),2),J151+MAX(0,N151-O151+H151-P151+I151))</f>
        <v>0</v>
      </c>
      <c r="R151" s="21" t="n">
        <f aca="false">MIN(ROUND(E151*(1+E$15),2),K151+MAX(0,N151-O151+H151-P151+I151-Q151+J151))</f>
        <v>0</v>
      </c>
      <c r="S151" s="21" t="n">
        <f aca="false">MIN(ROUND(F151*(1+F$15),2),L151+MAX(0,N151-O151+H151-P151+I151-Q151+J151-R151+K151))</f>
        <v>0</v>
      </c>
      <c r="T151" s="21" t="n">
        <f aca="false">MIN(ROUND(G151*(1+G$15),2),M151+MAX(0,N151-O151+H151-P151+I151-Q151+J151-R151+K151-S151+L151))</f>
        <v>0</v>
      </c>
      <c r="U151" s="21" t="n">
        <f aca="false">SUM(B151:G151)</f>
        <v>0</v>
      </c>
      <c r="V151" s="21" t="n">
        <f aca="false">SUM(O151:T151)</f>
        <v>0</v>
      </c>
      <c r="X151" s="25" t="n">
        <f aca="false">X150+1</f>
        <v>125</v>
      </c>
      <c r="Y151" s="21" t="n">
        <f aca="false">MAX(0,ROUND(Y150*(1+Y$15),2)-AL150)</f>
        <v>0</v>
      </c>
      <c r="Z151" s="21" t="n">
        <f aca="false">MAX(0,ROUND(Z150*(1+Z$15),2)-AM150)</f>
        <v>0</v>
      </c>
      <c r="AA151" s="21" t="n">
        <f aca="false">MAX(0,ROUND(AA150*(1+AA$15),2)-AN150)</f>
        <v>0</v>
      </c>
      <c r="AB151" s="21" t="n">
        <f aca="false">MAX(0,ROUND(AB150*(1+AB$15),2)-AO150)</f>
        <v>0</v>
      </c>
      <c r="AC151" s="21" t="n">
        <f aca="false">MAX(0,ROUND(AC150*(1+AC$15),2)-AP150)</f>
        <v>0</v>
      </c>
      <c r="AD151" s="21" t="n">
        <f aca="false">MAX(0,ROUND(AD150*(1+AD$15),2)-AQ150)</f>
        <v>0</v>
      </c>
      <c r="AE151" s="21" t="n">
        <f aca="false">MIN(Y$16,ROUND(Y151*(1+Y$15),2))</f>
        <v>0</v>
      </c>
      <c r="AF151" s="21" t="n">
        <f aca="false">MIN(Z$16,ROUND(Z151*(1+Z$15),2))</f>
        <v>0</v>
      </c>
      <c r="AG151" s="21" t="n">
        <f aca="false">MIN(AA$16,ROUND(AA151*(1+AA$15),2))</f>
        <v>0</v>
      </c>
      <c r="AH151" s="21" t="n">
        <f aca="false">MIN(AB$16,ROUND(AB151*(1+AB$15),2))</f>
        <v>0</v>
      </c>
      <c r="AI151" s="21" t="n">
        <f aca="false">MIN(AC$16,ROUND(AC151*(1+AC$15),2))</f>
        <v>0</v>
      </c>
      <c r="AJ151" s="21" t="n">
        <f aca="false">MIN(AD$16,ROUND(AD151*(1+AD$15),2))</f>
        <v>0</v>
      </c>
      <c r="AK151" s="21" t="n">
        <f aca="false">Y$20-SUM(AE151:AJ151)</f>
        <v>1170</v>
      </c>
      <c r="AL151" s="21" t="n">
        <f aca="false">MIN(ROUND(Y151*(1+Y$15),2),AE151+MAX(0,AK151))</f>
        <v>0</v>
      </c>
      <c r="AM151" s="21" t="n">
        <f aca="false">MIN(ROUND(Z151*(1+Z$15),2),AF151+MAX(0,AK151-AL151+AE151))</f>
        <v>0</v>
      </c>
      <c r="AN151" s="21" t="n">
        <f aca="false">MIN(ROUND(AA151*(1+AA$15),2),AG151+MAX(0,AK151-AL151+AE151-AM151+AF151))</f>
        <v>0</v>
      </c>
      <c r="AO151" s="21" t="n">
        <f aca="false">MIN(ROUND(AB151*(1+AB$15),2),AH151+MAX(0,AK151-AL151+AE151-AM151+AF151-AN151+AG151))</f>
        <v>0</v>
      </c>
      <c r="AP151" s="21" t="n">
        <f aca="false">MIN(ROUND(AC151*(1+AC$15),2),AI151+MAX(0,AK151-AL151+AE151-AM151+AF151-AN151+AG151-AO151+AH151))</f>
        <v>0</v>
      </c>
      <c r="AQ151" s="21" t="n">
        <f aca="false">MIN(ROUND(AD151*(1+AD$15),2),AJ151+MAX(0,AK151-AL151+AE151-AM151+AF151-AN151+AG151-AO151+AH151-AP151+AI151))</f>
        <v>0</v>
      </c>
      <c r="AR151" s="21" t="n">
        <f aca="false">SUM(Y151:AD151)</f>
        <v>0</v>
      </c>
      <c r="AS151" s="21" t="n">
        <f aca="false">SUM(AL151:AQ151)</f>
        <v>0</v>
      </c>
    </row>
    <row r="152" customFormat="false" ht="15" hidden="false" customHeight="false" outlineLevel="0" collapsed="false">
      <c r="A152" s="25" t="n">
        <f aca="false">A151+1</f>
        <v>126</v>
      </c>
      <c r="B152" s="21" t="n">
        <f aca="false">MAX(0,ROUND(B151*(1+B$15),2)-O151)</f>
        <v>0</v>
      </c>
      <c r="C152" s="21" t="n">
        <f aca="false">MAX(0,ROUND(C151*(1+C$15),2)-P151)</f>
        <v>0</v>
      </c>
      <c r="D152" s="21" t="n">
        <f aca="false">MAX(0,ROUND(D151*(1+D$15),2)-Q151)</f>
        <v>0</v>
      </c>
      <c r="E152" s="21" t="n">
        <f aca="false">MAX(0,ROUND(E151*(1+E$15),2)-R151)</f>
        <v>0</v>
      </c>
      <c r="F152" s="21" t="n">
        <f aca="false">MAX(0,ROUND(F151*(1+F$15),2)-S151)</f>
        <v>0</v>
      </c>
      <c r="G152" s="21" t="n">
        <f aca="false">MAX(0,ROUND(G151*(1+G$15),2)-T151)</f>
        <v>0</v>
      </c>
      <c r="H152" s="21" t="n">
        <f aca="false">MIN(B$16,ROUND(B152*(1+B$15),2))</f>
        <v>0</v>
      </c>
      <c r="I152" s="21" t="n">
        <f aca="false">MIN(C$16,ROUND(C152*(1+C$15),2))</f>
        <v>0</v>
      </c>
      <c r="J152" s="21" t="n">
        <f aca="false">MIN(D$16,ROUND(D152*(1+D$15),2))</f>
        <v>0</v>
      </c>
      <c r="K152" s="21" t="n">
        <f aca="false">MIN(E$16,ROUND(E152*(1+E$15),2))</f>
        <v>0</v>
      </c>
      <c r="L152" s="21" t="n">
        <f aca="false">MIN(F$16,ROUND(F152*(1+F$15),2))</f>
        <v>0</v>
      </c>
      <c r="M152" s="21" t="n">
        <f aca="false">MIN(G$16,ROUND(G152*(1+G$15),2))</f>
        <v>0</v>
      </c>
      <c r="N152" s="21" t="n">
        <f aca="false">B$20-SUM(H152:M152)</f>
        <v>1170</v>
      </c>
      <c r="O152" s="21" t="n">
        <f aca="false">MIN(ROUND(B152*(1+B$15),2),H152+MAX(0,N152))</f>
        <v>0</v>
      </c>
      <c r="P152" s="21" t="n">
        <f aca="false">MIN(ROUND(C152*(1+C$15),2),I152+MAX(0,N152-O152+H152))</f>
        <v>0</v>
      </c>
      <c r="Q152" s="21" t="n">
        <f aca="false">MIN(ROUND(D152*(1+D$15),2),J152+MAX(0,N152-O152+H152-P152+I152))</f>
        <v>0</v>
      </c>
      <c r="R152" s="21" t="n">
        <f aca="false">MIN(ROUND(E152*(1+E$15),2),K152+MAX(0,N152-O152+H152-P152+I152-Q152+J152))</f>
        <v>0</v>
      </c>
      <c r="S152" s="21" t="n">
        <f aca="false">MIN(ROUND(F152*(1+F$15),2),L152+MAX(0,N152-O152+H152-P152+I152-Q152+J152-R152+K152))</f>
        <v>0</v>
      </c>
      <c r="T152" s="21" t="n">
        <f aca="false">MIN(ROUND(G152*(1+G$15),2),M152+MAX(0,N152-O152+H152-P152+I152-Q152+J152-R152+K152-S152+L152))</f>
        <v>0</v>
      </c>
      <c r="U152" s="21" t="n">
        <f aca="false">SUM(B152:G152)</f>
        <v>0</v>
      </c>
      <c r="V152" s="21" t="n">
        <f aca="false">SUM(O152:T152)</f>
        <v>0</v>
      </c>
      <c r="X152" s="25" t="n">
        <f aca="false">X151+1</f>
        <v>126</v>
      </c>
      <c r="Y152" s="21" t="n">
        <f aca="false">MAX(0,ROUND(Y151*(1+Y$15),2)-AL151)</f>
        <v>0</v>
      </c>
      <c r="Z152" s="21" t="n">
        <f aca="false">MAX(0,ROUND(Z151*(1+Z$15),2)-AM151)</f>
        <v>0</v>
      </c>
      <c r="AA152" s="21" t="n">
        <f aca="false">MAX(0,ROUND(AA151*(1+AA$15),2)-AN151)</f>
        <v>0</v>
      </c>
      <c r="AB152" s="21" t="n">
        <f aca="false">MAX(0,ROUND(AB151*(1+AB$15),2)-AO151)</f>
        <v>0</v>
      </c>
      <c r="AC152" s="21" t="n">
        <f aca="false">MAX(0,ROUND(AC151*(1+AC$15),2)-AP151)</f>
        <v>0</v>
      </c>
      <c r="AD152" s="21" t="n">
        <f aca="false">MAX(0,ROUND(AD151*(1+AD$15),2)-AQ151)</f>
        <v>0</v>
      </c>
      <c r="AE152" s="21" t="n">
        <f aca="false">MIN(Y$16,ROUND(Y152*(1+Y$15),2))</f>
        <v>0</v>
      </c>
      <c r="AF152" s="21" t="n">
        <f aca="false">MIN(Z$16,ROUND(Z152*(1+Z$15),2))</f>
        <v>0</v>
      </c>
      <c r="AG152" s="21" t="n">
        <f aca="false">MIN(AA$16,ROUND(AA152*(1+AA$15),2))</f>
        <v>0</v>
      </c>
      <c r="AH152" s="21" t="n">
        <f aca="false">MIN(AB$16,ROUND(AB152*(1+AB$15),2))</f>
        <v>0</v>
      </c>
      <c r="AI152" s="21" t="n">
        <f aca="false">MIN(AC$16,ROUND(AC152*(1+AC$15),2))</f>
        <v>0</v>
      </c>
      <c r="AJ152" s="21" t="n">
        <f aca="false">MIN(AD$16,ROUND(AD152*(1+AD$15),2))</f>
        <v>0</v>
      </c>
      <c r="AK152" s="21" t="n">
        <f aca="false">Y$20-SUM(AE152:AJ152)</f>
        <v>1170</v>
      </c>
      <c r="AL152" s="21" t="n">
        <f aca="false">MIN(ROUND(Y152*(1+Y$15),2),AE152+MAX(0,AK152))</f>
        <v>0</v>
      </c>
      <c r="AM152" s="21" t="n">
        <f aca="false">MIN(ROUND(Z152*(1+Z$15),2),AF152+MAX(0,AK152-AL152+AE152))</f>
        <v>0</v>
      </c>
      <c r="AN152" s="21" t="n">
        <f aca="false">MIN(ROUND(AA152*(1+AA$15),2),AG152+MAX(0,AK152-AL152+AE152-AM152+AF152))</f>
        <v>0</v>
      </c>
      <c r="AO152" s="21" t="n">
        <f aca="false">MIN(ROUND(AB152*(1+AB$15),2),AH152+MAX(0,AK152-AL152+AE152-AM152+AF152-AN152+AG152))</f>
        <v>0</v>
      </c>
      <c r="AP152" s="21" t="n">
        <f aca="false">MIN(ROUND(AC152*(1+AC$15),2),AI152+MAX(0,AK152-AL152+AE152-AM152+AF152-AN152+AG152-AO152+AH152))</f>
        <v>0</v>
      </c>
      <c r="AQ152" s="21" t="n">
        <f aca="false">MIN(ROUND(AD152*(1+AD$15),2),AJ152+MAX(0,AK152-AL152+AE152-AM152+AF152-AN152+AG152-AO152+AH152-AP152+AI152))</f>
        <v>0</v>
      </c>
      <c r="AR152" s="21" t="n">
        <f aca="false">SUM(Y152:AD152)</f>
        <v>0</v>
      </c>
      <c r="AS152" s="21" t="n">
        <f aca="false">SUM(AL152:AQ152)</f>
        <v>0</v>
      </c>
    </row>
    <row r="153" customFormat="false" ht="15" hidden="false" customHeight="false" outlineLevel="0" collapsed="false">
      <c r="A153" s="25" t="n">
        <f aca="false">A152+1</f>
        <v>127</v>
      </c>
      <c r="B153" s="21" t="n">
        <f aca="false">MAX(0,ROUND(B152*(1+B$15),2)-O152)</f>
        <v>0</v>
      </c>
      <c r="C153" s="21" t="n">
        <f aca="false">MAX(0,ROUND(C152*(1+C$15),2)-P152)</f>
        <v>0</v>
      </c>
      <c r="D153" s="21" t="n">
        <f aca="false">MAX(0,ROUND(D152*(1+D$15),2)-Q152)</f>
        <v>0</v>
      </c>
      <c r="E153" s="21" t="n">
        <f aca="false">MAX(0,ROUND(E152*(1+E$15),2)-R152)</f>
        <v>0</v>
      </c>
      <c r="F153" s="21" t="n">
        <f aca="false">MAX(0,ROUND(F152*(1+F$15),2)-S152)</f>
        <v>0</v>
      </c>
      <c r="G153" s="21" t="n">
        <f aca="false">MAX(0,ROUND(G152*(1+G$15),2)-T152)</f>
        <v>0</v>
      </c>
      <c r="H153" s="21" t="n">
        <f aca="false">MIN(B$16,ROUND(B153*(1+B$15),2))</f>
        <v>0</v>
      </c>
      <c r="I153" s="21" t="n">
        <f aca="false">MIN(C$16,ROUND(C153*(1+C$15),2))</f>
        <v>0</v>
      </c>
      <c r="J153" s="21" t="n">
        <f aca="false">MIN(D$16,ROUND(D153*(1+D$15),2))</f>
        <v>0</v>
      </c>
      <c r="K153" s="21" t="n">
        <f aca="false">MIN(E$16,ROUND(E153*(1+E$15),2))</f>
        <v>0</v>
      </c>
      <c r="L153" s="21" t="n">
        <f aca="false">MIN(F$16,ROUND(F153*(1+F$15),2))</f>
        <v>0</v>
      </c>
      <c r="M153" s="21" t="n">
        <f aca="false">MIN(G$16,ROUND(G153*(1+G$15),2))</f>
        <v>0</v>
      </c>
      <c r="N153" s="21" t="n">
        <f aca="false">B$20-SUM(H153:M153)</f>
        <v>1170</v>
      </c>
      <c r="O153" s="21" t="n">
        <f aca="false">MIN(ROUND(B153*(1+B$15),2),H153+MAX(0,N153))</f>
        <v>0</v>
      </c>
      <c r="P153" s="21" t="n">
        <f aca="false">MIN(ROUND(C153*(1+C$15),2),I153+MAX(0,N153-O153+H153))</f>
        <v>0</v>
      </c>
      <c r="Q153" s="21" t="n">
        <f aca="false">MIN(ROUND(D153*(1+D$15),2),J153+MAX(0,N153-O153+H153-P153+I153))</f>
        <v>0</v>
      </c>
      <c r="R153" s="21" t="n">
        <f aca="false">MIN(ROUND(E153*(1+E$15),2),K153+MAX(0,N153-O153+H153-P153+I153-Q153+J153))</f>
        <v>0</v>
      </c>
      <c r="S153" s="21" t="n">
        <f aca="false">MIN(ROUND(F153*(1+F$15),2),L153+MAX(0,N153-O153+H153-P153+I153-Q153+J153-R153+K153))</f>
        <v>0</v>
      </c>
      <c r="T153" s="21" t="n">
        <f aca="false">MIN(ROUND(G153*(1+G$15),2),M153+MAX(0,N153-O153+H153-P153+I153-Q153+J153-R153+K153-S153+L153))</f>
        <v>0</v>
      </c>
      <c r="U153" s="21" t="n">
        <f aca="false">SUM(B153:G153)</f>
        <v>0</v>
      </c>
      <c r="V153" s="21" t="n">
        <f aca="false">SUM(O153:T153)</f>
        <v>0</v>
      </c>
      <c r="X153" s="25" t="n">
        <f aca="false">X152+1</f>
        <v>127</v>
      </c>
      <c r="Y153" s="21" t="n">
        <f aca="false">MAX(0,ROUND(Y152*(1+Y$15),2)-AL152)</f>
        <v>0</v>
      </c>
      <c r="Z153" s="21" t="n">
        <f aca="false">MAX(0,ROUND(Z152*(1+Z$15),2)-AM152)</f>
        <v>0</v>
      </c>
      <c r="AA153" s="21" t="n">
        <f aca="false">MAX(0,ROUND(AA152*(1+AA$15),2)-AN152)</f>
        <v>0</v>
      </c>
      <c r="AB153" s="21" t="n">
        <f aca="false">MAX(0,ROUND(AB152*(1+AB$15),2)-AO152)</f>
        <v>0</v>
      </c>
      <c r="AC153" s="21" t="n">
        <f aca="false">MAX(0,ROUND(AC152*(1+AC$15),2)-AP152)</f>
        <v>0</v>
      </c>
      <c r="AD153" s="21" t="n">
        <f aca="false">MAX(0,ROUND(AD152*(1+AD$15),2)-AQ152)</f>
        <v>0</v>
      </c>
      <c r="AE153" s="21" t="n">
        <f aca="false">MIN(Y$16,ROUND(Y153*(1+Y$15),2))</f>
        <v>0</v>
      </c>
      <c r="AF153" s="21" t="n">
        <f aca="false">MIN(Z$16,ROUND(Z153*(1+Z$15),2))</f>
        <v>0</v>
      </c>
      <c r="AG153" s="21" t="n">
        <f aca="false">MIN(AA$16,ROUND(AA153*(1+AA$15),2))</f>
        <v>0</v>
      </c>
      <c r="AH153" s="21" t="n">
        <f aca="false">MIN(AB$16,ROUND(AB153*(1+AB$15),2))</f>
        <v>0</v>
      </c>
      <c r="AI153" s="21" t="n">
        <f aca="false">MIN(AC$16,ROUND(AC153*(1+AC$15),2))</f>
        <v>0</v>
      </c>
      <c r="AJ153" s="21" t="n">
        <f aca="false">MIN(AD$16,ROUND(AD153*(1+AD$15),2))</f>
        <v>0</v>
      </c>
      <c r="AK153" s="21" t="n">
        <f aca="false">Y$20-SUM(AE153:AJ153)</f>
        <v>1170</v>
      </c>
      <c r="AL153" s="21" t="n">
        <f aca="false">MIN(ROUND(Y153*(1+Y$15),2),AE153+MAX(0,AK153))</f>
        <v>0</v>
      </c>
      <c r="AM153" s="21" t="n">
        <f aca="false">MIN(ROUND(Z153*(1+Z$15),2),AF153+MAX(0,AK153-AL153+AE153))</f>
        <v>0</v>
      </c>
      <c r="AN153" s="21" t="n">
        <f aca="false">MIN(ROUND(AA153*(1+AA$15),2),AG153+MAX(0,AK153-AL153+AE153-AM153+AF153))</f>
        <v>0</v>
      </c>
      <c r="AO153" s="21" t="n">
        <f aca="false">MIN(ROUND(AB153*(1+AB$15),2),AH153+MAX(0,AK153-AL153+AE153-AM153+AF153-AN153+AG153))</f>
        <v>0</v>
      </c>
      <c r="AP153" s="21" t="n">
        <f aca="false">MIN(ROUND(AC153*(1+AC$15),2),AI153+MAX(0,AK153-AL153+AE153-AM153+AF153-AN153+AG153-AO153+AH153))</f>
        <v>0</v>
      </c>
      <c r="AQ153" s="21" t="n">
        <f aca="false">MIN(ROUND(AD153*(1+AD$15),2),AJ153+MAX(0,AK153-AL153+AE153-AM153+AF153-AN153+AG153-AO153+AH153-AP153+AI153))</f>
        <v>0</v>
      </c>
      <c r="AR153" s="21" t="n">
        <f aca="false">SUM(Y153:AD153)</f>
        <v>0</v>
      </c>
      <c r="AS153" s="21" t="n">
        <f aca="false">SUM(AL153:AQ153)</f>
        <v>0</v>
      </c>
    </row>
    <row r="154" customFormat="false" ht="15" hidden="false" customHeight="false" outlineLevel="0" collapsed="false">
      <c r="A154" s="25" t="n">
        <f aca="false">A153+1</f>
        <v>128</v>
      </c>
      <c r="B154" s="21" t="n">
        <f aca="false">MAX(0,ROUND(B153*(1+B$15),2)-O153)</f>
        <v>0</v>
      </c>
      <c r="C154" s="21" t="n">
        <f aca="false">MAX(0,ROUND(C153*(1+C$15),2)-P153)</f>
        <v>0</v>
      </c>
      <c r="D154" s="21" t="n">
        <f aca="false">MAX(0,ROUND(D153*(1+D$15),2)-Q153)</f>
        <v>0</v>
      </c>
      <c r="E154" s="21" t="n">
        <f aca="false">MAX(0,ROUND(E153*(1+E$15),2)-R153)</f>
        <v>0</v>
      </c>
      <c r="F154" s="21" t="n">
        <f aca="false">MAX(0,ROUND(F153*(1+F$15),2)-S153)</f>
        <v>0</v>
      </c>
      <c r="G154" s="21" t="n">
        <f aca="false">MAX(0,ROUND(G153*(1+G$15),2)-T153)</f>
        <v>0</v>
      </c>
      <c r="H154" s="21" t="n">
        <f aca="false">MIN(B$16,ROUND(B154*(1+B$15),2))</f>
        <v>0</v>
      </c>
      <c r="I154" s="21" t="n">
        <f aca="false">MIN(C$16,ROUND(C154*(1+C$15),2))</f>
        <v>0</v>
      </c>
      <c r="J154" s="21" t="n">
        <f aca="false">MIN(D$16,ROUND(D154*(1+D$15),2))</f>
        <v>0</v>
      </c>
      <c r="K154" s="21" t="n">
        <f aca="false">MIN(E$16,ROUND(E154*(1+E$15),2))</f>
        <v>0</v>
      </c>
      <c r="L154" s="21" t="n">
        <f aca="false">MIN(F$16,ROUND(F154*(1+F$15),2))</f>
        <v>0</v>
      </c>
      <c r="M154" s="21" t="n">
        <f aca="false">MIN(G$16,ROUND(G154*(1+G$15),2))</f>
        <v>0</v>
      </c>
      <c r="N154" s="21" t="n">
        <f aca="false">B$20-SUM(H154:M154)</f>
        <v>1170</v>
      </c>
      <c r="O154" s="21" t="n">
        <f aca="false">MIN(ROUND(B154*(1+B$15),2),H154+MAX(0,N154))</f>
        <v>0</v>
      </c>
      <c r="P154" s="21" t="n">
        <f aca="false">MIN(ROUND(C154*(1+C$15),2),I154+MAX(0,N154-O154+H154))</f>
        <v>0</v>
      </c>
      <c r="Q154" s="21" t="n">
        <f aca="false">MIN(ROUND(D154*(1+D$15),2),J154+MAX(0,N154-O154+H154-P154+I154))</f>
        <v>0</v>
      </c>
      <c r="R154" s="21" t="n">
        <f aca="false">MIN(ROUND(E154*(1+E$15),2),K154+MAX(0,N154-O154+H154-P154+I154-Q154+J154))</f>
        <v>0</v>
      </c>
      <c r="S154" s="21" t="n">
        <f aca="false">MIN(ROUND(F154*(1+F$15),2),L154+MAX(0,N154-O154+H154-P154+I154-Q154+J154-R154+K154))</f>
        <v>0</v>
      </c>
      <c r="T154" s="21" t="n">
        <f aca="false">MIN(ROUND(G154*(1+G$15),2),M154+MAX(0,N154-O154+H154-P154+I154-Q154+J154-R154+K154-S154+L154))</f>
        <v>0</v>
      </c>
      <c r="U154" s="21" t="n">
        <f aca="false">SUM(B154:G154)</f>
        <v>0</v>
      </c>
      <c r="V154" s="21" t="n">
        <f aca="false">SUM(O154:T154)</f>
        <v>0</v>
      </c>
      <c r="X154" s="25" t="n">
        <f aca="false">X153+1</f>
        <v>128</v>
      </c>
      <c r="Y154" s="21" t="n">
        <f aca="false">MAX(0,ROUND(Y153*(1+Y$15),2)-AL153)</f>
        <v>0</v>
      </c>
      <c r="Z154" s="21" t="n">
        <f aca="false">MAX(0,ROUND(Z153*(1+Z$15),2)-AM153)</f>
        <v>0</v>
      </c>
      <c r="AA154" s="21" t="n">
        <f aca="false">MAX(0,ROUND(AA153*(1+AA$15),2)-AN153)</f>
        <v>0</v>
      </c>
      <c r="AB154" s="21" t="n">
        <f aca="false">MAX(0,ROUND(AB153*(1+AB$15),2)-AO153)</f>
        <v>0</v>
      </c>
      <c r="AC154" s="21" t="n">
        <f aca="false">MAX(0,ROUND(AC153*(1+AC$15),2)-AP153)</f>
        <v>0</v>
      </c>
      <c r="AD154" s="21" t="n">
        <f aca="false">MAX(0,ROUND(AD153*(1+AD$15),2)-AQ153)</f>
        <v>0</v>
      </c>
      <c r="AE154" s="21" t="n">
        <f aca="false">MIN(Y$16,ROUND(Y154*(1+Y$15),2))</f>
        <v>0</v>
      </c>
      <c r="AF154" s="21" t="n">
        <f aca="false">MIN(Z$16,ROUND(Z154*(1+Z$15),2))</f>
        <v>0</v>
      </c>
      <c r="AG154" s="21" t="n">
        <f aca="false">MIN(AA$16,ROUND(AA154*(1+AA$15),2))</f>
        <v>0</v>
      </c>
      <c r="AH154" s="21" t="n">
        <f aca="false">MIN(AB$16,ROUND(AB154*(1+AB$15),2))</f>
        <v>0</v>
      </c>
      <c r="AI154" s="21" t="n">
        <f aca="false">MIN(AC$16,ROUND(AC154*(1+AC$15),2))</f>
        <v>0</v>
      </c>
      <c r="AJ154" s="21" t="n">
        <f aca="false">MIN(AD$16,ROUND(AD154*(1+AD$15),2))</f>
        <v>0</v>
      </c>
      <c r="AK154" s="21" t="n">
        <f aca="false">Y$20-SUM(AE154:AJ154)</f>
        <v>1170</v>
      </c>
      <c r="AL154" s="21" t="n">
        <f aca="false">MIN(ROUND(Y154*(1+Y$15),2),AE154+MAX(0,AK154))</f>
        <v>0</v>
      </c>
      <c r="AM154" s="21" t="n">
        <f aca="false">MIN(ROUND(Z154*(1+Z$15),2),AF154+MAX(0,AK154-AL154+AE154))</f>
        <v>0</v>
      </c>
      <c r="AN154" s="21" t="n">
        <f aca="false">MIN(ROUND(AA154*(1+AA$15),2),AG154+MAX(0,AK154-AL154+AE154-AM154+AF154))</f>
        <v>0</v>
      </c>
      <c r="AO154" s="21" t="n">
        <f aca="false">MIN(ROUND(AB154*(1+AB$15),2),AH154+MAX(0,AK154-AL154+AE154-AM154+AF154-AN154+AG154))</f>
        <v>0</v>
      </c>
      <c r="AP154" s="21" t="n">
        <f aca="false">MIN(ROUND(AC154*(1+AC$15),2),AI154+MAX(0,AK154-AL154+AE154-AM154+AF154-AN154+AG154-AO154+AH154))</f>
        <v>0</v>
      </c>
      <c r="AQ154" s="21" t="n">
        <f aca="false">MIN(ROUND(AD154*(1+AD$15),2),AJ154+MAX(0,AK154-AL154+AE154-AM154+AF154-AN154+AG154-AO154+AH154-AP154+AI154))</f>
        <v>0</v>
      </c>
      <c r="AR154" s="21" t="n">
        <f aca="false">SUM(Y154:AD154)</f>
        <v>0</v>
      </c>
      <c r="AS154" s="21" t="n">
        <f aca="false">SUM(AL154:AQ154)</f>
        <v>0</v>
      </c>
    </row>
    <row r="155" customFormat="false" ht="15" hidden="false" customHeight="false" outlineLevel="0" collapsed="false">
      <c r="A155" s="25" t="n">
        <f aca="false">A154+1</f>
        <v>129</v>
      </c>
      <c r="B155" s="21" t="n">
        <f aca="false">MAX(0,ROUND(B154*(1+B$15),2)-O154)</f>
        <v>0</v>
      </c>
      <c r="C155" s="21" t="n">
        <f aca="false">MAX(0,ROUND(C154*(1+C$15),2)-P154)</f>
        <v>0</v>
      </c>
      <c r="D155" s="21" t="n">
        <f aca="false">MAX(0,ROUND(D154*(1+D$15),2)-Q154)</f>
        <v>0</v>
      </c>
      <c r="E155" s="21" t="n">
        <f aca="false">MAX(0,ROUND(E154*(1+E$15),2)-R154)</f>
        <v>0</v>
      </c>
      <c r="F155" s="21" t="n">
        <f aca="false">MAX(0,ROUND(F154*(1+F$15),2)-S154)</f>
        <v>0</v>
      </c>
      <c r="G155" s="21" t="n">
        <f aca="false">MAX(0,ROUND(G154*(1+G$15),2)-T154)</f>
        <v>0</v>
      </c>
      <c r="H155" s="21" t="n">
        <f aca="false">MIN(B$16,ROUND(B155*(1+B$15),2))</f>
        <v>0</v>
      </c>
      <c r="I155" s="21" t="n">
        <f aca="false">MIN(C$16,ROUND(C155*(1+C$15),2))</f>
        <v>0</v>
      </c>
      <c r="J155" s="21" t="n">
        <f aca="false">MIN(D$16,ROUND(D155*(1+D$15),2))</f>
        <v>0</v>
      </c>
      <c r="K155" s="21" t="n">
        <f aca="false">MIN(E$16,ROUND(E155*(1+E$15),2))</f>
        <v>0</v>
      </c>
      <c r="L155" s="21" t="n">
        <f aca="false">MIN(F$16,ROUND(F155*(1+F$15),2))</f>
        <v>0</v>
      </c>
      <c r="M155" s="21" t="n">
        <f aca="false">MIN(G$16,ROUND(G155*(1+G$15),2))</f>
        <v>0</v>
      </c>
      <c r="N155" s="21" t="n">
        <f aca="false">B$20-SUM(H155:M155)</f>
        <v>1170</v>
      </c>
      <c r="O155" s="21" t="n">
        <f aca="false">MIN(ROUND(B155*(1+B$15),2),H155+MAX(0,N155))</f>
        <v>0</v>
      </c>
      <c r="P155" s="21" t="n">
        <f aca="false">MIN(ROUND(C155*(1+C$15),2),I155+MAX(0,N155-O155+H155))</f>
        <v>0</v>
      </c>
      <c r="Q155" s="21" t="n">
        <f aca="false">MIN(ROUND(D155*(1+D$15),2),J155+MAX(0,N155-O155+H155-P155+I155))</f>
        <v>0</v>
      </c>
      <c r="R155" s="21" t="n">
        <f aca="false">MIN(ROUND(E155*(1+E$15),2),K155+MAX(0,N155-O155+H155-P155+I155-Q155+J155))</f>
        <v>0</v>
      </c>
      <c r="S155" s="21" t="n">
        <f aca="false">MIN(ROUND(F155*(1+F$15),2),L155+MAX(0,N155-O155+H155-P155+I155-Q155+J155-R155+K155))</f>
        <v>0</v>
      </c>
      <c r="T155" s="21" t="n">
        <f aca="false">MIN(ROUND(G155*(1+G$15),2),M155+MAX(0,N155-O155+H155-P155+I155-Q155+J155-R155+K155-S155+L155))</f>
        <v>0</v>
      </c>
      <c r="U155" s="21" t="n">
        <f aca="false">SUM(B155:G155)</f>
        <v>0</v>
      </c>
      <c r="V155" s="21" t="n">
        <f aca="false">SUM(O155:T155)</f>
        <v>0</v>
      </c>
      <c r="X155" s="25" t="n">
        <f aca="false">X154+1</f>
        <v>129</v>
      </c>
      <c r="Y155" s="21" t="n">
        <f aca="false">MAX(0,ROUND(Y154*(1+Y$15),2)-AL154)</f>
        <v>0</v>
      </c>
      <c r="Z155" s="21" t="n">
        <f aca="false">MAX(0,ROUND(Z154*(1+Z$15),2)-AM154)</f>
        <v>0</v>
      </c>
      <c r="AA155" s="21" t="n">
        <f aca="false">MAX(0,ROUND(AA154*(1+AA$15),2)-AN154)</f>
        <v>0</v>
      </c>
      <c r="AB155" s="21" t="n">
        <f aca="false">MAX(0,ROUND(AB154*(1+AB$15),2)-AO154)</f>
        <v>0</v>
      </c>
      <c r="AC155" s="21" t="n">
        <f aca="false">MAX(0,ROUND(AC154*(1+AC$15),2)-AP154)</f>
        <v>0</v>
      </c>
      <c r="AD155" s="21" t="n">
        <f aca="false">MAX(0,ROUND(AD154*(1+AD$15),2)-AQ154)</f>
        <v>0</v>
      </c>
      <c r="AE155" s="21" t="n">
        <f aca="false">MIN(Y$16,ROUND(Y155*(1+Y$15),2))</f>
        <v>0</v>
      </c>
      <c r="AF155" s="21" t="n">
        <f aca="false">MIN(Z$16,ROUND(Z155*(1+Z$15),2))</f>
        <v>0</v>
      </c>
      <c r="AG155" s="21" t="n">
        <f aca="false">MIN(AA$16,ROUND(AA155*(1+AA$15),2))</f>
        <v>0</v>
      </c>
      <c r="AH155" s="21" t="n">
        <f aca="false">MIN(AB$16,ROUND(AB155*(1+AB$15),2))</f>
        <v>0</v>
      </c>
      <c r="AI155" s="21" t="n">
        <f aca="false">MIN(AC$16,ROUND(AC155*(1+AC$15),2))</f>
        <v>0</v>
      </c>
      <c r="AJ155" s="21" t="n">
        <f aca="false">MIN(AD$16,ROUND(AD155*(1+AD$15),2))</f>
        <v>0</v>
      </c>
      <c r="AK155" s="21" t="n">
        <f aca="false">Y$20-SUM(AE155:AJ155)</f>
        <v>1170</v>
      </c>
      <c r="AL155" s="21" t="n">
        <f aca="false">MIN(ROUND(Y155*(1+Y$15),2),AE155+MAX(0,AK155))</f>
        <v>0</v>
      </c>
      <c r="AM155" s="21" t="n">
        <f aca="false">MIN(ROUND(Z155*(1+Z$15),2),AF155+MAX(0,AK155-AL155+AE155))</f>
        <v>0</v>
      </c>
      <c r="AN155" s="21" t="n">
        <f aca="false">MIN(ROUND(AA155*(1+AA$15),2),AG155+MAX(0,AK155-AL155+AE155-AM155+AF155))</f>
        <v>0</v>
      </c>
      <c r="AO155" s="21" t="n">
        <f aca="false">MIN(ROUND(AB155*(1+AB$15),2),AH155+MAX(0,AK155-AL155+AE155-AM155+AF155-AN155+AG155))</f>
        <v>0</v>
      </c>
      <c r="AP155" s="21" t="n">
        <f aca="false">MIN(ROUND(AC155*(1+AC$15),2),AI155+MAX(0,AK155-AL155+AE155-AM155+AF155-AN155+AG155-AO155+AH155))</f>
        <v>0</v>
      </c>
      <c r="AQ155" s="21" t="n">
        <f aca="false">MIN(ROUND(AD155*(1+AD$15),2),AJ155+MAX(0,AK155-AL155+AE155-AM155+AF155-AN155+AG155-AO155+AH155-AP155+AI155))</f>
        <v>0</v>
      </c>
      <c r="AR155" s="21" t="n">
        <f aca="false">SUM(Y155:AD155)</f>
        <v>0</v>
      </c>
      <c r="AS155" s="21" t="n">
        <f aca="false">SUM(AL155:AQ155)</f>
        <v>0</v>
      </c>
    </row>
    <row r="156" customFormat="false" ht="15" hidden="false" customHeight="false" outlineLevel="0" collapsed="false">
      <c r="A156" s="25" t="n">
        <f aca="false">A155+1</f>
        <v>130</v>
      </c>
      <c r="B156" s="21" t="n">
        <f aca="false">MAX(0,ROUND(B155*(1+B$15),2)-O155)</f>
        <v>0</v>
      </c>
      <c r="C156" s="21" t="n">
        <f aca="false">MAX(0,ROUND(C155*(1+C$15),2)-P155)</f>
        <v>0</v>
      </c>
      <c r="D156" s="21" t="n">
        <f aca="false">MAX(0,ROUND(D155*(1+D$15),2)-Q155)</f>
        <v>0</v>
      </c>
      <c r="E156" s="21" t="n">
        <f aca="false">MAX(0,ROUND(E155*(1+E$15),2)-R155)</f>
        <v>0</v>
      </c>
      <c r="F156" s="21" t="n">
        <f aca="false">MAX(0,ROUND(F155*(1+F$15),2)-S155)</f>
        <v>0</v>
      </c>
      <c r="G156" s="21" t="n">
        <f aca="false">MAX(0,ROUND(G155*(1+G$15),2)-T155)</f>
        <v>0</v>
      </c>
      <c r="H156" s="21" t="n">
        <f aca="false">MIN(B$16,ROUND(B156*(1+B$15),2))</f>
        <v>0</v>
      </c>
      <c r="I156" s="21" t="n">
        <f aca="false">MIN(C$16,ROUND(C156*(1+C$15),2))</f>
        <v>0</v>
      </c>
      <c r="J156" s="21" t="n">
        <f aca="false">MIN(D$16,ROUND(D156*(1+D$15),2))</f>
        <v>0</v>
      </c>
      <c r="K156" s="21" t="n">
        <f aca="false">MIN(E$16,ROUND(E156*(1+E$15),2))</f>
        <v>0</v>
      </c>
      <c r="L156" s="21" t="n">
        <f aca="false">MIN(F$16,ROUND(F156*(1+F$15),2))</f>
        <v>0</v>
      </c>
      <c r="M156" s="21" t="n">
        <f aca="false">MIN(G$16,ROUND(G156*(1+G$15),2))</f>
        <v>0</v>
      </c>
      <c r="N156" s="21" t="n">
        <f aca="false">B$20-SUM(H156:M156)</f>
        <v>1170</v>
      </c>
      <c r="O156" s="21" t="n">
        <f aca="false">MIN(ROUND(B156*(1+B$15),2),H156+MAX(0,N156))</f>
        <v>0</v>
      </c>
      <c r="P156" s="21" t="n">
        <f aca="false">MIN(ROUND(C156*(1+C$15),2),I156+MAX(0,N156-O156+H156))</f>
        <v>0</v>
      </c>
      <c r="Q156" s="21" t="n">
        <f aca="false">MIN(ROUND(D156*(1+D$15),2),J156+MAX(0,N156-O156+H156-P156+I156))</f>
        <v>0</v>
      </c>
      <c r="R156" s="21" t="n">
        <f aca="false">MIN(ROUND(E156*(1+E$15),2),K156+MAX(0,N156-O156+H156-P156+I156-Q156+J156))</f>
        <v>0</v>
      </c>
      <c r="S156" s="21" t="n">
        <f aca="false">MIN(ROUND(F156*(1+F$15),2),L156+MAX(0,N156-O156+H156-P156+I156-Q156+J156-R156+K156))</f>
        <v>0</v>
      </c>
      <c r="T156" s="21" t="n">
        <f aca="false">MIN(ROUND(G156*(1+G$15),2),M156+MAX(0,N156-O156+H156-P156+I156-Q156+J156-R156+K156-S156+L156))</f>
        <v>0</v>
      </c>
      <c r="U156" s="21" t="n">
        <f aca="false">SUM(B156:G156)</f>
        <v>0</v>
      </c>
      <c r="V156" s="21" t="n">
        <f aca="false">SUM(O156:T156)</f>
        <v>0</v>
      </c>
      <c r="X156" s="25" t="n">
        <f aca="false">X155+1</f>
        <v>130</v>
      </c>
      <c r="Y156" s="21" t="n">
        <f aca="false">MAX(0,ROUND(Y155*(1+Y$15),2)-AL155)</f>
        <v>0</v>
      </c>
      <c r="Z156" s="21" t="n">
        <f aca="false">MAX(0,ROUND(Z155*(1+Z$15),2)-AM155)</f>
        <v>0</v>
      </c>
      <c r="AA156" s="21" t="n">
        <f aca="false">MAX(0,ROUND(AA155*(1+AA$15),2)-AN155)</f>
        <v>0</v>
      </c>
      <c r="AB156" s="21" t="n">
        <f aca="false">MAX(0,ROUND(AB155*(1+AB$15),2)-AO155)</f>
        <v>0</v>
      </c>
      <c r="AC156" s="21" t="n">
        <f aca="false">MAX(0,ROUND(AC155*(1+AC$15),2)-AP155)</f>
        <v>0</v>
      </c>
      <c r="AD156" s="21" t="n">
        <f aca="false">MAX(0,ROUND(AD155*(1+AD$15),2)-AQ155)</f>
        <v>0</v>
      </c>
      <c r="AE156" s="21" t="n">
        <f aca="false">MIN(Y$16,ROUND(Y156*(1+Y$15),2))</f>
        <v>0</v>
      </c>
      <c r="AF156" s="21" t="n">
        <f aca="false">MIN(Z$16,ROUND(Z156*(1+Z$15),2))</f>
        <v>0</v>
      </c>
      <c r="AG156" s="21" t="n">
        <f aca="false">MIN(AA$16,ROUND(AA156*(1+AA$15),2))</f>
        <v>0</v>
      </c>
      <c r="AH156" s="21" t="n">
        <f aca="false">MIN(AB$16,ROUND(AB156*(1+AB$15),2))</f>
        <v>0</v>
      </c>
      <c r="AI156" s="21" t="n">
        <f aca="false">MIN(AC$16,ROUND(AC156*(1+AC$15),2))</f>
        <v>0</v>
      </c>
      <c r="AJ156" s="21" t="n">
        <f aca="false">MIN(AD$16,ROUND(AD156*(1+AD$15),2))</f>
        <v>0</v>
      </c>
      <c r="AK156" s="21" t="n">
        <f aca="false">Y$20-SUM(AE156:AJ156)</f>
        <v>1170</v>
      </c>
      <c r="AL156" s="21" t="n">
        <f aca="false">MIN(ROUND(Y156*(1+Y$15),2),AE156+MAX(0,AK156))</f>
        <v>0</v>
      </c>
      <c r="AM156" s="21" t="n">
        <f aca="false">MIN(ROUND(Z156*(1+Z$15),2),AF156+MAX(0,AK156-AL156+AE156))</f>
        <v>0</v>
      </c>
      <c r="AN156" s="21" t="n">
        <f aca="false">MIN(ROUND(AA156*(1+AA$15),2),AG156+MAX(0,AK156-AL156+AE156-AM156+AF156))</f>
        <v>0</v>
      </c>
      <c r="AO156" s="21" t="n">
        <f aca="false">MIN(ROUND(AB156*(1+AB$15),2),AH156+MAX(0,AK156-AL156+AE156-AM156+AF156-AN156+AG156))</f>
        <v>0</v>
      </c>
      <c r="AP156" s="21" t="n">
        <f aca="false">MIN(ROUND(AC156*(1+AC$15),2),AI156+MAX(0,AK156-AL156+AE156-AM156+AF156-AN156+AG156-AO156+AH156))</f>
        <v>0</v>
      </c>
      <c r="AQ156" s="21" t="n">
        <f aca="false">MIN(ROUND(AD156*(1+AD$15),2),AJ156+MAX(0,AK156-AL156+AE156-AM156+AF156-AN156+AG156-AO156+AH156-AP156+AI156))</f>
        <v>0</v>
      </c>
      <c r="AR156" s="21" t="n">
        <f aca="false">SUM(Y156:AD156)</f>
        <v>0</v>
      </c>
      <c r="AS156" s="21" t="n">
        <f aca="false">SUM(AL156:AQ156)</f>
        <v>0</v>
      </c>
    </row>
    <row r="157" customFormat="false" ht="15" hidden="false" customHeight="false" outlineLevel="0" collapsed="false">
      <c r="A157" s="25" t="n">
        <f aca="false">A156+1</f>
        <v>131</v>
      </c>
      <c r="B157" s="21" t="n">
        <f aca="false">MAX(0,ROUND(B156*(1+B$15),2)-O156)</f>
        <v>0</v>
      </c>
      <c r="C157" s="21" t="n">
        <f aca="false">MAX(0,ROUND(C156*(1+C$15),2)-P156)</f>
        <v>0</v>
      </c>
      <c r="D157" s="21" t="n">
        <f aca="false">MAX(0,ROUND(D156*(1+D$15),2)-Q156)</f>
        <v>0</v>
      </c>
      <c r="E157" s="21" t="n">
        <f aca="false">MAX(0,ROUND(E156*(1+E$15),2)-R156)</f>
        <v>0</v>
      </c>
      <c r="F157" s="21" t="n">
        <f aca="false">MAX(0,ROUND(F156*(1+F$15),2)-S156)</f>
        <v>0</v>
      </c>
      <c r="G157" s="21" t="n">
        <f aca="false">MAX(0,ROUND(G156*(1+G$15),2)-T156)</f>
        <v>0</v>
      </c>
      <c r="H157" s="21" t="n">
        <f aca="false">MIN(B$16,ROUND(B157*(1+B$15),2))</f>
        <v>0</v>
      </c>
      <c r="I157" s="21" t="n">
        <f aca="false">MIN(C$16,ROUND(C157*(1+C$15),2))</f>
        <v>0</v>
      </c>
      <c r="J157" s="21" t="n">
        <f aca="false">MIN(D$16,ROUND(D157*(1+D$15),2))</f>
        <v>0</v>
      </c>
      <c r="K157" s="21" t="n">
        <f aca="false">MIN(E$16,ROUND(E157*(1+E$15),2))</f>
        <v>0</v>
      </c>
      <c r="L157" s="21" t="n">
        <f aca="false">MIN(F$16,ROUND(F157*(1+F$15),2))</f>
        <v>0</v>
      </c>
      <c r="M157" s="21" t="n">
        <f aca="false">MIN(G$16,ROUND(G157*(1+G$15),2))</f>
        <v>0</v>
      </c>
      <c r="N157" s="21" t="n">
        <f aca="false">B$20-SUM(H157:M157)</f>
        <v>1170</v>
      </c>
      <c r="O157" s="21" t="n">
        <f aca="false">MIN(ROUND(B157*(1+B$15),2),H157+MAX(0,N157))</f>
        <v>0</v>
      </c>
      <c r="P157" s="21" t="n">
        <f aca="false">MIN(ROUND(C157*(1+C$15),2),I157+MAX(0,N157-O157+H157))</f>
        <v>0</v>
      </c>
      <c r="Q157" s="21" t="n">
        <f aca="false">MIN(ROUND(D157*(1+D$15),2),J157+MAX(0,N157-O157+H157-P157+I157))</f>
        <v>0</v>
      </c>
      <c r="R157" s="21" t="n">
        <f aca="false">MIN(ROUND(E157*(1+E$15),2),K157+MAX(0,N157-O157+H157-P157+I157-Q157+J157))</f>
        <v>0</v>
      </c>
      <c r="S157" s="21" t="n">
        <f aca="false">MIN(ROUND(F157*(1+F$15),2),L157+MAX(0,N157-O157+H157-P157+I157-Q157+J157-R157+K157))</f>
        <v>0</v>
      </c>
      <c r="T157" s="21" t="n">
        <f aca="false">MIN(ROUND(G157*(1+G$15),2),M157+MAX(0,N157-O157+H157-P157+I157-Q157+J157-R157+K157-S157+L157))</f>
        <v>0</v>
      </c>
      <c r="U157" s="21" t="n">
        <f aca="false">SUM(B157:G157)</f>
        <v>0</v>
      </c>
      <c r="V157" s="21" t="n">
        <f aca="false">SUM(O157:T157)</f>
        <v>0</v>
      </c>
      <c r="X157" s="25" t="n">
        <f aca="false">X156+1</f>
        <v>131</v>
      </c>
      <c r="Y157" s="21" t="n">
        <f aca="false">MAX(0,ROUND(Y156*(1+Y$15),2)-AL156)</f>
        <v>0</v>
      </c>
      <c r="Z157" s="21" t="n">
        <f aca="false">MAX(0,ROUND(Z156*(1+Z$15),2)-AM156)</f>
        <v>0</v>
      </c>
      <c r="AA157" s="21" t="n">
        <f aca="false">MAX(0,ROUND(AA156*(1+AA$15),2)-AN156)</f>
        <v>0</v>
      </c>
      <c r="AB157" s="21" t="n">
        <f aca="false">MAX(0,ROUND(AB156*(1+AB$15),2)-AO156)</f>
        <v>0</v>
      </c>
      <c r="AC157" s="21" t="n">
        <f aca="false">MAX(0,ROUND(AC156*(1+AC$15),2)-AP156)</f>
        <v>0</v>
      </c>
      <c r="AD157" s="21" t="n">
        <f aca="false">MAX(0,ROUND(AD156*(1+AD$15),2)-AQ156)</f>
        <v>0</v>
      </c>
      <c r="AE157" s="21" t="n">
        <f aca="false">MIN(Y$16,ROUND(Y157*(1+Y$15),2))</f>
        <v>0</v>
      </c>
      <c r="AF157" s="21" t="n">
        <f aca="false">MIN(Z$16,ROUND(Z157*(1+Z$15),2))</f>
        <v>0</v>
      </c>
      <c r="AG157" s="21" t="n">
        <f aca="false">MIN(AA$16,ROUND(AA157*(1+AA$15),2))</f>
        <v>0</v>
      </c>
      <c r="AH157" s="21" t="n">
        <f aca="false">MIN(AB$16,ROUND(AB157*(1+AB$15),2))</f>
        <v>0</v>
      </c>
      <c r="AI157" s="21" t="n">
        <f aca="false">MIN(AC$16,ROUND(AC157*(1+AC$15),2))</f>
        <v>0</v>
      </c>
      <c r="AJ157" s="21" t="n">
        <f aca="false">MIN(AD$16,ROUND(AD157*(1+AD$15),2))</f>
        <v>0</v>
      </c>
      <c r="AK157" s="21" t="n">
        <f aca="false">Y$20-SUM(AE157:AJ157)</f>
        <v>1170</v>
      </c>
      <c r="AL157" s="21" t="n">
        <f aca="false">MIN(ROUND(Y157*(1+Y$15),2),AE157+MAX(0,AK157))</f>
        <v>0</v>
      </c>
      <c r="AM157" s="21" t="n">
        <f aca="false">MIN(ROUND(Z157*(1+Z$15),2),AF157+MAX(0,AK157-AL157+AE157))</f>
        <v>0</v>
      </c>
      <c r="AN157" s="21" t="n">
        <f aca="false">MIN(ROUND(AA157*(1+AA$15),2),AG157+MAX(0,AK157-AL157+AE157-AM157+AF157))</f>
        <v>0</v>
      </c>
      <c r="AO157" s="21" t="n">
        <f aca="false">MIN(ROUND(AB157*(1+AB$15),2),AH157+MAX(0,AK157-AL157+AE157-AM157+AF157-AN157+AG157))</f>
        <v>0</v>
      </c>
      <c r="AP157" s="21" t="n">
        <f aca="false">MIN(ROUND(AC157*(1+AC$15),2),AI157+MAX(0,AK157-AL157+AE157-AM157+AF157-AN157+AG157-AO157+AH157))</f>
        <v>0</v>
      </c>
      <c r="AQ157" s="21" t="n">
        <f aca="false">MIN(ROUND(AD157*(1+AD$15),2),AJ157+MAX(0,AK157-AL157+AE157-AM157+AF157-AN157+AG157-AO157+AH157-AP157+AI157))</f>
        <v>0</v>
      </c>
      <c r="AR157" s="21" t="n">
        <f aca="false">SUM(Y157:AD157)</f>
        <v>0</v>
      </c>
      <c r="AS157" s="21" t="n">
        <f aca="false">SUM(AL157:AQ157)</f>
        <v>0</v>
      </c>
    </row>
    <row r="158" customFormat="false" ht="15" hidden="false" customHeight="false" outlineLevel="0" collapsed="false">
      <c r="A158" s="25" t="n">
        <f aca="false">A157+1</f>
        <v>132</v>
      </c>
      <c r="B158" s="21" t="n">
        <f aca="false">MAX(0,ROUND(B157*(1+B$15),2)-O157)</f>
        <v>0</v>
      </c>
      <c r="C158" s="21" t="n">
        <f aca="false">MAX(0,ROUND(C157*(1+C$15),2)-P157)</f>
        <v>0</v>
      </c>
      <c r="D158" s="21" t="n">
        <f aca="false">MAX(0,ROUND(D157*(1+D$15),2)-Q157)</f>
        <v>0</v>
      </c>
      <c r="E158" s="21" t="n">
        <f aca="false">MAX(0,ROUND(E157*(1+E$15),2)-R157)</f>
        <v>0</v>
      </c>
      <c r="F158" s="21" t="n">
        <f aca="false">MAX(0,ROUND(F157*(1+F$15),2)-S157)</f>
        <v>0</v>
      </c>
      <c r="G158" s="21" t="n">
        <f aca="false">MAX(0,ROUND(G157*(1+G$15),2)-T157)</f>
        <v>0</v>
      </c>
      <c r="H158" s="21" t="n">
        <f aca="false">MIN(B$16,ROUND(B158*(1+B$15),2))</f>
        <v>0</v>
      </c>
      <c r="I158" s="21" t="n">
        <f aca="false">MIN(C$16,ROUND(C158*(1+C$15),2))</f>
        <v>0</v>
      </c>
      <c r="J158" s="21" t="n">
        <f aca="false">MIN(D$16,ROUND(D158*(1+D$15),2))</f>
        <v>0</v>
      </c>
      <c r="K158" s="21" t="n">
        <f aca="false">MIN(E$16,ROUND(E158*(1+E$15),2))</f>
        <v>0</v>
      </c>
      <c r="L158" s="21" t="n">
        <f aca="false">MIN(F$16,ROUND(F158*(1+F$15),2))</f>
        <v>0</v>
      </c>
      <c r="M158" s="21" t="n">
        <f aca="false">MIN(G$16,ROUND(G158*(1+G$15),2))</f>
        <v>0</v>
      </c>
      <c r="N158" s="21" t="n">
        <f aca="false">B$20-SUM(H158:M158)</f>
        <v>1170</v>
      </c>
      <c r="O158" s="21" t="n">
        <f aca="false">MIN(ROUND(B158*(1+B$15),2),H158+MAX(0,N158))</f>
        <v>0</v>
      </c>
      <c r="P158" s="21" t="n">
        <f aca="false">MIN(ROUND(C158*(1+C$15),2),I158+MAX(0,N158-O158+H158))</f>
        <v>0</v>
      </c>
      <c r="Q158" s="21" t="n">
        <f aca="false">MIN(ROUND(D158*(1+D$15),2),J158+MAX(0,N158-O158+H158-P158+I158))</f>
        <v>0</v>
      </c>
      <c r="R158" s="21" t="n">
        <f aca="false">MIN(ROUND(E158*(1+E$15),2),K158+MAX(0,N158-O158+H158-P158+I158-Q158+J158))</f>
        <v>0</v>
      </c>
      <c r="S158" s="21" t="n">
        <f aca="false">MIN(ROUND(F158*(1+F$15),2),L158+MAX(0,N158-O158+H158-P158+I158-Q158+J158-R158+K158))</f>
        <v>0</v>
      </c>
      <c r="T158" s="21" t="n">
        <f aca="false">MIN(ROUND(G158*(1+G$15),2),M158+MAX(0,N158-O158+H158-P158+I158-Q158+J158-R158+K158-S158+L158))</f>
        <v>0</v>
      </c>
      <c r="U158" s="21" t="n">
        <f aca="false">SUM(B158:G158)</f>
        <v>0</v>
      </c>
      <c r="V158" s="21" t="n">
        <f aca="false">SUM(O158:T158)</f>
        <v>0</v>
      </c>
      <c r="X158" s="25" t="n">
        <f aca="false">X157+1</f>
        <v>132</v>
      </c>
      <c r="Y158" s="21" t="n">
        <f aca="false">MAX(0,ROUND(Y157*(1+Y$15),2)-AL157)</f>
        <v>0</v>
      </c>
      <c r="Z158" s="21" t="n">
        <f aca="false">MAX(0,ROUND(Z157*(1+Z$15),2)-AM157)</f>
        <v>0</v>
      </c>
      <c r="AA158" s="21" t="n">
        <f aca="false">MAX(0,ROUND(AA157*(1+AA$15),2)-AN157)</f>
        <v>0</v>
      </c>
      <c r="AB158" s="21" t="n">
        <f aca="false">MAX(0,ROUND(AB157*(1+AB$15),2)-AO157)</f>
        <v>0</v>
      </c>
      <c r="AC158" s="21" t="n">
        <f aca="false">MAX(0,ROUND(AC157*(1+AC$15),2)-AP157)</f>
        <v>0</v>
      </c>
      <c r="AD158" s="21" t="n">
        <f aca="false">MAX(0,ROUND(AD157*(1+AD$15),2)-AQ157)</f>
        <v>0</v>
      </c>
      <c r="AE158" s="21" t="n">
        <f aca="false">MIN(Y$16,ROUND(Y158*(1+Y$15),2))</f>
        <v>0</v>
      </c>
      <c r="AF158" s="21" t="n">
        <f aca="false">MIN(Z$16,ROUND(Z158*(1+Z$15),2))</f>
        <v>0</v>
      </c>
      <c r="AG158" s="21" t="n">
        <f aca="false">MIN(AA$16,ROUND(AA158*(1+AA$15),2))</f>
        <v>0</v>
      </c>
      <c r="AH158" s="21" t="n">
        <f aca="false">MIN(AB$16,ROUND(AB158*(1+AB$15),2))</f>
        <v>0</v>
      </c>
      <c r="AI158" s="21" t="n">
        <f aca="false">MIN(AC$16,ROUND(AC158*(1+AC$15),2))</f>
        <v>0</v>
      </c>
      <c r="AJ158" s="21" t="n">
        <f aca="false">MIN(AD$16,ROUND(AD158*(1+AD$15),2))</f>
        <v>0</v>
      </c>
      <c r="AK158" s="21" t="n">
        <f aca="false">Y$20-SUM(AE158:AJ158)</f>
        <v>1170</v>
      </c>
      <c r="AL158" s="21" t="n">
        <f aca="false">MIN(ROUND(Y158*(1+Y$15),2),AE158+MAX(0,AK158))</f>
        <v>0</v>
      </c>
      <c r="AM158" s="21" t="n">
        <f aca="false">MIN(ROUND(Z158*(1+Z$15),2),AF158+MAX(0,AK158-AL158+AE158))</f>
        <v>0</v>
      </c>
      <c r="AN158" s="21" t="n">
        <f aca="false">MIN(ROUND(AA158*(1+AA$15),2),AG158+MAX(0,AK158-AL158+AE158-AM158+AF158))</f>
        <v>0</v>
      </c>
      <c r="AO158" s="21" t="n">
        <f aca="false">MIN(ROUND(AB158*(1+AB$15),2),AH158+MAX(0,AK158-AL158+AE158-AM158+AF158-AN158+AG158))</f>
        <v>0</v>
      </c>
      <c r="AP158" s="21" t="n">
        <f aca="false">MIN(ROUND(AC158*(1+AC$15),2),AI158+MAX(0,AK158-AL158+AE158-AM158+AF158-AN158+AG158-AO158+AH158))</f>
        <v>0</v>
      </c>
      <c r="AQ158" s="21" t="n">
        <f aca="false">MIN(ROUND(AD158*(1+AD$15),2),AJ158+MAX(0,AK158-AL158+AE158-AM158+AF158-AN158+AG158-AO158+AH158-AP158+AI158))</f>
        <v>0</v>
      </c>
      <c r="AR158" s="21" t="n">
        <f aca="false">SUM(Y158:AD158)</f>
        <v>0</v>
      </c>
      <c r="AS158" s="21" t="n">
        <f aca="false">SUM(AL158:AQ158)</f>
        <v>0</v>
      </c>
    </row>
    <row r="159" customFormat="false" ht="15" hidden="false" customHeight="false" outlineLevel="0" collapsed="false">
      <c r="A159" s="25" t="n">
        <f aca="false">A158+1</f>
        <v>133</v>
      </c>
      <c r="B159" s="21" t="n">
        <f aca="false">MAX(0,ROUND(B158*(1+B$15),2)-O158)</f>
        <v>0</v>
      </c>
      <c r="C159" s="21" t="n">
        <f aca="false">MAX(0,ROUND(C158*(1+C$15),2)-P158)</f>
        <v>0</v>
      </c>
      <c r="D159" s="21" t="n">
        <f aca="false">MAX(0,ROUND(D158*(1+D$15),2)-Q158)</f>
        <v>0</v>
      </c>
      <c r="E159" s="21" t="n">
        <f aca="false">MAX(0,ROUND(E158*(1+E$15),2)-R158)</f>
        <v>0</v>
      </c>
      <c r="F159" s="21" t="n">
        <f aca="false">MAX(0,ROUND(F158*(1+F$15),2)-S158)</f>
        <v>0</v>
      </c>
      <c r="G159" s="21" t="n">
        <f aca="false">MAX(0,ROUND(G158*(1+G$15),2)-T158)</f>
        <v>0</v>
      </c>
      <c r="H159" s="21" t="n">
        <f aca="false">MIN(B$16,ROUND(B159*(1+B$15),2))</f>
        <v>0</v>
      </c>
      <c r="I159" s="21" t="n">
        <f aca="false">MIN(C$16,ROUND(C159*(1+C$15),2))</f>
        <v>0</v>
      </c>
      <c r="J159" s="21" t="n">
        <f aca="false">MIN(D$16,ROUND(D159*(1+D$15),2))</f>
        <v>0</v>
      </c>
      <c r="K159" s="21" t="n">
        <f aca="false">MIN(E$16,ROUND(E159*(1+E$15),2))</f>
        <v>0</v>
      </c>
      <c r="L159" s="21" t="n">
        <f aca="false">MIN(F$16,ROUND(F159*(1+F$15),2))</f>
        <v>0</v>
      </c>
      <c r="M159" s="21" t="n">
        <f aca="false">MIN(G$16,ROUND(G159*(1+G$15),2))</f>
        <v>0</v>
      </c>
      <c r="N159" s="21" t="n">
        <f aca="false">B$20-SUM(H159:M159)</f>
        <v>1170</v>
      </c>
      <c r="O159" s="21" t="n">
        <f aca="false">MIN(ROUND(B159*(1+B$15),2),H159+MAX(0,N159))</f>
        <v>0</v>
      </c>
      <c r="P159" s="21" t="n">
        <f aca="false">MIN(ROUND(C159*(1+C$15),2),I159+MAX(0,N159-O159+H159))</f>
        <v>0</v>
      </c>
      <c r="Q159" s="21" t="n">
        <f aca="false">MIN(ROUND(D159*(1+D$15),2),J159+MAX(0,N159-O159+H159-P159+I159))</f>
        <v>0</v>
      </c>
      <c r="R159" s="21" t="n">
        <f aca="false">MIN(ROUND(E159*(1+E$15),2),K159+MAX(0,N159-O159+H159-P159+I159-Q159+J159))</f>
        <v>0</v>
      </c>
      <c r="S159" s="21" t="n">
        <f aca="false">MIN(ROUND(F159*(1+F$15),2),L159+MAX(0,N159-O159+H159-P159+I159-Q159+J159-R159+K159))</f>
        <v>0</v>
      </c>
      <c r="T159" s="21" t="n">
        <f aca="false">MIN(ROUND(G159*(1+G$15),2),M159+MAX(0,N159-O159+H159-P159+I159-Q159+J159-R159+K159-S159+L159))</f>
        <v>0</v>
      </c>
      <c r="U159" s="21" t="n">
        <f aca="false">SUM(B159:G159)</f>
        <v>0</v>
      </c>
      <c r="V159" s="21" t="n">
        <f aca="false">SUM(O159:T159)</f>
        <v>0</v>
      </c>
      <c r="X159" s="25" t="n">
        <f aca="false">X158+1</f>
        <v>133</v>
      </c>
      <c r="Y159" s="21" t="n">
        <f aca="false">MAX(0,ROUND(Y158*(1+Y$15),2)-AL158)</f>
        <v>0</v>
      </c>
      <c r="Z159" s="21" t="n">
        <f aca="false">MAX(0,ROUND(Z158*(1+Z$15),2)-AM158)</f>
        <v>0</v>
      </c>
      <c r="AA159" s="21" t="n">
        <f aca="false">MAX(0,ROUND(AA158*(1+AA$15),2)-AN158)</f>
        <v>0</v>
      </c>
      <c r="AB159" s="21" t="n">
        <f aca="false">MAX(0,ROUND(AB158*(1+AB$15),2)-AO158)</f>
        <v>0</v>
      </c>
      <c r="AC159" s="21" t="n">
        <f aca="false">MAX(0,ROUND(AC158*(1+AC$15),2)-AP158)</f>
        <v>0</v>
      </c>
      <c r="AD159" s="21" t="n">
        <f aca="false">MAX(0,ROUND(AD158*(1+AD$15),2)-AQ158)</f>
        <v>0</v>
      </c>
      <c r="AE159" s="21" t="n">
        <f aca="false">MIN(Y$16,ROUND(Y159*(1+Y$15),2))</f>
        <v>0</v>
      </c>
      <c r="AF159" s="21" t="n">
        <f aca="false">MIN(Z$16,ROUND(Z159*(1+Z$15),2))</f>
        <v>0</v>
      </c>
      <c r="AG159" s="21" t="n">
        <f aca="false">MIN(AA$16,ROUND(AA159*(1+AA$15),2))</f>
        <v>0</v>
      </c>
      <c r="AH159" s="21" t="n">
        <f aca="false">MIN(AB$16,ROUND(AB159*(1+AB$15),2))</f>
        <v>0</v>
      </c>
      <c r="AI159" s="21" t="n">
        <f aca="false">MIN(AC$16,ROUND(AC159*(1+AC$15),2))</f>
        <v>0</v>
      </c>
      <c r="AJ159" s="21" t="n">
        <f aca="false">MIN(AD$16,ROUND(AD159*(1+AD$15),2))</f>
        <v>0</v>
      </c>
      <c r="AK159" s="21" t="n">
        <f aca="false">Y$20-SUM(AE159:AJ159)</f>
        <v>1170</v>
      </c>
      <c r="AL159" s="21" t="n">
        <f aca="false">MIN(ROUND(Y159*(1+Y$15),2),AE159+MAX(0,AK159))</f>
        <v>0</v>
      </c>
      <c r="AM159" s="21" t="n">
        <f aca="false">MIN(ROUND(Z159*(1+Z$15),2),AF159+MAX(0,AK159-AL159+AE159))</f>
        <v>0</v>
      </c>
      <c r="AN159" s="21" t="n">
        <f aca="false">MIN(ROUND(AA159*(1+AA$15),2),AG159+MAX(0,AK159-AL159+AE159-AM159+AF159))</f>
        <v>0</v>
      </c>
      <c r="AO159" s="21" t="n">
        <f aca="false">MIN(ROUND(AB159*(1+AB$15),2),AH159+MAX(0,AK159-AL159+AE159-AM159+AF159-AN159+AG159))</f>
        <v>0</v>
      </c>
      <c r="AP159" s="21" t="n">
        <f aca="false">MIN(ROUND(AC159*(1+AC$15),2),AI159+MAX(0,AK159-AL159+AE159-AM159+AF159-AN159+AG159-AO159+AH159))</f>
        <v>0</v>
      </c>
      <c r="AQ159" s="21" t="n">
        <f aca="false">MIN(ROUND(AD159*(1+AD$15),2),AJ159+MAX(0,AK159-AL159+AE159-AM159+AF159-AN159+AG159-AO159+AH159-AP159+AI159))</f>
        <v>0</v>
      </c>
      <c r="AR159" s="21" t="n">
        <f aca="false">SUM(Y159:AD159)</f>
        <v>0</v>
      </c>
      <c r="AS159" s="21" t="n">
        <f aca="false">SUM(AL159:AQ159)</f>
        <v>0</v>
      </c>
    </row>
    <row r="160" customFormat="false" ht="15" hidden="false" customHeight="false" outlineLevel="0" collapsed="false">
      <c r="A160" s="25" t="n">
        <f aca="false">A159+1</f>
        <v>134</v>
      </c>
      <c r="B160" s="21" t="n">
        <f aca="false">MAX(0,ROUND(B159*(1+B$15),2)-O159)</f>
        <v>0</v>
      </c>
      <c r="C160" s="21" t="n">
        <f aca="false">MAX(0,ROUND(C159*(1+C$15),2)-P159)</f>
        <v>0</v>
      </c>
      <c r="D160" s="21" t="n">
        <f aca="false">MAX(0,ROUND(D159*(1+D$15),2)-Q159)</f>
        <v>0</v>
      </c>
      <c r="E160" s="21" t="n">
        <f aca="false">MAX(0,ROUND(E159*(1+E$15),2)-R159)</f>
        <v>0</v>
      </c>
      <c r="F160" s="21" t="n">
        <f aca="false">MAX(0,ROUND(F159*(1+F$15),2)-S159)</f>
        <v>0</v>
      </c>
      <c r="G160" s="21" t="n">
        <f aca="false">MAX(0,ROUND(G159*(1+G$15),2)-T159)</f>
        <v>0</v>
      </c>
      <c r="H160" s="21" t="n">
        <f aca="false">MIN(B$16,ROUND(B160*(1+B$15),2))</f>
        <v>0</v>
      </c>
      <c r="I160" s="21" t="n">
        <f aca="false">MIN(C$16,ROUND(C160*(1+C$15),2))</f>
        <v>0</v>
      </c>
      <c r="J160" s="21" t="n">
        <f aca="false">MIN(D$16,ROUND(D160*(1+D$15),2))</f>
        <v>0</v>
      </c>
      <c r="K160" s="21" t="n">
        <f aca="false">MIN(E$16,ROUND(E160*(1+E$15),2))</f>
        <v>0</v>
      </c>
      <c r="L160" s="21" t="n">
        <f aca="false">MIN(F$16,ROUND(F160*(1+F$15),2))</f>
        <v>0</v>
      </c>
      <c r="M160" s="21" t="n">
        <f aca="false">MIN(G$16,ROUND(G160*(1+G$15),2))</f>
        <v>0</v>
      </c>
      <c r="N160" s="21" t="n">
        <f aca="false">B$20-SUM(H160:M160)</f>
        <v>1170</v>
      </c>
      <c r="O160" s="21" t="n">
        <f aca="false">MIN(ROUND(B160*(1+B$15),2),H160+MAX(0,N160))</f>
        <v>0</v>
      </c>
      <c r="P160" s="21" t="n">
        <f aca="false">MIN(ROUND(C160*(1+C$15),2),I160+MAX(0,N160-O160+H160))</f>
        <v>0</v>
      </c>
      <c r="Q160" s="21" t="n">
        <f aca="false">MIN(ROUND(D160*(1+D$15),2),J160+MAX(0,N160-O160+H160-P160+I160))</f>
        <v>0</v>
      </c>
      <c r="R160" s="21" t="n">
        <f aca="false">MIN(ROUND(E160*(1+E$15),2),K160+MAX(0,N160-O160+H160-P160+I160-Q160+J160))</f>
        <v>0</v>
      </c>
      <c r="S160" s="21" t="n">
        <f aca="false">MIN(ROUND(F160*(1+F$15),2),L160+MAX(0,N160-O160+H160-P160+I160-Q160+J160-R160+K160))</f>
        <v>0</v>
      </c>
      <c r="T160" s="21" t="n">
        <f aca="false">MIN(ROUND(G160*(1+G$15),2),M160+MAX(0,N160-O160+H160-P160+I160-Q160+J160-R160+K160-S160+L160))</f>
        <v>0</v>
      </c>
      <c r="U160" s="21" t="n">
        <f aca="false">SUM(B160:G160)</f>
        <v>0</v>
      </c>
      <c r="V160" s="21" t="n">
        <f aca="false">SUM(O160:T160)</f>
        <v>0</v>
      </c>
      <c r="X160" s="25" t="n">
        <f aca="false">X159+1</f>
        <v>134</v>
      </c>
      <c r="Y160" s="21" t="n">
        <f aca="false">MAX(0,ROUND(Y159*(1+Y$15),2)-AL159)</f>
        <v>0</v>
      </c>
      <c r="Z160" s="21" t="n">
        <f aca="false">MAX(0,ROUND(Z159*(1+Z$15),2)-AM159)</f>
        <v>0</v>
      </c>
      <c r="AA160" s="21" t="n">
        <f aca="false">MAX(0,ROUND(AA159*(1+AA$15),2)-AN159)</f>
        <v>0</v>
      </c>
      <c r="AB160" s="21" t="n">
        <f aca="false">MAX(0,ROUND(AB159*(1+AB$15),2)-AO159)</f>
        <v>0</v>
      </c>
      <c r="AC160" s="21" t="n">
        <f aca="false">MAX(0,ROUND(AC159*(1+AC$15),2)-AP159)</f>
        <v>0</v>
      </c>
      <c r="AD160" s="21" t="n">
        <f aca="false">MAX(0,ROUND(AD159*(1+AD$15),2)-AQ159)</f>
        <v>0</v>
      </c>
      <c r="AE160" s="21" t="n">
        <f aca="false">MIN(Y$16,ROUND(Y160*(1+Y$15),2))</f>
        <v>0</v>
      </c>
      <c r="AF160" s="21" t="n">
        <f aca="false">MIN(Z$16,ROUND(Z160*(1+Z$15),2))</f>
        <v>0</v>
      </c>
      <c r="AG160" s="21" t="n">
        <f aca="false">MIN(AA$16,ROUND(AA160*(1+AA$15),2))</f>
        <v>0</v>
      </c>
      <c r="AH160" s="21" t="n">
        <f aca="false">MIN(AB$16,ROUND(AB160*(1+AB$15),2))</f>
        <v>0</v>
      </c>
      <c r="AI160" s="21" t="n">
        <f aca="false">MIN(AC$16,ROUND(AC160*(1+AC$15),2))</f>
        <v>0</v>
      </c>
      <c r="AJ160" s="21" t="n">
        <f aca="false">MIN(AD$16,ROUND(AD160*(1+AD$15),2))</f>
        <v>0</v>
      </c>
      <c r="AK160" s="21" t="n">
        <f aca="false">Y$20-SUM(AE160:AJ160)</f>
        <v>1170</v>
      </c>
      <c r="AL160" s="21" t="n">
        <f aca="false">MIN(ROUND(Y160*(1+Y$15),2),AE160+MAX(0,AK160))</f>
        <v>0</v>
      </c>
      <c r="AM160" s="21" t="n">
        <f aca="false">MIN(ROUND(Z160*(1+Z$15),2),AF160+MAX(0,AK160-AL160+AE160))</f>
        <v>0</v>
      </c>
      <c r="AN160" s="21" t="n">
        <f aca="false">MIN(ROUND(AA160*(1+AA$15),2),AG160+MAX(0,AK160-AL160+AE160-AM160+AF160))</f>
        <v>0</v>
      </c>
      <c r="AO160" s="21" t="n">
        <f aca="false">MIN(ROUND(AB160*(1+AB$15),2),AH160+MAX(0,AK160-AL160+AE160-AM160+AF160-AN160+AG160))</f>
        <v>0</v>
      </c>
      <c r="AP160" s="21" t="n">
        <f aca="false">MIN(ROUND(AC160*(1+AC$15),2),AI160+MAX(0,AK160-AL160+AE160-AM160+AF160-AN160+AG160-AO160+AH160))</f>
        <v>0</v>
      </c>
      <c r="AQ160" s="21" t="n">
        <f aca="false">MIN(ROUND(AD160*(1+AD$15),2),AJ160+MAX(0,AK160-AL160+AE160-AM160+AF160-AN160+AG160-AO160+AH160-AP160+AI160))</f>
        <v>0</v>
      </c>
      <c r="AR160" s="21" t="n">
        <f aca="false">SUM(Y160:AD160)</f>
        <v>0</v>
      </c>
      <c r="AS160" s="21" t="n">
        <f aca="false">SUM(AL160:AQ160)</f>
        <v>0</v>
      </c>
    </row>
    <row r="161" customFormat="false" ht="15" hidden="false" customHeight="false" outlineLevel="0" collapsed="false">
      <c r="A161" s="25" t="n">
        <f aca="false">A160+1</f>
        <v>135</v>
      </c>
      <c r="B161" s="21" t="n">
        <f aca="false">MAX(0,ROUND(B160*(1+B$15),2)-O160)</f>
        <v>0</v>
      </c>
      <c r="C161" s="21" t="n">
        <f aca="false">MAX(0,ROUND(C160*(1+C$15),2)-P160)</f>
        <v>0</v>
      </c>
      <c r="D161" s="21" t="n">
        <f aca="false">MAX(0,ROUND(D160*(1+D$15),2)-Q160)</f>
        <v>0</v>
      </c>
      <c r="E161" s="21" t="n">
        <f aca="false">MAX(0,ROUND(E160*(1+E$15),2)-R160)</f>
        <v>0</v>
      </c>
      <c r="F161" s="21" t="n">
        <f aca="false">MAX(0,ROUND(F160*(1+F$15),2)-S160)</f>
        <v>0</v>
      </c>
      <c r="G161" s="21" t="n">
        <f aca="false">MAX(0,ROUND(G160*(1+G$15),2)-T160)</f>
        <v>0</v>
      </c>
      <c r="H161" s="21" t="n">
        <f aca="false">MIN(B$16,ROUND(B161*(1+B$15),2))</f>
        <v>0</v>
      </c>
      <c r="I161" s="21" t="n">
        <f aca="false">MIN(C$16,ROUND(C161*(1+C$15),2))</f>
        <v>0</v>
      </c>
      <c r="J161" s="21" t="n">
        <f aca="false">MIN(D$16,ROUND(D161*(1+D$15),2))</f>
        <v>0</v>
      </c>
      <c r="K161" s="21" t="n">
        <f aca="false">MIN(E$16,ROUND(E161*(1+E$15),2))</f>
        <v>0</v>
      </c>
      <c r="L161" s="21" t="n">
        <f aca="false">MIN(F$16,ROUND(F161*(1+F$15),2))</f>
        <v>0</v>
      </c>
      <c r="M161" s="21" t="n">
        <f aca="false">MIN(G$16,ROUND(G161*(1+G$15),2))</f>
        <v>0</v>
      </c>
      <c r="N161" s="21" t="n">
        <f aca="false">B$20-SUM(H161:M161)</f>
        <v>1170</v>
      </c>
      <c r="O161" s="21" t="n">
        <f aca="false">MIN(ROUND(B161*(1+B$15),2),H161+MAX(0,N161))</f>
        <v>0</v>
      </c>
      <c r="P161" s="21" t="n">
        <f aca="false">MIN(ROUND(C161*(1+C$15),2),I161+MAX(0,N161-O161+H161))</f>
        <v>0</v>
      </c>
      <c r="Q161" s="21" t="n">
        <f aca="false">MIN(ROUND(D161*(1+D$15),2),J161+MAX(0,N161-O161+H161-P161+I161))</f>
        <v>0</v>
      </c>
      <c r="R161" s="21" t="n">
        <f aca="false">MIN(ROUND(E161*(1+E$15),2),K161+MAX(0,N161-O161+H161-P161+I161-Q161+J161))</f>
        <v>0</v>
      </c>
      <c r="S161" s="21" t="n">
        <f aca="false">MIN(ROUND(F161*(1+F$15),2),L161+MAX(0,N161-O161+H161-P161+I161-Q161+J161-R161+K161))</f>
        <v>0</v>
      </c>
      <c r="T161" s="21" t="n">
        <f aca="false">MIN(ROUND(G161*(1+G$15),2),M161+MAX(0,N161-O161+H161-P161+I161-Q161+J161-R161+K161-S161+L161))</f>
        <v>0</v>
      </c>
      <c r="U161" s="21" t="n">
        <f aca="false">SUM(B161:G161)</f>
        <v>0</v>
      </c>
      <c r="V161" s="21" t="n">
        <f aca="false">SUM(O161:T161)</f>
        <v>0</v>
      </c>
      <c r="X161" s="25" t="n">
        <f aca="false">X160+1</f>
        <v>135</v>
      </c>
      <c r="Y161" s="21" t="n">
        <f aca="false">MAX(0,ROUND(Y160*(1+Y$15),2)-AL160)</f>
        <v>0</v>
      </c>
      <c r="Z161" s="21" t="n">
        <f aca="false">MAX(0,ROUND(Z160*(1+Z$15),2)-AM160)</f>
        <v>0</v>
      </c>
      <c r="AA161" s="21" t="n">
        <f aca="false">MAX(0,ROUND(AA160*(1+AA$15),2)-AN160)</f>
        <v>0</v>
      </c>
      <c r="AB161" s="21" t="n">
        <f aca="false">MAX(0,ROUND(AB160*(1+AB$15),2)-AO160)</f>
        <v>0</v>
      </c>
      <c r="AC161" s="21" t="n">
        <f aca="false">MAX(0,ROUND(AC160*(1+AC$15),2)-AP160)</f>
        <v>0</v>
      </c>
      <c r="AD161" s="21" t="n">
        <f aca="false">MAX(0,ROUND(AD160*(1+AD$15),2)-AQ160)</f>
        <v>0</v>
      </c>
      <c r="AE161" s="21" t="n">
        <f aca="false">MIN(Y$16,ROUND(Y161*(1+Y$15),2))</f>
        <v>0</v>
      </c>
      <c r="AF161" s="21" t="n">
        <f aca="false">MIN(Z$16,ROUND(Z161*(1+Z$15),2))</f>
        <v>0</v>
      </c>
      <c r="AG161" s="21" t="n">
        <f aca="false">MIN(AA$16,ROUND(AA161*(1+AA$15),2))</f>
        <v>0</v>
      </c>
      <c r="AH161" s="21" t="n">
        <f aca="false">MIN(AB$16,ROUND(AB161*(1+AB$15),2))</f>
        <v>0</v>
      </c>
      <c r="AI161" s="21" t="n">
        <f aca="false">MIN(AC$16,ROUND(AC161*(1+AC$15),2))</f>
        <v>0</v>
      </c>
      <c r="AJ161" s="21" t="n">
        <f aca="false">MIN(AD$16,ROUND(AD161*(1+AD$15),2))</f>
        <v>0</v>
      </c>
      <c r="AK161" s="21" t="n">
        <f aca="false">Y$20-SUM(AE161:AJ161)</f>
        <v>1170</v>
      </c>
      <c r="AL161" s="21" t="n">
        <f aca="false">MIN(ROUND(Y161*(1+Y$15),2),AE161+MAX(0,AK161))</f>
        <v>0</v>
      </c>
      <c r="AM161" s="21" t="n">
        <f aca="false">MIN(ROUND(Z161*(1+Z$15),2),AF161+MAX(0,AK161-AL161+AE161))</f>
        <v>0</v>
      </c>
      <c r="AN161" s="21" t="n">
        <f aca="false">MIN(ROUND(AA161*(1+AA$15),2),AG161+MAX(0,AK161-AL161+AE161-AM161+AF161))</f>
        <v>0</v>
      </c>
      <c r="AO161" s="21" t="n">
        <f aca="false">MIN(ROUND(AB161*(1+AB$15),2),AH161+MAX(0,AK161-AL161+AE161-AM161+AF161-AN161+AG161))</f>
        <v>0</v>
      </c>
      <c r="AP161" s="21" t="n">
        <f aca="false">MIN(ROUND(AC161*(1+AC$15),2),AI161+MAX(0,AK161-AL161+AE161-AM161+AF161-AN161+AG161-AO161+AH161))</f>
        <v>0</v>
      </c>
      <c r="AQ161" s="21" t="n">
        <f aca="false">MIN(ROUND(AD161*(1+AD$15),2),AJ161+MAX(0,AK161-AL161+AE161-AM161+AF161-AN161+AG161-AO161+AH161-AP161+AI161))</f>
        <v>0</v>
      </c>
      <c r="AR161" s="21" t="n">
        <f aca="false">SUM(Y161:AD161)</f>
        <v>0</v>
      </c>
      <c r="AS161" s="21" t="n">
        <f aca="false">SUM(AL161:AQ161)</f>
        <v>0</v>
      </c>
    </row>
    <row r="162" customFormat="false" ht="15" hidden="false" customHeight="false" outlineLevel="0" collapsed="false">
      <c r="A162" s="25" t="n">
        <f aca="false">A161+1</f>
        <v>136</v>
      </c>
      <c r="B162" s="21" t="n">
        <f aca="false">MAX(0,ROUND(B161*(1+B$15),2)-O161)</f>
        <v>0</v>
      </c>
      <c r="C162" s="21" t="n">
        <f aca="false">MAX(0,ROUND(C161*(1+C$15),2)-P161)</f>
        <v>0</v>
      </c>
      <c r="D162" s="21" t="n">
        <f aca="false">MAX(0,ROUND(D161*(1+D$15),2)-Q161)</f>
        <v>0</v>
      </c>
      <c r="E162" s="21" t="n">
        <f aca="false">MAX(0,ROUND(E161*(1+E$15),2)-R161)</f>
        <v>0</v>
      </c>
      <c r="F162" s="21" t="n">
        <f aca="false">MAX(0,ROUND(F161*(1+F$15),2)-S161)</f>
        <v>0</v>
      </c>
      <c r="G162" s="21" t="n">
        <f aca="false">MAX(0,ROUND(G161*(1+G$15),2)-T161)</f>
        <v>0</v>
      </c>
      <c r="H162" s="21" t="n">
        <f aca="false">MIN(B$16,ROUND(B162*(1+B$15),2))</f>
        <v>0</v>
      </c>
      <c r="I162" s="21" t="n">
        <f aca="false">MIN(C$16,ROUND(C162*(1+C$15),2))</f>
        <v>0</v>
      </c>
      <c r="J162" s="21" t="n">
        <f aca="false">MIN(D$16,ROUND(D162*(1+D$15),2))</f>
        <v>0</v>
      </c>
      <c r="K162" s="21" t="n">
        <f aca="false">MIN(E$16,ROUND(E162*(1+E$15),2))</f>
        <v>0</v>
      </c>
      <c r="L162" s="21" t="n">
        <f aca="false">MIN(F$16,ROUND(F162*(1+F$15),2))</f>
        <v>0</v>
      </c>
      <c r="M162" s="21" t="n">
        <f aca="false">MIN(G$16,ROUND(G162*(1+G$15),2))</f>
        <v>0</v>
      </c>
      <c r="N162" s="21" t="n">
        <f aca="false">B$20-SUM(H162:M162)</f>
        <v>1170</v>
      </c>
      <c r="O162" s="21" t="n">
        <f aca="false">MIN(ROUND(B162*(1+B$15),2),H162+MAX(0,N162))</f>
        <v>0</v>
      </c>
      <c r="P162" s="21" t="n">
        <f aca="false">MIN(ROUND(C162*(1+C$15),2),I162+MAX(0,N162-O162+H162))</f>
        <v>0</v>
      </c>
      <c r="Q162" s="21" t="n">
        <f aca="false">MIN(ROUND(D162*(1+D$15),2),J162+MAX(0,N162-O162+H162-P162+I162))</f>
        <v>0</v>
      </c>
      <c r="R162" s="21" t="n">
        <f aca="false">MIN(ROUND(E162*(1+E$15),2),K162+MAX(0,N162-O162+H162-P162+I162-Q162+J162))</f>
        <v>0</v>
      </c>
      <c r="S162" s="21" t="n">
        <f aca="false">MIN(ROUND(F162*(1+F$15),2),L162+MAX(0,N162-O162+H162-P162+I162-Q162+J162-R162+K162))</f>
        <v>0</v>
      </c>
      <c r="T162" s="21" t="n">
        <f aca="false">MIN(ROUND(G162*(1+G$15),2),M162+MAX(0,N162-O162+H162-P162+I162-Q162+J162-R162+K162-S162+L162))</f>
        <v>0</v>
      </c>
      <c r="U162" s="21" t="n">
        <f aca="false">SUM(B162:G162)</f>
        <v>0</v>
      </c>
      <c r="V162" s="21" t="n">
        <f aca="false">SUM(O162:T162)</f>
        <v>0</v>
      </c>
      <c r="X162" s="25" t="n">
        <f aca="false">X161+1</f>
        <v>136</v>
      </c>
      <c r="Y162" s="21" t="n">
        <f aca="false">MAX(0,ROUND(Y161*(1+Y$15),2)-AL161)</f>
        <v>0</v>
      </c>
      <c r="Z162" s="21" t="n">
        <f aca="false">MAX(0,ROUND(Z161*(1+Z$15),2)-AM161)</f>
        <v>0</v>
      </c>
      <c r="AA162" s="21" t="n">
        <f aca="false">MAX(0,ROUND(AA161*(1+AA$15),2)-AN161)</f>
        <v>0</v>
      </c>
      <c r="AB162" s="21" t="n">
        <f aca="false">MAX(0,ROUND(AB161*(1+AB$15),2)-AO161)</f>
        <v>0</v>
      </c>
      <c r="AC162" s="21" t="n">
        <f aca="false">MAX(0,ROUND(AC161*(1+AC$15),2)-AP161)</f>
        <v>0</v>
      </c>
      <c r="AD162" s="21" t="n">
        <f aca="false">MAX(0,ROUND(AD161*(1+AD$15),2)-AQ161)</f>
        <v>0</v>
      </c>
      <c r="AE162" s="21" t="n">
        <f aca="false">MIN(Y$16,ROUND(Y162*(1+Y$15),2))</f>
        <v>0</v>
      </c>
      <c r="AF162" s="21" t="n">
        <f aca="false">MIN(Z$16,ROUND(Z162*(1+Z$15),2))</f>
        <v>0</v>
      </c>
      <c r="AG162" s="21" t="n">
        <f aca="false">MIN(AA$16,ROUND(AA162*(1+AA$15),2))</f>
        <v>0</v>
      </c>
      <c r="AH162" s="21" t="n">
        <f aca="false">MIN(AB$16,ROUND(AB162*(1+AB$15),2))</f>
        <v>0</v>
      </c>
      <c r="AI162" s="21" t="n">
        <f aca="false">MIN(AC$16,ROUND(AC162*(1+AC$15),2))</f>
        <v>0</v>
      </c>
      <c r="AJ162" s="21" t="n">
        <f aca="false">MIN(AD$16,ROUND(AD162*(1+AD$15),2))</f>
        <v>0</v>
      </c>
      <c r="AK162" s="21" t="n">
        <f aca="false">Y$20-SUM(AE162:AJ162)</f>
        <v>1170</v>
      </c>
      <c r="AL162" s="21" t="n">
        <f aca="false">MIN(ROUND(Y162*(1+Y$15),2),AE162+MAX(0,AK162))</f>
        <v>0</v>
      </c>
      <c r="AM162" s="21" t="n">
        <f aca="false">MIN(ROUND(Z162*(1+Z$15),2),AF162+MAX(0,AK162-AL162+AE162))</f>
        <v>0</v>
      </c>
      <c r="AN162" s="21" t="n">
        <f aca="false">MIN(ROUND(AA162*(1+AA$15),2),AG162+MAX(0,AK162-AL162+AE162-AM162+AF162))</f>
        <v>0</v>
      </c>
      <c r="AO162" s="21" t="n">
        <f aca="false">MIN(ROUND(AB162*(1+AB$15),2),AH162+MAX(0,AK162-AL162+AE162-AM162+AF162-AN162+AG162))</f>
        <v>0</v>
      </c>
      <c r="AP162" s="21" t="n">
        <f aca="false">MIN(ROUND(AC162*(1+AC$15),2),AI162+MAX(0,AK162-AL162+AE162-AM162+AF162-AN162+AG162-AO162+AH162))</f>
        <v>0</v>
      </c>
      <c r="AQ162" s="21" t="n">
        <f aca="false">MIN(ROUND(AD162*(1+AD$15),2),AJ162+MAX(0,AK162-AL162+AE162-AM162+AF162-AN162+AG162-AO162+AH162-AP162+AI162))</f>
        <v>0</v>
      </c>
      <c r="AR162" s="21" t="n">
        <f aca="false">SUM(Y162:AD162)</f>
        <v>0</v>
      </c>
      <c r="AS162" s="21" t="n">
        <f aca="false">SUM(AL162:AQ162)</f>
        <v>0</v>
      </c>
    </row>
    <row r="163" customFormat="false" ht="15" hidden="false" customHeight="false" outlineLevel="0" collapsed="false">
      <c r="A163" s="25" t="n">
        <f aca="false">A162+1</f>
        <v>137</v>
      </c>
      <c r="B163" s="21" t="n">
        <f aca="false">MAX(0,ROUND(B162*(1+B$15),2)-O162)</f>
        <v>0</v>
      </c>
      <c r="C163" s="21" t="n">
        <f aca="false">MAX(0,ROUND(C162*(1+C$15),2)-P162)</f>
        <v>0</v>
      </c>
      <c r="D163" s="21" t="n">
        <f aca="false">MAX(0,ROUND(D162*(1+D$15),2)-Q162)</f>
        <v>0</v>
      </c>
      <c r="E163" s="21" t="n">
        <f aca="false">MAX(0,ROUND(E162*(1+E$15),2)-R162)</f>
        <v>0</v>
      </c>
      <c r="F163" s="21" t="n">
        <f aca="false">MAX(0,ROUND(F162*(1+F$15),2)-S162)</f>
        <v>0</v>
      </c>
      <c r="G163" s="21" t="n">
        <f aca="false">MAX(0,ROUND(G162*(1+G$15),2)-T162)</f>
        <v>0</v>
      </c>
      <c r="H163" s="21" t="n">
        <f aca="false">MIN(B$16,ROUND(B163*(1+B$15),2))</f>
        <v>0</v>
      </c>
      <c r="I163" s="21" t="n">
        <f aca="false">MIN(C$16,ROUND(C163*(1+C$15),2))</f>
        <v>0</v>
      </c>
      <c r="J163" s="21" t="n">
        <f aca="false">MIN(D$16,ROUND(D163*(1+D$15),2))</f>
        <v>0</v>
      </c>
      <c r="K163" s="21" t="n">
        <f aca="false">MIN(E$16,ROUND(E163*(1+E$15),2))</f>
        <v>0</v>
      </c>
      <c r="L163" s="21" t="n">
        <f aca="false">MIN(F$16,ROUND(F163*(1+F$15),2))</f>
        <v>0</v>
      </c>
      <c r="M163" s="21" t="n">
        <f aca="false">MIN(G$16,ROUND(G163*(1+G$15),2))</f>
        <v>0</v>
      </c>
      <c r="N163" s="21" t="n">
        <f aca="false">B$20-SUM(H163:M163)</f>
        <v>1170</v>
      </c>
      <c r="O163" s="21" t="n">
        <f aca="false">MIN(ROUND(B163*(1+B$15),2),H163+MAX(0,N163))</f>
        <v>0</v>
      </c>
      <c r="P163" s="21" t="n">
        <f aca="false">MIN(ROUND(C163*(1+C$15),2),I163+MAX(0,N163-O163+H163))</f>
        <v>0</v>
      </c>
      <c r="Q163" s="21" t="n">
        <f aca="false">MIN(ROUND(D163*(1+D$15),2),J163+MAX(0,N163-O163+H163-P163+I163))</f>
        <v>0</v>
      </c>
      <c r="R163" s="21" t="n">
        <f aca="false">MIN(ROUND(E163*(1+E$15),2),K163+MAX(0,N163-O163+H163-P163+I163-Q163+J163))</f>
        <v>0</v>
      </c>
      <c r="S163" s="21" t="n">
        <f aca="false">MIN(ROUND(F163*(1+F$15),2),L163+MAX(0,N163-O163+H163-P163+I163-Q163+J163-R163+K163))</f>
        <v>0</v>
      </c>
      <c r="T163" s="21" t="n">
        <f aca="false">MIN(ROUND(G163*(1+G$15),2),M163+MAX(0,N163-O163+H163-P163+I163-Q163+J163-R163+K163-S163+L163))</f>
        <v>0</v>
      </c>
      <c r="U163" s="21" t="n">
        <f aca="false">SUM(B163:G163)</f>
        <v>0</v>
      </c>
      <c r="V163" s="21" t="n">
        <f aca="false">SUM(O163:T163)</f>
        <v>0</v>
      </c>
      <c r="X163" s="25" t="n">
        <f aca="false">X162+1</f>
        <v>137</v>
      </c>
      <c r="Y163" s="21" t="n">
        <f aca="false">MAX(0,ROUND(Y162*(1+Y$15),2)-AL162)</f>
        <v>0</v>
      </c>
      <c r="Z163" s="21" t="n">
        <f aca="false">MAX(0,ROUND(Z162*(1+Z$15),2)-AM162)</f>
        <v>0</v>
      </c>
      <c r="AA163" s="21" t="n">
        <f aca="false">MAX(0,ROUND(AA162*(1+AA$15),2)-AN162)</f>
        <v>0</v>
      </c>
      <c r="AB163" s="21" t="n">
        <f aca="false">MAX(0,ROUND(AB162*(1+AB$15),2)-AO162)</f>
        <v>0</v>
      </c>
      <c r="AC163" s="21" t="n">
        <f aca="false">MAX(0,ROUND(AC162*(1+AC$15),2)-AP162)</f>
        <v>0</v>
      </c>
      <c r="AD163" s="21" t="n">
        <f aca="false">MAX(0,ROUND(AD162*(1+AD$15),2)-AQ162)</f>
        <v>0</v>
      </c>
      <c r="AE163" s="21" t="n">
        <f aca="false">MIN(Y$16,ROUND(Y163*(1+Y$15),2))</f>
        <v>0</v>
      </c>
      <c r="AF163" s="21" t="n">
        <f aca="false">MIN(Z$16,ROUND(Z163*(1+Z$15),2))</f>
        <v>0</v>
      </c>
      <c r="AG163" s="21" t="n">
        <f aca="false">MIN(AA$16,ROUND(AA163*(1+AA$15),2))</f>
        <v>0</v>
      </c>
      <c r="AH163" s="21" t="n">
        <f aca="false">MIN(AB$16,ROUND(AB163*(1+AB$15),2))</f>
        <v>0</v>
      </c>
      <c r="AI163" s="21" t="n">
        <f aca="false">MIN(AC$16,ROUND(AC163*(1+AC$15),2))</f>
        <v>0</v>
      </c>
      <c r="AJ163" s="21" t="n">
        <f aca="false">MIN(AD$16,ROUND(AD163*(1+AD$15),2))</f>
        <v>0</v>
      </c>
      <c r="AK163" s="21" t="n">
        <f aca="false">Y$20-SUM(AE163:AJ163)</f>
        <v>1170</v>
      </c>
      <c r="AL163" s="21" t="n">
        <f aca="false">MIN(ROUND(Y163*(1+Y$15),2),AE163+MAX(0,AK163))</f>
        <v>0</v>
      </c>
      <c r="AM163" s="21" t="n">
        <f aca="false">MIN(ROUND(Z163*(1+Z$15),2),AF163+MAX(0,AK163-AL163+AE163))</f>
        <v>0</v>
      </c>
      <c r="AN163" s="21" t="n">
        <f aca="false">MIN(ROUND(AA163*(1+AA$15),2),AG163+MAX(0,AK163-AL163+AE163-AM163+AF163))</f>
        <v>0</v>
      </c>
      <c r="AO163" s="21" t="n">
        <f aca="false">MIN(ROUND(AB163*(1+AB$15),2),AH163+MAX(0,AK163-AL163+AE163-AM163+AF163-AN163+AG163))</f>
        <v>0</v>
      </c>
      <c r="AP163" s="21" t="n">
        <f aca="false">MIN(ROUND(AC163*(1+AC$15),2),AI163+MAX(0,AK163-AL163+AE163-AM163+AF163-AN163+AG163-AO163+AH163))</f>
        <v>0</v>
      </c>
      <c r="AQ163" s="21" t="n">
        <f aca="false">MIN(ROUND(AD163*(1+AD$15),2),AJ163+MAX(0,AK163-AL163+AE163-AM163+AF163-AN163+AG163-AO163+AH163-AP163+AI163))</f>
        <v>0</v>
      </c>
      <c r="AR163" s="21" t="n">
        <f aca="false">SUM(Y163:AD163)</f>
        <v>0</v>
      </c>
      <c r="AS163" s="21" t="n">
        <f aca="false">SUM(AL163:AQ163)</f>
        <v>0</v>
      </c>
    </row>
    <row r="164" customFormat="false" ht="15" hidden="false" customHeight="false" outlineLevel="0" collapsed="false">
      <c r="A164" s="25" t="n">
        <f aca="false">A163+1</f>
        <v>138</v>
      </c>
      <c r="B164" s="21" t="n">
        <f aca="false">MAX(0,ROUND(B163*(1+B$15),2)-O163)</f>
        <v>0</v>
      </c>
      <c r="C164" s="21" t="n">
        <f aca="false">MAX(0,ROUND(C163*(1+C$15),2)-P163)</f>
        <v>0</v>
      </c>
      <c r="D164" s="21" t="n">
        <f aca="false">MAX(0,ROUND(D163*(1+D$15),2)-Q163)</f>
        <v>0</v>
      </c>
      <c r="E164" s="21" t="n">
        <f aca="false">MAX(0,ROUND(E163*(1+E$15),2)-R163)</f>
        <v>0</v>
      </c>
      <c r="F164" s="21" t="n">
        <f aca="false">MAX(0,ROUND(F163*(1+F$15),2)-S163)</f>
        <v>0</v>
      </c>
      <c r="G164" s="21" t="n">
        <f aca="false">MAX(0,ROUND(G163*(1+G$15),2)-T163)</f>
        <v>0</v>
      </c>
      <c r="H164" s="21" t="n">
        <f aca="false">MIN(B$16,ROUND(B164*(1+B$15),2))</f>
        <v>0</v>
      </c>
      <c r="I164" s="21" t="n">
        <f aca="false">MIN(C$16,ROUND(C164*(1+C$15),2))</f>
        <v>0</v>
      </c>
      <c r="J164" s="21" t="n">
        <f aca="false">MIN(D$16,ROUND(D164*(1+D$15),2))</f>
        <v>0</v>
      </c>
      <c r="K164" s="21" t="n">
        <f aca="false">MIN(E$16,ROUND(E164*(1+E$15),2))</f>
        <v>0</v>
      </c>
      <c r="L164" s="21" t="n">
        <f aca="false">MIN(F$16,ROUND(F164*(1+F$15),2))</f>
        <v>0</v>
      </c>
      <c r="M164" s="21" t="n">
        <f aca="false">MIN(G$16,ROUND(G164*(1+G$15),2))</f>
        <v>0</v>
      </c>
      <c r="N164" s="21" t="n">
        <f aca="false">B$20-SUM(H164:M164)</f>
        <v>1170</v>
      </c>
      <c r="O164" s="21" t="n">
        <f aca="false">MIN(ROUND(B164*(1+B$15),2),H164+MAX(0,N164))</f>
        <v>0</v>
      </c>
      <c r="P164" s="21" t="n">
        <f aca="false">MIN(ROUND(C164*(1+C$15),2),I164+MAX(0,N164-O164+H164))</f>
        <v>0</v>
      </c>
      <c r="Q164" s="21" t="n">
        <f aca="false">MIN(ROUND(D164*(1+D$15),2),J164+MAX(0,N164-O164+H164-P164+I164))</f>
        <v>0</v>
      </c>
      <c r="R164" s="21" t="n">
        <f aca="false">MIN(ROUND(E164*(1+E$15),2),K164+MAX(0,N164-O164+H164-P164+I164-Q164+J164))</f>
        <v>0</v>
      </c>
      <c r="S164" s="21" t="n">
        <f aca="false">MIN(ROUND(F164*(1+F$15),2),L164+MAX(0,N164-O164+H164-P164+I164-Q164+J164-R164+K164))</f>
        <v>0</v>
      </c>
      <c r="T164" s="21" t="n">
        <f aca="false">MIN(ROUND(G164*(1+G$15),2),M164+MAX(0,N164-O164+H164-P164+I164-Q164+J164-R164+K164-S164+L164))</f>
        <v>0</v>
      </c>
      <c r="U164" s="21" t="n">
        <f aca="false">SUM(B164:G164)</f>
        <v>0</v>
      </c>
      <c r="V164" s="21" t="n">
        <f aca="false">SUM(O164:T164)</f>
        <v>0</v>
      </c>
      <c r="X164" s="25" t="n">
        <f aca="false">X163+1</f>
        <v>138</v>
      </c>
      <c r="Y164" s="21" t="n">
        <f aca="false">MAX(0,ROUND(Y163*(1+Y$15),2)-AL163)</f>
        <v>0</v>
      </c>
      <c r="Z164" s="21" t="n">
        <f aca="false">MAX(0,ROUND(Z163*(1+Z$15),2)-AM163)</f>
        <v>0</v>
      </c>
      <c r="AA164" s="21" t="n">
        <f aca="false">MAX(0,ROUND(AA163*(1+AA$15),2)-AN163)</f>
        <v>0</v>
      </c>
      <c r="AB164" s="21" t="n">
        <f aca="false">MAX(0,ROUND(AB163*(1+AB$15),2)-AO163)</f>
        <v>0</v>
      </c>
      <c r="AC164" s="21" t="n">
        <f aca="false">MAX(0,ROUND(AC163*(1+AC$15),2)-AP163)</f>
        <v>0</v>
      </c>
      <c r="AD164" s="21" t="n">
        <f aca="false">MAX(0,ROUND(AD163*(1+AD$15),2)-AQ163)</f>
        <v>0</v>
      </c>
      <c r="AE164" s="21" t="n">
        <f aca="false">MIN(Y$16,ROUND(Y164*(1+Y$15),2))</f>
        <v>0</v>
      </c>
      <c r="AF164" s="21" t="n">
        <f aca="false">MIN(Z$16,ROUND(Z164*(1+Z$15),2))</f>
        <v>0</v>
      </c>
      <c r="AG164" s="21" t="n">
        <f aca="false">MIN(AA$16,ROUND(AA164*(1+AA$15),2))</f>
        <v>0</v>
      </c>
      <c r="AH164" s="21" t="n">
        <f aca="false">MIN(AB$16,ROUND(AB164*(1+AB$15),2))</f>
        <v>0</v>
      </c>
      <c r="AI164" s="21" t="n">
        <f aca="false">MIN(AC$16,ROUND(AC164*(1+AC$15),2))</f>
        <v>0</v>
      </c>
      <c r="AJ164" s="21" t="n">
        <f aca="false">MIN(AD$16,ROUND(AD164*(1+AD$15),2))</f>
        <v>0</v>
      </c>
      <c r="AK164" s="21" t="n">
        <f aca="false">Y$20-SUM(AE164:AJ164)</f>
        <v>1170</v>
      </c>
      <c r="AL164" s="21" t="n">
        <f aca="false">MIN(ROUND(Y164*(1+Y$15),2),AE164+MAX(0,AK164))</f>
        <v>0</v>
      </c>
      <c r="AM164" s="21" t="n">
        <f aca="false">MIN(ROUND(Z164*(1+Z$15),2),AF164+MAX(0,AK164-AL164+AE164))</f>
        <v>0</v>
      </c>
      <c r="AN164" s="21" t="n">
        <f aca="false">MIN(ROUND(AA164*(1+AA$15),2),AG164+MAX(0,AK164-AL164+AE164-AM164+AF164))</f>
        <v>0</v>
      </c>
      <c r="AO164" s="21" t="n">
        <f aca="false">MIN(ROUND(AB164*(1+AB$15),2),AH164+MAX(0,AK164-AL164+AE164-AM164+AF164-AN164+AG164))</f>
        <v>0</v>
      </c>
      <c r="AP164" s="21" t="n">
        <f aca="false">MIN(ROUND(AC164*(1+AC$15),2),AI164+MAX(0,AK164-AL164+AE164-AM164+AF164-AN164+AG164-AO164+AH164))</f>
        <v>0</v>
      </c>
      <c r="AQ164" s="21" t="n">
        <f aca="false">MIN(ROUND(AD164*(1+AD$15),2),AJ164+MAX(0,AK164-AL164+AE164-AM164+AF164-AN164+AG164-AO164+AH164-AP164+AI164))</f>
        <v>0</v>
      </c>
      <c r="AR164" s="21" t="n">
        <f aca="false">SUM(Y164:AD164)</f>
        <v>0</v>
      </c>
      <c r="AS164" s="21" t="n">
        <f aca="false">SUM(AL164:AQ164)</f>
        <v>0</v>
      </c>
    </row>
    <row r="165" customFormat="false" ht="15" hidden="false" customHeight="false" outlineLevel="0" collapsed="false">
      <c r="A165" s="25" t="n">
        <f aca="false">A164+1</f>
        <v>139</v>
      </c>
      <c r="B165" s="21" t="n">
        <f aca="false">MAX(0,ROUND(B164*(1+B$15),2)-O164)</f>
        <v>0</v>
      </c>
      <c r="C165" s="21" t="n">
        <f aca="false">MAX(0,ROUND(C164*(1+C$15),2)-P164)</f>
        <v>0</v>
      </c>
      <c r="D165" s="21" t="n">
        <f aca="false">MAX(0,ROUND(D164*(1+D$15),2)-Q164)</f>
        <v>0</v>
      </c>
      <c r="E165" s="21" t="n">
        <f aca="false">MAX(0,ROUND(E164*(1+E$15),2)-R164)</f>
        <v>0</v>
      </c>
      <c r="F165" s="21" t="n">
        <f aca="false">MAX(0,ROUND(F164*(1+F$15),2)-S164)</f>
        <v>0</v>
      </c>
      <c r="G165" s="21" t="n">
        <f aca="false">MAX(0,ROUND(G164*(1+G$15),2)-T164)</f>
        <v>0</v>
      </c>
      <c r="H165" s="21" t="n">
        <f aca="false">MIN(B$16,ROUND(B165*(1+B$15),2))</f>
        <v>0</v>
      </c>
      <c r="I165" s="21" t="n">
        <f aca="false">MIN(C$16,ROUND(C165*(1+C$15),2))</f>
        <v>0</v>
      </c>
      <c r="J165" s="21" t="n">
        <f aca="false">MIN(D$16,ROUND(D165*(1+D$15),2))</f>
        <v>0</v>
      </c>
      <c r="K165" s="21" t="n">
        <f aca="false">MIN(E$16,ROUND(E165*(1+E$15),2))</f>
        <v>0</v>
      </c>
      <c r="L165" s="21" t="n">
        <f aca="false">MIN(F$16,ROUND(F165*(1+F$15),2))</f>
        <v>0</v>
      </c>
      <c r="M165" s="21" t="n">
        <f aca="false">MIN(G$16,ROUND(G165*(1+G$15),2))</f>
        <v>0</v>
      </c>
      <c r="N165" s="21" t="n">
        <f aca="false">B$20-SUM(H165:M165)</f>
        <v>1170</v>
      </c>
      <c r="O165" s="21" t="n">
        <f aca="false">MIN(ROUND(B165*(1+B$15),2),H165+MAX(0,N165))</f>
        <v>0</v>
      </c>
      <c r="P165" s="21" t="n">
        <f aca="false">MIN(ROUND(C165*(1+C$15),2),I165+MAX(0,N165-O165+H165))</f>
        <v>0</v>
      </c>
      <c r="Q165" s="21" t="n">
        <f aca="false">MIN(ROUND(D165*(1+D$15),2),J165+MAX(0,N165-O165+H165-P165+I165))</f>
        <v>0</v>
      </c>
      <c r="R165" s="21" t="n">
        <f aca="false">MIN(ROUND(E165*(1+E$15),2),K165+MAX(0,N165-O165+H165-P165+I165-Q165+J165))</f>
        <v>0</v>
      </c>
      <c r="S165" s="21" t="n">
        <f aca="false">MIN(ROUND(F165*(1+F$15),2),L165+MAX(0,N165-O165+H165-P165+I165-Q165+J165-R165+K165))</f>
        <v>0</v>
      </c>
      <c r="T165" s="21" t="n">
        <f aca="false">MIN(ROUND(G165*(1+G$15),2),M165+MAX(0,N165-O165+H165-P165+I165-Q165+J165-R165+K165-S165+L165))</f>
        <v>0</v>
      </c>
      <c r="U165" s="21" t="n">
        <f aca="false">SUM(B165:G165)</f>
        <v>0</v>
      </c>
      <c r="V165" s="21" t="n">
        <f aca="false">SUM(O165:T165)</f>
        <v>0</v>
      </c>
      <c r="X165" s="25" t="n">
        <f aca="false">X164+1</f>
        <v>139</v>
      </c>
      <c r="Y165" s="21" t="n">
        <f aca="false">MAX(0,ROUND(Y164*(1+Y$15),2)-AL164)</f>
        <v>0</v>
      </c>
      <c r="Z165" s="21" t="n">
        <f aca="false">MAX(0,ROUND(Z164*(1+Z$15),2)-AM164)</f>
        <v>0</v>
      </c>
      <c r="AA165" s="21" t="n">
        <f aca="false">MAX(0,ROUND(AA164*(1+AA$15),2)-AN164)</f>
        <v>0</v>
      </c>
      <c r="AB165" s="21" t="n">
        <f aca="false">MAX(0,ROUND(AB164*(1+AB$15),2)-AO164)</f>
        <v>0</v>
      </c>
      <c r="AC165" s="21" t="n">
        <f aca="false">MAX(0,ROUND(AC164*(1+AC$15),2)-AP164)</f>
        <v>0</v>
      </c>
      <c r="AD165" s="21" t="n">
        <f aca="false">MAX(0,ROUND(AD164*(1+AD$15),2)-AQ164)</f>
        <v>0</v>
      </c>
      <c r="AE165" s="21" t="n">
        <f aca="false">MIN(Y$16,ROUND(Y165*(1+Y$15),2))</f>
        <v>0</v>
      </c>
      <c r="AF165" s="21" t="n">
        <f aca="false">MIN(Z$16,ROUND(Z165*(1+Z$15),2))</f>
        <v>0</v>
      </c>
      <c r="AG165" s="21" t="n">
        <f aca="false">MIN(AA$16,ROUND(AA165*(1+AA$15),2))</f>
        <v>0</v>
      </c>
      <c r="AH165" s="21" t="n">
        <f aca="false">MIN(AB$16,ROUND(AB165*(1+AB$15),2))</f>
        <v>0</v>
      </c>
      <c r="AI165" s="21" t="n">
        <f aca="false">MIN(AC$16,ROUND(AC165*(1+AC$15),2))</f>
        <v>0</v>
      </c>
      <c r="AJ165" s="21" t="n">
        <f aca="false">MIN(AD$16,ROUND(AD165*(1+AD$15),2))</f>
        <v>0</v>
      </c>
      <c r="AK165" s="21" t="n">
        <f aca="false">Y$20-SUM(AE165:AJ165)</f>
        <v>1170</v>
      </c>
      <c r="AL165" s="21" t="n">
        <f aca="false">MIN(ROUND(Y165*(1+Y$15),2),AE165+MAX(0,AK165))</f>
        <v>0</v>
      </c>
      <c r="AM165" s="21" t="n">
        <f aca="false">MIN(ROUND(Z165*(1+Z$15),2),AF165+MAX(0,AK165-AL165+AE165))</f>
        <v>0</v>
      </c>
      <c r="AN165" s="21" t="n">
        <f aca="false">MIN(ROUND(AA165*(1+AA$15),2),AG165+MAX(0,AK165-AL165+AE165-AM165+AF165))</f>
        <v>0</v>
      </c>
      <c r="AO165" s="21" t="n">
        <f aca="false">MIN(ROUND(AB165*(1+AB$15),2),AH165+MAX(0,AK165-AL165+AE165-AM165+AF165-AN165+AG165))</f>
        <v>0</v>
      </c>
      <c r="AP165" s="21" t="n">
        <f aca="false">MIN(ROUND(AC165*(1+AC$15),2),AI165+MAX(0,AK165-AL165+AE165-AM165+AF165-AN165+AG165-AO165+AH165))</f>
        <v>0</v>
      </c>
      <c r="AQ165" s="21" t="n">
        <f aca="false">MIN(ROUND(AD165*(1+AD$15),2),AJ165+MAX(0,AK165-AL165+AE165-AM165+AF165-AN165+AG165-AO165+AH165-AP165+AI165))</f>
        <v>0</v>
      </c>
      <c r="AR165" s="21" t="n">
        <f aca="false">SUM(Y165:AD165)</f>
        <v>0</v>
      </c>
      <c r="AS165" s="21" t="n">
        <f aca="false">SUM(AL165:AQ165)</f>
        <v>0</v>
      </c>
    </row>
    <row r="166" customFormat="false" ht="15" hidden="false" customHeight="false" outlineLevel="0" collapsed="false">
      <c r="A166" s="25" t="n">
        <f aca="false">A165+1</f>
        <v>140</v>
      </c>
      <c r="B166" s="21" t="n">
        <f aca="false">MAX(0,ROUND(B165*(1+B$15),2)-O165)</f>
        <v>0</v>
      </c>
      <c r="C166" s="21" t="n">
        <f aca="false">MAX(0,ROUND(C165*(1+C$15),2)-P165)</f>
        <v>0</v>
      </c>
      <c r="D166" s="21" t="n">
        <f aca="false">MAX(0,ROUND(D165*(1+D$15),2)-Q165)</f>
        <v>0</v>
      </c>
      <c r="E166" s="21" t="n">
        <f aca="false">MAX(0,ROUND(E165*(1+E$15),2)-R165)</f>
        <v>0</v>
      </c>
      <c r="F166" s="21" t="n">
        <f aca="false">MAX(0,ROUND(F165*(1+F$15),2)-S165)</f>
        <v>0</v>
      </c>
      <c r="G166" s="21" t="n">
        <f aca="false">MAX(0,ROUND(G165*(1+G$15),2)-T165)</f>
        <v>0</v>
      </c>
      <c r="H166" s="21" t="n">
        <f aca="false">MIN(B$16,ROUND(B166*(1+B$15),2))</f>
        <v>0</v>
      </c>
      <c r="I166" s="21" t="n">
        <f aca="false">MIN(C$16,ROUND(C166*(1+C$15),2))</f>
        <v>0</v>
      </c>
      <c r="J166" s="21" t="n">
        <f aca="false">MIN(D$16,ROUND(D166*(1+D$15),2))</f>
        <v>0</v>
      </c>
      <c r="K166" s="21" t="n">
        <f aca="false">MIN(E$16,ROUND(E166*(1+E$15),2))</f>
        <v>0</v>
      </c>
      <c r="L166" s="21" t="n">
        <f aca="false">MIN(F$16,ROUND(F166*(1+F$15),2))</f>
        <v>0</v>
      </c>
      <c r="M166" s="21" t="n">
        <f aca="false">MIN(G$16,ROUND(G166*(1+G$15),2))</f>
        <v>0</v>
      </c>
      <c r="N166" s="21" t="n">
        <f aca="false">B$20-SUM(H166:M166)</f>
        <v>1170</v>
      </c>
      <c r="O166" s="21" t="n">
        <f aca="false">MIN(ROUND(B166*(1+B$15),2),H166+MAX(0,N166))</f>
        <v>0</v>
      </c>
      <c r="P166" s="21" t="n">
        <f aca="false">MIN(ROUND(C166*(1+C$15),2),I166+MAX(0,N166-O166+H166))</f>
        <v>0</v>
      </c>
      <c r="Q166" s="21" t="n">
        <f aca="false">MIN(ROUND(D166*(1+D$15),2),J166+MAX(0,N166-O166+H166-P166+I166))</f>
        <v>0</v>
      </c>
      <c r="R166" s="21" t="n">
        <f aca="false">MIN(ROUND(E166*(1+E$15),2),K166+MAX(0,N166-O166+H166-P166+I166-Q166+J166))</f>
        <v>0</v>
      </c>
      <c r="S166" s="21" t="n">
        <f aca="false">MIN(ROUND(F166*(1+F$15),2),L166+MAX(0,N166-O166+H166-P166+I166-Q166+J166-R166+K166))</f>
        <v>0</v>
      </c>
      <c r="T166" s="21" t="n">
        <f aca="false">MIN(ROUND(G166*(1+G$15),2),M166+MAX(0,N166-O166+H166-P166+I166-Q166+J166-R166+K166-S166+L166))</f>
        <v>0</v>
      </c>
      <c r="U166" s="21" t="n">
        <f aca="false">SUM(B166:G166)</f>
        <v>0</v>
      </c>
      <c r="V166" s="21" t="n">
        <f aca="false">SUM(O166:T166)</f>
        <v>0</v>
      </c>
      <c r="X166" s="25" t="n">
        <f aca="false">X165+1</f>
        <v>140</v>
      </c>
      <c r="Y166" s="21" t="n">
        <f aca="false">MAX(0,ROUND(Y165*(1+Y$15),2)-AL165)</f>
        <v>0</v>
      </c>
      <c r="Z166" s="21" t="n">
        <f aca="false">MAX(0,ROUND(Z165*(1+Z$15),2)-AM165)</f>
        <v>0</v>
      </c>
      <c r="AA166" s="21" t="n">
        <f aca="false">MAX(0,ROUND(AA165*(1+AA$15),2)-AN165)</f>
        <v>0</v>
      </c>
      <c r="AB166" s="21" t="n">
        <f aca="false">MAX(0,ROUND(AB165*(1+AB$15),2)-AO165)</f>
        <v>0</v>
      </c>
      <c r="AC166" s="21" t="n">
        <f aca="false">MAX(0,ROUND(AC165*(1+AC$15),2)-AP165)</f>
        <v>0</v>
      </c>
      <c r="AD166" s="21" t="n">
        <f aca="false">MAX(0,ROUND(AD165*(1+AD$15),2)-AQ165)</f>
        <v>0</v>
      </c>
      <c r="AE166" s="21" t="n">
        <f aca="false">MIN(Y$16,ROUND(Y166*(1+Y$15),2))</f>
        <v>0</v>
      </c>
      <c r="AF166" s="21" t="n">
        <f aca="false">MIN(Z$16,ROUND(Z166*(1+Z$15),2))</f>
        <v>0</v>
      </c>
      <c r="AG166" s="21" t="n">
        <f aca="false">MIN(AA$16,ROUND(AA166*(1+AA$15),2))</f>
        <v>0</v>
      </c>
      <c r="AH166" s="21" t="n">
        <f aca="false">MIN(AB$16,ROUND(AB166*(1+AB$15),2))</f>
        <v>0</v>
      </c>
      <c r="AI166" s="21" t="n">
        <f aca="false">MIN(AC$16,ROUND(AC166*(1+AC$15),2))</f>
        <v>0</v>
      </c>
      <c r="AJ166" s="21" t="n">
        <f aca="false">MIN(AD$16,ROUND(AD166*(1+AD$15),2))</f>
        <v>0</v>
      </c>
      <c r="AK166" s="21" t="n">
        <f aca="false">Y$20-SUM(AE166:AJ166)</f>
        <v>1170</v>
      </c>
      <c r="AL166" s="21" t="n">
        <f aca="false">MIN(ROUND(Y166*(1+Y$15),2),AE166+MAX(0,AK166))</f>
        <v>0</v>
      </c>
      <c r="AM166" s="21" t="n">
        <f aca="false">MIN(ROUND(Z166*(1+Z$15),2),AF166+MAX(0,AK166-AL166+AE166))</f>
        <v>0</v>
      </c>
      <c r="AN166" s="21" t="n">
        <f aca="false">MIN(ROUND(AA166*(1+AA$15),2),AG166+MAX(0,AK166-AL166+AE166-AM166+AF166))</f>
        <v>0</v>
      </c>
      <c r="AO166" s="21" t="n">
        <f aca="false">MIN(ROUND(AB166*(1+AB$15),2),AH166+MAX(0,AK166-AL166+AE166-AM166+AF166-AN166+AG166))</f>
        <v>0</v>
      </c>
      <c r="AP166" s="21" t="n">
        <f aca="false">MIN(ROUND(AC166*(1+AC$15),2),AI166+MAX(0,AK166-AL166+AE166-AM166+AF166-AN166+AG166-AO166+AH166))</f>
        <v>0</v>
      </c>
      <c r="AQ166" s="21" t="n">
        <f aca="false">MIN(ROUND(AD166*(1+AD$15),2),AJ166+MAX(0,AK166-AL166+AE166-AM166+AF166-AN166+AG166-AO166+AH166-AP166+AI166))</f>
        <v>0</v>
      </c>
      <c r="AR166" s="21" t="n">
        <f aca="false">SUM(Y166:AD166)</f>
        <v>0</v>
      </c>
      <c r="AS166" s="21" t="n">
        <f aca="false">SUM(AL166:AQ166)</f>
        <v>0</v>
      </c>
    </row>
    <row r="167" customFormat="false" ht="15" hidden="false" customHeight="false" outlineLevel="0" collapsed="false">
      <c r="A167" s="25" t="n">
        <f aca="false">A166+1</f>
        <v>141</v>
      </c>
      <c r="B167" s="21" t="n">
        <f aca="false">MAX(0,ROUND(B166*(1+B$15),2)-O166)</f>
        <v>0</v>
      </c>
      <c r="C167" s="21" t="n">
        <f aca="false">MAX(0,ROUND(C166*(1+C$15),2)-P166)</f>
        <v>0</v>
      </c>
      <c r="D167" s="21" t="n">
        <f aca="false">MAX(0,ROUND(D166*(1+D$15),2)-Q166)</f>
        <v>0</v>
      </c>
      <c r="E167" s="21" t="n">
        <f aca="false">MAX(0,ROUND(E166*(1+E$15),2)-R166)</f>
        <v>0</v>
      </c>
      <c r="F167" s="21" t="n">
        <f aca="false">MAX(0,ROUND(F166*(1+F$15),2)-S166)</f>
        <v>0</v>
      </c>
      <c r="G167" s="21" t="n">
        <f aca="false">MAX(0,ROUND(G166*(1+G$15),2)-T166)</f>
        <v>0</v>
      </c>
      <c r="H167" s="21" t="n">
        <f aca="false">MIN(B$16,ROUND(B167*(1+B$15),2))</f>
        <v>0</v>
      </c>
      <c r="I167" s="21" t="n">
        <f aca="false">MIN(C$16,ROUND(C167*(1+C$15),2))</f>
        <v>0</v>
      </c>
      <c r="J167" s="21" t="n">
        <f aca="false">MIN(D$16,ROUND(D167*(1+D$15),2))</f>
        <v>0</v>
      </c>
      <c r="K167" s="21" t="n">
        <f aca="false">MIN(E$16,ROUND(E167*(1+E$15),2))</f>
        <v>0</v>
      </c>
      <c r="L167" s="21" t="n">
        <f aca="false">MIN(F$16,ROUND(F167*(1+F$15),2))</f>
        <v>0</v>
      </c>
      <c r="M167" s="21" t="n">
        <f aca="false">MIN(G$16,ROUND(G167*(1+G$15),2))</f>
        <v>0</v>
      </c>
      <c r="N167" s="21" t="n">
        <f aca="false">B$20-SUM(H167:M167)</f>
        <v>1170</v>
      </c>
      <c r="O167" s="21" t="n">
        <f aca="false">MIN(ROUND(B167*(1+B$15),2),H167+MAX(0,N167))</f>
        <v>0</v>
      </c>
      <c r="P167" s="21" t="n">
        <f aca="false">MIN(ROUND(C167*(1+C$15),2),I167+MAX(0,N167-O167+H167))</f>
        <v>0</v>
      </c>
      <c r="Q167" s="21" t="n">
        <f aca="false">MIN(ROUND(D167*(1+D$15),2),J167+MAX(0,N167-O167+H167-P167+I167))</f>
        <v>0</v>
      </c>
      <c r="R167" s="21" t="n">
        <f aca="false">MIN(ROUND(E167*(1+E$15),2),K167+MAX(0,N167-O167+H167-P167+I167-Q167+J167))</f>
        <v>0</v>
      </c>
      <c r="S167" s="21" t="n">
        <f aca="false">MIN(ROUND(F167*(1+F$15),2),L167+MAX(0,N167-O167+H167-P167+I167-Q167+J167-R167+K167))</f>
        <v>0</v>
      </c>
      <c r="T167" s="21" t="n">
        <f aca="false">MIN(ROUND(G167*(1+G$15),2),M167+MAX(0,N167-O167+H167-P167+I167-Q167+J167-R167+K167-S167+L167))</f>
        <v>0</v>
      </c>
      <c r="U167" s="21" t="n">
        <f aca="false">SUM(B167:G167)</f>
        <v>0</v>
      </c>
      <c r="V167" s="21" t="n">
        <f aca="false">SUM(O167:T167)</f>
        <v>0</v>
      </c>
      <c r="X167" s="25" t="n">
        <f aca="false">X166+1</f>
        <v>141</v>
      </c>
      <c r="Y167" s="21" t="n">
        <f aca="false">MAX(0,ROUND(Y166*(1+Y$15),2)-AL166)</f>
        <v>0</v>
      </c>
      <c r="Z167" s="21" t="n">
        <f aca="false">MAX(0,ROUND(Z166*(1+Z$15),2)-AM166)</f>
        <v>0</v>
      </c>
      <c r="AA167" s="21" t="n">
        <f aca="false">MAX(0,ROUND(AA166*(1+AA$15),2)-AN166)</f>
        <v>0</v>
      </c>
      <c r="AB167" s="21" t="n">
        <f aca="false">MAX(0,ROUND(AB166*(1+AB$15),2)-AO166)</f>
        <v>0</v>
      </c>
      <c r="AC167" s="21" t="n">
        <f aca="false">MAX(0,ROUND(AC166*(1+AC$15),2)-AP166)</f>
        <v>0</v>
      </c>
      <c r="AD167" s="21" t="n">
        <f aca="false">MAX(0,ROUND(AD166*(1+AD$15),2)-AQ166)</f>
        <v>0</v>
      </c>
      <c r="AE167" s="21" t="n">
        <f aca="false">MIN(Y$16,ROUND(Y167*(1+Y$15),2))</f>
        <v>0</v>
      </c>
      <c r="AF167" s="21" t="n">
        <f aca="false">MIN(Z$16,ROUND(Z167*(1+Z$15),2))</f>
        <v>0</v>
      </c>
      <c r="AG167" s="21" t="n">
        <f aca="false">MIN(AA$16,ROUND(AA167*(1+AA$15),2))</f>
        <v>0</v>
      </c>
      <c r="AH167" s="21" t="n">
        <f aca="false">MIN(AB$16,ROUND(AB167*(1+AB$15),2))</f>
        <v>0</v>
      </c>
      <c r="AI167" s="21" t="n">
        <f aca="false">MIN(AC$16,ROUND(AC167*(1+AC$15),2))</f>
        <v>0</v>
      </c>
      <c r="AJ167" s="21" t="n">
        <f aca="false">MIN(AD$16,ROUND(AD167*(1+AD$15),2))</f>
        <v>0</v>
      </c>
      <c r="AK167" s="21" t="n">
        <f aca="false">Y$20-SUM(AE167:AJ167)</f>
        <v>1170</v>
      </c>
      <c r="AL167" s="21" t="n">
        <f aca="false">MIN(ROUND(Y167*(1+Y$15),2),AE167+MAX(0,AK167))</f>
        <v>0</v>
      </c>
      <c r="AM167" s="21" t="n">
        <f aca="false">MIN(ROUND(Z167*(1+Z$15),2),AF167+MAX(0,AK167-AL167+AE167))</f>
        <v>0</v>
      </c>
      <c r="AN167" s="21" t="n">
        <f aca="false">MIN(ROUND(AA167*(1+AA$15),2),AG167+MAX(0,AK167-AL167+AE167-AM167+AF167))</f>
        <v>0</v>
      </c>
      <c r="AO167" s="21" t="n">
        <f aca="false">MIN(ROUND(AB167*(1+AB$15),2),AH167+MAX(0,AK167-AL167+AE167-AM167+AF167-AN167+AG167))</f>
        <v>0</v>
      </c>
      <c r="AP167" s="21" t="n">
        <f aca="false">MIN(ROUND(AC167*(1+AC$15),2),AI167+MAX(0,AK167-AL167+AE167-AM167+AF167-AN167+AG167-AO167+AH167))</f>
        <v>0</v>
      </c>
      <c r="AQ167" s="21" t="n">
        <f aca="false">MIN(ROUND(AD167*(1+AD$15),2),AJ167+MAX(0,AK167-AL167+AE167-AM167+AF167-AN167+AG167-AO167+AH167-AP167+AI167))</f>
        <v>0</v>
      </c>
      <c r="AR167" s="21" t="n">
        <f aca="false">SUM(Y167:AD167)</f>
        <v>0</v>
      </c>
      <c r="AS167" s="21" t="n">
        <f aca="false">SUM(AL167:AQ167)</f>
        <v>0</v>
      </c>
    </row>
    <row r="168" customFormat="false" ht="15" hidden="false" customHeight="false" outlineLevel="0" collapsed="false">
      <c r="A168" s="25" t="n">
        <f aca="false">A167+1</f>
        <v>142</v>
      </c>
      <c r="B168" s="21" t="n">
        <f aca="false">MAX(0,ROUND(B167*(1+B$15),2)-O167)</f>
        <v>0</v>
      </c>
      <c r="C168" s="21" t="n">
        <f aca="false">MAX(0,ROUND(C167*(1+C$15),2)-P167)</f>
        <v>0</v>
      </c>
      <c r="D168" s="21" t="n">
        <f aca="false">MAX(0,ROUND(D167*(1+D$15),2)-Q167)</f>
        <v>0</v>
      </c>
      <c r="E168" s="21" t="n">
        <f aca="false">MAX(0,ROUND(E167*(1+E$15),2)-R167)</f>
        <v>0</v>
      </c>
      <c r="F168" s="21" t="n">
        <f aca="false">MAX(0,ROUND(F167*(1+F$15),2)-S167)</f>
        <v>0</v>
      </c>
      <c r="G168" s="21" t="n">
        <f aca="false">MAX(0,ROUND(G167*(1+G$15),2)-T167)</f>
        <v>0</v>
      </c>
      <c r="H168" s="21" t="n">
        <f aca="false">MIN(B$16,ROUND(B168*(1+B$15),2))</f>
        <v>0</v>
      </c>
      <c r="I168" s="21" t="n">
        <f aca="false">MIN(C$16,ROUND(C168*(1+C$15),2))</f>
        <v>0</v>
      </c>
      <c r="J168" s="21" t="n">
        <f aca="false">MIN(D$16,ROUND(D168*(1+D$15),2))</f>
        <v>0</v>
      </c>
      <c r="K168" s="21" t="n">
        <f aca="false">MIN(E$16,ROUND(E168*(1+E$15),2))</f>
        <v>0</v>
      </c>
      <c r="L168" s="21" t="n">
        <f aca="false">MIN(F$16,ROUND(F168*(1+F$15),2))</f>
        <v>0</v>
      </c>
      <c r="M168" s="21" t="n">
        <f aca="false">MIN(G$16,ROUND(G168*(1+G$15),2))</f>
        <v>0</v>
      </c>
      <c r="N168" s="21" t="n">
        <f aca="false">B$20-SUM(H168:M168)</f>
        <v>1170</v>
      </c>
      <c r="O168" s="21" t="n">
        <f aca="false">MIN(ROUND(B168*(1+B$15),2),H168+MAX(0,N168))</f>
        <v>0</v>
      </c>
      <c r="P168" s="21" t="n">
        <f aca="false">MIN(ROUND(C168*(1+C$15),2),I168+MAX(0,N168-O168+H168))</f>
        <v>0</v>
      </c>
      <c r="Q168" s="21" t="n">
        <f aca="false">MIN(ROUND(D168*(1+D$15),2),J168+MAX(0,N168-O168+H168-P168+I168))</f>
        <v>0</v>
      </c>
      <c r="R168" s="21" t="n">
        <f aca="false">MIN(ROUND(E168*(1+E$15),2),K168+MAX(0,N168-O168+H168-P168+I168-Q168+J168))</f>
        <v>0</v>
      </c>
      <c r="S168" s="21" t="n">
        <f aca="false">MIN(ROUND(F168*(1+F$15),2),L168+MAX(0,N168-O168+H168-P168+I168-Q168+J168-R168+K168))</f>
        <v>0</v>
      </c>
      <c r="T168" s="21" t="n">
        <f aca="false">MIN(ROUND(G168*(1+G$15),2),M168+MAX(0,N168-O168+H168-P168+I168-Q168+J168-R168+K168-S168+L168))</f>
        <v>0</v>
      </c>
      <c r="U168" s="21" t="n">
        <f aca="false">SUM(B168:G168)</f>
        <v>0</v>
      </c>
      <c r="V168" s="21" t="n">
        <f aca="false">SUM(O168:T168)</f>
        <v>0</v>
      </c>
      <c r="X168" s="25" t="n">
        <f aca="false">X167+1</f>
        <v>142</v>
      </c>
      <c r="Y168" s="21" t="n">
        <f aca="false">MAX(0,ROUND(Y167*(1+Y$15),2)-AL167)</f>
        <v>0</v>
      </c>
      <c r="Z168" s="21" t="n">
        <f aca="false">MAX(0,ROUND(Z167*(1+Z$15),2)-AM167)</f>
        <v>0</v>
      </c>
      <c r="AA168" s="21" t="n">
        <f aca="false">MAX(0,ROUND(AA167*(1+AA$15),2)-AN167)</f>
        <v>0</v>
      </c>
      <c r="AB168" s="21" t="n">
        <f aca="false">MAX(0,ROUND(AB167*(1+AB$15),2)-AO167)</f>
        <v>0</v>
      </c>
      <c r="AC168" s="21" t="n">
        <f aca="false">MAX(0,ROUND(AC167*(1+AC$15),2)-AP167)</f>
        <v>0</v>
      </c>
      <c r="AD168" s="21" t="n">
        <f aca="false">MAX(0,ROUND(AD167*(1+AD$15),2)-AQ167)</f>
        <v>0</v>
      </c>
      <c r="AE168" s="21" t="n">
        <f aca="false">MIN(Y$16,ROUND(Y168*(1+Y$15),2))</f>
        <v>0</v>
      </c>
      <c r="AF168" s="21" t="n">
        <f aca="false">MIN(Z$16,ROUND(Z168*(1+Z$15),2))</f>
        <v>0</v>
      </c>
      <c r="AG168" s="21" t="n">
        <f aca="false">MIN(AA$16,ROUND(AA168*(1+AA$15),2))</f>
        <v>0</v>
      </c>
      <c r="AH168" s="21" t="n">
        <f aca="false">MIN(AB$16,ROUND(AB168*(1+AB$15),2))</f>
        <v>0</v>
      </c>
      <c r="AI168" s="21" t="n">
        <f aca="false">MIN(AC$16,ROUND(AC168*(1+AC$15),2))</f>
        <v>0</v>
      </c>
      <c r="AJ168" s="21" t="n">
        <f aca="false">MIN(AD$16,ROUND(AD168*(1+AD$15),2))</f>
        <v>0</v>
      </c>
      <c r="AK168" s="21" t="n">
        <f aca="false">Y$20-SUM(AE168:AJ168)</f>
        <v>1170</v>
      </c>
      <c r="AL168" s="21" t="n">
        <f aca="false">MIN(ROUND(Y168*(1+Y$15),2),AE168+MAX(0,AK168))</f>
        <v>0</v>
      </c>
      <c r="AM168" s="21" t="n">
        <f aca="false">MIN(ROUND(Z168*(1+Z$15),2),AF168+MAX(0,AK168-AL168+AE168))</f>
        <v>0</v>
      </c>
      <c r="AN168" s="21" t="n">
        <f aca="false">MIN(ROUND(AA168*(1+AA$15),2),AG168+MAX(0,AK168-AL168+AE168-AM168+AF168))</f>
        <v>0</v>
      </c>
      <c r="AO168" s="21" t="n">
        <f aca="false">MIN(ROUND(AB168*(1+AB$15),2),AH168+MAX(0,AK168-AL168+AE168-AM168+AF168-AN168+AG168))</f>
        <v>0</v>
      </c>
      <c r="AP168" s="21" t="n">
        <f aca="false">MIN(ROUND(AC168*(1+AC$15),2),AI168+MAX(0,AK168-AL168+AE168-AM168+AF168-AN168+AG168-AO168+AH168))</f>
        <v>0</v>
      </c>
      <c r="AQ168" s="21" t="n">
        <f aca="false">MIN(ROUND(AD168*(1+AD$15),2),AJ168+MAX(0,AK168-AL168+AE168-AM168+AF168-AN168+AG168-AO168+AH168-AP168+AI168))</f>
        <v>0</v>
      </c>
      <c r="AR168" s="21" t="n">
        <f aca="false">SUM(Y168:AD168)</f>
        <v>0</v>
      </c>
      <c r="AS168" s="21" t="n">
        <f aca="false">SUM(AL168:AQ168)</f>
        <v>0</v>
      </c>
    </row>
    <row r="169" customFormat="false" ht="15" hidden="false" customHeight="false" outlineLevel="0" collapsed="false">
      <c r="A169" s="25" t="n">
        <f aca="false">A168+1</f>
        <v>143</v>
      </c>
      <c r="B169" s="21" t="n">
        <f aca="false">MAX(0,ROUND(B168*(1+B$15),2)-O168)</f>
        <v>0</v>
      </c>
      <c r="C169" s="21" t="n">
        <f aca="false">MAX(0,ROUND(C168*(1+C$15),2)-P168)</f>
        <v>0</v>
      </c>
      <c r="D169" s="21" t="n">
        <f aca="false">MAX(0,ROUND(D168*(1+D$15),2)-Q168)</f>
        <v>0</v>
      </c>
      <c r="E169" s="21" t="n">
        <f aca="false">MAX(0,ROUND(E168*(1+E$15),2)-R168)</f>
        <v>0</v>
      </c>
      <c r="F169" s="21" t="n">
        <f aca="false">MAX(0,ROUND(F168*(1+F$15),2)-S168)</f>
        <v>0</v>
      </c>
      <c r="G169" s="21" t="n">
        <f aca="false">MAX(0,ROUND(G168*(1+G$15),2)-T168)</f>
        <v>0</v>
      </c>
      <c r="H169" s="21" t="n">
        <f aca="false">MIN(B$16,ROUND(B169*(1+B$15),2))</f>
        <v>0</v>
      </c>
      <c r="I169" s="21" t="n">
        <f aca="false">MIN(C$16,ROUND(C169*(1+C$15),2))</f>
        <v>0</v>
      </c>
      <c r="J169" s="21" t="n">
        <f aca="false">MIN(D$16,ROUND(D169*(1+D$15),2))</f>
        <v>0</v>
      </c>
      <c r="K169" s="21" t="n">
        <f aca="false">MIN(E$16,ROUND(E169*(1+E$15),2))</f>
        <v>0</v>
      </c>
      <c r="L169" s="21" t="n">
        <f aca="false">MIN(F$16,ROUND(F169*(1+F$15),2))</f>
        <v>0</v>
      </c>
      <c r="M169" s="21" t="n">
        <f aca="false">MIN(G$16,ROUND(G169*(1+G$15),2))</f>
        <v>0</v>
      </c>
      <c r="N169" s="21" t="n">
        <f aca="false">B$20-SUM(H169:M169)</f>
        <v>1170</v>
      </c>
      <c r="O169" s="21" t="n">
        <f aca="false">MIN(ROUND(B169*(1+B$15),2),H169+MAX(0,N169))</f>
        <v>0</v>
      </c>
      <c r="P169" s="21" t="n">
        <f aca="false">MIN(ROUND(C169*(1+C$15),2),I169+MAX(0,N169-O169+H169))</f>
        <v>0</v>
      </c>
      <c r="Q169" s="21" t="n">
        <f aca="false">MIN(ROUND(D169*(1+D$15),2),J169+MAX(0,N169-O169+H169-P169+I169))</f>
        <v>0</v>
      </c>
      <c r="R169" s="21" t="n">
        <f aca="false">MIN(ROUND(E169*(1+E$15),2),K169+MAX(0,N169-O169+H169-P169+I169-Q169+J169))</f>
        <v>0</v>
      </c>
      <c r="S169" s="21" t="n">
        <f aca="false">MIN(ROUND(F169*(1+F$15),2),L169+MAX(0,N169-O169+H169-P169+I169-Q169+J169-R169+K169))</f>
        <v>0</v>
      </c>
      <c r="T169" s="21" t="n">
        <f aca="false">MIN(ROUND(G169*(1+G$15),2),M169+MAX(0,N169-O169+H169-P169+I169-Q169+J169-R169+K169-S169+L169))</f>
        <v>0</v>
      </c>
      <c r="U169" s="21" t="n">
        <f aca="false">SUM(B169:G169)</f>
        <v>0</v>
      </c>
      <c r="V169" s="21" t="n">
        <f aca="false">SUM(O169:T169)</f>
        <v>0</v>
      </c>
      <c r="X169" s="25" t="n">
        <f aca="false">X168+1</f>
        <v>143</v>
      </c>
      <c r="Y169" s="21" t="n">
        <f aca="false">MAX(0,ROUND(Y168*(1+Y$15),2)-AL168)</f>
        <v>0</v>
      </c>
      <c r="Z169" s="21" t="n">
        <f aca="false">MAX(0,ROUND(Z168*(1+Z$15),2)-AM168)</f>
        <v>0</v>
      </c>
      <c r="AA169" s="21" t="n">
        <f aca="false">MAX(0,ROUND(AA168*(1+AA$15),2)-AN168)</f>
        <v>0</v>
      </c>
      <c r="AB169" s="21" t="n">
        <f aca="false">MAX(0,ROUND(AB168*(1+AB$15),2)-AO168)</f>
        <v>0</v>
      </c>
      <c r="AC169" s="21" t="n">
        <f aca="false">MAX(0,ROUND(AC168*(1+AC$15),2)-AP168)</f>
        <v>0</v>
      </c>
      <c r="AD169" s="21" t="n">
        <f aca="false">MAX(0,ROUND(AD168*(1+AD$15),2)-AQ168)</f>
        <v>0</v>
      </c>
      <c r="AE169" s="21" t="n">
        <f aca="false">MIN(Y$16,ROUND(Y169*(1+Y$15),2))</f>
        <v>0</v>
      </c>
      <c r="AF169" s="21" t="n">
        <f aca="false">MIN(Z$16,ROUND(Z169*(1+Z$15),2))</f>
        <v>0</v>
      </c>
      <c r="AG169" s="21" t="n">
        <f aca="false">MIN(AA$16,ROUND(AA169*(1+AA$15),2))</f>
        <v>0</v>
      </c>
      <c r="AH169" s="21" t="n">
        <f aca="false">MIN(AB$16,ROUND(AB169*(1+AB$15),2))</f>
        <v>0</v>
      </c>
      <c r="AI169" s="21" t="n">
        <f aca="false">MIN(AC$16,ROUND(AC169*(1+AC$15),2))</f>
        <v>0</v>
      </c>
      <c r="AJ169" s="21" t="n">
        <f aca="false">MIN(AD$16,ROUND(AD169*(1+AD$15),2))</f>
        <v>0</v>
      </c>
      <c r="AK169" s="21" t="n">
        <f aca="false">Y$20-SUM(AE169:AJ169)</f>
        <v>1170</v>
      </c>
      <c r="AL169" s="21" t="n">
        <f aca="false">MIN(ROUND(Y169*(1+Y$15),2),AE169+MAX(0,AK169))</f>
        <v>0</v>
      </c>
      <c r="AM169" s="21" t="n">
        <f aca="false">MIN(ROUND(Z169*(1+Z$15),2),AF169+MAX(0,AK169-AL169+AE169))</f>
        <v>0</v>
      </c>
      <c r="AN169" s="21" t="n">
        <f aca="false">MIN(ROUND(AA169*(1+AA$15),2),AG169+MAX(0,AK169-AL169+AE169-AM169+AF169))</f>
        <v>0</v>
      </c>
      <c r="AO169" s="21" t="n">
        <f aca="false">MIN(ROUND(AB169*(1+AB$15),2),AH169+MAX(0,AK169-AL169+AE169-AM169+AF169-AN169+AG169))</f>
        <v>0</v>
      </c>
      <c r="AP169" s="21" t="n">
        <f aca="false">MIN(ROUND(AC169*(1+AC$15),2),AI169+MAX(0,AK169-AL169+AE169-AM169+AF169-AN169+AG169-AO169+AH169))</f>
        <v>0</v>
      </c>
      <c r="AQ169" s="21" t="n">
        <f aca="false">MIN(ROUND(AD169*(1+AD$15),2),AJ169+MAX(0,AK169-AL169+AE169-AM169+AF169-AN169+AG169-AO169+AH169-AP169+AI169))</f>
        <v>0</v>
      </c>
      <c r="AR169" s="21" t="n">
        <f aca="false">SUM(Y169:AD169)</f>
        <v>0</v>
      </c>
      <c r="AS169" s="21" t="n">
        <f aca="false">SUM(AL169:AQ169)</f>
        <v>0</v>
      </c>
    </row>
    <row r="170" customFormat="false" ht="15" hidden="false" customHeight="false" outlineLevel="0" collapsed="false">
      <c r="A170" s="25" t="n">
        <f aca="false">A169+1</f>
        <v>144</v>
      </c>
      <c r="B170" s="21" t="n">
        <f aca="false">MAX(0,ROUND(B169*(1+B$15),2)-O169)</f>
        <v>0</v>
      </c>
      <c r="C170" s="21" t="n">
        <f aca="false">MAX(0,ROUND(C169*(1+C$15),2)-P169)</f>
        <v>0</v>
      </c>
      <c r="D170" s="21" t="n">
        <f aca="false">MAX(0,ROUND(D169*(1+D$15),2)-Q169)</f>
        <v>0</v>
      </c>
      <c r="E170" s="21" t="n">
        <f aca="false">MAX(0,ROUND(E169*(1+E$15),2)-R169)</f>
        <v>0</v>
      </c>
      <c r="F170" s="21" t="n">
        <f aca="false">MAX(0,ROUND(F169*(1+F$15),2)-S169)</f>
        <v>0</v>
      </c>
      <c r="G170" s="21" t="n">
        <f aca="false">MAX(0,ROUND(G169*(1+G$15),2)-T169)</f>
        <v>0</v>
      </c>
      <c r="H170" s="21" t="n">
        <f aca="false">MIN(B$16,ROUND(B170*(1+B$15),2))</f>
        <v>0</v>
      </c>
      <c r="I170" s="21" t="n">
        <f aca="false">MIN(C$16,ROUND(C170*(1+C$15),2))</f>
        <v>0</v>
      </c>
      <c r="J170" s="21" t="n">
        <f aca="false">MIN(D$16,ROUND(D170*(1+D$15),2))</f>
        <v>0</v>
      </c>
      <c r="K170" s="21" t="n">
        <f aca="false">MIN(E$16,ROUND(E170*(1+E$15),2))</f>
        <v>0</v>
      </c>
      <c r="L170" s="21" t="n">
        <f aca="false">MIN(F$16,ROUND(F170*(1+F$15),2))</f>
        <v>0</v>
      </c>
      <c r="M170" s="21" t="n">
        <f aca="false">MIN(G$16,ROUND(G170*(1+G$15),2))</f>
        <v>0</v>
      </c>
      <c r="N170" s="21" t="n">
        <f aca="false">B$20-SUM(H170:M170)</f>
        <v>1170</v>
      </c>
      <c r="O170" s="21" t="n">
        <f aca="false">MIN(ROUND(B170*(1+B$15),2),H170+MAX(0,N170))</f>
        <v>0</v>
      </c>
      <c r="P170" s="21" t="n">
        <f aca="false">MIN(ROUND(C170*(1+C$15),2),I170+MAX(0,N170-O170+H170))</f>
        <v>0</v>
      </c>
      <c r="Q170" s="21" t="n">
        <f aca="false">MIN(ROUND(D170*(1+D$15),2),J170+MAX(0,N170-O170+H170-P170+I170))</f>
        <v>0</v>
      </c>
      <c r="R170" s="21" t="n">
        <f aca="false">MIN(ROUND(E170*(1+E$15),2),K170+MAX(0,N170-O170+H170-P170+I170-Q170+J170))</f>
        <v>0</v>
      </c>
      <c r="S170" s="21" t="n">
        <f aca="false">MIN(ROUND(F170*(1+F$15),2),L170+MAX(0,N170-O170+H170-P170+I170-Q170+J170-R170+K170))</f>
        <v>0</v>
      </c>
      <c r="T170" s="21" t="n">
        <f aca="false">MIN(ROUND(G170*(1+G$15),2),M170+MAX(0,N170-O170+H170-P170+I170-Q170+J170-R170+K170-S170+L170))</f>
        <v>0</v>
      </c>
      <c r="U170" s="21" t="n">
        <f aca="false">SUM(B170:G170)</f>
        <v>0</v>
      </c>
      <c r="V170" s="21" t="n">
        <f aca="false">SUM(O170:T170)</f>
        <v>0</v>
      </c>
      <c r="X170" s="25" t="n">
        <f aca="false">X169+1</f>
        <v>144</v>
      </c>
      <c r="Y170" s="21" t="n">
        <f aca="false">MAX(0,ROUND(Y169*(1+Y$15),2)-AL169)</f>
        <v>0</v>
      </c>
      <c r="Z170" s="21" t="n">
        <f aca="false">MAX(0,ROUND(Z169*(1+Z$15),2)-AM169)</f>
        <v>0</v>
      </c>
      <c r="AA170" s="21" t="n">
        <f aca="false">MAX(0,ROUND(AA169*(1+AA$15),2)-AN169)</f>
        <v>0</v>
      </c>
      <c r="AB170" s="21" t="n">
        <f aca="false">MAX(0,ROUND(AB169*(1+AB$15),2)-AO169)</f>
        <v>0</v>
      </c>
      <c r="AC170" s="21" t="n">
        <f aca="false">MAX(0,ROUND(AC169*(1+AC$15),2)-AP169)</f>
        <v>0</v>
      </c>
      <c r="AD170" s="21" t="n">
        <f aca="false">MAX(0,ROUND(AD169*(1+AD$15),2)-AQ169)</f>
        <v>0</v>
      </c>
      <c r="AE170" s="21" t="n">
        <f aca="false">MIN(Y$16,ROUND(Y170*(1+Y$15),2))</f>
        <v>0</v>
      </c>
      <c r="AF170" s="21" t="n">
        <f aca="false">MIN(Z$16,ROUND(Z170*(1+Z$15),2))</f>
        <v>0</v>
      </c>
      <c r="AG170" s="21" t="n">
        <f aca="false">MIN(AA$16,ROUND(AA170*(1+AA$15),2))</f>
        <v>0</v>
      </c>
      <c r="AH170" s="21" t="n">
        <f aca="false">MIN(AB$16,ROUND(AB170*(1+AB$15),2))</f>
        <v>0</v>
      </c>
      <c r="AI170" s="21" t="n">
        <f aca="false">MIN(AC$16,ROUND(AC170*(1+AC$15),2))</f>
        <v>0</v>
      </c>
      <c r="AJ170" s="21" t="n">
        <f aca="false">MIN(AD$16,ROUND(AD170*(1+AD$15),2))</f>
        <v>0</v>
      </c>
      <c r="AK170" s="21" t="n">
        <f aca="false">Y$20-SUM(AE170:AJ170)</f>
        <v>1170</v>
      </c>
      <c r="AL170" s="21" t="n">
        <f aca="false">MIN(ROUND(Y170*(1+Y$15),2),AE170+MAX(0,AK170))</f>
        <v>0</v>
      </c>
      <c r="AM170" s="21" t="n">
        <f aca="false">MIN(ROUND(Z170*(1+Z$15),2),AF170+MAX(0,AK170-AL170+AE170))</f>
        <v>0</v>
      </c>
      <c r="AN170" s="21" t="n">
        <f aca="false">MIN(ROUND(AA170*(1+AA$15),2),AG170+MAX(0,AK170-AL170+AE170-AM170+AF170))</f>
        <v>0</v>
      </c>
      <c r="AO170" s="21" t="n">
        <f aca="false">MIN(ROUND(AB170*(1+AB$15),2),AH170+MAX(0,AK170-AL170+AE170-AM170+AF170-AN170+AG170))</f>
        <v>0</v>
      </c>
      <c r="AP170" s="21" t="n">
        <f aca="false">MIN(ROUND(AC170*(1+AC$15),2),AI170+MAX(0,AK170-AL170+AE170-AM170+AF170-AN170+AG170-AO170+AH170))</f>
        <v>0</v>
      </c>
      <c r="AQ170" s="21" t="n">
        <f aca="false">MIN(ROUND(AD170*(1+AD$15),2),AJ170+MAX(0,AK170-AL170+AE170-AM170+AF170-AN170+AG170-AO170+AH170-AP170+AI170))</f>
        <v>0</v>
      </c>
      <c r="AR170" s="21" t="n">
        <f aca="false">SUM(Y170:AD170)</f>
        <v>0</v>
      </c>
      <c r="AS170" s="21" t="n">
        <f aca="false">SUM(AL170:AQ170)</f>
        <v>0</v>
      </c>
    </row>
    <row r="171" customFormat="false" ht="15" hidden="false" customHeight="false" outlineLevel="0" collapsed="false">
      <c r="A171" s="25" t="n">
        <f aca="false">A170+1</f>
        <v>145</v>
      </c>
      <c r="B171" s="21" t="n">
        <f aca="false">MAX(0,ROUND(B170*(1+B$15),2)-O170)</f>
        <v>0</v>
      </c>
      <c r="C171" s="21" t="n">
        <f aca="false">MAX(0,ROUND(C170*(1+C$15),2)-P170)</f>
        <v>0</v>
      </c>
      <c r="D171" s="21" t="n">
        <f aca="false">MAX(0,ROUND(D170*(1+D$15),2)-Q170)</f>
        <v>0</v>
      </c>
      <c r="E171" s="21" t="n">
        <f aca="false">MAX(0,ROUND(E170*(1+E$15),2)-R170)</f>
        <v>0</v>
      </c>
      <c r="F171" s="21" t="n">
        <f aca="false">MAX(0,ROUND(F170*(1+F$15),2)-S170)</f>
        <v>0</v>
      </c>
      <c r="G171" s="21" t="n">
        <f aca="false">MAX(0,ROUND(G170*(1+G$15),2)-T170)</f>
        <v>0</v>
      </c>
      <c r="H171" s="21" t="n">
        <f aca="false">MIN(B$16,ROUND(B171*(1+B$15),2))</f>
        <v>0</v>
      </c>
      <c r="I171" s="21" t="n">
        <f aca="false">MIN(C$16,ROUND(C171*(1+C$15),2))</f>
        <v>0</v>
      </c>
      <c r="J171" s="21" t="n">
        <f aca="false">MIN(D$16,ROUND(D171*(1+D$15),2))</f>
        <v>0</v>
      </c>
      <c r="K171" s="21" t="n">
        <f aca="false">MIN(E$16,ROUND(E171*(1+E$15),2))</f>
        <v>0</v>
      </c>
      <c r="L171" s="21" t="n">
        <f aca="false">MIN(F$16,ROUND(F171*(1+F$15),2))</f>
        <v>0</v>
      </c>
      <c r="M171" s="21" t="n">
        <f aca="false">MIN(G$16,ROUND(G171*(1+G$15),2))</f>
        <v>0</v>
      </c>
      <c r="N171" s="21" t="n">
        <f aca="false">B$20-SUM(H171:M171)</f>
        <v>1170</v>
      </c>
      <c r="O171" s="21" t="n">
        <f aca="false">MIN(ROUND(B171*(1+B$15),2),H171+MAX(0,N171))</f>
        <v>0</v>
      </c>
      <c r="P171" s="21" t="n">
        <f aca="false">MIN(ROUND(C171*(1+C$15),2),I171+MAX(0,N171-O171+H171))</f>
        <v>0</v>
      </c>
      <c r="Q171" s="21" t="n">
        <f aca="false">MIN(ROUND(D171*(1+D$15),2),J171+MAX(0,N171-O171+H171-P171+I171))</f>
        <v>0</v>
      </c>
      <c r="R171" s="21" t="n">
        <f aca="false">MIN(ROUND(E171*(1+E$15),2),K171+MAX(0,N171-O171+H171-P171+I171-Q171+J171))</f>
        <v>0</v>
      </c>
      <c r="S171" s="21" t="n">
        <f aca="false">MIN(ROUND(F171*(1+F$15),2),L171+MAX(0,N171-O171+H171-P171+I171-Q171+J171-R171+K171))</f>
        <v>0</v>
      </c>
      <c r="T171" s="21" t="n">
        <f aca="false">MIN(ROUND(G171*(1+G$15),2),M171+MAX(0,N171-O171+H171-P171+I171-Q171+J171-R171+K171-S171+L171))</f>
        <v>0</v>
      </c>
      <c r="U171" s="21" t="n">
        <f aca="false">SUM(B171:G171)</f>
        <v>0</v>
      </c>
      <c r="V171" s="21" t="n">
        <f aca="false">SUM(O171:T171)</f>
        <v>0</v>
      </c>
      <c r="X171" s="25" t="n">
        <f aca="false">X170+1</f>
        <v>145</v>
      </c>
      <c r="Y171" s="21" t="n">
        <f aca="false">MAX(0,ROUND(Y170*(1+Y$15),2)-AL170)</f>
        <v>0</v>
      </c>
      <c r="Z171" s="21" t="n">
        <f aca="false">MAX(0,ROUND(Z170*(1+Z$15),2)-AM170)</f>
        <v>0</v>
      </c>
      <c r="AA171" s="21" t="n">
        <f aca="false">MAX(0,ROUND(AA170*(1+AA$15),2)-AN170)</f>
        <v>0</v>
      </c>
      <c r="AB171" s="21" t="n">
        <f aca="false">MAX(0,ROUND(AB170*(1+AB$15),2)-AO170)</f>
        <v>0</v>
      </c>
      <c r="AC171" s="21" t="n">
        <f aca="false">MAX(0,ROUND(AC170*(1+AC$15),2)-AP170)</f>
        <v>0</v>
      </c>
      <c r="AD171" s="21" t="n">
        <f aca="false">MAX(0,ROUND(AD170*(1+AD$15),2)-AQ170)</f>
        <v>0</v>
      </c>
      <c r="AE171" s="21" t="n">
        <f aca="false">MIN(Y$16,ROUND(Y171*(1+Y$15),2))</f>
        <v>0</v>
      </c>
      <c r="AF171" s="21" t="n">
        <f aca="false">MIN(Z$16,ROUND(Z171*(1+Z$15),2))</f>
        <v>0</v>
      </c>
      <c r="AG171" s="21" t="n">
        <f aca="false">MIN(AA$16,ROUND(AA171*(1+AA$15),2))</f>
        <v>0</v>
      </c>
      <c r="AH171" s="21" t="n">
        <f aca="false">MIN(AB$16,ROUND(AB171*(1+AB$15),2))</f>
        <v>0</v>
      </c>
      <c r="AI171" s="21" t="n">
        <f aca="false">MIN(AC$16,ROUND(AC171*(1+AC$15),2))</f>
        <v>0</v>
      </c>
      <c r="AJ171" s="21" t="n">
        <f aca="false">MIN(AD$16,ROUND(AD171*(1+AD$15),2))</f>
        <v>0</v>
      </c>
      <c r="AK171" s="21" t="n">
        <f aca="false">Y$20-SUM(AE171:AJ171)</f>
        <v>1170</v>
      </c>
      <c r="AL171" s="21" t="n">
        <f aca="false">MIN(ROUND(Y171*(1+Y$15),2),AE171+MAX(0,AK171))</f>
        <v>0</v>
      </c>
      <c r="AM171" s="21" t="n">
        <f aca="false">MIN(ROUND(Z171*(1+Z$15),2),AF171+MAX(0,AK171-AL171+AE171))</f>
        <v>0</v>
      </c>
      <c r="AN171" s="21" t="n">
        <f aca="false">MIN(ROUND(AA171*(1+AA$15),2),AG171+MAX(0,AK171-AL171+AE171-AM171+AF171))</f>
        <v>0</v>
      </c>
      <c r="AO171" s="21" t="n">
        <f aca="false">MIN(ROUND(AB171*(1+AB$15),2),AH171+MAX(0,AK171-AL171+AE171-AM171+AF171-AN171+AG171))</f>
        <v>0</v>
      </c>
      <c r="AP171" s="21" t="n">
        <f aca="false">MIN(ROUND(AC171*(1+AC$15),2),AI171+MAX(0,AK171-AL171+AE171-AM171+AF171-AN171+AG171-AO171+AH171))</f>
        <v>0</v>
      </c>
      <c r="AQ171" s="21" t="n">
        <f aca="false">MIN(ROUND(AD171*(1+AD$15),2),AJ171+MAX(0,AK171-AL171+AE171-AM171+AF171-AN171+AG171-AO171+AH171-AP171+AI171))</f>
        <v>0</v>
      </c>
      <c r="AR171" s="21" t="n">
        <f aca="false">SUM(Y171:AD171)</f>
        <v>0</v>
      </c>
      <c r="AS171" s="21" t="n">
        <f aca="false">SUM(AL171:AQ171)</f>
        <v>0</v>
      </c>
    </row>
    <row r="172" customFormat="false" ht="15" hidden="false" customHeight="false" outlineLevel="0" collapsed="false">
      <c r="A172" s="25" t="n">
        <f aca="false">A171+1</f>
        <v>146</v>
      </c>
      <c r="B172" s="21" t="n">
        <f aca="false">MAX(0,ROUND(B171*(1+B$15),2)-O171)</f>
        <v>0</v>
      </c>
      <c r="C172" s="21" t="n">
        <f aca="false">MAX(0,ROUND(C171*(1+C$15),2)-P171)</f>
        <v>0</v>
      </c>
      <c r="D172" s="21" t="n">
        <f aca="false">MAX(0,ROUND(D171*(1+D$15),2)-Q171)</f>
        <v>0</v>
      </c>
      <c r="E172" s="21" t="n">
        <f aca="false">MAX(0,ROUND(E171*(1+E$15),2)-R171)</f>
        <v>0</v>
      </c>
      <c r="F172" s="21" t="n">
        <f aca="false">MAX(0,ROUND(F171*(1+F$15),2)-S171)</f>
        <v>0</v>
      </c>
      <c r="G172" s="21" t="n">
        <f aca="false">MAX(0,ROUND(G171*(1+G$15),2)-T171)</f>
        <v>0</v>
      </c>
      <c r="H172" s="21" t="n">
        <f aca="false">MIN(B$16,ROUND(B172*(1+B$15),2))</f>
        <v>0</v>
      </c>
      <c r="I172" s="21" t="n">
        <f aca="false">MIN(C$16,ROUND(C172*(1+C$15),2))</f>
        <v>0</v>
      </c>
      <c r="J172" s="21" t="n">
        <f aca="false">MIN(D$16,ROUND(D172*(1+D$15),2))</f>
        <v>0</v>
      </c>
      <c r="K172" s="21" t="n">
        <f aca="false">MIN(E$16,ROUND(E172*(1+E$15),2))</f>
        <v>0</v>
      </c>
      <c r="L172" s="21" t="n">
        <f aca="false">MIN(F$16,ROUND(F172*(1+F$15),2))</f>
        <v>0</v>
      </c>
      <c r="M172" s="21" t="n">
        <f aca="false">MIN(G$16,ROUND(G172*(1+G$15),2))</f>
        <v>0</v>
      </c>
      <c r="N172" s="21" t="n">
        <f aca="false">B$20-SUM(H172:M172)</f>
        <v>1170</v>
      </c>
      <c r="O172" s="21" t="n">
        <f aca="false">MIN(ROUND(B172*(1+B$15),2),H172+MAX(0,N172))</f>
        <v>0</v>
      </c>
      <c r="P172" s="21" t="n">
        <f aca="false">MIN(ROUND(C172*(1+C$15),2),I172+MAX(0,N172-O172+H172))</f>
        <v>0</v>
      </c>
      <c r="Q172" s="21" t="n">
        <f aca="false">MIN(ROUND(D172*(1+D$15),2),J172+MAX(0,N172-O172+H172-P172+I172))</f>
        <v>0</v>
      </c>
      <c r="R172" s="21" t="n">
        <f aca="false">MIN(ROUND(E172*(1+E$15),2),K172+MAX(0,N172-O172+H172-P172+I172-Q172+J172))</f>
        <v>0</v>
      </c>
      <c r="S172" s="21" t="n">
        <f aca="false">MIN(ROUND(F172*(1+F$15),2),L172+MAX(0,N172-O172+H172-P172+I172-Q172+J172-R172+K172))</f>
        <v>0</v>
      </c>
      <c r="T172" s="21" t="n">
        <f aca="false">MIN(ROUND(G172*(1+G$15),2),M172+MAX(0,N172-O172+H172-P172+I172-Q172+J172-R172+K172-S172+L172))</f>
        <v>0</v>
      </c>
      <c r="U172" s="21" t="n">
        <f aca="false">SUM(B172:G172)</f>
        <v>0</v>
      </c>
      <c r="V172" s="21" t="n">
        <f aca="false">SUM(O172:T172)</f>
        <v>0</v>
      </c>
      <c r="X172" s="25" t="n">
        <f aca="false">X171+1</f>
        <v>146</v>
      </c>
      <c r="Y172" s="21" t="n">
        <f aca="false">MAX(0,ROUND(Y171*(1+Y$15),2)-AL171)</f>
        <v>0</v>
      </c>
      <c r="Z172" s="21" t="n">
        <f aca="false">MAX(0,ROUND(Z171*(1+Z$15),2)-AM171)</f>
        <v>0</v>
      </c>
      <c r="AA172" s="21" t="n">
        <f aca="false">MAX(0,ROUND(AA171*(1+AA$15),2)-AN171)</f>
        <v>0</v>
      </c>
      <c r="AB172" s="21" t="n">
        <f aca="false">MAX(0,ROUND(AB171*(1+AB$15),2)-AO171)</f>
        <v>0</v>
      </c>
      <c r="AC172" s="21" t="n">
        <f aca="false">MAX(0,ROUND(AC171*(1+AC$15),2)-AP171)</f>
        <v>0</v>
      </c>
      <c r="AD172" s="21" t="n">
        <f aca="false">MAX(0,ROUND(AD171*(1+AD$15),2)-AQ171)</f>
        <v>0</v>
      </c>
      <c r="AE172" s="21" t="n">
        <f aca="false">MIN(Y$16,ROUND(Y172*(1+Y$15),2))</f>
        <v>0</v>
      </c>
      <c r="AF172" s="21" t="n">
        <f aca="false">MIN(Z$16,ROUND(Z172*(1+Z$15),2))</f>
        <v>0</v>
      </c>
      <c r="AG172" s="21" t="n">
        <f aca="false">MIN(AA$16,ROUND(AA172*(1+AA$15),2))</f>
        <v>0</v>
      </c>
      <c r="AH172" s="21" t="n">
        <f aca="false">MIN(AB$16,ROUND(AB172*(1+AB$15),2))</f>
        <v>0</v>
      </c>
      <c r="AI172" s="21" t="n">
        <f aca="false">MIN(AC$16,ROUND(AC172*(1+AC$15),2))</f>
        <v>0</v>
      </c>
      <c r="AJ172" s="21" t="n">
        <f aca="false">MIN(AD$16,ROUND(AD172*(1+AD$15),2))</f>
        <v>0</v>
      </c>
      <c r="AK172" s="21" t="n">
        <f aca="false">Y$20-SUM(AE172:AJ172)</f>
        <v>1170</v>
      </c>
      <c r="AL172" s="21" t="n">
        <f aca="false">MIN(ROUND(Y172*(1+Y$15),2),AE172+MAX(0,AK172))</f>
        <v>0</v>
      </c>
      <c r="AM172" s="21" t="n">
        <f aca="false">MIN(ROUND(Z172*(1+Z$15),2),AF172+MAX(0,AK172-AL172+AE172))</f>
        <v>0</v>
      </c>
      <c r="AN172" s="21" t="n">
        <f aca="false">MIN(ROUND(AA172*(1+AA$15),2),AG172+MAX(0,AK172-AL172+AE172-AM172+AF172))</f>
        <v>0</v>
      </c>
      <c r="AO172" s="21" t="n">
        <f aca="false">MIN(ROUND(AB172*(1+AB$15),2),AH172+MAX(0,AK172-AL172+AE172-AM172+AF172-AN172+AG172))</f>
        <v>0</v>
      </c>
      <c r="AP172" s="21" t="n">
        <f aca="false">MIN(ROUND(AC172*(1+AC$15),2),AI172+MAX(0,AK172-AL172+AE172-AM172+AF172-AN172+AG172-AO172+AH172))</f>
        <v>0</v>
      </c>
      <c r="AQ172" s="21" t="n">
        <f aca="false">MIN(ROUND(AD172*(1+AD$15),2),AJ172+MAX(0,AK172-AL172+AE172-AM172+AF172-AN172+AG172-AO172+AH172-AP172+AI172))</f>
        <v>0</v>
      </c>
      <c r="AR172" s="21" t="n">
        <f aca="false">SUM(Y172:AD172)</f>
        <v>0</v>
      </c>
      <c r="AS172" s="21" t="n">
        <f aca="false">SUM(AL172:AQ172)</f>
        <v>0</v>
      </c>
    </row>
    <row r="173" customFormat="false" ht="15" hidden="false" customHeight="false" outlineLevel="0" collapsed="false">
      <c r="A173" s="25" t="n">
        <f aca="false">A172+1</f>
        <v>147</v>
      </c>
      <c r="B173" s="21" t="n">
        <f aca="false">MAX(0,ROUND(B172*(1+B$15),2)-O172)</f>
        <v>0</v>
      </c>
      <c r="C173" s="21" t="n">
        <f aca="false">MAX(0,ROUND(C172*(1+C$15),2)-P172)</f>
        <v>0</v>
      </c>
      <c r="D173" s="21" t="n">
        <f aca="false">MAX(0,ROUND(D172*(1+D$15),2)-Q172)</f>
        <v>0</v>
      </c>
      <c r="E173" s="21" t="n">
        <f aca="false">MAX(0,ROUND(E172*(1+E$15),2)-R172)</f>
        <v>0</v>
      </c>
      <c r="F173" s="21" t="n">
        <f aca="false">MAX(0,ROUND(F172*(1+F$15),2)-S172)</f>
        <v>0</v>
      </c>
      <c r="G173" s="21" t="n">
        <f aca="false">MAX(0,ROUND(G172*(1+G$15),2)-T172)</f>
        <v>0</v>
      </c>
      <c r="H173" s="21" t="n">
        <f aca="false">MIN(B$16,ROUND(B173*(1+B$15),2))</f>
        <v>0</v>
      </c>
      <c r="I173" s="21" t="n">
        <f aca="false">MIN(C$16,ROUND(C173*(1+C$15),2))</f>
        <v>0</v>
      </c>
      <c r="J173" s="21" t="n">
        <f aca="false">MIN(D$16,ROUND(D173*(1+D$15),2))</f>
        <v>0</v>
      </c>
      <c r="K173" s="21" t="n">
        <f aca="false">MIN(E$16,ROUND(E173*(1+E$15),2))</f>
        <v>0</v>
      </c>
      <c r="L173" s="21" t="n">
        <f aca="false">MIN(F$16,ROUND(F173*(1+F$15),2))</f>
        <v>0</v>
      </c>
      <c r="M173" s="21" t="n">
        <f aca="false">MIN(G$16,ROUND(G173*(1+G$15),2))</f>
        <v>0</v>
      </c>
      <c r="N173" s="21" t="n">
        <f aca="false">B$20-SUM(H173:M173)</f>
        <v>1170</v>
      </c>
      <c r="O173" s="21" t="n">
        <f aca="false">MIN(ROUND(B173*(1+B$15),2),H173+MAX(0,N173))</f>
        <v>0</v>
      </c>
      <c r="P173" s="21" t="n">
        <f aca="false">MIN(ROUND(C173*(1+C$15),2),I173+MAX(0,N173-O173+H173))</f>
        <v>0</v>
      </c>
      <c r="Q173" s="21" t="n">
        <f aca="false">MIN(ROUND(D173*(1+D$15),2),J173+MAX(0,N173-O173+H173-P173+I173))</f>
        <v>0</v>
      </c>
      <c r="R173" s="21" t="n">
        <f aca="false">MIN(ROUND(E173*(1+E$15),2),K173+MAX(0,N173-O173+H173-P173+I173-Q173+J173))</f>
        <v>0</v>
      </c>
      <c r="S173" s="21" t="n">
        <f aca="false">MIN(ROUND(F173*(1+F$15),2),L173+MAX(0,N173-O173+H173-P173+I173-Q173+J173-R173+K173))</f>
        <v>0</v>
      </c>
      <c r="T173" s="21" t="n">
        <f aca="false">MIN(ROUND(G173*(1+G$15),2),M173+MAX(0,N173-O173+H173-P173+I173-Q173+J173-R173+K173-S173+L173))</f>
        <v>0</v>
      </c>
      <c r="U173" s="21" t="n">
        <f aca="false">SUM(B173:G173)</f>
        <v>0</v>
      </c>
      <c r="V173" s="21" t="n">
        <f aca="false">SUM(O173:T173)</f>
        <v>0</v>
      </c>
      <c r="X173" s="25" t="n">
        <f aca="false">X172+1</f>
        <v>147</v>
      </c>
      <c r="Y173" s="21" t="n">
        <f aca="false">MAX(0,ROUND(Y172*(1+Y$15),2)-AL172)</f>
        <v>0</v>
      </c>
      <c r="Z173" s="21" t="n">
        <f aca="false">MAX(0,ROUND(Z172*(1+Z$15),2)-AM172)</f>
        <v>0</v>
      </c>
      <c r="AA173" s="21" t="n">
        <f aca="false">MAX(0,ROUND(AA172*(1+AA$15),2)-AN172)</f>
        <v>0</v>
      </c>
      <c r="AB173" s="21" t="n">
        <f aca="false">MAX(0,ROUND(AB172*(1+AB$15),2)-AO172)</f>
        <v>0</v>
      </c>
      <c r="AC173" s="21" t="n">
        <f aca="false">MAX(0,ROUND(AC172*(1+AC$15),2)-AP172)</f>
        <v>0</v>
      </c>
      <c r="AD173" s="21" t="n">
        <f aca="false">MAX(0,ROUND(AD172*(1+AD$15),2)-AQ172)</f>
        <v>0</v>
      </c>
      <c r="AE173" s="21" t="n">
        <f aca="false">MIN(Y$16,ROUND(Y173*(1+Y$15),2))</f>
        <v>0</v>
      </c>
      <c r="AF173" s="21" t="n">
        <f aca="false">MIN(Z$16,ROUND(Z173*(1+Z$15),2))</f>
        <v>0</v>
      </c>
      <c r="AG173" s="21" t="n">
        <f aca="false">MIN(AA$16,ROUND(AA173*(1+AA$15),2))</f>
        <v>0</v>
      </c>
      <c r="AH173" s="21" t="n">
        <f aca="false">MIN(AB$16,ROUND(AB173*(1+AB$15),2))</f>
        <v>0</v>
      </c>
      <c r="AI173" s="21" t="n">
        <f aca="false">MIN(AC$16,ROUND(AC173*(1+AC$15),2))</f>
        <v>0</v>
      </c>
      <c r="AJ173" s="21" t="n">
        <f aca="false">MIN(AD$16,ROUND(AD173*(1+AD$15),2))</f>
        <v>0</v>
      </c>
      <c r="AK173" s="21" t="n">
        <f aca="false">Y$20-SUM(AE173:AJ173)</f>
        <v>1170</v>
      </c>
      <c r="AL173" s="21" t="n">
        <f aca="false">MIN(ROUND(Y173*(1+Y$15),2),AE173+MAX(0,AK173))</f>
        <v>0</v>
      </c>
      <c r="AM173" s="21" t="n">
        <f aca="false">MIN(ROUND(Z173*(1+Z$15),2),AF173+MAX(0,AK173-AL173+AE173))</f>
        <v>0</v>
      </c>
      <c r="AN173" s="21" t="n">
        <f aca="false">MIN(ROUND(AA173*(1+AA$15),2),AG173+MAX(0,AK173-AL173+AE173-AM173+AF173))</f>
        <v>0</v>
      </c>
      <c r="AO173" s="21" t="n">
        <f aca="false">MIN(ROUND(AB173*(1+AB$15),2),AH173+MAX(0,AK173-AL173+AE173-AM173+AF173-AN173+AG173))</f>
        <v>0</v>
      </c>
      <c r="AP173" s="21" t="n">
        <f aca="false">MIN(ROUND(AC173*(1+AC$15),2),AI173+MAX(0,AK173-AL173+AE173-AM173+AF173-AN173+AG173-AO173+AH173))</f>
        <v>0</v>
      </c>
      <c r="AQ173" s="21" t="n">
        <f aca="false">MIN(ROUND(AD173*(1+AD$15),2),AJ173+MAX(0,AK173-AL173+AE173-AM173+AF173-AN173+AG173-AO173+AH173-AP173+AI173))</f>
        <v>0</v>
      </c>
      <c r="AR173" s="21" t="n">
        <f aca="false">SUM(Y173:AD173)</f>
        <v>0</v>
      </c>
      <c r="AS173" s="21" t="n">
        <f aca="false">SUM(AL173:AQ173)</f>
        <v>0</v>
      </c>
    </row>
    <row r="174" customFormat="false" ht="15" hidden="false" customHeight="false" outlineLevel="0" collapsed="false">
      <c r="A174" s="25" t="n">
        <f aca="false">A173+1</f>
        <v>148</v>
      </c>
      <c r="B174" s="21" t="n">
        <f aca="false">MAX(0,ROUND(B173*(1+B$15),2)-O173)</f>
        <v>0</v>
      </c>
      <c r="C174" s="21" t="n">
        <f aca="false">MAX(0,ROUND(C173*(1+C$15),2)-P173)</f>
        <v>0</v>
      </c>
      <c r="D174" s="21" t="n">
        <f aca="false">MAX(0,ROUND(D173*(1+D$15),2)-Q173)</f>
        <v>0</v>
      </c>
      <c r="E174" s="21" t="n">
        <f aca="false">MAX(0,ROUND(E173*(1+E$15),2)-R173)</f>
        <v>0</v>
      </c>
      <c r="F174" s="21" t="n">
        <f aca="false">MAX(0,ROUND(F173*(1+F$15),2)-S173)</f>
        <v>0</v>
      </c>
      <c r="G174" s="21" t="n">
        <f aca="false">MAX(0,ROUND(G173*(1+G$15),2)-T173)</f>
        <v>0</v>
      </c>
      <c r="H174" s="21" t="n">
        <f aca="false">MIN(B$16,ROUND(B174*(1+B$15),2))</f>
        <v>0</v>
      </c>
      <c r="I174" s="21" t="n">
        <f aca="false">MIN(C$16,ROUND(C174*(1+C$15),2))</f>
        <v>0</v>
      </c>
      <c r="J174" s="21" t="n">
        <f aca="false">MIN(D$16,ROUND(D174*(1+D$15),2))</f>
        <v>0</v>
      </c>
      <c r="K174" s="21" t="n">
        <f aca="false">MIN(E$16,ROUND(E174*(1+E$15),2))</f>
        <v>0</v>
      </c>
      <c r="L174" s="21" t="n">
        <f aca="false">MIN(F$16,ROUND(F174*(1+F$15),2))</f>
        <v>0</v>
      </c>
      <c r="M174" s="21" t="n">
        <f aca="false">MIN(G$16,ROUND(G174*(1+G$15),2))</f>
        <v>0</v>
      </c>
      <c r="N174" s="21" t="n">
        <f aca="false">B$20-SUM(H174:M174)</f>
        <v>1170</v>
      </c>
      <c r="O174" s="21" t="n">
        <f aca="false">MIN(ROUND(B174*(1+B$15),2),H174+MAX(0,N174))</f>
        <v>0</v>
      </c>
      <c r="P174" s="21" t="n">
        <f aca="false">MIN(ROUND(C174*(1+C$15),2),I174+MAX(0,N174-O174+H174))</f>
        <v>0</v>
      </c>
      <c r="Q174" s="21" t="n">
        <f aca="false">MIN(ROUND(D174*(1+D$15),2),J174+MAX(0,N174-O174+H174-P174+I174))</f>
        <v>0</v>
      </c>
      <c r="R174" s="21" t="n">
        <f aca="false">MIN(ROUND(E174*(1+E$15),2),K174+MAX(0,N174-O174+H174-P174+I174-Q174+J174))</f>
        <v>0</v>
      </c>
      <c r="S174" s="21" t="n">
        <f aca="false">MIN(ROUND(F174*(1+F$15),2),L174+MAX(0,N174-O174+H174-P174+I174-Q174+J174-R174+K174))</f>
        <v>0</v>
      </c>
      <c r="T174" s="21" t="n">
        <f aca="false">MIN(ROUND(G174*(1+G$15),2),M174+MAX(0,N174-O174+H174-P174+I174-Q174+J174-R174+K174-S174+L174))</f>
        <v>0</v>
      </c>
      <c r="U174" s="21" t="n">
        <f aca="false">SUM(B174:G174)</f>
        <v>0</v>
      </c>
      <c r="V174" s="21" t="n">
        <f aca="false">SUM(O174:T174)</f>
        <v>0</v>
      </c>
      <c r="X174" s="25" t="n">
        <f aca="false">X173+1</f>
        <v>148</v>
      </c>
      <c r="Y174" s="21" t="n">
        <f aca="false">MAX(0,ROUND(Y173*(1+Y$15),2)-AL173)</f>
        <v>0</v>
      </c>
      <c r="Z174" s="21" t="n">
        <f aca="false">MAX(0,ROUND(Z173*(1+Z$15),2)-AM173)</f>
        <v>0</v>
      </c>
      <c r="AA174" s="21" t="n">
        <f aca="false">MAX(0,ROUND(AA173*(1+AA$15),2)-AN173)</f>
        <v>0</v>
      </c>
      <c r="AB174" s="21" t="n">
        <f aca="false">MAX(0,ROUND(AB173*(1+AB$15),2)-AO173)</f>
        <v>0</v>
      </c>
      <c r="AC174" s="21" t="n">
        <f aca="false">MAX(0,ROUND(AC173*(1+AC$15),2)-AP173)</f>
        <v>0</v>
      </c>
      <c r="AD174" s="21" t="n">
        <f aca="false">MAX(0,ROUND(AD173*(1+AD$15),2)-AQ173)</f>
        <v>0</v>
      </c>
      <c r="AE174" s="21" t="n">
        <f aca="false">MIN(Y$16,ROUND(Y174*(1+Y$15),2))</f>
        <v>0</v>
      </c>
      <c r="AF174" s="21" t="n">
        <f aca="false">MIN(Z$16,ROUND(Z174*(1+Z$15),2))</f>
        <v>0</v>
      </c>
      <c r="AG174" s="21" t="n">
        <f aca="false">MIN(AA$16,ROUND(AA174*(1+AA$15),2))</f>
        <v>0</v>
      </c>
      <c r="AH174" s="21" t="n">
        <f aca="false">MIN(AB$16,ROUND(AB174*(1+AB$15),2))</f>
        <v>0</v>
      </c>
      <c r="AI174" s="21" t="n">
        <f aca="false">MIN(AC$16,ROUND(AC174*(1+AC$15),2))</f>
        <v>0</v>
      </c>
      <c r="AJ174" s="21" t="n">
        <f aca="false">MIN(AD$16,ROUND(AD174*(1+AD$15),2))</f>
        <v>0</v>
      </c>
      <c r="AK174" s="21" t="n">
        <f aca="false">Y$20-SUM(AE174:AJ174)</f>
        <v>1170</v>
      </c>
      <c r="AL174" s="21" t="n">
        <f aca="false">MIN(ROUND(Y174*(1+Y$15),2),AE174+MAX(0,AK174))</f>
        <v>0</v>
      </c>
      <c r="AM174" s="21" t="n">
        <f aca="false">MIN(ROUND(Z174*(1+Z$15),2),AF174+MAX(0,AK174-AL174+AE174))</f>
        <v>0</v>
      </c>
      <c r="AN174" s="21" t="n">
        <f aca="false">MIN(ROUND(AA174*(1+AA$15),2),AG174+MAX(0,AK174-AL174+AE174-AM174+AF174))</f>
        <v>0</v>
      </c>
      <c r="AO174" s="21" t="n">
        <f aca="false">MIN(ROUND(AB174*(1+AB$15),2),AH174+MAX(0,AK174-AL174+AE174-AM174+AF174-AN174+AG174))</f>
        <v>0</v>
      </c>
      <c r="AP174" s="21" t="n">
        <f aca="false">MIN(ROUND(AC174*(1+AC$15),2),AI174+MAX(0,AK174-AL174+AE174-AM174+AF174-AN174+AG174-AO174+AH174))</f>
        <v>0</v>
      </c>
      <c r="AQ174" s="21" t="n">
        <f aca="false">MIN(ROUND(AD174*(1+AD$15),2),AJ174+MAX(0,AK174-AL174+AE174-AM174+AF174-AN174+AG174-AO174+AH174-AP174+AI174))</f>
        <v>0</v>
      </c>
      <c r="AR174" s="21" t="n">
        <f aca="false">SUM(Y174:AD174)</f>
        <v>0</v>
      </c>
      <c r="AS174" s="21" t="n">
        <f aca="false">SUM(AL174:AQ174)</f>
        <v>0</v>
      </c>
    </row>
    <row r="175" customFormat="false" ht="15" hidden="false" customHeight="false" outlineLevel="0" collapsed="false">
      <c r="A175" s="25" t="n">
        <f aca="false">A174+1</f>
        <v>149</v>
      </c>
      <c r="B175" s="21" t="n">
        <f aca="false">MAX(0,ROUND(B174*(1+B$15),2)-O174)</f>
        <v>0</v>
      </c>
      <c r="C175" s="21" t="n">
        <f aca="false">MAX(0,ROUND(C174*(1+C$15),2)-P174)</f>
        <v>0</v>
      </c>
      <c r="D175" s="21" t="n">
        <f aca="false">MAX(0,ROUND(D174*(1+D$15),2)-Q174)</f>
        <v>0</v>
      </c>
      <c r="E175" s="21" t="n">
        <f aca="false">MAX(0,ROUND(E174*(1+E$15),2)-R174)</f>
        <v>0</v>
      </c>
      <c r="F175" s="21" t="n">
        <f aca="false">MAX(0,ROUND(F174*(1+F$15),2)-S174)</f>
        <v>0</v>
      </c>
      <c r="G175" s="21" t="n">
        <f aca="false">MAX(0,ROUND(G174*(1+G$15),2)-T174)</f>
        <v>0</v>
      </c>
      <c r="H175" s="21" t="n">
        <f aca="false">MIN(B$16,ROUND(B175*(1+B$15),2))</f>
        <v>0</v>
      </c>
      <c r="I175" s="21" t="n">
        <f aca="false">MIN(C$16,ROUND(C175*(1+C$15),2))</f>
        <v>0</v>
      </c>
      <c r="J175" s="21" t="n">
        <f aca="false">MIN(D$16,ROUND(D175*(1+D$15),2))</f>
        <v>0</v>
      </c>
      <c r="K175" s="21" t="n">
        <f aca="false">MIN(E$16,ROUND(E175*(1+E$15),2))</f>
        <v>0</v>
      </c>
      <c r="L175" s="21" t="n">
        <f aca="false">MIN(F$16,ROUND(F175*(1+F$15),2))</f>
        <v>0</v>
      </c>
      <c r="M175" s="21" t="n">
        <f aca="false">MIN(G$16,ROUND(G175*(1+G$15),2))</f>
        <v>0</v>
      </c>
      <c r="N175" s="21" t="n">
        <f aca="false">B$20-SUM(H175:M175)</f>
        <v>1170</v>
      </c>
      <c r="O175" s="21" t="n">
        <f aca="false">MIN(ROUND(B175*(1+B$15),2),H175+MAX(0,N175))</f>
        <v>0</v>
      </c>
      <c r="P175" s="21" t="n">
        <f aca="false">MIN(ROUND(C175*(1+C$15),2),I175+MAX(0,N175-O175+H175))</f>
        <v>0</v>
      </c>
      <c r="Q175" s="21" t="n">
        <f aca="false">MIN(ROUND(D175*(1+D$15),2),J175+MAX(0,N175-O175+H175-P175+I175))</f>
        <v>0</v>
      </c>
      <c r="R175" s="21" t="n">
        <f aca="false">MIN(ROUND(E175*(1+E$15),2),K175+MAX(0,N175-O175+H175-P175+I175-Q175+J175))</f>
        <v>0</v>
      </c>
      <c r="S175" s="21" t="n">
        <f aca="false">MIN(ROUND(F175*(1+F$15),2),L175+MAX(0,N175-O175+H175-P175+I175-Q175+J175-R175+K175))</f>
        <v>0</v>
      </c>
      <c r="T175" s="21" t="n">
        <f aca="false">MIN(ROUND(G175*(1+G$15),2),M175+MAX(0,N175-O175+H175-P175+I175-Q175+J175-R175+K175-S175+L175))</f>
        <v>0</v>
      </c>
      <c r="U175" s="21" t="n">
        <f aca="false">SUM(B175:G175)</f>
        <v>0</v>
      </c>
      <c r="V175" s="21" t="n">
        <f aca="false">SUM(O175:T175)</f>
        <v>0</v>
      </c>
      <c r="X175" s="25" t="n">
        <f aca="false">X174+1</f>
        <v>149</v>
      </c>
      <c r="Y175" s="21" t="n">
        <f aca="false">MAX(0,ROUND(Y174*(1+Y$15),2)-AL174)</f>
        <v>0</v>
      </c>
      <c r="Z175" s="21" t="n">
        <f aca="false">MAX(0,ROUND(Z174*(1+Z$15),2)-AM174)</f>
        <v>0</v>
      </c>
      <c r="AA175" s="21" t="n">
        <f aca="false">MAX(0,ROUND(AA174*(1+AA$15),2)-AN174)</f>
        <v>0</v>
      </c>
      <c r="AB175" s="21" t="n">
        <f aca="false">MAX(0,ROUND(AB174*(1+AB$15),2)-AO174)</f>
        <v>0</v>
      </c>
      <c r="AC175" s="21" t="n">
        <f aca="false">MAX(0,ROUND(AC174*(1+AC$15),2)-AP174)</f>
        <v>0</v>
      </c>
      <c r="AD175" s="21" t="n">
        <f aca="false">MAX(0,ROUND(AD174*(1+AD$15),2)-AQ174)</f>
        <v>0</v>
      </c>
      <c r="AE175" s="21" t="n">
        <f aca="false">MIN(Y$16,ROUND(Y175*(1+Y$15),2))</f>
        <v>0</v>
      </c>
      <c r="AF175" s="21" t="n">
        <f aca="false">MIN(Z$16,ROUND(Z175*(1+Z$15),2))</f>
        <v>0</v>
      </c>
      <c r="AG175" s="21" t="n">
        <f aca="false">MIN(AA$16,ROUND(AA175*(1+AA$15),2))</f>
        <v>0</v>
      </c>
      <c r="AH175" s="21" t="n">
        <f aca="false">MIN(AB$16,ROUND(AB175*(1+AB$15),2))</f>
        <v>0</v>
      </c>
      <c r="AI175" s="21" t="n">
        <f aca="false">MIN(AC$16,ROUND(AC175*(1+AC$15),2))</f>
        <v>0</v>
      </c>
      <c r="AJ175" s="21" t="n">
        <f aca="false">MIN(AD$16,ROUND(AD175*(1+AD$15),2))</f>
        <v>0</v>
      </c>
      <c r="AK175" s="21" t="n">
        <f aca="false">Y$20-SUM(AE175:AJ175)</f>
        <v>1170</v>
      </c>
      <c r="AL175" s="21" t="n">
        <f aca="false">MIN(ROUND(Y175*(1+Y$15),2),AE175+MAX(0,AK175))</f>
        <v>0</v>
      </c>
      <c r="AM175" s="21" t="n">
        <f aca="false">MIN(ROUND(Z175*(1+Z$15),2),AF175+MAX(0,AK175-AL175+AE175))</f>
        <v>0</v>
      </c>
      <c r="AN175" s="21" t="n">
        <f aca="false">MIN(ROUND(AA175*(1+AA$15),2),AG175+MAX(0,AK175-AL175+AE175-AM175+AF175))</f>
        <v>0</v>
      </c>
      <c r="AO175" s="21" t="n">
        <f aca="false">MIN(ROUND(AB175*(1+AB$15),2),AH175+MAX(0,AK175-AL175+AE175-AM175+AF175-AN175+AG175))</f>
        <v>0</v>
      </c>
      <c r="AP175" s="21" t="n">
        <f aca="false">MIN(ROUND(AC175*(1+AC$15),2),AI175+MAX(0,AK175-AL175+AE175-AM175+AF175-AN175+AG175-AO175+AH175))</f>
        <v>0</v>
      </c>
      <c r="AQ175" s="21" t="n">
        <f aca="false">MIN(ROUND(AD175*(1+AD$15),2),AJ175+MAX(0,AK175-AL175+AE175-AM175+AF175-AN175+AG175-AO175+AH175-AP175+AI175))</f>
        <v>0</v>
      </c>
      <c r="AR175" s="21" t="n">
        <f aca="false">SUM(Y175:AD175)</f>
        <v>0</v>
      </c>
      <c r="AS175" s="21" t="n">
        <f aca="false">SUM(AL175:AQ175)</f>
        <v>0</v>
      </c>
    </row>
    <row r="176" customFormat="false" ht="15" hidden="false" customHeight="false" outlineLevel="0" collapsed="false">
      <c r="A176" s="25" t="n">
        <f aca="false">A175+1</f>
        <v>150</v>
      </c>
      <c r="B176" s="21" t="n">
        <f aca="false">MAX(0,ROUND(B175*(1+B$15),2)-O175)</f>
        <v>0</v>
      </c>
      <c r="C176" s="21" t="n">
        <f aca="false">MAX(0,ROUND(C175*(1+C$15),2)-P175)</f>
        <v>0</v>
      </c>
      <c r="D176" s="21" t="n">
        <f aca="false">MAX(0,ROUND(D175*(1+D$15),2)-Q175)</f>
        <v>0</v>
      </c>
      <c r="E176" s="21" t="n">
        <f aca="false">MAX(0,ROUND(E175*(1+E$15),2)-R175)</f>
        <v>0</v>
      </c>
      <c r="F176" s="21" t="n">
        <f aca="false">MAX(0,ROUND(F175*(1+F$15),2)-S175)</f>
        <v>0</v>
      </c>
      <c r="G176" s="21" t="n">
        <f aca="false">MAX(0,ROUND(G175*(1+G$15),2)-T175)</f>
        <v>0</v>
      </c>
      <c r="H176" s="21" t="n">
        <f aca="false">MIN(B$16,ROUND(B176*(1+B$15),2))</f>
        <v>0</v>
      </c>
      <c r="I176" s="21" t="n">
        <f aca="false">MIN(C$16,ROUND(C176*(1+C$15),2))</f>
        <v>0</v>
      </c>
      <c r="J176" s="21" t="n">
        <f aca="false">MIN(D$16,ROUND(D176*(1+D$15),2))</f>
        <v>0</v>
      </c>
      <c r="K176" s="21" t="n">
        <f aca="false">MIN(E$16,ROUND(E176*(1+E$15),2))</f>
        <v>0</v>
      </c>
      <c r="L176" s="21" t="n">
        <f aca="false">MIN(F$16,ROUND(F176*(1+F$15),2))</f>
        <v>0</v>
      </c>
      <c r="M176" s="21" t="n">
        <f aca="false">MIN(G$16,ROUND(G176*(1+G$15),2))</f>
        <v>0</v>
      </c>
      <c r="N176" s="21" t="n">
        <f aca="false">B$20-SUM(H176:M176)</f>
        <v>1170</v>
      </c>
      <c r="O176" s="21" t="n">
        <f aca="false">MIN(ROUND(B176*(1+B$15),2),H176+MAX(0,N176))</f>
        <v>0</v>
      </c>
      <c r="P176" s="21" t="n">
        <f aca="false">MIN(ROUND(C176*(1+C$15),2),I176+MAX(0,N176-O176+H176))</f>
        <v>0</v>
      </c>
      <c r="Q176" s="21" t="n">
        <f aca="false">MIN(ROUND(D176*(1+D$15),2),J176+MAX(0,N176-O176+H176-P176+I176))</f>
        <v>0</v>
      </c>
      <c r="R176" s="21" t="n">
        <f aca="false">MIN(ROUND(E176*(1+E$15),2),K176+MAX(0,N176-O176+H176-P176+I176-Q176+J176))</f>
        <v>0</v>
      </c>
      <c r="S176" s="21" t="n">
        <f aca="false">MIN(ROUND(F176*(1+F$15),2),L176+MAX(0,N176-O176+H176-P176+I176-Q176+J176-R176+K176))</f>
        <v>0</v>
      </c>
      <c r="T176" s="21" t="n">
        <f aca="false">MIN(ROUND(G176*(1+G$15),2),M176+MAX(0,N176-O176+H176-P176+I176-Q176+J176-R176+K176-S176+L176))</f>
        <v>0</v>
      </c>
      <c r="U176" s="21" t="n">
        <f aca="false">SUM(B176:G176)</f>
        <v>0</v>
      </c>
      <c r="V176" s="21" t="n">
        <f aca="false">SUM(O176:T176)</f>
        <v>0</v>
      </c>
      <c r="X176" s="25" t="n">
        <f aca="false">X175+1</f>
        <v>150</v>
      </c>
      <c r="Y176" s="21" t="n">
        <f aca="false">MAX(0,ROUND(Y175*(1+Y$15),2)-AL175)</f>
        <v>0</v>
      </c>
      <c r="Z176" s="21" t="n">
        <f aca="false">MAX(0,ROUND(Z175*(1+Z$15),2)-AM175)</f>
        <v>0</v>
      </c>
      <c r="AA176" s="21" t="n">
        <f aca="false">MAX(0,ROUND(AA175*(1+AA$15),2)-AN175)</f>
        <v>0</v>
      </c>
      <c r="AB176" s="21" t="n">
        <f aca="false">MAX(0,ROUND(AB175*(1+AB$15),2)-AO175)</f>
        <v>0</v>
      </c>
      <c r="AC176" s="21" t="n">
        <f aca="false">MAX(0,ROUND(AC175*(1+AC$15),2)-AP175)</f>
        <v>0</v>
      </c>
      <c r="AD176" s="21" t="n">
        <f aca="false">MAX(0,ROUND(AD175*(1+AD$15),2)-AQ175)</f>
        <v>0</v>
      </c>
      <c r="AE176" s="21" t="n">
        <f aca="false">MIN(Y$16,ROUND(Y176*(1+Y$15),2))</f>
        <v>0</v>
      </c>
      <c r="AF176" s="21" t="n">
        <f aca="false">MIN(Z$16,ROUND(Z176*(1+Z$15),2))</f>
        <v>0</v>
      </c>
      <c r="AG176" s="21" t="n">
        <f aca="false">MIN(AA$16,ROUND(AA176*(1+AA$15),2))</f>
        <v>0</v>
      </c>
      <c r="AH176" s="21" t="n">
        <f aca="false">MIN(AB$16,ROUND(AB176*(1+AB$15),2))</f>
        <v>0</v>
      </c>
      <c r="AI176" s="21" t="n">
        <f aca="false">MIN(AC$16,ROUND(AC176*(1+AC$15),2))</f>
        <v>0</v>
      </c>
      <c r="AJ176" s="21" t="n">
        <f aca="false">MIN(AD$16,ROUND(AD176*(1+AD$15),2))</f>
        <v>0</v>
      </c>
      <c r="AK176" s="21" t="n">
        <f aca="false">Y$20-SUM(AE176:AJ176)</f>
        <v>1170</v>
      </c>
      <c r="AL176" s="21" t="n">
        <f aca="false">MIN(ROUND(Y176*(1+Y$15),2),AE176+MAX(0,AK176))</f>
        <v>0</v>
      </c>
      <c r="AM176" s="21" t="n">
        <f aca="false">MIN(ROUND(Z176*(1+Z$15),2),AF176+MAX(0,AK176-AL176+AE176))</f>
        <v>0</v>
      </c>
      <c r="AN176" s="21" t="n">
        <f aca="false">MIN(ROUND(AA176*(1+AA$15),2),AG176+MAX(0,AK176-AL176+AE176-AM176+AF176))</f>
        <v>0</v>
      </c>
      <c r="AO176" s="21" t="n">
        <f aca="false">MIN(ROUND(AB176*(1+AB$15),2),AH176+MAX(0,AK176-AL176+AE176-AM176+AF176-AN176+AG176))</f>
        <v>0</v>
      </c>
      <c r="AP176" s="21" t="n">
        <f aca="false">MIN(ROUND(AC176*(1+AC$15),2),AI176+MAX(0,AK176-AL176+AE176-AM176+AF176-AN176+AG176-AO176+AH176))</f>
        <v>0</v>
      </c>
      <c r="AQ176" s="21" t="n">
        <f aca="false">MIN(ROUND(AD176*(1+AD$15),2),AJ176+MAX(0,AK176-AL176+AE176-AM176+AF176-AN176+AG176-AO176+AH176-AP176+AI176))</f>
        <v>0</v>
      </c>
      <c r="AR176" s="21" t="n">
        <f aca="false">SUM(Y176:AD176)</f>
        <v>0</v>
      </c>
      <c r="AS176" s="21" t="n">
        <f aca="false">SUM(AL176:AQ176)</f>
        <v>0</v>
      </c>
    </row>
    <row r="177" customFormat="false" ht="15" hidden="false" customHeight="false" outlineLevel="0" collapsed="false">
      <c r="A177" s="25" t="n">
        <f aca="false">A176+1</f>
        <v>151</v>
      </c>
      <c r="B177" s="21" t="n">
        <f aca="false">MAX(0,ROUND(B176*(1+B$15),2)-O176)</f>
        <v>0</v>
      </c>
      <c r="C177" s="21" t="n">
        <f aca="false">MAX(0,ROUND(C176*(1+C$15),2)-P176)</f>
        <v>0</v>
      </c>
      <c r="D177" s="21" t="n">
        <f aca="false">MAX(0,ROUND(D176*(1+D$15),2)-Q176)</f>
        <v>0</v>
      </c>
      <c r="E177" s="21" t="n">
        <f aca="false">MAX(0,ROUND(E176*(1+E$15),2)-R176)</f>
        <v>0</v>
      </c>
      <c r="F177" s="21" t="n">
        <f aca="false">MAX(0,ROUND(F176*(1+F$15),2)-S176)</f>
        <v>0</v>
      </c>
      <c r="G177" s="21" t="n">
        <f aca="false">MAX(0,ROUND(G176*(1+G$15),2)-T176)</f>
        <v>0</v>
      </c>
      <c r="H177" s="21" t="n">
        <f aca="false">MIN(B$16,ROUND(B177*(1+B$15),2))</f>
        <v>0</v>
      </c>
      <c r="I177" s="21" t="n">
        <f aca="false">MIN(C$16,ROUND(C177*(1+C$15),2))</f>
        <v>0</v>
      </c>
      <c r="J177" s="21" t="n">
        <f aca="false">MIN(D$16,ROUND(D177*(1+D$15),2))</f>
        <v>0</v>
      </c>
      <c r="K177" s="21" t="n">
        <f aca="false">MIN(E$16,ROUND(E177*(1+E$15),2))</f>
        <v>0</v>
      </c>
      <c r="L177" s="21" t="n">
        <f aca="false">MIN(F$16,ROUND(F177*(1+F$15),2))</f>
        <v>0</v>
      </c>
      <c r="M177" s="21" t="n">
        <f aca="false">MIN(G$16,ROUND(G177*(1+G$15),2))</f>
        <v>0</v>
      </c>
      <c r="N177" s="21" t="n">
        <f aca="false">B$20-SUM(H177:M177)</f>
        <v>1170</v>
      </c>
      <c r="O177" s="21" t="n">
        <f aca="false">MIN(ROUND(B177*(1+B$15),2),H177+MAX(0,N177))</f>
        <v>0</v>
      </c>
      <c r="P177" s="21" t="n">
        <f aca="false">MIN(ROUND(C177*(1+C$15),2),I177+MAX(0,N177-O177+H177))</f>
        <v>0</v>
      </c>
      <c r="Q177" s="21" t="n">
        <f aca="false">MIN(ROUND(D177*(1+D$15),2),J177+MAX(0,N177-O177+H177-P177+I177))</f>
        <v>0</v>
      </c>
      <c r="R177" s="21" t="n">
        <f aca="false">MIN(ROUND(E177*(1+E$15),2),K177+MAX(0,N177-O177+H177-P177+I177-Q177+J177))</f>
        <v>0</v>
      </c>
      <c r="S177" s="21" t="n">
        <f aca="false">MIN(ROUND(F177*(1+F$15),2),L177+MAX(0,N177-O177+H177-P177+I177-Q177+J177-R177+K177))</f>
        <v>0</v>
      </c>
      <c r="T177" s="21" t="n">
        <f aca="false">MIN(ROUND(G177*(1+G$15),2),M177+MAX(0,N177-O177+H177-P177+I177-Q177+J177-R177+K177-S177+L177))</f>
        <v>0</v>
      </c>
      <c r="U177" s="21" t="n">
        <f aca="false">SUM(B177:G177)</f>
        <v>0</v>
      </c>
      <c r="V177" s="21" t="n">
        <f aca="false">SUM(O177:T177)</f>
        <v>0</v>
      </c>
      <c r="X177" s="25" t="n">
        <f aca="false">X176+1</f>
        <v>151</v>
      </c>
      <c r="Y177" s="21" t="n">
        <f aca="false">MAX(0,ROUND(Y176*(1+Y$15),2)-AL176)</f>
        <v>0</v>
      </c>
      <c r="Z177" s="21" t="n">
        <f aca="false">MAX(0,ROUND(Z176*(1+Z$15),2)-AM176)</f>
        <v>0</v>
      </c>
      <c r="AA177" s="21" t="n">
        <f aca="false">MAX(0,ROUND(AA176*(1+AA$15),2)-AN176)</f>
        <v>0</v>
      </c>
      <c r="AB177" s="21" t="n">
        <f aca="false">MAX(0,ROUND(AB176*(1+AB$15),2)-AO176)</f>
        <v>0</v>
      </c>
      <c r="AC177" s="21" t="n">
        <f aca="false">MAX(0,ROUND(AC176*(1+AC$15),2)-AP176)</f>
        <v>0</v>
      </c>
      <c r="AD177" s="21" t="n">
        <f aca="false">MAX(0,ROUND(AD176*(1+AD$15),2)-AQ176)</f>
        <v>0</v>
      </c>
      <c r="AE177" s="21" t="n">
        <f aca="false">MIN(Y$16,ROUND(Y177*(1+Y$15),2))</f>
        <v>0</v>
      </c>
      <c r="AF177" s="21" t="n">
        <f aca="false">MIN(Z$16,ROUND(Z177*(1+Z$15),2))</f>
        <v>0</v>
      </c>
      <c r="AG177" s="21" t="n">
        <f aca="false">MIN(AA$16,ROUND(AA177*(1+AA$15),2))</f>
        <v>0</v>
      </c>
      <c r="AH177" s="21" t="n">
        <f aca="false">MIN(AB$16,ROUND(AB177*(1+AB$15),2))</f>
        <v>0</v>
      </c>
      <c r="AI177" s="21" t="n">
        <f aca="false">MIN(AC$16,ROUND(AC177*(1+AC$15),2))</f>
        <v>0</v>
      </c>
      <c r="AJ177" s="21" t="n">
        <f aca="false">MIN(AD$16,ROUND(AD177*(1+AD$15),2))</f>
        <v>0</v>
      </c>
      <c r="AK177" s="21" t="n">
        <f aca="false">Y$20-SUM(AE177:AJ177)</f>
        <v>1170</v>
      </c>
      <c r="AL177" s="21" t="n">
        <f aca="false">MIN(ROUND(Y177*(1+Y$15),2),AE177+MAX(0,AK177))</f>
        <v>0</v>
      </c>
      <c r="AM177" s="21" t="n">
        <f aca="false">MIN(ROUND(Z177*(1+Z$15),2),AF177+MAX(0,AK177-AL177+AE177))</f>
        <v>0</v>
      </c>
      <c r="AN177" s="21" t="n">
        <f aca="false">MIN(ROUND(AA177*(1+AA$15),2),AG177+MAX(0,AK177-AL177+AE177-AM177+AF177))</f>
        <v>0</v>
      </c>
      <c r="AO177" s="21" t="n">
        <f aca="false">MIN(ROUND(AB177*(1+AB$15),2),AH177+MAX(0,AK177-AL177+AE177-AM177+AF177-AN177+AG177))</f>
        <v>0</v>
      </c>
      <c r="AP177" s="21" t="n">
        <f aca="false">MIN(ROUND(AC177*(1+AC$15),2),AI177+MAX(0,AK177-AL177+AE177-AM177+AF177-AN177+AG177-AO177+AH177))</f>
        <v>0</v>
      </c>
      <c r="AQ177" s="21" t="n">
        <f aca="false">MIN(ROUND(AD177*(1+AD$15),2),AJ177+MAX(0,AK177-AL177+AE177-AM177+AF177-AN177+AG177-AO177+AH177-AP177+AI177))</f>
        <v>0</v>
      </c>
      <c r="AR177" s="21" t="n">
        <f aca="false">SUM(Y177:AD177)</f>
        <v>0</v>
      </c>
      <c r="AS177" s="21" t="n">
        <f aca="false">SUM(AL177:AQ177)</f>
        <v>0</v>
      </c>
    </row>
    <row r="178" customFormat="false" ht="15" hidden="false" customHeight="false" outlineLevel="0" collapsed="false">
      <c r="A178" s="25" t="n">
        <f aca="false">A177+1</f>
        <v>152</v>
      </c>
      <c r="B178" s="21" t="n">
        <f aca="false">MAX(0,ROUND(B177*(1+B$15),2)-O177)</f>
        <v>0</v>
      </c>
      <c r="C178" s="21" t="n">
        <f aca="false">MAX(0,ROUND(C177*(1+C$15),2)-P177)</f>
        <v>0</v>
      </c>
      <c r="D178" s="21" t="n">
        <f aca="false">MAX(0,ROUND(D177*(1+D$15),2)-Q177)</f>
        <v>0</v>
      </c>
      <c r="E178" s="21" t="n">
        <f aca="false">MAX(0,ROUND(E177*(1+E$15),2)-R177)</f>
        <v>0</v>
      </c>
      <c r="F178" s="21" t="n">
        <f aca="false">MAX(0,ROUND(F177*(1+F$15),2)-S177)</f>
        <v>0</v>
      </c>
      <c r="G178" s="21" t="n">
        <f aca="false">MAX(0,ROUND(G177*(1+G$15),2)-T177)</f>
        <v>0</v>
      </c>
      <c r="H178" s="21" t="n">
        <f aca="false">MIN(B$16,ROUND(B178*(1+B$15),2))</f>
        <v>0</v>
      </c>
      <c r="I178" s="21" t="n">
        <f aca="false">MIN(C$16,ROUND(C178*(1+C$15),2))</f>
        <v>0</v>
      </c>
      <c r="J178" s="21" t="n">
        <f aca="false">MIN(D$16,ROUND(D178*(1+D$15),2))</f>
        <v>0</v>
      </c>
      <c r="K178" s="21" t="n">
        <f aca="false">MIN(E$16,ROUND(E178*(1+E$15),2))</f>
        <v>0</v>
      </c>
      <c r="L178" s="21" t="n">
        <f aca="false">MIN(F$16,ROUND(F178*(1+F$15),2))</f>
        <v>0</v>
      </c>
      <c r="M178" s="21" t="n">
        <f aca="false">MIN(G$16,ROUND(G178*(1+G$15),2))</f>
        <v>0</v>
      </c>
      <c r="N178" s="21" t="n">
        <f aca="false">B$20-SUM(H178:M178)</f>
        <v>1170</v>
      </c>
      <c r="O178" s="21" t="n">
        <f aca="false">MIN(ROUND(B178*(1+B$15),2),H178+MAX(0,N178))</f>
        <v>0</v>
      </c>
      <c r="P178" s="21" t="n">
        <f aca="false">MIN(ROUND(C178*(1+C$15),2),I178+MAX(0,N178-O178+H178))</f>
        <v>0</v>
      </c>
      <c r="Q178" s="21" t="n">
        <f aca="false">MIN(ROUND(D178*(1+D$15),2),J178+MAX(0,N178-O178+H178-P178+I178))</f>
        <v>0</v>
      </c>
      <c r="R178" s="21" t="n">
        <f aca="false">MIN(ROUND(E178*(1+E$15),2),K178+MAX(0,N178-O178+H178-P178+I178-Q178+J178))</f>
        <v>0</v>
      </c>
      <c r="S178" s="21" t="n">
        <f aca="false">MIN(ROUND(F178*(1+F$15),2),L178+MAX(0,N178-O178+H178-P178+I178-Q178+J178-R178+K178))</f>
        <v>0</v>
      </c>
      <c r="T178" s="21" t="n">
        <f aca="false">MIN(ROUND(G178*(1+G$15),2),M178+MAX(0,N178-O178+H178-P178+I178-Q178+J178-R178+K178-S178+L178))</f>
        <v>0</v>
      </c>
      <c r="U178" s="21" t="n">
        <f aca="false">SUM(B178:G178)</f>
        <v>0</v>
      </c>
      <c r="V178" s="21" t="n">
        <f aca="false">SUM(O178:T178)</f>
        <v>0</v>
      </c>
      <c r="X178" s="25" t="n">
        <f aca="false">X177+1</f>
        <v>152</v>
      </c>
      <c r="Y178" s="21" t="n">
        <f aca="false">MAX(0,ROUND(Y177*(1+Y$15),2)-AL177)</f>
        <v>0</v>
      </c>
      <c r="Z178" s="21" t="n">
        <f aca="false">MAX(0,ROUND(Z177*(1+Z$15),2)-AM177)</f>
        <v>0</v>
      </c>
      <c r="AA178" s="21" t="n">
        <f aca="false">MAX(0,ROUND(AA177*(1+AA$15),2)-AN177)</f>
        <v>0</v>
      </c>
      <c r="AB178" s="21" t="n">
        <f aca="false">MAX(0,ROUND(AB177*(1+AB$15),2)-AO177)</f>
        <v>0</v>
      </c>
      <c r="AC178" s="21" t="n">
        <f aca="false">MAX(0,ROUND(AC177*(1+AC$15),2)-AP177)</f>
        <v>0</v>
      </c>
      <c r="AD178" s="21" t="n">
        <f aca="false">MAX(0,ROUND(AD177*(1+AD$15),2)-AQ177)</f>
        <v>0</v>
      </c>
      <c r="AE178" s="21" t="n">
        <f aca="false">MIN(Y$16,ROUND(Y178*(1+Y$15),2))</f>
        <v>0</v>
      </c>
      <c r="AF178" s="21" t="n">
        <f aca="false">MIN(Z$16,ROUND(Z178*(1+Z$15),2))</f>
        <v>0</v>
      </c>
      <c r="AG178" s="21" t="n">
        <f aca="false">MIN(AA$16,ROUND(AA178*(1+AA$15),2))</f>
        <v>0</v>
      </c>
      <c r="AH178" s="21" t="n">
        <f aca="false">MIN(AB$16,ROUND(AB178*(1+AB$15),2))</f>
        <v>0</v>
      </c>
      <c r="AI178" s="21" t="n">
        <f aca="false">MIN(AC$16,ROUND(AC178*(1+AC$15),2))</f>
        <v>0</v>
      </c>
      <c r="AJ178" s="21" t="n">
        <f aca="false">MIN(AD$16,ROUND(AD178*(1+AD$15),2))</f>
        <v>0</v>
      </c>
      <c r="AK178" s="21" t="n">
        <f aca="false">Y$20-SUM(AE178:AJ178)</f>
        <v>1170</v>
      </c>
      <c r="AL178" s="21" t="n">
        <f aca="false">MIN(ROUND(Y178*(1+Y$15),2),AE178+MAX(0,AK178))</f>
        <v>0</v>
      </c>
      <c r="AM178" s="21" t="n">
        <f aca="false">MIN(ROUND(Z178*(1+Z$15),2),AF178+MAX(0,AK178-AL178+AE178))</f>
        <v>0</v>
      </c>
      <c r="AN178" s="21" t="n">
        <f aca="false">MIN(ROUND(AA178*(1+AA$15),2),AG178+MAX(0,AK178-AL178+AE178-AM178+AF178))</f>
        <v>0</v>
      </c>
      <c r="AO178" s="21" t="n">
        <f aca="false">MIN(ROUND(AB178*(1+AB$15),2),AH178+MAX(0,AK178-AL178+AE178-AM178+AF178-AN178+AG178))</f>
        <v>0</v>
      </c>
      <c r="AP178" s="21" t="n">
        <f aca="false">MIN(ROUND(AC178*(1+AC$15),2),AI178+MAX(0,AK178-AL178+AE178-AM178+AF178-AN178+AG178-AO178+AH178))</f>
        <v>0</v>
      </c>
      <c r="AQ178" s="21" t="n">
        <f aca="false">MIN(ROUND(AD178*(1+AD$15),2),AJ178+MAX(0,AK178-AL178+AE178-AM178+AF178-AN178+AG178-AO178+AH178-AP178+AI178))</f>
        <v>0</v>
      </c>
      <c r="AR178" s="21" t="n">
        <f aca="false">SUM(Y178:AD178)</f>
        <v>0</v>
      </c>
      <c r="AS178" s="21" t="n">
        <f aca="false">SUM(AL178:AQ178)</f>
        <v>0</v>
      </c>
    </row>
    <row r="179" customFormat="false" ht="15" hidden="false" customHeight="false" outlineLevel="0" collapsed="false">
      <c r="A179" s="25" t="n">
        <f aca="false">A178+1</f>
        <v>153</v>
      </c>
      <c r="B179" s="21" t="n">
        <f aca="false">MAX(0,ROUND(B178*(1+B$15),2)-O178)</f>
        <v>0</v>
      </c>
      <c r="C179" s="21" t="n">
        <f aca="false">MAX(0,ROUND(C178*(1+C$15),2)-P178)</f>
        <v>0</v>
      </c>
      <c r="D179" s="21" t="n">
        <f aca="false">MAX(0,ROUND(D178*(1+D$15),2)-Q178)</f>
        <v>0</v>
      </c>
      <c r="E179" s="21" t="n">
        <f aca="false">MAX(0,ROUND(E178*(1+E$15),2)-R178)</f>
        <v>0</v>
      </c>
      <c r="F179" s="21" t="n">
        <f aca="false">MAX(0,ROUND(F178*(1+F$15),2)-S178)</f>
        <v>0</v>
      </c>
      <c r="G179" s="21" t="n">
        <f aca="false">MAX(0,ROUND(G178*(1+G$15),2)-T178)</f>
        <v>0</v>
      </c>
      <c r="H179" s="21" t="n">
        <f aca="false">MIN(B$16,ROUND(B179*(1+B$15),2))</f>
        <v>0</v>
      </c>
      <c r="I179" s="21" t="n">
        <f aca="false">MIN(C$16,ROUND(C179*(1+C$15),2))</f>
        <v>0</v>
      </c>
      <c r="J179" s="21" t="n">
        <f aca="false">MIN(D$16,ROUND(D179*(1+D$15),2))</f>
        <v>0</v>
      </c>
      <c r="K179" s="21" t="n">
        <f aca="false">MIN(E$16,ROUND(E179*(1+E$15),2))</f>
        <v>0</v>
      </c>
      <c r="L179" s="21" t="n">
        <f aca="false">MIN(F$16,ROUND(F179*(1+F$15),2))</f>
        <v>0</v>
      </c>
      <c r="M179" s="21" t="n">
        <f aca="false">MIN(G$16,ROUND(G179*(1+G$15),2))</f>
        <v>0</v>
      </c>
      <c r="N179" s="21" t="n">
        <f aca="false">B$20-SUM(H179:M179)</f>
        <v>1170</v>
      </c>
      <c r="O179" s="21" t="n">
        <f aca="false">MIN(ROUND(B179*(1+B$15),2),H179+MAX(0,N179))</f>
        <v>0</v>
      </c>
      <c r="P179" s="21" t="n">
        <f aca="false">MIN(ROUND(C179*(1+C$15),2),I179+MAX(0,N179-O179+H179))</f>
        <v>0</v>
      </c>
      <c r="Q179" s="21" t="n">
        <f aca="false">MIN(ROUND(D179*(1+D$15),2),J179+MAX(0,N179-O179+H179-P179+I179))</f>
        <v>0</v>
      </c>
      <c r="R179" s="21" t="n">
        <f aca="false">MIN(ROUND(E179*(1+E$15),2),K179+MAX(0,N179-O179+H179-P179+I179-Q179+J179))</f>
        <v>0</v>
      </c>
      <c r="S179" s="21" t="n">
        <f aca="false">MIN(ROUND(F179*(1+F$15),2),L179+MAX(0,N179-O179+H179-P179+I179-Q179+J179-R179+K179))</f>
        <v>0</v>
      </c>
      <c r="T179" s="21" t="n">
        <f aca="false">MIN(ROUND(G179*(1+G$15),2),M179+MAX(0,N179-O179+H179-P179+I179-Q179+J179-R179+K179-S179+L179))</f>
        <v>0</v>
      </c>
      <c r="U179" s="21" t="n">
        <f aca="false">SUM(B179:G179)</f>
        <v>0</v>
      </c>
      <c r="V179" s="21" t="n">
        <f aca="false">SUM(O179:T179)</f>
        <v>0</v>
      </c>
      <c r="X179" s="25" t="n">
        <f aca="false">X178+1</f>
        <v>153</v>
      </c>
      <c r="Y179" s="21" t="n">
        <f aca="false">MAX(0,ROUND(Y178*(1+Y$15),2)-AL178)</f>
        <v>0</v>
      </c>
      <c r="Z179" s="21" t="n">
        <f aca="false">MAX(0,ROUND(Z178*(1+Z$15),2)-AM178)</f>
        <v>0</v>
      </c>
      <c r="AA179" s="21" t="n">
        <f aca="false">MAX(0,ROUND(AA178*(1+AA$15),2)-AN178)</f>
        <v>0</v>
      </c>
      <c r="AB179" s="21" t="n">
        <f aca="false">MAX(0,ROUND(AB178*(1+AB$15),2)-AO178)</f>
        <v>0</v>
      </c>
      <c r="AC179" s="21" t="n">
        <f aca="false">MAX(0,ROUND(AC178*(1+AC$15),2)-AP178)</f>
        <v>0</v>
      </c>
      <c r="AD179" s="21" t="n">
        <f aca="false">MAX(0,ROUND(AD178*(1+AD$15),2)-AQ178)</f>
        <v>0</v>
      </c>
      <c r="AE179" s="21" t="n">
        <f aca="false">MIN(Y$16,ROUND(Y179*(1+Y$15),2))</f>
        <v>0</v>
      </c>
      <c r="AF179" s="21" t="n">
        <f aca="false">MIN(Z$16,ROUND(Z179*(1+Z$15),2))</f>
        <v>0</v>
      </c>
      <c r="AG179" s="21" t="n">
        <f aca="false">MIN(AA$16,ROUND(AA179*(1+AA$15),2))</f>
        <v>0</v>
      </c>
      <c r="AH179" s="21" t="n">
        <f aca="false">MIN(AB$16,ROUND(AB179*(1+AB$15),2))</f>
        <v>0</v>
      </c>
      <c r="AI179" s="21" t="n">
        <f aca="false">MIN(AC$16,ROUND(AC179*(1+AC$15),2))</f>
        <v>0</v>
      </c>
      <c r="AJ179" s="21" t="n">
        <f aca="false">MIN(AD$16,ROUND(AD179*(1+AD$15),2))</f>
        <v>0</v>
      </c>
      <c r="AK179" s="21" t="n">
        <f aca="false">Y$20-SUM(AE179:AJ179)</f>
        <v>1170</v>
      </c>
      <c r="AL179" s="21" t="n">
        <f aca="false">MIN(ROUND(Y179*(1+Y$15),2),AE179+MAX(0,AK179))</f>
        <v>0</v>
      </c>
      <c r="AM179" s="21" t="n">
        <f aca="false">MIN(ROUND(Z179*(1+Z$15),2),AF179+MAX(0,AK179-AL179+AE179))</f>
        <v>0</v>
      </c>
      <c r="AN179" s="21" t="n">
        <f aca="false">MIN(ROUND(AA179*(1+AA$15),2),AG179+MAX(0,AK179-AL179+AE179-AM179+AF179))</f>
        <v>0</v>
      </c>
      <c r="AO179" s="21" t="n">
        <f aca="false">MIN(ROUND(AB179*(1+AB$15),2),AH179+MAX(0,AK179-AL179+AE179-AM179+AF179-AN179+AG179))</f>
        <v>0</v>
      </c>
      <c r="AP179" s="21" t="n">
        <f aca="false">MIN(ROUND(AC179*(1+AC$15),2),AI179+MAX(0,AK179-AL179+AE179-AM179+AF179-AN179+AG179-AO179+AH179))</f>
        <v>0</v>
      </c>
      <c r="AQ179" s="21" t="n">
        <f aca="false">MIN(ROUND(AD179*(1+AD$15),2),AJ179+MAX(0,AK179-AL179+AE179-AM179+AF179-AN179+AG179-AO179+AH179-AP179+AI179))</f>
        <v>0</v>
      </c>
      <c r="AR179" s="21" t="n">
        <f aca="false">SUM(Y179:AD179)</f>
        <v>0</v>
      </c>
      <c r="AS179" s="21" t="n">
        <f aca="false">SUM(AL179:AQ179)</f>
        <v>0</v>
      </c>
    </row>
    <row r="180" customFormat="false" ht="15" hidden="false" customHeight="false" outlineLevel="0" collapsed="false">
      <c r="A180" s="25" t="n">
        <f aca="false">A179+1</f>
        <v>154</v>
      </c>
      <c r="B180" s="21" t="n">
        <f aca="false">MAX(0,ROUND(B179*(1+B$15),2)-O179)</f>
        <v>0</v>
      </c>
      <c r="C180" s="21" t="n">
        <f aca="false">MAX(0,ROUND(C179*(1+C$15),2)-P179)</f>
        <v>0</v>
      </c>
      <c r="D180" s="21" t="n">
        <f aca="false">MAX(0,ROUND(D179*(1+D$15),2)-Q179)</f>
        <v>0</v>
      </c>
      <c r="E180" s="21" t="n">
        <f aca="false">MAX(0,ROUND(E179*(1+E$15),2)-R179)</f>
        <v>0</v>
      </c>
      <c r="F180" s="21" t="n">
        <f aca="false">MAX(0,ROUND(F179*(1+F$15),2)-S179)</f>
        <v>0</v>
      </c>
      <c r="G180" s="21" t="n">
        <f aca="false">MAX(0,ROUND(G179*(1+G$15),2)-T179)</f>
        <v>0</v>
      </c>
      <c r="H180" s="21" t="n">
        <f aca="false">MIN(B$16,ROUND(B180*(1+B$15),2))</f>
        <v>0</v>
      </c>
      <c r="I180" s="21" t="n">
        <f aca="false">MIN(C$16,ROUND(C180*(1+C$15),2))</f>
        <v>0</v>
      </c>
      <c r="J180" s="21" t="n">
        <f aca="false">MIN(D$16,ROUND(D180*(1+D$15),2))</f>
        <v>0</v>
      </c>
      <c r="K180" s="21" t="n">
        <f aca="false">MIN(E$16,ROUND(E180*(1+E$15),2))</f>
        <v>0</v>
      </c>
      <c r="L180" s="21" t="n">
        <f aca="false">MIN(F$16,ROUND(F180*(1+F$15),2))</f>
        <v>0</v>
      </c>
      <c r="M180" s="21" t="n">
        <f aca="false">MIN(G$16,ROUND(G180*(1+G$15),2))</f>
        <v>0</v>
      </c>
      <c r="N180" s="21" t="n">
        <f aca="false">B$20-SUM(H180:M180)</f>
        <v>1170</v>
      </c>
      <c r="O180" s="21" t="n">
        <f aca="false">MIN(ROUND(B180*(1+B$15),2),H180+MAX(0,N180))</f>
        <v>0</v>
      </c>
      <c r="P180" s="21" t="n">
        <f aca="false">MIN(ROUND(C180*(1+C$15),2),I180+MAX(0,N180-O180+H180))</f>
        <v>0</v>
      </c>
      <c r="Q180" s="21" t="n">
        <f aca="false">MIN(ROUND(D180*(1+D$15),2),J180+MAX(0,N180-O180+H180-P180+I180))</f>
        <v>0</v>
      </c>
      <c r="R180" s="21" t="n">
        <f aca="false">MIN(ROUND(E180*(1+E$15),2),K180+MAX(0,N180-O180+H180-P180+I180-Q180+J180))</f>
        <v>0</v>
      </c>
      <c r="S180" s="21" t="n">
        <f aca="false">MIN(ROUND(F180*(1+F$15),2),L180+MAX(0,N180-O180+H180-P180+I180-Q180+J180-R180+K180))</f>
        <v>0</v>
      </c>
      <c r="T180" s="21" t="n">
        <f aca="false">MIN(ROUND(G180*(1+G$15),2),M180+MAX(0,N180-O180+H180-P180+I180-Q180+J180-R180+K180-S180+L180))</f>
        <v>0</v>
      </c>
      <c r="U180" s="21" t="n">
        <f aca="false">SUM(B180:G180)</f>
        <v>0</v>
      </c>
      <c r="V180" s="21" t="n">
        <f aca="false">SUM(O180:T180)</f>
        <v>0</v>
      </c>
      <c r="X180" s="25" t="n">
        <f aca="false">X179+1</f>
        <v>154</v>
      </c>
      <c r="Y180" s="21" t="n">
        <f aca="false">MAX(0,ROUND(Y179*(1+Y$15),2)-AL179)</f>
        <v>0</v>
      </c>
      <c r="Z180" s="21" t="n">
        <f aca="false">MAX(0,ROUND(Z179*(1+Z$15),2)-AM179)</f>
        <v>0</v>
      </c>
      <c r="AA180" s="21" t="n">
        <f aca="false">MAX(0,ROUND(AA179*(1+AA$15),2)-AN179)</f>
        <v>0</v>
      </c>
      <c r="AB180" s="21" t="n">
        <f aca="false">MAX(0,ROUND(AB179*(1+AB$15),2)-AO179)</f>
        <v>0</v>
      </c>
      <c r="AC180" s="21" t="n">
        <f aca="false">MAX(0,ROUND(AC179*(1+AC$15),2)-AP179)</f>
        <v>0</v>
      </c>
      <c r="AD180" s="21" t="n">
        <f aca="false">MAX(0,ROUND(AD179*(1+AD$15),2)-AQ179)</f>
        <v>0</v>
      </c>
      <c r="AE180" s="21" t="n">
        <f aca="false">MIN(Y$16,ROUND(Y180*(1+Y$15),2))</f>
        <v>0</v>
      </c>
      <c r="AF180" s="21" t="n">
        <f aca="false">MIN(Z$16,ROUND(Z180*(1+Z$15),2))</f>
        <v>0</v>
      </c>
      <c r="AG180" s="21" t="n">
        <f aca="false">MIN(AA$16,ROUND(AA180*(1+AA$15),2))</f>
        <v>0</v>
      </c>
      <c r="AH180" s="21" t="n">
        <f aca="false">MIN(AB$16,ROUND(AB180*(1+AB$15),2))</f>
        <v>0</v>
      </c>
      <c r="AI180" s="21" t="n">
        <f aca="false">MIN(AC$16,ROUND(AC180*(1+AC$15),2))</f>
        <v>0</v>
      </c>
      <c r="AJ180" s="21" t="n">
        <f aca="false">MIN(AD$16,ROUND(AD180*(1+AD$15),2))</f>
        <v>0</v>
      </c>
      <c r="AK180" s="21" t="n">
        <f aca="false">Y$20-SUM(AE180:AJ180)</f>
        <v>1170</v>
      </c>
      <c r="AL180" s="21" t="n">
        <f aca="false">MIN(ROUND(Y180*(1+Y$15),2),AE180+MAX(0,AK180))</f>
        <v>0</v>
      </c>
      <c r="AM180" s="21" t="n">
        <f aca="false">MIN(ROUND(Z180*(1+Z$15),2),AF180+MAX(0,AK180-AL180+AE180))</f>
        <v>0</v>
      </c>
      <c r="AN180" s="21" t="n">
        <f aca="false">MIN(ROUND(AA180*(1+AA$15),2),AG180+MAX(0,AK180-AL180+AE180-AM180+AF180))</f>
        <v>0</v>
      </c>
      <c r="AO180" s="21" t="n">
        <f aca="false">MIN(ROUND(AB180*(1+AB$15),2),AH180+MAX(0,AK180-AL180+AE180-AM180+AF180-AN180+AG180))</f>
        <v>0</v>
      </c>
      <c r="AP180" s="21" t="n">
        <f aca="false">MIN(ROUND(AC180*(1+AC$15),2),AI180+MAX(0,AK180-AL180+AE180-AM180+AF180-AN180+AG180-AO180+AH180))</f>
        <v>0</v>
      </c>
      <c r="AQ180" s="21" t="n">
        <f aca="false">MIN(ROUND(AD180*(1+AD$15),2),AJ180+MAX(0,AK180-AL180+AE180-AM180+AF180-AN180+AG180-AO180+AH180-AP180+AI180))</f>
        <v>0</v>
      </c>
      <c r="AR180" s="21" t="n">
        <f aca="false">SUM(Y180:AD180)</f>
        <v>0</v>
      </c>
      <c r="AS180" s="21" t="n">
        <f aca="false">SUM(AL180:AQ180)</f>
        <v>0</v>
      </c>
    </row>
    <row r="181" customFormat="false" ht="15" hidden="false" customHeight="false" outlineLevel="0" collapsed="false">
      <c r="A181" s="25" t="n">
        <f aca="false">A180+1</f>
        <v>155</v>
      </c>
      <c r="B181" s="21" t="n">
        <f aca="false">MAX(0,ROUND(B180*(1+B$15),2)-O180)</f>
        <v>0</v>
      </c>
      <c r="C181" s="21" t="n">
        <f aca="false">MAX(0,ROUND(C180*(1+C$15),2)-P180)</f>
        <v>0</v>
      </c>
      <c r="D181" s="21" t="n">
        <f aca="false">MAX(0,ROUND(D180*(1+D$15),2)-Q180)</f>
        <v>0</v>
      </c>
      <c r="E181" s="21" t="n">
        <f aca="false">MAX(0,ROUND(E180*(1+E$15),2)-R180)</f>
        <v>0</v>
      </c>
      <c r="F181" s="21" t="n">
        <f aca="false">MAX(0,ROUND(F180*(1+F$15),2)-S180)</f>
        <v>0</v>
      </c>
      <c r="G181" s="21" t="n">
        <f aca="false">MAX(0,ROUND(G180*(1+G$15),2)-T180)</f>
        <v>0</v>
      </c>
      <c r="H181" s="21" t="n">
        <f aca="false">MIN(B$16,ROUND(B181*(1+B$15),2))</f>
        <v>0</v>
      </c>
      <c r="I181" s="21" t="n">
        <f aca="false">MIN(C$16,ROUND(C181*(1+C$15),2))</f>
        <v>0</v>
      </c>
      <c r="J181" s="21" t="n">
        <f aca="false">MIN(D$16,ROUND(D181*(1+D$15),2))</f>
        <v>0</v>
      </c>
      <c r="K181" s="21" t="n">
        <f aca="false">MIN(E$16,ROUND(E181*(1+E$15),2))</f>
        <v>0</v>
      </c>
      <c r="L181" s="21" t="n">
        <f aca="false">MIN(F$16,ROUND(F181*(1+F$15),2))</f>
        <v>0</v>
      </c>
      <c r="M181" s="21" t="n">
        <f aca="false">MIN(G$16,ROUND(G181*(1+G$15),2))</f>
        <v>0</v>
      </c>
      <c r="N181" s="21" t="n">
        <f aca="false">B$20-SUM(H181:M181)</f>
        <v>1170</v>
      </c>
      <c r="O181" s="21" t="n">
        <f aca="false">MIN(ROUND(B181*(1+B$15),2),H181+MAX(0,N181))</f>
        <v>0</v>
      </c>
      <c r="P181" s="21" t="n">
        <f aca="false">MIN(ROUND(C181*(1+C$15),2),I181+MAX(0,N181-O181+H181))</f>
        <v>0</v>
      </c>
      <c r="Q181" s="21" t="n">
        <f aca="false">MIN(ROUND(D181*(1+D$15),2),J181+MAX(0,N181-O181+H181-P181+I181))</f>
        <v>0</v>
      </c>
      <c r="R181" s="21" t="n">
        <f aca="false">MIN(ROUND(E181*(1+E$15),2),K181+MAX(0,N181-O181+H181-P181+I181-Q181+J181))</f>
        <v>0</v>
      </c>
      <c r="S181" s="21" t="n">
        <f aca="false">MIN(ROUND(F181*(1+F$15),2),L181+MAX(0,N181-O181+H181-P181+I181-Q181+J181-R181+K181))</f>
        <v>0</v>
      </c>
      <c r="T181" s="21" t="n">
        <f aca="false">MIN(ROUND(G181*(1+G$15),2),M181+MAX(0,N181-O181+H181-P181+I181-Q181+J181-R181+K181-S181+L181))</f>
        <v>0</v>
      </c>
      <c r="U181" s="21" t="n">
        <f aca="false">SUM(B181:G181)</f>
        <v>0</v>
      </c>
      <c r="V181" s="21" t="n">
        <f aca="false">SUM(O181:T181)</f>
        <v>0</v>
      </c>
      <c r="X181" s="25" t="n">
        <f aca="false">X180+1</f>
        <v>155</v>
      </c>
      <c r="Y181" s="21" t="n">
        <f aca="false">MAX(0,ROUND(Y180*(1+Y$15),2)-AL180)</f>
        <v>0</v>
      </c>
      <c r="Z181" s="21" t="n">
        <f aca="false">MAX(0,ROUND(Z180*(1+Z$15),2)-AM180)</f>
        <v>0</v>
      </c>
      <c r="AA181" s="21" t="n">
        <f aca="false">MAX(0,ROUND(AA180*(1+AA$15),2)-AN180)</f>
        <v>0</v>
      </c>
      <c r="AB181" s="21" t="n">
        <f aca="false">MAX(0,ROUND(AB180*(1+AB$15),2)-AO180)</f>
        <v>0</v>
      </c>
      <c r="AC181" s="21" t="n">
        <f aca="false">MAX(0,ROUND(AC180*(1+AC$15),2)-AP180)</f>
        <v>0</v>
      </c>
      <c r="AD181" s="21" t="n">
        <f aca="false">MAX(0,ROUND(AD180*(1+AD$15),2)-AQ180)</f>
        <v>0</v>
      </c>
      <c r="AE181" s="21" t="n">
        <f aca="false">MIN(Y$16,ROUND(Y181*(1+Y$15),2))</f>
        <v>0</v>
      </c>
      <c r="AF181" s="21" t="n">
        <f aca="false">MIN(Z$16,ROUND(Z181*(1+Z$15),2))</f>
        <v>0</v>
      </c>
      <c r="AG181" s="21" t="n">
        <f aca="false">MIN(AA$16,ROUND(AA181*(1+AA$15),2))</f>
        <v>0</v>
      </c>
      <c r="AH181" s="21" t="n">
        <f aca="false">MIN(AB$16,ROUND(AB181*(1+AB$15),2))</f>
        <v>0</v>
      </c>
      <c r="AI181" s="21" t="n">
        <f aca="false">MIN(AC$16,ROUND(AC181*(1+AC$15),2))</f>
        <v>0</v>
      </c>
      <c r="AJ181" s="21" t="n">
        <f aca="false">MIN(AD$16,ROUND(AD181*(1+AD$15),2))</f>
        <v>0</v>
      </c>
      <c r="AK181" s="21" t="n">
        <f aca="false">Y$20-SUM(AE181:AJ181)</f>
        <v>1170</v>
      </c>
      <c r="AL181" s="21" t="n">
        <f aca="false">MIN(ROUND(Y181*(1+Y$15),2),AE181+MAX(0,AK181))</f>
        <v>0</v>
      </c>
      <c r="AM181" s="21" t="n">
        <f aca="false">MIN(ROUND(Z181*(1+Z$15),2),AF181+MAX(0,AK181-AL181+AE181))</f>
        <v>0</v>
      </c>
      <c r="AN181" s="21" t="n">
        <f aca="false">MIN(ROUND(AA181*(1+AA$15),2),AG181+MAX(0,AK181-AL181+AE181-AM181+AF181))</f>
        <v>0</v>
      </c>
      <c r="AO181" s="21" t="n">
        <f aca="false">MIN(ROUND(AB181*(1+AB$15),2),AH181+MAX(0,AK181-AL181+AE181-AM181+AF181-AN181+AG181))</f>
        <v>0</v>
      </c>
      <c r="AP181" s="21" t="n">
        <f aca="false">MIN(ROUND(AC181*(1+AC$15),2),AI181+MAX(0,AK181-AL181+AE181-AM181+AF181-AN181+AG181-AO181+AH181))</f>
        <v>0</v>
      </c>
      <c r="AQ181" s="21" t="n">
        <f aca="false">MIN(ROUND(AD181*(1+AD$15),2),AJ181+MAX(0,AK181-AL181+AE181-AM181+AF181-AN181+AG181-AO181+AH181-AP181+AI181))</f>
        <v>0</v>
      </c>
      <c r="AR181" s="21" t="n">
        <f aca="false">SUM(Y181:AD181)</f>
        <v>0</v>
      </c>
      <c r="AS181" s="21" t="n">
        <f aca="false">SUM(AL181:AQ181)</f>
        <v>0</v>
      </c>
    </row>
    <row r="182" customFormat="false" ht="15" hidden="false" customHeight="false" outlineLevel="0" collapsed="false">
      <c r="A182" s="25" t="n">
        <f aca="false">A181+1</f>
        <v>156</v>
      </c>
      <c r="B182" s="21" t="n">
        <f aca="false">MAX(0,ROUND(B181*(1+B$15),2)-O181)</f>
        <v>0</v>
      </c>
      <c r="C182" s="21" t="n">
        <f aca="false">MAX(0,ROUND(C181*(1+C$15),2)-P181)</f>
        <v>0</v>
      </c>
      <c r="D182" s="21" t="n">
        <f aca="false">MAX(0,ROUND(D181*(1+D$15),2)-Q181)</f>
        <v>0</v>
      </c>
      <c r="E182" s="21" t="n">
        <f aca="false">MAX(0,ROUND(E181*(1+E$15),2)-R181)</f>
        <v>0</v>
      </c>
      <c r="F182" s="21" t="n">
        <f aca="false">MAX(0,ROUND(F181*(1+F$15),2)-S181)</f>
        <v>0</v>
      </c>
      <c r="G182" s="21" t="n">
        <f aca="false">MAX(0,ROUND(G181*(1+G$15),2)-T181)</f>
        <v>0</v>
      </c>
      <c r="H182" s="21" t="n">
        <f aca="false">MIN(B$16,ROUND(B182*(1+B$15),2))</f>
        <v>0</v>
      </c>
      <c r="I182" s="21" t="n">
        <f aca="false">MIN(C$16,ROUND(C182*(1+C$15),2))</f>
        <v>0</v>
      </c>
      <c r="J182" s="21" t="n">
        <f aca="false">MIN(D$16,ROUND(D182*(1+D$15),2))</f>
        <v>0</v>
      </c>
      <c r="K182" s="21" t="n">
        <f aca="false">MIN(E$16,ROUND(E182*(1+E$15),2))</f>
        <v>0</v>
      </c>
      <c r="L182" s="21" t="n">
        <f aca="false">MIN(F$16,ROUND(F182*(1+F$15),2))</f>
        <v>0</v>
      </c>
      <c r="M182" s="21" t="n">
        <f aca="false">MIN(G$16,ROUND(G182*(1+G$15),2))</f>
        <v>0</v>
      </c>
      <c r="N182" s="21" t="n">
        <f aca="false">B$20-SUM(H182:M182)</f>
        <v>1170</v>
      </c>
      <c r="O182" s="21" t="n">
        <f aca="false">MIN(ROUND(B182*(1+B$15),2),H182+MAX(0,N182))</f>
        <v>0</v>
      </c>
      <c r="P182" s="21" t="n">
        <f aca="false">MIN(ROUND(C182*(1+C$15),2),I182+MAX(0,N182-O182+H182))</f>
        <v>0</v>
      </c>
      <c r="Q182" s="21" t="n">
        <f aca="false">MIN(ROUND(D182*(1+D$15),2),J182+MAX(0,N182-O182+H182-P182+I182))</f>
        <v>0</v>
      </c>
      <c r="R182" s="21" t="n">
        <f aca="false">MIN(ROUND(E182*(1+E$15),2),K182+MAX(0,N182-O182+H182-P182+I182-Q182+J182))</f>
        <v>0</v>
      </c>
      <c r="S182" s="21" t="n">
        <f aca="false">MIN(ROUND(F182*(1+F$15),2),L182+MAX(0,N182-O182+H182-P182+I182-Q182+J182-R182+K182))</f>
        <v>0</v>
      </c>
      <c r="T182" s="21" t="n">
        <f aca="false">MIN(ROUND(G182*(1+G$15),2),M182+MAX(0,N182-O182+H182-P182+I182-Q182+J182-R182+K182-S182+L182))</f>
        <v>0</v>
      </c>
      <c r="U182" s="21" t="n">
        <f aca="false">SUM(B182:G182)</f>
        <v>0</v>
      </c>
      <c r="V182" s="21" t="n">
        <f aca="false">SUM(O182:T182)</f>
        <v>0</v>
      </c>
      <c r="X182" s="25" t="n">
        <f aca="false">X181+1</f>
        <v>156</v>
      </c>
      <c r="Y182" s="21" t="n">
        <f aca="false">MAX(0,ROUND(Y181*(1+Y$15),2)-AL181)</f>
        <v>0</v>
      </c>
      <c r="Z182" s="21" t="n">
        <f aca="false">MAX(0,ROUND(Z181*(1+Z$15),2)-AM181)</f>
        <v>0</v>
      </c>
      <c r="AA182" s="21" t="n">
        <f aca="false">MAX(0,ROUND(AA181*(1+AA$15),2)-AN181)</f>
        <v>0</v>
      </c>
      <c r="AB182" s="21" t="n">
        <f aca="false">MAX(0,ROUND(AB181*(1+AB$15),2)-AO181)</f>
        <v>0</v>
      </c>
      <c r="AC182" s="21" t="n">
        <f aca="false">MAX(0,ROUND(AC181*(1+AC$15),2)-AP181)</f>
        <v>0</v>
      </c>
      <c r="AD182" s="21" t="n">
        <f aca="false">MAX(0,ROUND(AD181*(1+AD$15),2)-AQ181)</f>
        <v>0</v>
      </c>
      <c r="AE182" s="21" t="n">
        <f aca="false">MIN(Y$16,ROUND(Y182*(1+Y$15),2))</f>
        <v>0</v>
      </c>
      <c r="AF182" s="21" t="n">
        <f aca="false">MIN(Z$16,ROUND(Z182*(1+Z$15),2))</f>
        <v>0</v>
      </c>
      <c r="AG182" s="21" t="n">
        <f aca="false">MIN(AA$16,ROUND(AA182*(1+AA$15),2))</f>
        <v>0</v>
      </c>
      <c r="AH182" s="21" t="n">
        <f aca="false">MIN(AB$16,ROUND(AB182*(1+AB$15),2))</f>
        <v>0</v>
      </c>
      <c r="AI182" s="21" t="n">
        <f aca="false">MIN(AC$16,ROUND(AC182*(1+AC$15),2))</f>
        <v>0</v>
      </c>
      <c r="AJ182" s="21" t="n">
        <f aca="false">MIN(AD$16,ROUND(AD182*(1+AD$15),2))</f>
        <v>0</v>
      </c>
      <c r="AK182" s="21" t="n">
        <f aca="false">Y$20-SUM(AE182:AJ182)</f>
        <v>1170</v>
      </c>
      <c r="AL182" s="21" t="n">
        <f aca="false">MIN(ROUND(Y182*(1+Y$15),2),AE182+MAX(0,AK182))</f>
        <v>0</v>
      </c>
      <c r="AM182" s="21" t="n">
        <f aca="false">MIN(ROUND(Z182*(1+Z$15),2),AF182+MAX(0,AK182-AL182+AE182))</f>
        <v>0</v>
      </c>
      <c r="AN182" s="21" t="n">
        <f aca="false">MIN(ROUND(AA182*(1+AA$15),2),AG182+MAX(0,AK182-AL182+AE182-AM182+AF182))</f>
        <v>0</v>
      </c>
      <c r="AO182" s="21" t="n">
        <f aca="false">MIN(ROUND(AB182*(1+AB$15),2),AH182+MAX(0,AK182-AL182+AE182-AM182+AF182-AN182+AG182))</f>
        <v>0</v>
      </c>
      <c r="AP182" s="21" t="n">
        <f aca="false">MIN(ROUND(AC182*(1+AC$15),2),AI182+MAX(0,AK182-AL182+AE182-AM182+AF182-AN182+AG182-AO182+AH182))</f>
        <v>0</v>
      </c>
      <c r="AQ182" s="21" t="n">
        <f aca="false">MIN(ROUND(AD182*(1+AD$15),2),AJ182+MAX(0,AK182-AL182+AE182-AM182+AF182-AN182+AG182-AO182+AH182-AP182+AI182))</f>
        <v>0</v>
      </c>
      <c r="AR182" s="21" t="n">
        <f aca="false">SUM(Y182:AD182)</f>
        <v>0</v>
      </c>
      <c r="AS182" s="21" t="n">
        <f aca="false">SUM(AL182:AQ182)</f>
        <v>0</v>
      </c>
    </row>
    <row r="183" customFormat="false" ht="15" hidden="false" customHeight="false" outlineLevel="0" collapsed="false">
      <c r="A183" s="25" t="n">
        <f aca="false">A182+1</f>
        <v>157</v>
      </c>
      <c r="B183" s="21" t="n">
        <f aca="false">MAX(0,ROUND(B182*(1+B$15),2)-O182)</f>
        <v>0</v>
      </c>
      <c r="C183" s="21" t="n">
        <f aca="false">MAX(0,ROUND(C182*(1+C$15),2)-P182)</f>
        <v>0</v>
      </c>
      <c r="D183" s="21" t="n">
        <f aca="false">MAX(0,ROUND(D182*(1+D$15),2)-Q182)</f>
        <v>0</v>
      </c>
      <c r="E183" s="21" t="n">
        <f aca="false">MAX(0,ROUND(E182*(1+E$15),2)-R182)</f>
        <v>0</v>
      </c>
      <c r="F183" s="21" t="n">
        <f aca="false">MAX(0,ROUND(F182*(1+F$15),2)-S182)</f>
        <v>0</v>
      </c>
      <c r="G183" s="21" t="n">
        <f aca="false">MAX(0,ROUND(G182*(1+G$15),2)-T182)</f>
        <v>0</v>
      </c>
      <c r="H183" s="21" t="n">
        <f aca="false">MIN(B$16,ROUND(B183*(1+B$15),2))</f>
        <v>0</v>
      </c>
      <c r="I183" s="21" t="n">
        <f aca="false">MIN(C$16,ROUND(C183*(1+C$15),2))</f>
        <v>0</v>
      </c>
      <c r="J183" s="21" t="n">
        <f aca="false">MIN(D$16,ROUND(D183*(1+D$15),2))</f>
        <v>0</v>
      </c>
      <c r="K183" s="21" t="n">
        <f aca="false">MIN(E$16,ROUND(E183*(1+E$15),2))</f>
        <v>0</v>
      </c>
      <c r="L183" s="21" t="n">
        <f aca="false">MIN(F$16,ROUND(F183*(1+F$15),2))</f>
        <v>0</v>
      </c>
      <c r="M183" s="21" t="n">
        <f aca="false">MIN(G$16,ROUND(G183*(1+G$15),2))</f>
        <v>0</v>
      </c>
      <c r="N183" s="21" t="n">
        <f aca="false">B$20-SUM(H183:M183)</f>
        <v>1170</v>
      </c>
      <c r="O183" s="21" t="n">
        <f aca="false">MIN(ROUND(B183*(1+B$15),2),H183+MAX(0,N183))</f>
        <v>0</v>
      </c>
      <c r="P183" s="21" t="n">
        <f aca="false">MIN(ROUND(C183*(1+C$15),2),I183+MAX(0,N183-O183+H183))</f>
        <v>0</v>
      </c>
      <c r="Q183" s="21" t="n">
        <f aca="false">MIN(ROUND(D183*(1+D$15),2),J183+MAX(0,N183-O183+H183-P183+I183))</f>
        <v>0</v>
      </c>
      <c r="R183" s="21" t="n">
        <f aca="false">MIN(ROUND(E183*(1+E$15),2),K183+MAX(0,N183-O183+H183-P183+I183-Q183+J183))</f>
        <v>0</v>
      </c>
      <c r="S183" s="21" t="n">
        <f aca="false">MIN(ROUND(F183*(1+F$15),2),L183+MAX(0,N183-O183+H183-P183+I183-Q183+J183-R183+K183))</f>
        <v>0</v>
      </c>
      <c r="T183" s="21" t="n">
        <f aca="false">MIN(ROUND(G183*(1+G$15),2),M183+MAX(0,N183-O183+H183-P183+I183-Q183+J183-R183+K183-S183+L183))</f>
        <v>0</v>
      </c>
      <c r="U183" s="21" t="n">
        <f aca="false">SUM(B183:G183)</f>
        <v>0</v>
      </c>
      <c r="V183" s="21" t="n">
        <f aca="false">SUM(O183:T183)</f>
        <v>0</v>
      </c>
      <c r="X183" s="25" t="n">
        <f aca="false">X182+1</f>
        <v>157</v>
      </c>
      <c r="Y183" s="21" t="n">
        <f aca="false">MAX(0,ROUND(Y182*(1+Y$15),2)-AL182)</f>
        <v>0</v>
      </c>
      <c r="Z183" s="21" t="n">
        <f aca="false">MAX(0,ROUND(Z182*(1+Z$15),2)-AM182)</f>
        <v>0</v>
      </c>
      <c r="AA183" s="21" t="n">
        <f aca="false">MAX(0,ROUND(AA182*(1+AA$15),2)-AN182)</f>
        <v>0</v>
      </c>
      <c r="AB183" s="21" t="n">
        <f aca="false">MAX(0,ROUND(AB182*(1+AB$15),2)-AO182)</f>
        <v>0</v>
      </c>
      <c r="AC183" s="21" t="n">
        <f aca="false">MAX(0,ROUND(AC182*(1+AC$15),2)-AP182)</f>
        <v>0</v>
      </c>
      <c r="AD183" s="21" t="n">
        <f aca="false">MAX(0,ROUND(AD182*(1+AD$15),2)-AQ182)</f>
        <v>0</v>
      </c>
      <c r="AE183" s="21" t="n">
        <f aca="false">MIN(Y$16,ROUND(Y183*(1+Y$15),2))</f>
        <v>0</v>
      </c>
      <c r="AF183" s="21" t="n">
        <f aca="false">MIN(Z$16,ROUND(Z183*(1+Z$15),2))</f>
        <v>0</v>
      </c>
      <c r="AG183" s="21" t="n">
        <f aca="false">MIN(AA$16,ROUND(AA183*(1+AA$15),2))</f>
        <v>0</v>
      </c>
      <c r="AH183" s="21" t="n">
        <f aca="false">MIN(AB$16,ROUND(AB183*(1+AB$15),2))</f>
        <v>0</v>
      </c>
      <c r="AI183" s="21" t="n">
        <f aca="false">MIN(AC$16,ROUND(AC183*(1+AC$15),2))</f>
        <v>0</v>
      </c>
      <c r="AJ183" s="21" t="n">
        <f aca="false">MIN(AD$16,ROUND(AD183*(1+AD$15),2))</f>
        <v>0</v>
      </c>
      <c r="AK183" s="21" t="n">
        <f aca="false">Y$20-SUM(AE183:AJ183)</f>
        <v>1170</v>
      </c>
      <c r="AL183" s="21" t="n">
        <f aca="false">MIN(ROUND(Y183*(1+Y$15),2),AE183+MAX(0,AK183))</f>
        <v>0</v>
      </c>
      <c r="AM183" s="21" t="n">
        <f aca="false">MIN(ROUND(Z183*(1+Z$15),2),AF183+MAX(0,AK183-AL183+AE183))</f>
        <v>0</v>
      </c>
      <c r="AN183" s="21" t="n">
        <f aca="false">MIN(ROUND(AA183*(1+AA$15),2),AG183+MAX(0,AK183-AL183+AE183-AM183+AF183))</f>
        <v>0</v>
      </c>
      <c r="AO183" s="21" t="n">
        <f aca="false">MIN(ROUND(AB183*(1+AB$15),2),AH183+MAX(0,AK183-AL183+AE183-AM183+AF183-AN183+AG183))</f>
        <v>0</v>
      </c>
      <c r="AP183" s="21" t="n">
        <f aca="false">MIN(ROUND(AC183*(1+AC$15),2),AI183+MAX(0,AK183-AL183+AE183-AM183+AF183-AN183+AG183-AO183+AH183))</f>
        <v>0</v>
      </c>
      <c r="AQ183" s="21" t="n">
        <f aca="false">MIN(ROUND(AD183*(1+AD$15),2),AJ183+MAX(0,AK183-AL183+AE183-AM183+AF183-AN183+AG183-AO183+AH183-AP183+AI183))</f>
        <v>0</v>
      </c>
      <c r="AR183" s="21" t="n">
        <f aca="false">SUM(Y183:AD183)</f>
        <v>0</v>
      </c>
      <c r="AS183" s="21" t="n">
        <f aca="false">SUM(AL183:AQ183)</f>
        <v>0</v>
      </c>
    </row>
    <row r="184" customFormat="false" ht="15" hidden="false" customHeight="false" outlineLevel="0" collapsed="false">
      <c r="A184" s="25" t="n">
        <f aca="false">A183+1</f>
        <v>158</v>
      </c>
      <c r="B184" s="21" t="n">
        <f aca="false">MAX(0,ROUND(B183*(1+B$15),2)-O183)</f>
        <v>0</v>
      </c>
      <c r="C184" s="21" t="n">
        <f aca="false">MAX(0,ROUND(C183*(1+C$15),2)-P183)</f>
        <v>0</v>
      </c>
      <c r="D184" s="21" t="n">
        <f aca="false">MAX(0,ROUND(D183*(1+D$15),2)-Q183)</f>
        <v>0</v>
      </c>
      <c r="E184" s="21" t="n">
        <f aca="false">MAX(0,ROUND(E183*(1+E$15),2)-R183)</f>
        <v>0</v>
      </c>
      <c r="F184" s="21" t="n">
        <f aca="false">MAX(0,ROUND(F183*(1+F$15),2)-S183)</f>
        <v>0</v>
      </c>
      <c r="G184" s="21" t="n">
        <f aca="false">MAX(0,ROUND(G183*(1+G$15),2)-T183)</f>
        <v>0</v>
      </c>
      <c r="H184" s="21" t="n">
        <f aca="false">MIN(B$16,ROUND(B184*(1+B$15),2))</f>
        <v>0</v>
      </c>
      <c r="I184" s="21" t="n">
        <f aca="false">MIN(C$16,ROUND(C184*(1+C$15),2))</f>
        <v>0</v>
      </c>
      <c r="J184" s="21" t="n">
        <f aca="false">MIN(D$16,ROUND(D184*(1+D$15),2))</f>
        <v>0</v>
      </c>
      <c r="K184" s="21" t="n">
        <f aca="false">MIN(E$16,ROUND(E184*(1+E$15),2))</f>
        <v>0</v>
      </c>
      <c r="L184" s="21" t="n">
        <f aca="false">MIN(F$16,ROUND(F184*(1+F$15),2))</f>
        <v>0</v>
      </c>
      <c r="M184" s="21" t="n">
        <f aca="false">MIN(G$16,ROUND(G184*(1+G$15),2))</f>
        <v>0</v>
      </c>
      <c r="N184" s="21" t="n">
        <f aca="false">B$20-SUM(H184:M184)</f>
        <v>1170</v>
      </c>
      <c r="O184" s="21" t="n">
        <f aca="false">MIN(ROUND(B184*(1+B$15),2),H184+MAX(0,N184))</f>
        <v>0</v>
      </c>
      <c r="P184" s="21" t="n">
        <f aca="false">MIN(ROUND(C184*(1+C$15),2),I184+MAX(0,N184-O184+H184))</f>
        <v>0</v>
      </c>
      <c r="Q184" s="21" t="n">
        <f aca="false">MIN(ROUND(D184*(1+D$15),2),J184+MAX(0,N184-O184+H184-P184+I184))</f>
        <v>0</v>
      </c>
      <c r="R184" s="21" t="n">
        <f aca="false">MIN(ROUND(E184*(1+E$15),2),K184+MAX(0,N184-O184+H184-P184+I184-Q184+J184))</f>
        <v>0</v>
      </c>
      <c r="S184" s="21" t="n">
        <f aca="false">MIN(ROUND(F184*(1+F$15),2),L184+MAX(0,N184-O184+H184-P184+I184-Q184+J184-R184+K184))</f>
        <v>0</v>
      </c>
      <c r="T184" s="21" t="n">
        <f aca="false">MIN(ROUND(G184*(1+G$15),2),M184+MAX(0,N184-O184+H184-P184+I184-Q184+J184-R184+K184-S184+L184))</f>
        <v>0</v>
      </c>
      <c r="U184" s="21" t="n">
        <f aca="false">SUM(B184:G184)</f>
        <v>0</v>
      </c>
      <c r="V184" s="21" t="n">
        <f aca="false">SUM(O184:T184)</f>
        <v>0</v>
      </c>
      <c r="X184" s="25" t="n">
        <f aca="false">X183+1</f>
        <v>158</v>
      </c>
      <c r="Y184" s="21" t="n">
        <f aca="false">MAX(0,ROUND(Y183*(1+Y$15),2)-AL183)</f>
        <v>0</v>
      </c>
      <c r="Z184" s="21" t="n">
        <f aca="false">MAX(0,ROUND(Z183*(1+Z$15),2)-AM183)</f>
        <v>0</v>
      </c>
      <c r="AA184" s="21" t="n">
        <f aca="false">MAX(0,ROUND(AA183*(1+AA$15),2)-AN183)</f>
        <v>0</v>
      </c>
      <c r="AB184" s="21" t="n">
        <f aca="false">MAX(0,ROUND(AB183*(1+AB$15),2)-AO183)</f>
        <v>0</v>
      </c>
      <c r="AC184" s="21" t="n">
        <f aca="false">MAX(0,ROUND(AC183*(1+AC$15),2)-AP183)</f>
        <v>0</v>
      </c>
      <c r="AD184" s="21" t="n">
        <f aca="false">MAX(0,ROUND(AD183*(1+AD$15),2)-AQ183)</f>
        <v>0</v>
      </c>
      <c r="AE184" s="21" t="n">
        <f aca="false">MIN(Y$16,ROUND(Y184*(1+Y$15),2))</f>
        <v>0</v>
      </c>
      <c r="AF184" s="21" t="n">
        <f aca="false">MIN(Z$16,ROUND(Z184*(1+Z$15),2))</f>
        <v>0</v>
      </c>
      <c r="AG184" s="21" t="n">
        <f aca="false">MIN(AA$16,ROUND(AA184*(1+AA$15),2))</f>
        <v>0</v>
      </c>
      <c r="AH184" s="21" t="n">
        <f aca="false">MIN(AB$16,ROUND(AB184*(1+AB$15),2))</f>
        <v>0</v>
      </c>
      <c r="AI184" s="21" t="n">
        <f aca="false">MIN(AC$16,ROUND(AC184*(1+AC$15),2))</f>
        <v>0</v>
      </c>
      <c r="AJ184" s="21" t="n">
        <f aca="false">MIN(AD$16,ROUND(AD184*(1+AD$15),2))</f>
        <v>0</v>
      </c>
      <c r="AK184" s="21" t="n">
        <f aca="false">Y$20-SUM(AE184:AJ184)</f>
        <v>1170</v>
      </c>
      <c r="AL184" s="21" t="n">
        <f aca="false">MIN(ROUND(Y184*(1+Y$15),2),AE184+MAX(0,AK184))</f>
        <v>0</v>
      </c>
      <c r="AM184" s="21" t="n">
        <f aca="false">MIN(ROUND(Z184*(1+Z$15),2),AF184+MAX(0,AK184-AL184+AE184))</f>
        <v>0</v>
      </c>
      <c r="AN184" s="21" t="n">
        <f aca="false">MIN(ROUND(AA184*(1+AA$15),2),AG184+MAX(0,AK184-AL184+AE184-AM184+AF184))</f>
        <v>0</v>
      </c>
      <c r="AO184" s="21" t="n">
        <f aca="false">MIN(ROUND(AB184*(1+AB$15),2),AH184+MAX(0,AK184-AL184+AE184-AM184+AF184-AN184+AG184))</f>
        <v>0</v>
      </c>
      <c r="AP184" s="21" t="n">
        <f aca="false">MIN(ROUND(AC184*(1+AC$15),2),AI184+MAX(0,AK184-AL184+AE184-AM184+AF184-AN184+AG184-AO184+AH184))</f>
        <v>0</v>
      </c>
      <c r="AQ184" s="21" t="n">
        <f aca="false">MIN(ROUND(AD184*(1+AD$15),2),AJ184+MAX(0,AK184-AL184+AE184-AM184+AF184-AN184+AG184-AO184+AH184-AP184+AI184))</f>
        <v>0</v>
      </c>
      <c r="AR184" s="21" t="n">
        <f aca="false">SUM(Y184:AD184)</f>
        <v>0</v>
      </c>
      <c r="AS184" s="21" t="n">
        <f aca="false">SUM(AL184:AQ184)</f>
        <v>0</v>
      </c>
    </row>
    <row r="185" customFormat="false" ht="15" hidden="false" customHeight="false" outlineLevel="0" collapsed="false">
      <c r="A185" s="25" t="n">
        <f aca="false">A184+1</f>
        <v>159</v>
      </c>
      <c r="B185" s="21" t="n">
        <f aca="false">MAX(0,ROUND(B184*(1+B$15),2)-O184)</f>
        <v>0</v>
      </c>
      <c r="C185" s="21" t="n">
        <f aca="false">MAX(0,ROUND(C184*(1+C$15),2)-P184)</f>
        <v>0</v>
      </c>
      <c r="D185" s="21" t="n">
        <f aca="false">MAX(0,ROUND(D184*(1+D$15),2)-Q184)</f>
        <v>0</v>
      </c>
      <c r="E185" s="21" t="n">
        <f aca="false">MAX(0,ROUND(E184*(1+E$15),2)-R184)</f>
        <v>0</v>
      </c>
      <c r="F185" s="21" t="n">
        <f aca="false">MAX(0,ROUND(F184*(1+F$15),2)-S184)</f>
        <v>0</v>
      </c>
      <c r="G185" s="21" t="n">
        <f aca="false">MAX(0,ROUND(G184*(1+G$15),2)-T184)</f>
        <v>0</v>
      </c>
      <c r="H185" s="21" t="n">
        <f aca="false">MIN(B$16,ROUND(B185*(1+B$15),2))</f>
        <v>0</v>
      </c>
      <c r="I185" s="21" t="n">
        <f aca="false">MIN(C$16,ROUND(C185*(1+C$15),2))</f>
        <v>0</v>
      </c>
      <c r="J185" s="21" t="n">
        <f aca="false">MIN(D$16,ROUND(D185*(1+D$15),2))</f>
        <v>0</v>
      </c>
      <c r="K185" s="21" t="n">
        <f aca="false">MIN(E$16,ROUND(E185*(1+E$15),2))</f>
        <v>0</v>
      </c>
      <c r="L185" s="21" t="n">
        <f aca="false">MIN(F$16,ROUND(F185*(1+F$15),2))</f>
        <v>0</v>
      </c>
      <c r="M185" s="21" t="n">
        <f aca="false">MIN(G$16,ROUND(G185*(1+G$15),2))</f>
        <v>0</v>
      </c>
      <c r="N185" s="21" t="n">
        <f aca="false">B$20-SUM(H185:M185)</f>
        <v>1170</v>
      </c>
      <c r="O185" s="21" t="n">
        <f aca="false">MIN(ROUND(B185*(1+B$15),2),H185+MAX(0,N185))</f>
        <v>0</v>
      </c>
      <c r="P185" s="21" t="n">
        <f aca="false">MIN(ROUND(C185*(1+C$15),2),I185+MAX(0,N185-O185+H185))</f>
        <v>0</v>
      </c>
      <c r="Q185" s="21" t="n">
        <f aca="false">MIN(ROUND(D185*(1+D$15),2),J185+MAX(0,N185-O185+H185-P185+I185))</f>
        <v>0</v>
      </c>
      <c r="R185" s="21" t="n">
        <f aca="false">MIN(ROUND(E185*(1+E$15),2),K185+MAX(0,N185-O185+H185-P185+I185-Q185+J185))</f>
        <v>0</v>
      </c>
      <c r="S185" s="21" t="n">
        <f aca="false">MIN(ROUND(F185*(1+F$15),2),L185+MAX(0,N185-O185+H185-P185+I185-Q185+J185-R185+K185))</f>
        <v>0</v>
      </c>
      <c r="T185" s="21" t="n">
        <f aca="false">MIN(ROUND(G185*(1+G$15),2),M185+MAX(0,N185-O185+H185-P185+I185-Q185+J185-R185+K185-S185+L185))</f>
        <v>0</v>
      </c>
      <c r="U185" s="21" t="n">
        <f aca="false">SUM(B185:G185)</f>
        <v>0</v>
      </c>
      <c r="V185" s="21" t="n">
        <f aca="false">SUM(O185:T185)</f>
        <v>0</v>
      </c>
      <c r="X185" s="25" t="n">
        <f aca="false">X184+1</f>
        <v>159</v>
      </c>
      <c r="Y185" s="21" t="n">
        <f aca="false">MAX(0,ROUND(Y184*(1+Y$15),2)-AL184)</f>
        <v>0</v>
      </c>
      <c r="Z185" s="21" t="n">
        <f aca="false">MAX(0,ROUND(Z184*(1+Z$15),2)-AM184)</f>
        <v>0</v>
      </c>
      <c r="AA185" s="21" t="n">
        <f aca="false">MAX(0,ROUND(AA184*(1+AA$15),2)-AN184)</f>
        <v>0</v>
      </c>
      <c r="AB185" s="21" t="n">
        <f aca="false">MAX(0,ROUND(AB184*(1+AB$15),2)-AO184)</f>
        <v>0</v>
      </c>
      <c r="AC185" s="21" t="n">
        <f aca="false">MAX(0,ROUND(AC184*(1+AC$15),2)-AP184)</f>
        <v>0</v>
      </c>
      <c r="AD185" s="21" t="n">
        <f aca="false">MAX(0,ROUND(AD184*(1+AD$15),2)-AQ184)</f>
        <v>0</v>
      </c>
      <c r="AE185" s="21" t="n">
        <f aca="false">MIN(Y$16,ROUND(Y185*(1+Y$15),2))</f>
        <v>0</v>
      </c>
      <c r="AF185" s="21" t="n">
        <f aca="false">MIN(Z$16,ROUND(Z185*(1+Z$15),2))</f>
        <v>0</v>
      </c>
      <c r="AG185" s="21" t="n">
        <f aca="false">MIN(AA$16,ROUND(AA185*(1+AA$15),2))</f>
        <v>0</v>
      </c>
      <c r="AH185" s="21" t="n">
        <f aca="false">MIN(AB$16,ROUND(AB185*(1+AB$15),2))</f>
        <v>0</v>
      </c>
      <c r="AI185" s="21" t="n">
        <f aca="false">MIN(AC$16,ROUND(AC185*(1+AC$15),2))</f>
        <v>0</v>
      </c>
      <c r="AJ185" s="21" t="n">
        <f aca="false">MIN(AD$16,ROUND(AD185*(1+AD$15),2))</f>
        <v>0</v>
      </c>
      <c r="AK185" s="21" t="n">
        <f aca="false">Y$20-SUM(AE185:AJ185)</f>
        <v>1170</v>
      </c>
      <c r="AL185" s="21" t="n">
        <f aca="false">MIN(ROUND(Y185*(1+Y$15),2),AE185+MAX(0,AK185))</f>
        <v>0</v>
      </c>
      <c r="AM185" s="21" t="n">
        <f aca="false">MIN(ROUND(Z185*(1+Z$15),2),AF185+MAX(0,AK185-AL185+AE185))</f>
        <v>0</v>
      </c>
      <c r="AN185" s="21" t="n">
        <f aca="false">MIN(ROUND(AA185*(1+AA$15),2),AG185+MAX(0,AK185-AL185+AE185-AM185+AF185))</f>
        <v>0</v>
      </c>
      <c r="AO185" s="21" t="n">
        <f aca="false">MIN(ROUND(AB185*(1+AB$15),2),AH185+MAX(0,AK185-AL185+AE185-AM185+AF185-AN185+AG185))</f>
        <v>0</v>
      </c>
      <c r="AP185" s="21" t="n">
        <f aca="false">MIN(ROUND(AC185*(1+AC$15),2),AI185+MAX(0,AK185-AL185+AE185-AM185+AF185-AN185+AG185-AO185+AH185))</f>
        <v>0</v>
      </c>
      <c r="AQ185" s="21" t="n">
        <f aca="false">MIN(ROUND(AD185*(1+AD$15),2),AJ185+MAX(0,AK185-AL185+AE185-AM185+AF185-AN185+AG185-AO185+AH185-AP185+AI185))</f>
        <v>0</v>
      </c>
      <c r="AR185" s="21" t="n">
        <f aca="false">SUM(Y185:AD185)</f>
        <v>0</v>
      </c>
      <c r="AS185" s="21" t="n">
        <f aca="false">SUM(AL185:AQ185)</f>
        <v>0</v>
      </c>
    </row>
    <row r="186" customFormat="false" ht="15" hidden="false" customHeight="false" outlineLevel="0" collapsed="false">
      <c r="A186" s="25" t="n">
        <f aca="false">A185+1</f>
        <v>160</v>
      </c>
      <c r="B186" s="21" t="n">
        <f aca="false">MAX(0,ROUND(B185*(1+B$15),2)-O185)</f>
        <v>0</v>
      </c>
      <c r="C186" s="21" t="n">
        <f aca="false">MAX(0,ROUND(C185*(1+C$15),2)-P185)</f>
        <v>0</v>
      </c>
      <c r="D186" s="21" t="n">
        <f aca="false">MAX(0,ROUND(D185*(1+D$15),2)-Q185)</f>
        <v>0</v>
      </c>
      <c r="E186" s="21" t="n">
        <f aca="false">MAX(0,ROUND(E185*(1+E$15),2)-R185)</f>
        <v>0</v>
      </c>
      <c r="F186" s="21" t="n">
        <f aca="false">MAX(0,ROUND(F185*(1+F$15),2)-S185)</f>
        <v>0</v>
      </c>
      <c r="G186" s="21" t="n">
        <f aca="false">MAX(0,ROUND(G185*(1+G$15),2)-T185)</f>
        <v>0</v>
      </c>
      <c r="H186" s="21" t="n">
        <f aca="false">MIN(B$16,ROUND(B186*(1+B$15),2))</f>
        <v>0</v>
      </c>
      <c r="I186" s="21" t="n">
        <f aca="false">MIN(C$16,ROUND(C186*(1+C$15),2))</f>
        <v>0</v>
      </c>
      <c r="J186" s="21" t="n">
        <f aca="false">MIN(D$16,ROUND(D186*(1+D$15),2))</f>
        <v>0</v>
      </c>
      <c r="K186" s="21" t="n">
        <f aca="false">MIN(E$16,ROUND(E186*(1+E$15),2))</f>
        <v>0</v>
      </c>
      <c r="L186" s="21" t="n">
        <f aca="false">MIN(F$16,ROUND(F186*(1+F$15),2))</f>
        <v>0</v>
      </c>
      <c r="M186" s="21" t="n">
        <f aca="false">MIN(G$16,ROUND(G186*(1+G$15),2))</f>
        <v>0</v>
      </c>
      <c r="N186" s="21" t="n">
        <f aca="false">B$20-SUM(H186:M186)</f>
        <v>1170</v>
      </c>
      <c r="O186" s="21" t="n">
        <f aca="false">MIN(ROUND(B186*(1+B$15),2),H186+MAX(0,N186))</f>
        <v>0</v>
      </c>
      <c r="P186" s="21" t="n">
        <f aca="false">MIN(ROUND(C186*(1+C$15),2),I186+MAX(0,N186-O186+H186))</f>
        <v>0</v>
      </c>
      <c r="Q186" s="21" t="n">
        <f aca="false">MIN(ROUND(D186*(1+D$15),2),J186+MAX(0,N186-O186+H186-P186+I186))</f>
        <v>0</v>
      </c>
      <c r="R186" s="21" t="n">
        <f aca="false">MIN(ROUND(E186*(1+E$15),2),K186+MAX(0,N186-O186+H186-P186+I186-Q186+J186))</f>
        <v>0</v>
      </c>
      <c r="S186" s="21" t="n">
        <f aca="false">MIN(ROUND(F186*(1+F$15),2),L186+MAX(0,N186-O186+H186-P186+I186-Q186+J186-R186+K186))</f>
        <v>0</v>
      </c>
      <c r="T186" s="21" t="n">
        <f aca="false">MIN(ROUND(G186*(1+G$15),2),M186+MAX(0,N186-O186+H186-P186+I186-Q186+J186-R186+K186-S186+L186))</f>
        <v>0</v>
      </c>
      <c r="U186" s="21" t="n">
        <f aca="false">SUM(B186:G186)</f>
        <v>0</v>
      </c>
      <c r="V186" s="21" t="n">
        <f aca="false">SUM(O186:T186)</f>
        <v>0</v>
      </c>
      <c r="X186" s="25" t="n">
        <f aca="false">X185+1</f>
        <v>160</v>
      </c>
      <c r="Y186" s="21" t="n">
        <f aca="false">MAX(0,ROUND(Y185*(1+Y$15),2)-AL185)</f>
        <v>0</v>
      </c>
      <c r="Z186" s="21" t="n">
        <f aca="false">MAX(0,ROUND(Z185*(1+Z$15),2)-AM185)</f>
        <v>0</v>
      </c>
      <c r="AA186" s="21" t="n">
        <f aca="false">MAX(0,ROUND(AA185*(1+AA$15),2)-AN185)</f>
        <v>0</v>
      </c>
      <c r="AB186" s="21" t="n">
        <f aca="false">MAX(0,ROUND(AB185*(1+AB$15),2)-AO185)</f>
        <v>0</v>
      </c>
      <c r="AC186" s="21" t="n">
        <f aca="false">MAX(0,ROUND(AC185*(1+AC$15),2)-AP185)</f>
        <v>0</v>
      </c>
      <c r="AD186" s="21" t="n">
        <f aca="false">MAX(0,ROUND(AD185*(1+AD$15),2)-AQ185)</f>
        <v>0</v>
      </c>
      <c r="AE186" s="21" t="n">
        <f aca="false">MIN(Y$16,ROUND(Y186*(1+Y$15),2))</f>
        <v>0</v>
      </c>
      <c r="AF186" s="21" t="n">
        <f aca="false">MIN(Z$16,ROUND(Z186*(1+Z$15),2))</f>
        <v>0</v>
      </c>
      <c r="AG186" s="21" t="n">
        <f aca="false">MIN(AA$16,ROUND(AA186*(1+AA$15),2))</f>
        <v>0</v>
      </c>
      <c r="AH186" s="21" t="n">
        <f aca="false">MIN(AB$16,ROUND(AB186*(1+AB$15),2))</f>
        <v>0</v>
      </c>
      <c r="AI186" s="21" t="n">
        <f aca="false">MIN(AC$16,ROUND(AC186*(1+AC$15),2))</f>
        <v>0</v>
      </c>
      <c r="AJ186" s="21" t="n">
        <f aca="false">MIN(AD$16,ROUND(AD186*(1+AD$15),2))</f>
        <v>0</v>
      </c>
      <c r="AK186" s="21" t="n">
        <f aca="false">Y$20-SUM(AE186:AJ186)</f>
        <v>1170</v>
      </c>
      <c r="AL186" s="21" t="n">
        <f aca="false">MIN(ROUND(Y186*(1+Y$15),2),AE186+MAX(0,AK186))</f>
        <v>0</v>
      </c>
      <c r="AM186" s="21" t="n">
        <f aca="false">MIN(ROUND(Z186*(1+Z$15),2),AF186+MAX(0,AK186-AL186+AE186))</f>
        <v>0</v>
      </c>
      <c r="AN186" s="21" t="n">
        <f aca="false">MIN(ROUND(AA186*(1+AA$15),2),AG186+MAX(0,AK186-AL186+AE186-AM186+AF186))</f>
        <v>0</v>
      </c>
      <c r="AO186" s="21" t="n">
        <f aca="false">MIN(ROUND(AB186*(1+AB$15),2),AH186+MAX(0,AK186-AL186+AE186-AM186+AF186-AN186+AG186))</f>
        <v>0</v>
      </c>
      <c r="AP186" s="21" t="n">
        <f aca="false">MIN(ROUND(AC186*(1+AC$15),2),AI186+MAX(0,AK186-AL186+AE186-AM186+AF186-AN186+AG186-AO186+AH186))</f>
        <v>0</v>
      </c>
      <c r="AQ186" s="21" t="n">
        <f aca="false">MIN(ROUND(AD186*(1+AD$15),2),AJ186+MAX(0,AK186-AL186+AE186-AM186+AF186-AN186+AG186-AO186+AH186-AP186+AI186))</f>
        <v>0</v>
      </c>
      <c r="AR186" s="21" t="n">
        <f aca="false">SUM(Y186:AD186)</f>
        <v>0</v>
      </c>
      <c r="AS186" s="21" t="n">
        <f aca="false">SUM(AL186:AQ186)</f>
        <v>0</v>
      </c>
    </row>
    <row r="187" customFormat="false" ht="15" hidden="false" customHeight="false" outlineLevel="0" collapsed="false">
      <c r="A187" s="25" t="n">
        <f aca="false">A186+1</f>
        <v>161</v>
      </c>
      <c r="B187" s="21" t="n">
        <f aca="false">MAX(0,ROUND(B186*(1+B$15),2)-O186)</f>
        <v>0</v>
      </c>
      <c r="C187" s="21" t="n">
        <f aca="false">MAX(0,ROUND(C186*(1+C$15),2)-P186)</f>
        <v>0</v>
      </c>
      <c r="D187" s="21" t="n">
        <f aca="false">MAX(0,ROUND(D186*(1+D$15),2)-Q186)</f>
        <v>0</v>
      </c>
      <c r="E187" s="21" t="n">
        <f aca="false">MAX(0,ROUND(E186*(1+E$15),2)-R186)</f>
        <v>0</v>
      </c>
      <c r="F187" s="21" t="n">
        <f aca="false">MAX(0,ROUND(F186*(1+F$15),2)-S186)</f>
        <v>0</v>
      </c>
      <c r="G187" s="21" t="n">
        <f aca="false">MAX(0,ROUND(G186*(1+G$15),2)-T186)</f>
        <v>0</v>
      </c>
      <c r="H187" s="21" t="n">
        <f aca="false">MIN(B$16,ROUND(B187*(1+B$15),2))</f>
        <v>0</v>
      </c>
      <c r="I187" s="21" t="n">
        <f aca="false">MIN(C$16,ROUND(C187*(1+C$15),2))</f>
        <v>0</v>
      </c>
      <c r="J187" s="21" t="n">
        <f aca="false">MIN(D$16,ROUND(D187*(1+D$15),2))</f>
        <v>0</v>
      </c>
      <c r="K187" s="21" t="n">
        <f aca="false">MIN(E$16,ROUND(E187*(1+E$15),2))</f>
        <v>0</v>
      </c>
      <c r="L187" s="21" t="n">
        <f aca="false">MIN(F$16,ROUND(F187*(1+F$15),2))</f>
        <v>0</v>
      </c>
      <c r="M187" s="21" t="n">
        <f aca="false">MIN(G$16,ROUND(G187*(1+G$15),2))</f>
        <v>0</v>
      </c>
      <c r="N187" s="21" t="n">
        <f aca="false">B$20-SUM(H187:M187)</f>
        <v>1170</v>
      </c>
      <c r="O187" s="21" t="n">
        <f aca="false">MIN(ROUND(B187*(1+B$15),2),H187+MAX(0,N187))</f>
        <v>0</v>
      </c>
      <c r="P187" s="21" t="n">
        <f aca="false">MIN(ROUND(C187*(1+C$15),2),I187+MAX(0,N187-O187+H187))</f>
        <v>0</v>
      </c>
      <c r="Q187" s="21" t="n">
        <f aca="false">MIN(ROUND(D187*(1+D$15),2),J187+MAX(0,N187-O187+H187-P187+I187))</f>
        <v>0</v>
      </c>
      <c r="R187" s="21" t="n">
        <f aca="false">MIN(ROUND(E187*(1+E$15),2),K187+MAX(0,N187-O187+H187-P187+I187-Q187+J187))</f>
        <v>0</v>
      </c>
      <c r="S187" s="21" t="n">
        <f aca="false">MIN(ROUND(F187*(1+F$15),2),L187+MAX(0,N187-O187+H187-P187+I187-Q187+J187-R187+K187))</f>
        <v>0</v>
      </c>
      <c r="T187" s="21" t="n">
        <f aca="false">MIN(ROUND(G187*(1+G$15),2),M187+MAX(0,N187-O187+H187-P187+I187-Q187+J187-R187+K187-S187+L187))</f>
        <v>0</v>
      </c>
      <c r="U187" s="21" t="n">
        <f aca="false">SUM(B187:G187)</f>
        <v>0</v>
      </c>
      <c r="V187" s="21" t="n">
        <f aca="false">SUM(O187:T187)</f>
        <v>0</v>
      </c>
      <c r="X187" s="25" t="n">
        <f aca="false">X186+1</f>
        <v>161</v>
      </c>
      <c r="Y187" s="21" t="n">
        <f aca="false">MAX(0,ROUND(Y186*(1+Y$15),2)-AL186)</f>
        <v>0</v>
      </c>
      <c r="Z187" s="21" t="n">
        <f aca="false">MAX(0,ROUND(Z186*(1+Z$15),2)-AM186)</f>
        <v>0</v>
      </c>
      <c r="AA187" s="21" t="n">
        <f aca="false">MAX(0,ROUND(AA186*(1+AA$15),2)-AN186)</f>
        <v>0</v>
      </c>
      <c r="AB187" s="21" t="n">
        <f aca="false">MAX(0,ROUND(AB186*(1+AB$15),2)-AO186)</f>
        <v>0</v>
      </c>
      <c r="AC187" s="21" t="n">
        <f aca="false">MAX(0,ROUND(AC186*(1+AC$15),2)-AP186)</f>
        <v>0</v>
      </c>
      <c r="AD187" s="21" t="n">
        <f aca="false">MAX(0,ROUND(AD186*(1+AD$15),2)-AQ186)</f>
        <v>0</v>
      </c>
      <c r="AE187" s="21" t="n">
        <f aca="false">MIN(Y$16,ROUND(Y187*(1+Y$15),2))</f>
        <v>0</v>
      </c>
      <c r="AF187" s="21" t="n">
        <f aca="false">MIN(Z$16,ROUND(Z187*(1+Z$15),2))</f>
        <v>0</v>
      </c>
      <c r="AG187" s="21" t="n">
        <f aca="false">MIN(AA$16,ROUND(AA187*(1+AA$15),2))</f>
        <v>0</v>
      </c>
      <c r="AH187" s="21" t="n">
        <f aca="false">MIN(AB$16,ROUND(AB187*(1+AB$15),2))</f>
        <v>0</v>
      </c>
      <c r="AI187" s="21" t="n">
        <f aca="false">MIN(AC$16,ROUND(AC187*(1+AC$15),2))</f>
        <v>0</v>
      </c>
      <c r="AJ187" s="21" t="n">
        <f aca="false">MIN(AD$16,ROUND(AD187*(1+AD$15),2))</f>
        <v>0</v>
      </c>
      <c r="AK187" s="21" t="n">
        <f aca="false">Y$20-SUM(AE187:AJ187)</f>
        <v>1170</v>
      </c>
      <c r="AL187" s="21" t="n">
        <f aca="false">MIN(ROUND(Y187*(1+Y$15),2),AE187+MAX(0,AK187))</f>
        <v>0</v>
      </c>
      <c r="AM187" s="21" t="n">
        <f aca="false">MIN(ROUND(Z187*(1+Z$15),2),AF187+MAX(0,AK187-AL187+AE187))</f>
        <v>0</v>
      </c>
      <c r="AN187" s="21" t="n">
        <f aca="false">MIN(ROUND(AA187*(1+AA$15),2),AG187+MAX(0,AK187-AL187+AE187-AM187+AF187))</f>
        <v>0</v>
      </c>
      <c r="AO187" s="21" t="n">
        <f aca="false">MIN(ROUND(AB187*(1+AB$15),2),AH187+MAX(0,AK187-AL187+AE187-AM187+AF187-AN187+AG187))</f>
        <v>0</v>
      </c>
      <c r="AP187" s="21" t="n">
        <f aca="false">MIN(ROUND(AC187*(1+AC$15),2),AI187+MAX(0,AK187-AL187+AE187-AM187+AF187-AN187+AG187-AO187+AH187))</f>
        <v>0</v>
      </c>
      <c r="AQ187" s="21" t="n">
        <f aca="false">MIN(ROUND(AD187*(1+AD$15),2),AJ187+MAX(0,AK187-AL187+AE187-AM187+AF187-AN187+AG187-AO187+AH187-AP187+AI187))</f>
        <v>0</v>
      </c>
      <c r="AR187" s="21" t="n">
        <f aca="false">SUM(Y187:AD187)</f>
        <v>0</v>
      </c>
      <c r="AS187" s="21" t="n">
        <f aca="false">SUM(AL187:AQ187)</f>
        <v>0</v>
      </c>
    </row>
    <row r="188" customFormat="false" ht="15" hidden="false" customHeight="false" outlineLevel="0" collapsed="false">
      <c r="A188" s="25" t="n">
        <f aca="false">A187+1</f>
        <v>162</v>
      </c>
      <c r="B188" s="21" t="n">
        <f aca="false">MAX(0,ROUND(B187*(1+B$15),2)-O187)</f>
        <v>0</v>
      </c>
      <c r="C188" s="21" t="n">
        <f aca="false">MAX(0,ROUND(C187*(1+C$15),2)-P187)</f>
        <v>0</v>
      </c>
      <c r="D188" s="21" t="n">
        <f aca="false">MAX(0,ROUND(D187*(1+D$15),2)-Q187)</f>
        <v>0</v>
      </c>
      <c r="E188" s="21" t="n">
        <f aca="false">MAX(0,ROUND(E187*(1+E$15),2)-R187)</f>
        <v>0</v>
      </c>
      <c r="F188" s="21" t="n">
        <f aca="false">MAX(0,ROUND(F187*(1+F$15),2)-S187)</f>
        <v>0</v>
      </c>
      <c r="G188" s="21" t="n">
        <f aca="false">MAX(0,ROUND(G187*(1+G$15),2)-T187)</f>
        <v>0</v>
      </c>
      <c r="H188" s="21" t="n">
        <f aca="false">MIN(B$16,ROUND(B188*(1+B$15),2))</f>
        <v>0</v>
      </c>
      <c r="I188" s="21" t="n">
        <f aca="false">MIN(C$16,ROUND(C188*(1+C$15),2))</f>
        <v>0</v>
      </c>
      <c r="J188" s="21" t="n">
        <f aca="false">MIN(D$16,ROUND(D188*(1+D$15),2))</f>
        <v>0</v>
      </c>
      <c r="K188" s="21" t="n">
        <f aca="false">MIN(E$16,ROUND(E188*(1+E$15),2))</f>
        <v>0</v>
      </c>
      <c r="L188" s="21" t="n">
        <f aca="false">MIN(F$16,ROUND(F188*(1+F$15),2))</f>
        <v>0</v>
      </c>
      <c r="M188" s="21" t="n">
        <f aca="false">MIN(G$16,ROUND(G188*(1+G$15),2))</f>
        <v>0</v>
      </c>
      <c r="N188" s="21" t="n">
        <f aca="false">B$20-SUM(H188:M188)</f>
        <v>1170</v>
      </c>
      <c r="O188" s="21" t="n">
        <f aca="false">MIN(ROUND(B188*(1+B$15),2),H188+MAX(0,N188))</f>
        <v>0</v>
      </c>
      <c r="P188" s="21" t="n">
        <f aca="false">MIN(ROUND(C188*(1+C$15),2),I188+MAX(0,N188-O188+H188))</f>
        <v>0</v>
      </c>
      <c r="Q188" s="21" t="n">
        <f aca="false">MIN(ROUND(D188*(1+D$15),2),J188+MAX(0,N188-O188+H188-P188+I188))</f>
        <v>0</v>
      </c>
      <c r="R188" s="21" t="n">
        <f aca="false">MIN(ROUND(E188*(1+E$15),2),K188+MAX(0,N188-O188+H188-P188+I188-Q188+J188))</f>
        <v>0</v>
      </c>
      <c r="S188" s="21" t="n">
        <f aca="false">MIN(ROUND(F188*(1+F$15),2),L188+MAX(0,N188-O188+H188-P188+I188-Q188+J188-R188+K188))</f>
        <v>0</v>
      </c>
      <c r="T188" s="21" t="n">
        <f aca="false">MIN(ROUND(G188*(1+G$15),2),M188+MAX(0,N188-O188+H188-P188+I188-Q188+J188-R188+K188-S188+L188))</f>
        <v>0</v>
      </c>
      <c r="U188" s="21" t="n">
        <f aca="false">SUM(B188:G188)</f>
        <v>0</v>
      </c>
      <c r="V188" s="21" t="n">
        <f aca="false">SUM(O188:T188)</f>
        <v>0</v>
      </c>
      <c r="X188" s="25" t="n">
        <f aca="false">X187+1</f>
        <v>162</v>
      </c>
      <c r="Y188" s="21" t="n">
        <f aca="false">MAX(0,ROUND(Y187*(1+Y$15),2)-AL187)</f>
        <v>0</v>
      </c>
      <c r="Z188" s="21" t="n">
        <f aca="false">MAX(0,ROUND(Z187*(1+Z$15),2)-AM187)</f>
        <v>0</v>
      </c>
      <c r="AA188" s="21" t="n">
        <f aca="false">MAX(0,ROUND(AA187*(1+AA$15),2)-AN187)</f>
        <v>0</v>
      </c>
      <c r="AB188" s="21" t="n">
        <f aca="false">MAX(0,ROUND(AB187*(1+AB$15),2)-AO187)</f>
        <v>0</v>
      </c>
      <c r="AC188" s="21" t="n">
        <f aca="false">MAX(0,ROUND(AC187*(1+AC$15),2)-AP187)</f>
        <v>0</v>
      </c>
      <c r="AD188" s="21" t="n">
        <f aca="false">MAX(0,ROUND(AD187*(1+AD$15),2)-AQ187)</f>
        <v>0</v>
      </c>
      <c r="AE188" s="21" t="n">
        <f aca="false">MIN(Y$16,ROUND(Y188*(1+Y$15),2))</f>
        <v>0</v>
      </c>
      <c r="AF188" s="21" t="n">
        <f aca="false">MIN(Z$16,ROUND(Z188*(1+Z$15),2))</f>
        <v>0</v>
      </c>
      <c r="AG188" s="21" t="n">
        <f aca="false">MIN(AA$16,ROUND(AA188*(1+AA$15),2))</f>
        <v>0</v>
      </c>
      <c r="AH188" s="21" t="n">
        <f aca="false">MIN(AB$16,ROUND(AB188*(1+AB$15),2))</f>
        <v>0</v>
      </c>
      <c r="AI188" s="21" t="n">
        <f aca="false">MIN(AC$16,ROUND(AC188*(1+AC$15),2))</f>
        <v>0</v>
      </c>
      <c r="AJ188" s="21" t="n">
        <f aca="false">MIN(AD$16,ROUND(AD188*(1+AD$15),2))</f>
        <v>0</v>
      </c>
      <c r="AK188" s="21" t="n">
        <f aca="false">Y$20-SUM(AE188:AJ188)</f>
        <v>1170</v>
      </c>
      <c r="AL188" s="21" t="n">
        <f aca="false">MIN(ROUND(Y188*(1+Y$15),2),AE188+MAX(0,AK188))</f>
        <v>0</v>
      </c>
      <c r="AM188" s="21" t="n">
        <f aca="false">MIN(ROUND(Z188*(1+Z$15),2),AF188+MAX(0,AK188-AL188+AE188))</f>
        <v>0</v>
      </c>
      <c r="AN188" s="21" t="n">
        <f aca="false">MIN(ROUND(AA188*(1+AA$15),2),AG188+MAX(0,AK188-AL188+AE188-AM188+AF188))</f>
        <v>0</v>
      </c>
      <c r="AO188" s="21" t="n">
        <f aca="false">MIN(ROUND(AB188*(1+AB$15),2),AH188+MAX(0,AK188-AL188+AE188-AM188+AF188-AN188+AG188))</f>
        <v>0</v>
      </c>
      <c r="AP188" s="21" t="n">
        <f aca="false">MIN(ROUND(AC188*(1+AC$15),2),AI188+MAX(0,AK188-AL188+AE188-AM188+AF188-AN188+AG188-AO188+AH188))</f>
        <v>0</v>
      </c>
      <c r="AQ188" s="21" t="n">
        <f aca="false">MIN(ROUND(AD188*(1+AD$15),2),AJ188+MAX(0,AK188-AL188+AE188-AM188+AF188-AN188+AG188-AO188+AH188-AP188+AI188))</f>
        <v>0</v>
      </c>
      <c r="AR188" s="21" t="n">
        <f aca="false">SUM(Y188:AD188)</f>
        <v>0</v>
      </c>
      <c r="AS188" s="21" t="n">
        <f aca="false">SUM(AL188:AQ188)</f>
        <v>0</v>
      </c>
    </row>
    <row r="189" customFormat="false" ht="15" hidden="false" customHeight="false" outlineLevel="0" collapsed="false">
      <c r="A189" s="25" t="n">
        <f aca="false">A188+1</f>
        <v>163</v>
      </c>
      <c r="B189" s="21" t="n">
        <f aca="false">MAX(0,ROUND(B188*(1+B$15),2)-O188)</f>
        <v>0</v>
      </c>
      <c r="C189" s="21" t="n">
        <f aca="false">MAX(0,ROUND(C188*(1+C$15),2)-P188)</f>
        <v>0</v>
      </c>
      <c r="D189" s="21" t="n">
        <f aca="false">MAX(0,ROUND(D188*(1+D$15),2)-Q188)</f>
        <v>0</v>
      </c>
      <c r="E189" s="21" t="n">
        <f aca="false">MAX(0,ROUND(E188*(1+E$15),2)-R188)</f>
        <v>0</v>
      </c>
      <c r="F189" s="21" t="n">
        <f aca="false">MAX(0,ROUND(F188*(1+F$15),2)-S188)</f>
        <v>0</v>
      </c>
      <c r="G189" s="21" t="n">
        <f aca="false">MAX(0,ROUND(G188*(1+G$15),2)-T188)</f>
        <v>0</v>
      </c>
      <c r="H189" s="21" t="n">
        <f aca="false">MIN(B$16,ROUND(B189*(1+B$15),2))</f>
        <v>0</v>
      </c>
      <c r="I189" s="21" t="n">
        <f aca="false">MIN(C$16,ROUND(C189*(1+C$15),2))</f>
        <v>0</v>
      </c>
      <c r="J189" s="21" t="n">
        <f aca="false">MIN(D$16,ROUND(D189*(1+D$15),2))</f>
        <v>0</v>
      </c>
      <c r="K189" s="21" t="n">
        <f aca="false">MIN(E$16,ROUND(E189*(1+E$15),2))</f>
        <v>0</v>
      </c>
      <c r="L189" s="21" t="n">
        <f aca="false">MIN(F$16,ROUND(F189*(1+F$15),2))</f>
        <v>0</v>
      </c>
      <c r="M189" s="21" t="n">
        <f aca="false">MIN(G$16,ROUND(G189*(1+G$15),2))</f>
        <v>0</v>
      </c>
      <c r="N189" s="21" t="n">
        <f aca="false">B$20-SUM(H189:M189)</f>
        <v>1170</v>
      </c>
      <c r="O189" s="21" t="n">
        <f aca="false">MIN(ROUND(B189*(1+B$15),2),H189+MAX(0,N189))</f>
        <v>0</v>
      </c>
      <c r="P189" s="21" t="n">
        <f aca="false">MIN(ROUND(C189*(1+C$15),2),I189+MAX(0,N189-O189+H189))</f>
        <v>0</v>
      </c>
      <c r="Q189" s="21" t="n">
        <f aca="false">MIN(ROUND(D189*(1+D$15),2),J189+MAX(0,N189-O189+H189-P189+I189))</f>
        <v>0</v>
      </c>
      <c r="R189" s="21" t="n">
        <f aca="false">MIN(ROUND(E189*(1+E$15),2),K189+MAX(0,N189-O189+H189-P189+I189-Q189+J189))</f>
        <v>0</v>
      </c>
      <c r="S189" s="21" t="n">
        <f aca="false">MIN(ROUND(F189*(1+F$15),2),L189+MAX(0,N189-O189+H189-P189+I189-Q189+J189-R189+K189))</f>
        <v>0</v>
      </c>
      <c r="T189" s="21" t="n">
        <f aca="false">MIN(ROUND(G189*(1+G$15),2),M189+MAX(0,N189-O189+H189-P189+I189-Q189+J189-R189+K189-S189+L189))</f>
        <v>0</v>
      </c>
      <c r="U189" s="21" t="n">
        <f aca="false">SUM(B189:G189)</f>
        <v>0</v>
      </c>
      <c r="V189" s="21" t="n">
        <f aca="false">SUM(O189:T189)</f>
        <v>0</v>
      </c>
      <c r="X189" s="25" t="n">
        <f aca="false">X188+1</f>
        <v>163</v>
      </c>
      <c r="Y189" s="21" t="n">
        <f aca="false">MAX(0,ROUND(Y188*(1+Y$15),2)-AL188)</f>
        <v>0</v>
      </c>
      <c r="Z189" s="21" t="n">
        <f aca="false">MAX(0,ROUND(Z188*(1+Z$15),2)-AM188)</f>
        <v>0</v>
      </c>
      <c r="AA189" s="21" t="n">
        <f aca="false">MAX(0,ROUND(AA188*(1+AA$15),2)-AN188)</f>
        <v>0</v>
      </c>
      <c r="AB189" s="21" t="n">
        <f aca="false">MAX(0,ROUND(AB188*(1+AB$15),2)-AO188)</f>
        <v>0</v>
      </c>
      <c r="AC189" s="21" t="n">
        <f aca="false">MAX(0,ROUND(AC188*(1+AC$15),2)-AP188)</f>
        <v>0</v>
      </c>
      <c r="AD189" s="21" t="n">
        <f aca="false">MAX(0,ROUND(AD188*(1+AD$15),2)-AQ188)</f>
        <v>0</v>
      </c>
      <c r="AE189" s="21" t="n">
        <f aca="false">MIN(Y$16,ROUND(Y189*(1+Y$15),2))</f>
        <v>0</v>
      </c>
      <c r="AF189" s="21" t="n">
        <f aca="false">MIN(Z$16,ROUND(Z189*(1+Z$15),2))</f>
        <v>0</v>
      </c>
      <c r="AG189" s="21" t="n">
        <f aca="false">MIN(AA$16,ROUND(AA189*(1+AA$15),2))</f>
        <v>0</v>
      </c>
      <c r="AH189" s="21" t="n">
        <f aca="false">MIN(AB$16,ROUND(AB189*(1+AB$15),2))</f>
        <v>0</v>
      </c>
      <c r="AI189" s="21" t="n">
        <f aca="false">MIN(AC$16,ROUND(AC189*(1+AC$15),2))</f>
        <v>0</v>
      </c>
      <c r="AJ189" s="21" t="n">
        <f aca="false">MIN(AD$16,ROUND(AD189*(1+AD$15),2))</f>
        <v>0</v>
      </c>
      <c r="AK189" s="21" t="n">
        <f aca="false">Y$20-SUM(AE189:AJ189)</f>
        <v>1170</v>
      </c>
      <c r="AL189" s="21" t="n">
        <f aca="false">MIN(ROUND(Y189*(1+Y$15),2),AE189+MAX(0,AK189))</f>
        <v>0</v>
      </c>
      <c r="AM189" s="21" t="n">
        <f aca="false">MIN(ROUND(Z189*(1+Z$15),2),AF189+MAX(0,AK189-AL189+AE189))</f>
        <v>0</v>
      </c>
      <c r="AN189" s="21" t="n">
        <f aca="false">MIN(ROUND(AA189*(1+AA$15),2),AG189+MAX(0,AK189-AL189+AE189-AM189+AF189))</f>
        <v>0</v>
      </c>
      <c r="AO189" s="21" t="n">
        <f aca="false">MIN(ROUND(AB189*(1+AB$15),2),AH189+MAX(0,AK189-AL189+AE189-AM189+AF189-AN189+AG189))</f>
        <v>0</v>
      </c>
      <c r="AP189" s="21" t="n">
        <f aca="false">MIN(ROUND(AC189*(1+AC$15),2),AI189+MAX(0,AK189-AL189+AE189-AM189+AF189-AN189+AG189-AO189+AH189))</f>
        <v>0</v>
      </c>
      <c r="AQ189" s="21" t="n">
        <f aca="false">MIN(ROUND(AD189*(1+AD$15),2),AJ189+MAX(0,AK189-AL189+AE189-AM189+AF189-AN189+AG189-AO189+AH189-AP189+AI189))</f>
        <v>0</v>
      </c>
      <c r="AR189" s="21" t="n">
        <f aca="false">SUM(Y189:AD189)</f>
        <v>0</v>
      </c>
      <c r="AS189" s="21" t="n">
        <f aca="false">SUM(AL189:AQ189)</f>
        <v>0</v>
      </c>
    </row>
    <row r="190" customFormat="false" ht="15" hidden="false" customHeight="false" outlineLevel="0" collapsed="false">
      <c r="A190" s="25" t="n">
        <f aca="false">A189+1</f>
        <v>164</v>
      </c>
      <c r="B190" s="21" t="n">
        <f aca="false">MAX(0,ROUND(B189*(1+B$15),2)-O189)</f>
        <v>0</v>
      </c>
      <c r="C190" s="21" t="n">
        <f aca="false">MAX(0,ROUND(C189*(1+C$15),2)-P189)</f>
        <v>0</v>
      </c>
      <c r="D190" s="21" t="n">
        <f aca="false">MAX(0,ROUND(D189*(1+D$15),2)-Q189)</f>
        <v>0</v>
      </c>
      <c r="E190" s="21" t="n">
        <f aca="false">MAX(0,ROUND(E189*(1+E$15),2)-R189)</f>
        <v>0</v>
      </c>
      <c r="F190" s="21" t="n">
        <f aca="false">MAX(0,ROUND(F189*(1+F$15),2)-S189)</f>
        <v>0</v>
      </c>
      <c r="G190" s="21" t="n">
        <f aca="false">MAX(0,ROUND(G189*(1+G$15),2)-T189)</f>
        <v>0</v>
      </c>
      <c r="H190" s="21" t="n">
        <f aca="false">MIN(B$16,ROUND(B190*(1+B$15),2))</f>
        <v>0</v>
      </c>
      <c r="I190" s="21" t="n">
        <f aca="false">MIN(C$16,ROUND(C190*(1+C$15),2))</f>
        <v>0</v>
      </c>
      <c r="J190" s="21" t="n">
        <f aca="false">MIN(D$16,ROUND(D190*(1+D$15),2))</f>
        <v>0</v>
      </c>
      <c r="K190" s="21" t="n">
        <f aca="false">MIN(E$16,ROUND(E190*(1+E$15),2))</f>
        <v>0</v>
      </c>
      <c r="L190" s="21" t="n">
        <f aca="false">MIN(F$16,ROUND(F190*(1+F$15),2))</f>
        <v>0</v>
      </c>
      <c r="M190" s="21" t="n">
        <f aca="false">MIN(G$16,ROUND(G190*(1+G$15),2))</f>
        <v>0</v>
      </c>
      <c r="N190" s="21" t="n">
        <f aca="false">B$20-SUM(H190:M190)</f>
        <v>1170</v>
      </c>
      <c r="O190" s="21" t="n">
        <f aca="false">MIN(ROUND(B190*(1+B$15),2),H190+MAX(0,N190))</f>
        <v>0</v>
      </c>
      <c r="P190" s="21" t="n">
        <f aca="false">MIN(ROUND(C190*(1+C$15),2),I190+MAX(0,N190-O190+H190))</f>
        <v>0</v>
      </c>
      <c r="Q190" s="21" t="n">
        <f aca="false">MIN(ROUND(D190*(1+D$15),2),J190+MAX(0,N190-O190+H190-P190+I190))</f>
        <v>0</v>
      </c>
      <c r="R190" s="21" t="n">
        <f aca="false">MIN(ROUND(E190*(1+E$15),2),K190+MAX(0,N190-O190+H190-P190+I190-Q190+J190))</f>
        <v>0</v>
      </c>
      <c r="S190" s="21" t="n">
        <f aca="false">MIN(ROUND(F190*(1+F$15),2),L190+MAX(0,N190-O190+H190-P190+I190-Q190+J190-R190+K190))</f>
        <v>0</v>
      </c>
      <c r="T190" s="21" t="n">
        <f aca="false">MIN(ROUND(G190*(1+G$15),2),M190+MAX(0,N190-O190+H190-P190+I190-Q190+J190-R190+K190-S190+L190))</f>
        <v>0</v>
      </c>
      <c r="U190" s="21" t="n">
        <f aca="false">SUM(B190:G190)</f>
        <v>0</v>
      </c>
      <c r="V190" s="21" t="n">
        <f aca="false">SUM(O190:T190)</f>
        <v>0</v>
      </c>
      <c r="X190" s="25" t="n">
        <f aca="false">X189+1</f>
        <v>164</v>
      </c>
      <c r="Y190" s="21" t="n">
        <f aca="false">MAX(0,ROUND(Y189*(1+Y$15),2)-AL189)</f>
        <v>0</v>
      </c>
      <c r="Z190" s="21" t="n">
        <f aca="false">MAX(0,ROUND(Z189*(1+Z$15),2)-AM189)</f>
        <v>0</v>
      </c>
      <c r="AA190" s="21" t="n">
        <f aca="false">MAX(0,ROUND(AA189*(1+AA$15),2)-AN189)</f>
        <v>0</v>
      </c>
      <c r="AB190" s="21" t="n">
        <f aca="false">MAX(0,ROUND(AB189*(1+AB$15),2)-AO189)</f>
        <v>0</v>
      </c>
      <c r="AC190" s="21" t="n">
        <f aca="false">MAX(0,ROUND(AC189*(1+AC$15),2)-AP189)</f>
        <v>0</v>
      </c>
      <c r="AD190" s="21" t="n">
        <f aca="false">MAX(0,ROUND(AD189*(1+AD$15),2)-AQ189)</f>
        <v>0</v>
      </c>
      <c r="AE190" s="21" t="n">
        <f aca="false">MIN(Y$16,ROUND(Y190*(1+Y$15),2))</f>
        <v>0</v>
      </c>
      <c r="AF190" s="21" t="n">
        <f aca="false">MIN(Z$16,ROUND(Z190*(1+Z$15),2))</f>
        <v>0</v>
      </c>
      <c r="AG190" s="21" t="n">
        <f aca="false">MIN(AA$16,ROUND(AA190*(1+AA$15),2))</f>
        <v>0</v>
      </c>
      <c r="AH190" s="21" t="n">
        <f aca="false">MIN(AB$16,ROUND(AB190*(1+AB$15),2))</f>
        <v>0</v>
      </c>
      <c r="AI190" s="21" t="n">
        <f aca="false">MIN(AC$16,ROUND(AC190*(1+AC$15),2))</f>
        <v>0</v>
      </c>
      <c r="AJ190" s="21" t="n">
        <f aca="false">MIN(AD$16,ROUND(AD190*(1+AD$15),2))</f>
        <v>0</v>
      </c>
      <c r="AK190" s="21" t="n">
        <f aca="false">Y$20-SUM(AE190:AJ190)</f>
        <v>1170</v>
      </c>
      <c r="AL190" s="21" t="n">
        <f aca="false">MIN(ROUND(Y190*(1+Y$15),2),AE190+MAX(0,AK190))</f>
        <v>0</v>
      </c>
      <c r="AM190" s="21" t="n">
        <f aca="false">MIN(ROUND(Z190*(1+Z$15),2),AF190+MAX(0,AK190-AL190+AE190))</f>
        <v>0</v>
      </c>
      <c r="AN190" s="21" t="n">
        <f aca="false">MIN(ROUND(AA190*(1+AA$15),2),AG190+MAX(0,AK190-AL190+AE190-AM190+AF190))</f>
        <v>0</v>
      </c>
      <c r="AO190" s="21" t="n">
        <f aca="false">MIN(ROUND(AB190*(1+AB$15),2),AH190+MAX(0,AK190-AL190+AE190-AM190+AF190-AN190+AG190))</f>
        <v>0</v>
      </c>
      <c r="AP190" s="21" t="n">
        <f aca="false">MIN(ROUND(AC190*(1+AC$15),2),AI190+MAX(0,AK190-AL190+AE190-AM190+AF190-AN190+AG190-AO190+AH190))</f>
        <v>0</v>
      </c>
      <c r="AQ190" s="21" t="n">
        <f aca="false">MIN(ROUND(AD190*(1+AD$15),2),AJ190+MAX(0,AK190-AL190+AE190-AM190+AF190-AN190+AG190-AO190+AH190-AP190+AI190))</f>
        <v>0</v>
      </c>
      <c r="AR190" s="21" t="n">
        <f aca="false">SUM(Y190:AD190)</f>
        <v>0</v>
      </c>
      <c r="AS190" s="21" t="n">
        <f aca="false">SUM(AL190:AQ190)</f>
        <v>0</v>
      </c>
    </row>
    <row r="191" customFormat="false" ht="15" hidden="false" customHeight="false" outlineLevel="0" collapsed="false">
      <c r="A191" s="25" t="n">
        <f aca="false">A190+1</f>
        <v>165</v>
      </c>
      <c r="B191" s="21" t="n">
        <f aca="false">MAX(0,ROUND(B190*(1+B$15),2)-O190)</f>
        <v>0</v>
      </c>
      <c r="C191" s="21" t="n">
        <f aca="false">MAX(0,ROUND(C190*(1+C$15),2)-P190)</f>
        <v>0</v>
      </c>
      <c r="D191" s="21" t="n">
        <f aca="false">MAX(0,ROUND(D190*(1+D$15),2)-Q190)</f>
        <v>0</v>
      </c>
      <c r="E191" s="21" t="n">
        <f aca="false">MAX(0,ROUND(E190*(1+E$15),2)-R190)</f>
        <v>0</v>
      </c>
      <c r="F191" s="21" t="n">
        <f aca="false">MAX(0,ROUND(F190*(1+F$15),2)-S190)</f>
        <v>0</v>
      </c>
      <c r="G191" s="21" t="n">
        <f aca="false">MAX(0,ROUND(G190*(1+G$15),2)-T190)</f>
        <v>0</v>
      </c>
      <c r="H191" s="21" t="n">
        <f aca="false">MIN(B$16,ROUND(B191*(1+B$15),2))</f>
        <v>0</v>
      </c>
      <c r="I191" s="21" t="n">
        <f aca="false">MIN(C$16,ROUND(C191*(1+C$15),2))</f>
        <v>0</v>
      </c>
      <c r="J191" s="21" t="n">
        <f aca="false">MIN(D$16,ROUND(D191*(1+D$15),2))</f>
        <v>0</v>
      </c>
      <c r="K191" s="21" t="n">
        <f aca="false">MIN(E$16,ROUND(E191*(1+E$15),2))</f>
        <v>0</v>
      </c>
      <c r="L191" s="21" t="n">
        <f aca="false">MIN(F$16,ROUND(F191*(1+F$15),2))</f>
        <v>0</v>
      </c>
      <c r="M191" s="21" t="n">
        <f aca="false">MIN(G$16,ROUND(G191*(1+G$15),2))</f>
        <v>0</v>
      </c>
      <c r="N191" s="21" t="n">
        <f aca="false">B$20-SUM(H191:M191)</f>
        <v>1170</v>
      </c>
      <c r="O191" s="21" t="n">
        <f aca="false">MIN(ROUND(B191*(1+B$15),2),H191+MAX(0,N191))</f>
        <v>0</v>
      </c>
      <c r="P191" s="21" t="n">
        <f aca="false">MIN(ROUND(C191*(1+C$15),2),I191+MAX(0,N191-O191+H191))</f>
        <v>0</v>
      </c>
      <c r="Q191" s="21" t="n">
        <f aca="false">MIN(ROUND(D191*(1+D$15),2),J191+MAX(0,N191-O191+H191-P191+I191))</f>
        <v>0</v>
      </c>
      <c r="R191" s="21" t="n">
        <f aca="false">MIN(ROUND(E191*(1+E$15),2),K191+MAX(0,N191-O191+H191-P191+I191-Q191+J191))</f>
        <v>0</v>
      </c>
      <c r="S191" s="21" t="n">
        <f aca="false">MIN(ROUND(F191*(1+F$15),2),L191+MAX(0,N191-O191+H191-P191+I191-Q191+J191-R191+K191))</f>
        <v>0</v>
      </c>
      <c r="T191" s="21" t="n">
        <f aca="false">MIN(ROUND(G191*(1+G$15),2),M191+MAX(0,N191-O191+H191-P191+I191-Q191+J191-R191+K191-S191+L191))</f>
        <v>0</v>
      </c>
      <c r="U191" s="21" t="n">
        <f aca="false">SUM(B191:G191)</f>
        <v>0</v>
      </c>
      <c r="V191" s="21" t="n">
        <f aca="false">SUM(O191:T191)</f>
        <v>0</v>
      </c>
      <c r="X191" s="25" t="n">
        <f aca="false">X190+1</f>
        <v>165</v>
      </c>
      <c r="Y191" s="21" t="n">
        <f aca="false">MAX(0,ROUND(Y190*(1+Y$15),2)-AL190)</f>
        <v>0</v>
      </c>
      <c r="Z191" s="21" t="n">
        <f aca="false">MAX(0,ROUND(Z190*(1+Z$15),2)-AM190)</f>
        <v>0</v>
      </c>
      <c r="AA191" s="21" t="n">
        <f aca="false">MAX(0,ROUND(AA190*(1+AA$15),2)-AN190)</f>
        <v>0</v>
      </c>
      <c r="AB191" s="21" t="n">
        <f aca="false">MAX(0,ROUND(AB190*(1+AB$15),2)-AO190)</f>
        <v>0</v>
      </c>
      <c r="AC191" s="21" t="n">
        <f aca="false">MAX(0,ROUND(AC190*(1+AC$15),2)-AP190)</f>
        <v>0</v>
      </c>
      <c r="AD191" s="21" t="n">
        <f aca="false">MAX(0,ROUND(AD190*(1+AD$15),2)-AQ190)</f>
        <v>0</v>
      </c>
      <c r="AE191" s="21" t="n">
        <f aca="false">MIN(Y$16,ROUND(Y191*(1+Y$15),2))</f>
        <v>0</v>
      </c>
      <c r="AF191" s="21" t="n">
        <f aca="false">MIN(Z$16,ROUND(Z191*(1+Z$15),2))</f>
        <v>0</v>
      </c>
      <c r="AG191" s="21" t="n">
        <f aca="false">MIN(AA$16,ROUND(AA191*(1+AA$15),2))</f>
        <v>0</v>
      </c>
      <c r="AH191" s="21" t="n">
        <f aca="false">MIN(AB$16,ROUND(AB191*(1+AB$15),2))</f>
        <v>0</v>
      </c>
      <c r="AI191" s="21" t="n">
        <f aca="false">MIN(AC$16,ROUND(AC191*(1+AC$15),2))</f>
        <v>0</v>
      </c>
      <c r="AJ191" s="21" t="n">
        <f aca="false">MIN(AD$16,ROUND(AD191*(1+AD$15),2))</f>
        <v>0</v>
      </c>
      <c r="AK191" s="21" t="n">
        <f aca="false">Y$20-SUM(AE191:AJ191)</f>
        <v>1170</v>
      </c>
      <c r="AL191" s="21" t="n">
        <f aca="false">MIN(ROUND(Y191*(1+Y$15),2),AE191+MAX(0,AK191))</f>
        <v>0</v>
      </c>
      <c r="AM191" s="21" t="n">
        <f aca="false">MIN(ROUND(Z191*(1+Z$15),2),AF191+MAX(0,AK191-AL191+AE191))</f>
        <v>0</v>
      </c>
      <c r="AN191" s="21" t="n">
        <f aca="false">MIN(ROUND(AA191*(1+AA$15),2),AG191+MAX(0,AK191-AL191+AE191-AM191+AF191))</f>
        <v>0</v>
      </c>
      <c r="AO191" s="21" t="n">
        <f aca="false">MIN(ROUND(AB191*(1+AB$15),2),AH191+MAX(0,AK191-AL191+AE191-AM191+AF191-AN191+AG191))</f>
        <v>0</v>
      </c>
      <c r="AP191" s="21" t="n">
        <f aca="false">MIN(ROUND(AC191*(1+AC$15),2),AI191+MAX(0,AK191-AL191+AE191-AM191+AF191-AN191+AG191-AO191+AH191))</f>
        <v>0</v>
      </c>
      <c r="AQ191" s="21" t="n">
        <f aca="false">MIN(ROUND(AD191*(1+AD$15),2),AJ191+MAX(0,AK191-AL191+AE191-AM191+AF191-AN191+AG191-AO191+AH191-AP191+AI191))</f>
        <v>0</v>
      </c>
      <c r="AR191" s="21" t="n">
        <f aca="false">SUM(Y191:AD191)</f>
        <v>0</v>
      </c>
      <c r="AS191" s="21" t="n">
        <f aca="false">SUM(AL191:AQ191)</f>
        <v>0</v>
      </c>
    </row>
    <row r="192" customFormat="false" ht="15" hidden="false" customHeight="false" outlineLevel="0" collapsed="false">
      <c r="A192" s="25" t="n">
        <f aca="false">A191+1</f>
        <v>166</v>
      </c>
      <c r="B192" s="21" t="n">
        <f aca="false">MAX(0,ROUND(B191*(1+B$15),2)-O191)</f>
        <v>0</v>
      </c>
      <c r="C192" s="21" t="n">
        <f aca="false">MAX(0,ROUND(C191*(1+C$15),2)-P191)</f>
        <v>0</v>
      </c>
      <c r="D192" s="21" t="n">
        <f aca="false">MAX(0,ROUND(D191*(1+D$15),2)-Q191)</f>
        <v>0</v>
      </c>
      <c r="E192" s="21" t="n">
        <f aca="false">MAX(0,ROUND(E191*(1+E$15),2)-R191)</f>
        <v>0</v>
      </c>
      <c r="F192" s="21" t="n">
        <f aca="false">MAX(0,ROUND(F191*(1+F$15),2)-S191)</f>
        <v>0</v>
      </c>
      <c r="G192" s="21" t="n">
        <f aca="false">MAX(0,ROUND(G191*(1+G$15),2)-T191)</f>
        <v>0</v>
      </c>
      <c r="H192" s="21" t="n">
        <f aca="false">MIN(B$16,ROUND(B192*(1+B$15),2))</f>
        <v>0</v>
      </c>
      <c r="I192" s="21" t="n">
        <f aca="false">MIN(C$16,ROUND(C192*(1+C$15),2))</f>
        <v>0</v>
      </c>
      <c r="J192" s="21" t="n">
        <f aca="false">MIN(D$16,ROUND(D192*(1+D$15),2))</f>
        <v>0</v>
      </c>
      <c r="K192" s="21" t="n">
        <f aca="false">MIN(E$16,ROUND(E192*(1+E$15),2))</f>
        <v>0</v>
      </c>
      <c r="L192" s="21" t="n">
        <f aca="false">MIN(F$16,ROUND(F192*(1+F$15),2))</f>
        <v>0</v>
      </c>
      <c r="M192" s="21" t="n">
        <f aca="false">MIN(G$16,ROUND(G192*(1+G$15),2))</f>
        <v>0</v>
      </c>
      <c r="N192" s="21" t="n">
        <f aca="false">B$20-SUM(H192:M192)</f>
        <v>1170</v>
      </c>
      <c r="O192" s="21" t="n">
        <f aca="false">MIN(ROUND(B192*(1+B$15),2),H192+MAX(0,N192))</f>
        <v>0</v>
      </c>
      <c r="P192" s="21" t="n">
        <f aca="false">MIN(ROUND(C192*(1+C$15),2),I192+MAX(0,N192-O192+H192))</f>
        <v>0</v>
      </c>
      <c r="Q192" s="21" t="n">
        <f aca="false">MIN(ROUND(D192*(1+D$15),2),J192+MAX(0,N192-O192+H192-P192+I192))</f>
        <v>0</v>
      </c>
      <c r="R192" s="21" t="n">
        <f aca="false">MIN(ROUND(E192*(1+E$15),2),K192+MAX(0,N192-O192+H192-P192+I192-Q192+J192))</f>
        <v>0</v>
      </c>
      <c r="S192" s="21" t="n">
        <f aca="false">MIN(ROUND(F192*(1+F$15),2),L192+MAX(0,N192-O192+H192-P192+I192-Q192+J192-R192+K192))</f>
        <v>0</v>
      </c>
      <c r="T192" s="21" t="n">
        <f aca="false">MIN(ROUND(G192*(1+G$15),2),M192+MAX(0,N192-O192+H192-P192+I192-Q192+J192-R192+K192-S192+L192))</f>
        <v>0</v>
      </c>
      <c r="U192" s="21" t="n">
        <f aca="false">SUM(B192:G192)</f>
        <v>0</v>
      </c>
      <c r="V192" s="21" t="n">
        <f aca="false">SUM(O192:T192)</f>
        <v>0</v>
      </c>
      <c r="X192" s="25" t="n">
        <f aca="false">X191+1</f>
        <v>166</v>
      </c>
      <c r="Y192" s="21" t="n">
        <f aca="false">MAX(0,ROUND(Y191*(1+Y$15),2)-AL191)</f>
        <v>0</v>
      </c>
      <c r="Z192" s="21" t="n">
        <f aca="false">MAX(0,ROUND(Z191*(1+Z$15),2)-AM191)</f>
        <v>0</v>
      </c>
      <c r="AA192" s="21" t="n">
        <f aca="false">MAX(0,ROUND(AA191*(1+AA$15),2)-AN191)</f>
        <v>0</v>
      </c>
      <c r="AB192" s="21" t="n">
        <f aca="false">MAX(0,ROUND(AB191*(1+AB$15),2)-AO191)</f>
        <v>0</v>
      </c>
      <c r="AC192" s="21" t="n">
        <f aca="false">MAX(0,ROUND(AC191*(1+AC$15),2)-AP191)</f>
        <v>0</v>
      </c>
      <c r="AD192" s="21" t="n">
        <f aca="false">MAX(0,ROUND(AD191*(1+AD$15),2)-AQ191)</f>
        <v>0</v>
      </c>
      <c r="AE192" s="21" t="n">
        <f aca="false">MIN(Y$16,ROUND(Y192*(1+Y$15),2))</f>
        <v>0</v>
      </c>
      <c r="AF192" s="21" t="n">
        <f aca="false">MIN(Z$16,ROUND(Z192*(1+Z$15),2))</f>
        <v>0</v>
      </c>
      <c r="AG192" s="21" t="n">
        <f aca="false">MIN(AA$16,ROUND(AA192*(1+AA$15),2))</f>
        <v>0</v>
      </c>
      <c r="AH192" s="21" t="n">
        <f aca="false">MIN(AB$16,ROUND(AB192*(1+AB$15),2))</f>
        <v>0</v>
      </c>
      <c r="AI192" s="21" t="n">
        <f aca="false">MIN(AC$16,ROUND(AC192*(1+AC$15),2))</f>
        <v>0</v>
      </c>
      <c r="AJ192" s="21" t="n">
        <f aca="false">MIN(AD$16,ROUND(AD192*(1+AD$15),2))</f>
        <v>0</v>
      </c>
      <c r="AK192" s="21" t="n">
        <f aca="false">Y$20-SUM(AE192:AJ192)</f>
        <v>1170</v>
      </c>
      <c r="AL192" s="21" t="n">
        <f aca="false">MIN(ROUND(Y192*(1+Y$15),2),AE192+MAX(0,AK192))</f>
        <v>0</v>
      </c>
      <c r="AM192" s="21" t="n">
        <f aca="false">MIN(ROUND(Z192*(1+Z$15),2),AF192+MAX(0,AK192-AL192+AE192))</f>
        <v>0</v>
      </c>
      <c r="AN192" s="21" t="n">
        <f aca="false">MIN(ROUND(AA192*(1+AA$15),2),AG192+MAX(0,AK192-AL192+AE192-AM192+AF192))</f>
        <v>0</v>
      </c>
      <c r="AO192" s="21" t="n">
        <f aca="false">MIN(ROUND(AB192*(1+AB$15),2),AH192+MAX(0,AK192-AL192+AE192-AM192+AF192-AN192+AG192))</f>
        <v>0</v>
      </c>
      <c r="AP192" s="21" t="n">
        <f aca="false">MIN(ROUND(AC192*(1+AC$15),2),AI192+MAX(0,AK192-AL192+AE192-AM192+AF192-AN192+AG192-AO192+AH192))</f>
        <v>0</v>
      </c>
      <c r="AQ192" s="21" t="n">
        <f aca="false">MIN(ROUND(AD192*(1+AD$15),2),AJ192+MAX(0,AK192-AL192+AE192-AM192+AF192-AN192+AG192-AO192+AH192-AP192+AI192))</f>
        <v>0</v>
      </c>
      <c r="AR192" s="21" t="n">
        <f aca="false">SUM(Y192:AD192)</f>
        <v>0</v>
      </c>
      <c r="AS192" s="21" t="n">
        <f aca="false">SUM(AL192:AQ192)</f>
        <v>0</v>
      </c>
    </row>
    <row r="193" customFormat="false" ht="15" hidden="false" customHeight="false" outlineLevel="0" collapsed="false">
      <c r="A193" s="25" t="n">
        <f aca="false">A192+1</f>
        <v>167</v>
      </c>
      <c r="B193" s="21" t="n">
        <f aca="false">MAX(0,ROUND(B192*(1+B$15),2)-O192)</f>
        <v>0</v>
      </c>
      <c r="C193" s="21" t="n">
        <f aca="false">MAX(0,ROUND(C192*(1+C$15),2)-P192)</f>
        <v>0</v>
      </c>
      <c r="D193" s="21" t="n">
        <f aca="false">MAX(0,ROUND(D192*(1+D$15),2)-Q192)</f>
        <v>0</v>
      </c>
      <c r="E193" s="21" t="n">
        <f aca="false">MAX(0,ROUND(E192*(1+E$15),2)-R192)</f>
        <v>0</v>
      </c>
      <c r="F193" s="21" t="n">
        <f aca="false">MAX(0,ROUND(F192*(1+F$15),2)-S192)</f>
        <v>0</v>
      </c>
      <c r="G193" s="21" t="n">
        <f aca="false">MAX(0,ROUND(G192*(1+G$15),2)-T192)</f>
        <v>0</v>
      </c>
      <c r="H193" s="21" t="n">
        <f aca="false">MIN(B$16,ROUND(B193*(1+B$15),2))</f>
        <v>0</v>
      </c>
      <c r="I193" s="21" t="n">
        <f aca="false">MIN(C$16,ROUND(C193*(1+C$15),2))</f>
        <v>0</v>
      </c>
      <c r="J193" s="21" t="n">
        <f aca="false">MIN(D$16,ROUND(D193*(1+D$15),2))</f>
        <v>0</v>
      </c>
      <c r="K193" s="21" t="n">
        <f aca="false">MIN(E$16,ROUND(E193*(1+E$15),2))</f>
        <v>0</v>
      </c>
      <c r="L193" s="21" t="n">
        <f aca="false">MIN(F$16,ROUND(F193*(1+F$15),2))</f>
        <v>0</v>
      </c>
      <c r="M193" s="21" t="n">
        <f aca="false">MIN(G$16,ROUND(G193*(1+G$15),2))</f>
        <v>0</v>
      </c>
      <c r="N193" s="21" t="n">
        <f aca="false">B$20-SUM(H193:M193)</f>
        <v>1170</v>
      </c>
      <c r="O193" s="21" t="n">
        <f aca="false">MIN(ROUND(B193*(1+B$15),2),H193+MAX(0,N193))</f>
        <v>0</v>
      </c>
      <c r="P193" s="21" t="n">
        <f aca="false">MIN(ROUND(C193*(1+C$15),2),I193+MAX(0,N193-O193+H193))</f>
        <v>0</v>
      </c>
      <c r="Q193" s="21" t="n">
        <f aca="false">MIN(ROUND(D193*(1+D$15),2),J193+MAX(0,N193-O193+H193-P193+I193))</f>
        <v>0</v>
      </c>
      <c r="R193" s="21" t="n">
        <f aca="false">MIN(ROUND(E193*(1+E$15),2),K193+MAX(0,N193-O193+H193-P193+I193-Q193+J193))</f>
        <v>0</v>
      </c>
      <c r="S193" s="21" t="n">
        <f aca="false">MIN(ROUND(F193*(1+F$15),2),L193+MAX(0,N193-O193+H193-P193+I193-Q193+J193-R193+K193))</f>
        <v>0</v>
      </c>
      <c r="T193" s="21" t="n">
        <f aca="false">MIN(ROUND(G193*(1+G$15),2),M193+MAX(0,N193-O193+H193-P193+I193-Q193+J193-R193+K193-S193+L193))</f>
        <v>0</v>
      </c>
      <c r="U193" s="21" t="n">
        <f aca="false">SUM(B193:G193)</f>
        <v>0</v>
      </c>
      <c r="V193" s="21" t="n">
        <f aca="false">SUM(O193:T193)</f>
        <v>0</v>
      </c>
      <c r="X193" s="25" t="n">
        <f aca="false">X192+1</f>
        <v>167</v>
      </c>
      <c r="Y193" s="21" t="n">
        <f aca="false">MAX(0,ROUND(Y192*(1+Y$15),2)-AL192)</f>
        <v>0</v>
      </c>
      <c r="Z193" s="21" t="n">
        <f aca="false">MAX(0,ROUND(Z192*(1+Z$15),2)-AM192)</f>
        <v>0</v>
      </c>
      <c r="AA193" s="21" t="n">
        <f aca="false">MAX(0,ROUND(AA192*(1+AA$15),2)-AN192)</f>
        <v>0</v>
      </c>
      <c r="AB193" s="21" t="n">
        <f aca="false">MAX(0,ROUND(AB192*(1+AB$15),2)-AO192)</f>
        <v>0</v>
      </c>
      <c r="AC193" s="21" t="n">
        <f aca="false">MAX(0,ROUND(AC192*(1+AC$15),2)-AP192)</f>
        <v>0</v>
      </c>
      <c r="AD193" s="21" t="n">
        <f aca="false">MAX(0,ROUND(AD192*(1+AD$15),2)-AQ192)</f>
        <v>0</v>
      </c>
      <c r="AE193" s="21" t="n">
        <f aca="false">MIN(Y$16,ROUND(Y193*(1+Y$15),2))</f>
        <v>0</v>
      </c>
      <c r="AF193" s="21" t="n">
        <f aca="false">MIN(Z$16,ROUND(Z193*(1+Z$15),2))</f>
        <v>0</v>
      </c>
      <c r="AG193" s="21" t="n">
        <f aca="false">MIN(AA$16,ROUND(AA193*(1+AA$15),2))</f>
        <v>0</v>
      </c>
      <c r="AH193" s="21" t="n">
        <f aca="false">MIN(AB$16,ROUND(AB193*(1+AB$15),2))</f>
        <v>0</v>
      </c>
      <c r="AI193" s="21" t="n">
        <f aca="false">MIN(AC$16,ROUND(AC193*(1+AC$15),2))</f>
        <v>0</v>
      </c>
      <c r="AJ193" s="21" t="n">
        <f aca="false">MIN(AD$16,ROUND(AD193*(1+AD$15),2))</f>
        <v>0</v>
      </c>
      <c r="AK193" s="21" t="n">
        <f aca="false">Y$20-SUM(AE193:AJ193)</f>
        <v>1170</v>
      </c>
      <c r="AL193" s="21" t="n">
        <f aca="false">MIN(ROUND(Y193*(1+Y$15),2),AE193+MAX(0,AK193))</f>
        <v>0</v>
      </c>
      <c r="AM193" s="21" t="n">
        <f aca="false">MIN(ROUND(Z193*(1+Z$15),2),AF193+MAX(0,AK193-AL193+AE193))</f>
        <v>0</v>
      </c>
      <c r="AN193" s="21" t="n">
        <f aca="false">MIN(ROUND(AA193*(1+AA$15),2),AG193+MAX(0,AK193-AL193+AE193-AM193+AF193))</f>
        <v>0</v>
      </c>
      <c r="AO193" s="21" t="n">
        <f aca="false">MIN(ROUND(AB193*(1+AB$15),2),AH193+MAX(0,AK193-AL193+AE193-AM193+AF193-AN193+AG193))</f>
        <v>0</v>
      </c>
      <c r="AP193" s="21" t="n">
        <f aca="false">MIN(ROUND(AC193*(1+AC$15),2),AI193+MAX(0,AK193-AL193+AE193-AM193+AF193-AN193+AG193-AO193+AH193))</f>
        <v>0</v>
      </c>
      <c r="AQ193" s="21" t="n">
        <f aca="false">MIN(ROUND(AD193*(1+AD$15),2),AJ193+MAX(0,AK193-AL193+AE193-AM193+AF193-AN193+AG193-AO193+AH193-AP193+AI193))</f>
        <v>0</v>
      </c>
      <c r="AR193" s="21" t="n">
        <f aca="false">SUM(Y193:AD193)</f>
        <v>0</v>
      </c>
      <c r="AS193" s="21" t="n">
        <f aca="false">SUM(AL193:AQ193)</f>
        <v>0</v>
      </c>
    </row>
    <row r="194" customFormat="false" ht="15" hidden="false" customHeight="false" outlineLevel="0" collapsed="false">
      <c r="A194" s="25" t="n">
        <f aca="false">A193+1</f>
        <v>168</v>
      </c>
      <c r="B194" s="21" t="n">
        <f aca="false">MAX(0,ROUND(B193*(1+B$15),2)-O193)</f>
        <v>0</v>
      </c>
      <c r="C194" s="21" t="n">
        <f aca="false">MAX(0,ROUND(C193*(1+C$15),2)-P193)</f>
        <v>0</v>
      </c>
      <c r="D194" s="21" t="n">
        <f aca="false">MAX(0,ROUND(D193*(1+D$15),2)-Q193)</f>
        <v>0</v>
      </c>
      <c r="E194" s="21" t="n">
        <f aca="false">MAX(0,ROUND(E193*(1+E$15),2)-R193)</f>
        <v>0</v>
      </c>
      <c r="F194" s="21" t="n">
        <f aca="false">MAX(0,ROUND(F193*(1+F$15),2)-S193)</f>
        <v>0</v>
      </c>
      <c r="G194" s="21" t="n">
        <f aca="false">MAX(0,ROUND(G193*(1+G$15),2)-T193)</f>
        <v>0</v>
      </c>
      <c r="H194" s="21" t="n">
        <f aca="false">MIN(B$16,ROUND(B194*(1+B$15),2))</f>
        <v>0</v>
      </c>
      <c r="I194" s="21" t="n">
        <f aca="false">MIN(C$16,ROUND(C194*(1+C$15),2))</f>
        <v>0</v>
      </c>
      <c r="J194" s="21" t="n">
        <f aca="false">MIN(D$16,ROUND(D194*(1+D$15),2))</f>
        <v>0</v>
      </c>
      <c r="K194" s="21" t="n">
        <f aca="false">MIN(E$16,ROUND(E194*(1+E$15),2))</f>
        <v>0</v>
      </c>
      <c r="L194" s="21" t="n">
        <f aca="false">MIN(F$16,ROUND(F194*(1+F$15),2))</f>
        <v>0</v>
      </c>
      <c r="M194" s="21" t="n">
        <f aca="false">MIN(G$16,ROUND(G194*(1+G$15),2))</f>
        <v>0</v>
      </c>
      <c r="N194" s="21" t="n">
        <f aca="false">B$20-SUM(H194:M194)</f>
        <v>1170</v>
      </c>
      <c r="O194" s="21" t="n">
        <f aca="false">MIN(ROUND(B194*(1+B$15),2),H194+MAX(0,N194))</f>
        <v>0</v>
      </c>
      <c r="P194" s="21" t="n">
        <f aca="false">MIN(ROUND(C194*(1+C$15),2),I194+MAX(0,N194-O194+H194))</f>
        <v>0</v>
      </c>
      <c r="Q194" s="21" t="n">
        <f aca="false">MIN(ROUND(D194*(1+D$15),2),J194+MAX(0,N194-O194+H194-P194+I194))</f>
        <v>0</v>
      </c>
      <c r="R194" s="21" t="n">
        <f aca="false">MIN(ROUND(E194*(1+E$15),2),K194+MAX(0,N194-O194+H194-P194+I194-Q194+J194))</f>
        <v>0</v>
      </c>
      <c r="S194" s="21" t="n">
        <f aca="false">MIN(ROUND(F194*(1+F$15),2),L194+MAX(0,N194-O194+H194-P194+I194-Q194+J194-R194+K194))</f>
        <v>0</v>
      </c>
      <c r="T194" s="21" t="n">
        <f aca="false">MIN(ROUND(G194*(1+G$15),2),M194+MAX(0,N194-O194+H194-P194+I194-Q194+J194-R194+K194-S194+L194))</f>
        <v>0</v>
      </c>
      <c r="U194" s="21" t="n">
        <f aca="false">SUM(B194:G194)</f>
        <v>0</v>
      </c>
      <c r="V194" s="21" t="n">
        <f aca="false">SUM(O194:T194)</f>
        <v>0</v>
      </c>
      <c r="X194" s="25" t="n">
        <f aca="false">X193+1</f>
        <v>168</v>
      </c>
      <c r="Y194" s="21" t="n">
        <f aca="false">MAX(0,ROUND(Y193*(1+Y$15),2)-AL193)</f>
        <v>0</v>
      </c>
      <c r="Z194" s="21" t="n">
        <f aca="false">MAX(0,ROUND(Z193*(1+Z$15),2)-AM193)</f>
        <v>0</v>
      </c>
      <c r="AA194" s="21" t="n">
        <f aca="false">MAX(0,ROUND(AA193*(1+AA$15),2)-AN193)</f>
        <v>0</v>
      </c>
      <c r="AB194" s="21" t="n">
        <f aca="false">MAX(0,ROUND(AB193*(1+AB$15),2)-AO193)</f>
        <v>0</v>
      </c>
      <c r="AC194" s="21" t="n">
        <f aca="false">MAX(0,ROUND(AC193*(1+AC$15),2)-AP193)</f>
        <v>0</v>
      </c>
      <c r="AD194" s="21" t="n">
        <f aca="false">MAX(0,ROUND(AD193*(1+AD$15),2)-AQ193)</f>
        <v>0</v>
      </c>
      <c r="AE194" s="21" t="n">
        <f aca="false">MIN(Y$16,ROUND(Y194*(1+Y$15),2))</f>
        <v>0</v>
      </c>
      <c r="AF194" s="21" t="n">
        <f aca="false">MIN(Z$16,ROUND(Z194*(1+Z$15),2))</f>
        <v>0</v>
      </c>
      <c r="AG194" s="21" t="n">
        <f aca="false">MIN(AA$16,ROUND(AA194*(1+AA$15),2))</f>
        <v>0</v>
      </c>
      <c r="AH194" s="21" t="n">
        <f aca="false">MIN(AB$16,ROUND(AB194*(1+AB$15),2))</f>
        <v>0</v>
      </c>
      <c r="AI194" s="21" t="n">
        <f aca="false">MIN(AC$16,ROUND(AC194*(1+AC$15),2))</f>
        <v>0</v>
      </c>
      <c r="AJ194" s="21" t="n">
        <f aca="false">MIN(AD$16,ROUND(AD194*(1+AD$15),2))</f>
        <v>0</v>
      </c>
      <c r="AK194" s="21" t="n">
        <f aca="false">Y$20-SUM(AE194:AJ194)</f>
        <v>1170</v>
      </c>
      <c r="AL194" s="21" t="n">
        <f aca="false">MIN(ROUND(Y194*(1+Y$15),2),AE194+MAX(0,AK194))</f>
        <v>0</v>
      </c>
      <c r="AM194" s="21" t="n">
        <f aca="false">MIN(ROUND(Z194*(1+Z$15),2),AF194+MAX(0,AK194-AL194+AE194))</f>
        <v>0</v>
      </c>
      <c r="AN194" s="21" t="n">
        <f aca="false">MIN(ROUND(AA194*(1+AA$15),2),AG194+MAX(0,AK194-AL194+AE194-AM194+AF194))</f>
        <v>0</v>
      </c>
      <c r="AO194" s="21" t="n">
        <f aca="false">MIN(ROUND(AB194*(1+AB$15),2),AH194+MAX(0,AK194-AL194+AE194-AM194+AF194-AN194+AG194))</f>
        <v>0</v>
      </c>
      <c r="AP194" s="21" t="n">
        <f aca="false">MIN(ROUND(AC194*(1+AC$15),2),AI194+MAX(0,AK194-AL194+AE194-AM194+AF194-AN194+AG194-AO194+AH194))</f>
        <v>0</v>
      </c>
      <c r="AQ194" s="21" t="n">
        <f aca="false">MIN(ROUND(AD194*(1+AD$15),2),AJ194+MAX(0,AK194-AL194+AE194-AM194+AF194-AN194+AG194-AO194+AH194-AP194+AI194))</f>
        <v>0</v>
      </c>
      <c r="AR194" s="21" t="n">
        <f aca="false">SUM(Y194:AD194)</f>
        <v>0</v>
      </c>
      <c r="AS194" s="21" t="n">
        <f aca="false">SUM(AL194:AQ194)</f>
        <v>0</v>
      </c>
    </row>
    <row r="195" customFormat="false" ht="15" hidden="false" customHeight="false" outlineLevel="0" collapsed="false">
      <c r="A195" s="25" t="n">
        <f aca="false">A194+1</f>
        <v>169</v>
      </c>
      <c r="B195" s="21" t="n">
        <f aca="false">MAX(0,ROUND(B194*(1+B$15),2)-O194)</f>
        <v>0</v>
      </c>
      <c r="C195" s="21" t="n">
        <f aca="false">MAX(0,ROUND(C194*(1+C$15),2)-P194)</f>
        <v>0</v>
      </c>
      <c r="D195" s="21" t="n">
        <f aca="false">MAX(0,ROUND(D194*(1+D$15),2)-Q194)</f>
        <v>0</v>
      </c>
      <c r="E195" s="21" t="n">
        <f aca="false">MAX(0,ROUND(E194*(1+E$15),2)-R194)</f>
        <v>0</v>
      </c>
      <c r="F195" s="21" t="n">
        <f aca="false">MAX(0,ROUND(F194*(1+F$15),2)-S194)</f>
        <v>0</v>
      </c>
      <c r="G195" s="21" t="n">
        <f aca="false">MAX(0,ROUND(G194*(1+G$15),2)-T194)</f>
        <v>0</v>
      </c>
      <c r="H195" s="21" t="n">
        <f aca="false">MIN(B$16,ROUND(B195*(1+B$15),2))</f>
        <v>0</v>
      </c>
      <c r="I195" s="21" t="n">
        <f aca="false">MIN(C$16,ROUND(C195*(1+C$15),2))</f>
        <v>0</v>
      </c>
      <c r="J195" s="21" t="n">
        <f aca="false">MIN(D$16,ROUND(D195*(1+D$15),2))</f>
        <v>0</v>
      </c>
      <c r="K195" s="21" t="n">
        <f aca="false">MIN(E$16,ROUND(E195*(1+E$15),2))</f>
        <v>0</v>
      </c>
      <c r="L195" s="21" t="n">
        <f aca="false">MIN(F$16,ROUND(F195*(1+F$15),2))</f>
        <v>0</v>
      </c>
      <c r="M195" s="21" t="n">
        <f aca="false">MIN(G$16,ROUND(G195*(1+G$15),2))</f>
        <v>0</v>
      </c>
      <c r="N195" s="21" t="n">
        <f aca="false">B$20-SUM(H195:M195)</f>
        <v>1170</v>
      </c>
      <c r="O195" s="21" t="n">
        <f aca="false">MIN(ROUND(B195*(1+B$15),2),H195+MAX(0,N195))</f>
        <v>0</v>
      </c>
      <c r="P195" s="21" t="n">
        <f aca="false">MIN(ROUND(C195*(1+C$15),2),I195+MAX(0,N195-O195+H195))</f>
        <v>0</v>
      </c>
      <c r="Q195" s="21" t="n">
        <f aca="false">MIN(ROUND(D195*(1+D$15),2),J195+MAX(0,N195-O195+H195-P195+I195))</f>
        <v>0</v>
      </c>
      <c r="R195" s="21" t="n">
        <f aca="false">MIN(ROUND(E195*(1+E$15),2),K195+MAX(0,N195-O195+H195-P195+I195-Q195+J195))</f>
        <v>0</v>
      </c>
      <c r="S195" s="21" t="n">
        <f aca="false">MIN(ROUND(F195*(1+F$15),2),L195+MAX(0,N195-O195+H195-P195+I195-Q195+J195-R195+K195))</f>
        <v>0</v>
      </c>
      <c r="T195" s="21" t="n">
        <f aca="false">MIN(ROUND(G195*(1+G$15),2),M195+MAX(0,N195-O195+H195-P195+I195-Q195+J195-R195+K195-S195+L195))</f>
        <v>0</v>
      </c>
      <c r="U195" s="21" t="n">
        <f aca="false">SUM(B195:G195)</f>
        <v>0</v>
      </c>
      <c r="V195" s="21" t="n">
        <f aca="false">SUM(O195:T195)</f>
        <v>0</v>
      </c>
      <c r="X195" s="25" t="n">
        <f aca="false">X194+1</f>
        <v>169</v>
      </c>
      <c r="Y195" s="21" t="n">
        <f aca="false">MAX(0,ROUND(Y194*(1+Y$15),2)-AL194)</f>
        <v>0</v>
      </c>
      <c r="Z195" s="21" t="n">
        <f aca="false">MAX(0,ROUND(Z194*(1+Z$15),2)-AM194)</f>
        <v>0</v>
      </c>
      <c r="AA195" s="21" t="n">
        <f aca="false">MAX(0,ROUND(AA194*(1+AA$15),2)-AN194)</f>
        <v>0</v>
      </c>
      <c r="AB195" s="21" t="n">
        <f aca="false">MAX(0,ROUND(AB194*(1+AB$15),2)-AO194)</f>
        <v>0</v>
      </c>
      <c r="AC195" s="21" t="n">
        <f aca="false">MAX(0,ROUND(AC194*(1+AC$15),2)-AP194)</f>
        <v>0</v>
      </c>
      <c r="AD195" s="21" t="n">
        <f aca="false">MAX(0,ROUND(AD194*(1+AD$15),2)-AQ194)</f>
        <v>0</v>
      </c>
      <c r="AE195" s="21" t="n">
        <f aca="false">MIN(Y$16,ROUND(Y195*(1+Y$15),2))</f>
        <v>0</v>
      </c>
      <c r="AF195" s="21" t="n">
        <f aca="false">MIN(Z$16,ROUND(Z195*(1+Z$15),2))</f>
        <v>0</v>
      </c>
      <c r="AG195" s="21" t="n">
        <f aca="false">MIN(AA$16,ROUND(AA195*(1+AA$15),2))</f>
        <v>0</v>
      </c>
      <c r="AH195" s="21" t="n">
        <f aca="false">MIN(AB$16,ROUND(AB195*(1+AB$15),2))</f>
        <v>0</v>
      </c>
      <c r="AI195" s="21" t="n">
        <f aca="false">MIN(AC$16,ROUND(AC195*(1+AC$15),2))</f>
        <v>0</v>
      </c>
      <c r="AJ195" s="21" t="n">
        <f aca="false">MIN(AD$16,ROUND(AD195*(1+AD$15),2))</f>
        <v>0</v>
      </c>
      <c r="AK195" s="21" t="n">
        <f aca="false">Y$20-SUM(AE195:AJ195)</f>
        <v>1170</v>
      </c>
      <c r="AL195" s="21" t="n">
        <f aca="false">MIN(ROUND(Y195*(1+Y$15),2),AE195+MAX(0,AK195))</f>
        <v>0</v>
      </c>
      <c r="AM195" s="21" t="n">
        <f aca="false">MIN(ROUND(Z195*(1+Z$15),2),AF195+MAX(0,AK195-AL195+AE195))</f>
        <v>0</v>
      </c>
      <c r="AN195" s="21" t="n">
        <f aca="false">MIN(ROUND(AA195*(1+AA$15),2),AG195+MAX(0,AK195-AL195+AE195-AM195+AF195))</f>
        <v>0</v>
      </c>
      <c r="AO195" s="21" t="n">
        <f aca="false">MIN(ROUND(AB195*(1+AB$15),2),AH195+MAX(0,AK195-AL195+AE195-AM195+AF195-AN195+AG195))</f>
        <v>0</v>
      </c>
      <c r="AP195" s="21" t="n">
        <f aca="false">MIN(ROUND(AC195*(1+AC$15),2),AI195+MAX(0,AK195-AL195+AE195-AM195+AF195-AN195+AG195-AO195+AH195))</f>
        <v>0</v>
      </c>
      <c r="AQ195" s="21" t="n">
        <f aca="false">MIN(ROUND(AD195*(1+AD$15),2),AJ195+MAX(0,AK195-AL195+AE195-AM195+AF195-AN195+AG195-AO195+AH195-AP195+AI195))</f>
        <v>0</v>
      </c>
      <c r="AR195" s="21" t="n">
        <f aca="false">SUM(Y195:AD195)</f>
        <v>0</v>
      </c>
      <c r="AS195" s="21" t="n">
        <f aca="false">SUM(AL195:AQ195)</f>
        <v>0</v>
      </c>
    </row>
    <row r="196" customFormat="false" ht="15" hidden="false" customHeight="false" outlineLevel="0" collapsed="false">
      <c r="A196" s="25" t="n">
        <f aca="false">A195+1</f>
        <v>170</v>
      </c>
      <c r="B196" s="21" t="n">
        <f aca="false">MAX(0,ROUND(B195*(1+B$15),2)-O195)</f>
        <v>0</v>
      </c>
      <c r="C196" s="21" t="n">
        <f aca="false">MAX(0,ROUND(C195*(1+C$15),2)-P195)</f>
        <v>0</v>
      </c>
      <c r="D196" s="21" t="n">
        <f aca="false">MAX(0,ROUND(D195*(1+D$15),2)-Q195)</f>
        <v>0</v>
      </c>
      <c r="E196" s="21" t="n">
        <f aca="false">MAX(0,ROUND(E195*(1+E$15),2)-R195)</f>
        <v>0</v>
      </c>
      <c r="F196" s="21" t="n">
        <f aca="false">MAX(0,ROUND(F195*(1+F$15),2)-S195)</f>
        <v>0</v>
      </c>
      <c r="G196" s="21" t="n">
        <f aca="false">MAX(0,ROUND(G195*(1+G$15),2)-T195)</f>
        <v>0</v>
      </c>
      <c r="H196" s="21" t="n">
        <f aca="false">MIN(B$16,ROUND(B196*(1+B$15),2))</f>
        <v>0</v>
      </c>
      <c r="I196" s="21" t="n">
        <f aca="false">MIN(C$16,ROUND(C196*(1+C$15),2))</f>
        <v>0</v>
      </c>
      <c r="J196" s="21" t="n">
        <f aca="false">MIN(D$16,ROUND(D196*(1+D$15),2))</f>
        <v>0</v>
      </c>
      <c r="K196" s="21" t="n">
        <f aca="false">MIN(E$16,ROUND(E196*(1+E$15),2))</f>
        <v>0</v>
      </c>
      <c r="L196" s="21" t="n">
        <f aca="false">MIN(F$16,ROUND(F196*(1+F$15),2))</f>
        <v>0</v>
      </c>
      <c r="M196" s="21" t="n">
        <f aca="false">MIN(G$16,ROUND(G196*(1+G$15),2))</f>
        <v>0</v>
      </c>
      <c r="N196" s="21" t="n">
        <f aca="false">B$20-SUM(H196:M196)</f>
        <v>1170</v>
      </c>
      <c r="O196" s="21" t="n">
        <f aca="false">MIN(ROUND(B196*(1+B$15),2),H196+MAX(0,N196))</f>
        <v>0</v>
      </c>
      <c r="P196" s="21" t="n">
        <f aca="false">MIN(ROUND(C196*(1+C$15),2),I196+MAX(0,N196-O196+H196))</f>
        <v>0</v>
      </c>
      <c r="Q196" s="21" t="n">
        <f aca="false">MIN(ROUND(D196*(1+D$15),2),J196+MAX(0,N196-O196+H196-P196+I196))</f>
        <v>0</v>
      </c>
      <c r="R196" s="21" t="n">
        <f aca="false">MIN(ROUND(E196*(1+E$15),2),K196+MAX(0,N196-O196+H196-P196+I196-Q196+J196))</f>
        <v>0</v>
      </c>
      <c r="S196" s="21" t="n">
        <f aca="false">MIN(ROUND(F196*(1+F$15),2),L196+MAX(0,N196-O196+H196-P196+I196-Q196+J196-R196+K196))</f>
        <v>0</v>
      </c>
      <c r="T196" s="21" t="n">
        <f aca="false">MIN(ROUND(G196*(1+G$15),2),M196+MAX(0,N196-O196+H196-P196+I196-Q196+J196-R196+K196-S196+L196))</f>
        <v>0</v>
      </c>
      <c r="U196" s="21" t="n">
        <f aca="false">SUM(B196:G196)</f>
        <v>0</v>
      </c>
      <c r="V196" s="21" t="n">
        <f aca="false">SUM(O196:T196)</f>
        <v>0</v>
      </c>
      <c r="X196" s="25" t="n">
        <f aca="false">X195+1</f>
        <v>170</v>
      </c>
      <c r="Y196" s="21" t="n">
        <f aca="false">MAX(0,ROUND(Y195*(1+Y$15),2)-AL195)</f>
        <v>0</v>
      </c>
      <c r="Z196" s="21" t="n">
        <f aca="false">MAX(0,ROUND(Z195*(1+Z$15),2)-AM195)</f>
        <v>0</v>
      </c>
      <c r="AA196" s="21" t="n">
        <f aca="false">MAX(0,ROUND(AA195*(1+AA$15),2)-AN195)</f>
        <v>0</v>
      </c>
      <c r="AB196" s="21" t="n">
        <f aca="false">MAX(0,ROUND(AB195*(1+AB$15),2)-AO195)</f>
        <v>0</v>
      </c>
      <c r="AC196" s="21" t="n">
        <f aca="false">MAX(0,ROUND(AC195*(1+AC$15),2)-AP195)</f>
        <v>0</v>
      </c>
      <c r="AD196" s="21" t="n">
        <f aca="false">MAX(0,ROUND(AD195*(1+AD$15),2)-AQ195)</f>
        <v>0</v>
      </c>
      <c r="AE196" s="21" t="n">
        <f aca="false">MIN(Y$16,ROUND(Y196*(1+Y$15),2))</f>
        <v>0</v>
      </c>
      <c r="AF196" s="21" t="n">
        <f aca="false">MIN(Z$16,ROUND(Z196*(1+Z$15),2))</f>
        <v>0</v>
      </c>
      <c r="AG196" s="21" t="n">
        <f aca="false">MIN(AA$16,ROUND(AA196*(1+AA$15),2))</f>
        <v>0</v>
      </c>
      <c r="AH196" s="21" t="n">
        <f aca="false">MIN(AB$16,ROUND(AB196*(1+AB$15),2))</f>
        <v>0</v>
      </c>
      <c r="AI196" s="21" t="n">
        <f aca="false">MIN(AC$16,ROUND(AC196*(1+AC$15),2))</f>
        <v>0</v>
      </c>
      <c r="AJ196" s="21" t="n">
        <f aca="false">MIN(AD$16,ROUND(AD196*(1+AD$15),2))</f>
        <v>0</v>
      </c>
      <c r="AK196" s="21" t="n">
        <f aca="false">Y$20-SUM(AE196:AJ196)</f>
        <v>1170</v>
      </c>
      <c r="AL196" s="21" t="n">
        <f aca="false">MIN(ROUND(Y196*(1+Y$15),2),AE196+MAX(0,AK196))</f>
        <v>0</v>
      </c>
      <c r="AM196" s="21" t="n">
        <f aca="false">MIN(ROUND(Z196*(1+Z$15),2),AF196+MAX(0,AK196-AL196+AE196))</f>
        <v>0</v>
      </c>
      <c r="AN196" s="21" t="n">
        <f aca="false">MIN(ROUND(AA196*(1+AA$15),2),AG196+MAX(0,AK196-AL196+AE196-AM196+AF196))</f>
        <v>0</v>
      </c>
      <c r="AO196" s="21" t="n">
        <f aca="false">MIN(ROUND(AB196*(1+AB$15),2),AH196+MAX(0,AK196-AL196+AE196-AM196+AF196-AN196+AG196))</f>
        <v>0</v>
      </c>
      <c r="AP196" s="21" t="n">
        <f aca="false">MIN(ROUND(AC196*(1+AC$15),2),AI196+MAX(0,AK196-AL196+AE196-AM196+AF196-AN196+AG196-AO196+AH196))</f>
        <v>0</v>
      </c>
      <c r="AQ196" s="21" t="n">
        <f aca="false">MIN(ROUND(AD196*(1+AD$15),2),AJ196+MAX(0,AK196-AL196+AE196-AM196+AF196-AN196+AG196-AO196+AH196-AP196+AI196))</f>
        <v>0</v>
      </c>
      <c r="AR196" s="21" t="n">
        <f aca="false">SUM(Y196:AD196)</f>
        <v>0</v>
      </c>
      <c r="AS196" s="21" t="n">
        <f aca="false">SUM(AL196:AQ196)</f>
        <v>0</v>
      </c>
    </row>
    <row r="197" customFormat="false" ht="15" hidden="false" customHeight="false" outlineLevel="0" collapsed="false">
      <c r="A197" s="25" t="n">
        <f aca="false">A196+1</f>
        <v>171</v>
      </c>
      <c r="B197" s="21" t="n">
        <f aca="false">MAX(0,ROUND(B196*(1+B$15),2)-O196)</f>
        <v>0</v>
      </c>
      <c r="C197" s="21" t="n">
        <f aca="false">MAX(0,ROUND(C196*(1+C$15),2)-P196)</f>
        <v>0</v>
      </c>
      <c r="D197" s="21" t="n">
        <f aca="false">MAX(0,ROUND(D196*(1+D$15),2)-Q196)</f>
        <v>0</v>
      </c>
      <c r="E197" s="21" t="n">
        <f aca="false">MAX(0,ROUND(E196*(1+E$15),2)-R196)</f>
        <v>0</v>
      </c>
      <c r="F197" s="21" t="n">
        <f aca="false">MAX(0,ROUND(F196*(1+F$15),2)-S196)</f>
        <v>0</v>
      </c>
      <c r="G197" s="21" t="n">
        <f aca="false">MAX(0,ROUND(G196*(1+G$15),2)-T196)</f>
        <v>0</v>
      </c>
      <c r="H197" s="21" t="n">
        <f aca="false">MIN(B$16,ROUND(B197*(1+B$15),2))</f>
        <v>0</v>
      </c>
      <c r="I197" s="21" t="n">
        <f aca="false">MIN(C$16,ROUND(C197*(1+C$15),2))</f>
        <v>0</v>
      </c>
      <c r="J197" s="21" t="n">
        <f aca="false">MIN(D$16,ROUND(D197*(1+D$15),2))</f>
        <v>0</v>
      </c>
      <c r="K197" s="21" t="n">
        <f aca="false">MIN(E$16,ROUND(E197*(1+E$15),2))</f>
        <v>0</v>
      </c>
      <c r="L197" s="21" t="n">
        <f aca="false">MIN(F$16,ROUND(F197*(1+F$15),2))</f>
        <v>0</v>
      </c>
      <c r="M197" s="21" t="n">
        <f aca="false">MIN(G$16,ROUND(G197*(1+G$15),2))</f>
        <v>0</v>
      </c>
      <c r="N197" s="21" t="n">
        <f aca="false">B$20-SUM(H197:M197)</f>
        <v>1170</v>
      </c>
      <c r="O197" s="21" t="n">
        <f aca="false">MIN(ROUND(B197*(1+B$15),2),H197+MAX(0,N197))</f>
        <v>0</v>
      </c>
      <c r="P197" s="21" t="n">
        <f aca="false">MIN(ROUND(C197*(1+C$15),2),I197+MAX(0,N197-O197+H197))</f>
        <v>0</v>
      </c>
      <c r="Q197" s="21" t="n">
        <f aca="false">MIN(ROUND(D197*(1+D$15),2),J197+MAX(0,N197-O197+H197-P197+I197))</f>
        <v>0</v>
      </c>
      <c r="R197" s="21" t="n">
        <f aca="false">MIN(ROUND(E197*(1+E$15),2),K197+MAX(0,N197-O197+H197-P197+I197-Q197+J197))</f>
        <v>0</v>
      </c>
      <c r="S197" s="21" t="n">
        <f aca="false">MIN(ROUND(F197*(1+F$15),2),L197+MAX(0,N197-O197+H197-P197+I197-Q197+J197-R197+K197))</f>
        <v>0</v>
      </c>
      <c r="T197" s="21" t="n">
        <f aca="false">MIN(ROUND(G197*(1+G$15),2),M197+MAX(0,N197-O197+H197-P197+I197-Q197+J197-R197+K197-S197+L197))</f>
        <v>0</v>
      </c>
      <c r="U197" s="21" t="n">
        <f aca="false">SUM(B197:G197)</f>
        <v>0</v>
      </c>
      <c r="V197" s="21" t="n">
        <f aca="false">SUM(O197:T197)</f>
        <v>0</v>
      </c>
      <c r="X197" s="25" t="n">
        <f aca="false">X196+1</f>
        <v>171</v>
      </c>
      <c r="Y197" s="21" t="n">
        <f aca="false">MAX(0,ROUND(Y196*(1+Y$15),2)-AL196)</f>
        <v>0</v>
      </c>
      <c r="Z197" s="21" t="n">
        <f aca="false">MAX(0,ROUND(Z196*(1+Z$15),2)-AM196)</f>
        <v>0</v>
      </c>
      <c r="AA197" s="21" t="n">
        <f aca="false">MAX(0,ROUND(AA196*(1+AA$15),2)-AN196)</f>
        <v>0</v>
      </c>
      <c r="AB197" s="21" t="n">
        <f aca="false">MAX(0,ROUND(AB196*(1+AB$15),2)-AO196)</f>
        <v>0</v>
      </c>
      <c r="AC197" s="21" t="n">
        <f aca="false">MAX(0,ROUND(AC196*(1+AC$15),2)-AP196)</f>
        <v>0</v>
      </c>
      <c r="AD197" s="21" t="n">
        <f aca="false">MAX(0,ROUND(AD196*(1+AD$15),2)-AQ196)</f>
        <v>0</v>
      </c>
      <c r="AE197" s="21" t="n">
        <f aca="false">MIN(Y$16,ROUND(Y197*(1+Y$15),2))</f>
        <v>0</v>
      </c>
      <c r="AF197" s="21" t="n">
        <f aca="false">MIN(Z$16,ROUND(Z197*(1+Z$15),2))</f>
        <v>0</v>
      </c>
      <c r="AG197" s="21" t="n">
        <f aca="false">MIN(AA$16,ROUND(AA197*(1+AA$15),2))</f>
        <v>0</v>
      </c>
      <c r="AH197" s="21" t="n">
        <f aca="false">MIN(AB$16,ROUND(AB197*(1+AB$15),2))</f>
        <v>0</v>
      </c>
      <c r="AI197" s="21" t="n">
        <f aca="false">MIN(AC$16,ROUND(AC197*(1+AC$15),2))</f>
        <v>0</v>
      </c>
      <c r="AJ197" s="21" t="n">
        <f aca="false">MIN(AD$16,ROUND(AD197*(1+AD$15),2))</f>
        <v>0</v>
      </c>
      <c r="AK197" s="21" t="n">
        <f aca="false">Y$20-SUM(AE197:AJ197)</f>
        <v>1170</v>
      </c>
      <c r="AL197" s="21" t="n">
        <f aca="false">MIN(ROUND(Y197*(1+Y$15),2),AE197+MAX(0,AK197))</f>
        <v>0</v>
      </c>
      <c r="AM197" s="21" t="n">
        <f aca="false">MIN(ROUND(Z197*(1+Z$15),2),AF197+MAX(0,AK197-AL197+AE197))</f>
        <v>0</v>
      </c>
      <c r="AN197" s="21" t="n">
        <f aca="false">MIN(ROUND(AA197*(1+AA$15),2),AG197+MAX(0,AK197-AL197+AE197-AM197+AF197))</f>
        <v>0</v>
      </c>
      <c r="AO197" s="21" t="n">
        <f aca="false">MIN(ROUND(AB197*(1+AB$15),2),AH197+MAX(0,AK197-AL197+AE197-AM197+AF197-AN197+AG197))</f>
        <v>0</v>
      </c>
      <c r="AP197" s="21" t="n">
        <f aca="false">MIN(ROUND(AC197*(1+AC$15),2),AI197+MAX(0,AK197-AL197+AE197-AM197+AF197-AN197+AG197-AO197+AH197))</f>
        <v>0</v>
      </c>
      <c r="AQ197" s="21" t="n">
        <f aca="false">MIN(ROUND(AD197*(1+AD$15),2),AJ197+MAX(0,AK197-AL197+AE197-AM197+AF197-AN197+AG197-AO197+AH197-AP197+AI197))</f>
        <v>0</v>
      </c>
      <c r="AR197" s="21" t="n">
        <f aca="false">SUM(Y197:AD197)</f>
        <v>0</v>
      </c>
      <c r="AS197" s="21" t="n">
        <f aca="false">SUM(AL197:AQ197)</f>
        <v>0</v>
      </c>
    </row>
    <row r="198" customFormat="false" ht="15" hidden="false" customHeight="false" outlineLevel="0" collapsed="false">
      <c r="A198" s="25" t="n">
        <f aca="false">A197+1</f>
        <v>172</v>
      </c>
      <c r="B198" s="21" t="n">
        <f aca="false">MAX(0,ROUND(B197*(1+B$15),2)-O197)</f>
        <v>0</v>
      </c>
      <c r="C198" s="21" t="n">
        <f aca="false">MAX(0,ROUND(C197*(1+C$15),2)-P197)</f>
        <v>0</v>
      </c>
      <c r="D198" s="21" t="n">
        <f aca="false">MAX(0,ROUND(D197*(1+D$15),2)-Q197)</f>
        <v>0</v>
      </c>
      <c r="E198" s="21" t="n">
        <f aca="false">MAX(0,ROUND(E197*(1+E$15),2)-R197)</f>
        <v>0</v>
      </c>
      <c r="F198" s="21" t="n">
        <f aca="false">MAX(0,ROUND(F197*(1+F$15),2)-S197)</f>
        <v>0</v>
      </c>
      <c r="G198" s="21" t="n">
        <f aca="false">MAX(0,ROUND(G197*(1+G$15),2)-T197)</f>
        <v>0</v>
      </c>
      <c r="H198" s="21" t="n">
        <f aca="false">MIN(B$16,ROUND(B198*(1+B$15),2))</f>
        <v>0</v>
      </c>
      <c r="I198" s="21" t="n">
        <f aca="false">MIN(C$16,ROUND(C198*(1+C$15),2))</f>
        <v>0</v>
      </c>
      <c r="J198" s="21" t="n">
        <f aca="false">MIN(D$16,ROUND(D198*(1+D$15),2))</f>
        <v>0</v>
      </c>
      <c r="K198" s="21" t="n">
        <f aca="false">MIN(E$16,ROUND(E198*(1+E$15),2))</f>
        <v>0</v>
      </c>
      <c r="L198" s="21" t="n">
        <f aca="false">MIN(F$16,ROUND(F198*(1+F$15),2))</f>
        <v>0</v>
      </c>
      <c r="M198" s="21" t="n">
        <f aca="false">MIN(G$16,ROUND(G198*(1+G$15),2))</f>
        <v>0</v>
      </c>
      <c r="N198" s="21" t="n">
        <f aca="false">B$20-SUM(H198:M198)</f>
        <v>1170</v>
      </c>
      <c r="O198" s="21" t="n">
        <f aca="false">MIN(ROUND(B198*(1+B$15),2),H198+MAX(0,N198))</f>
        <v>0</v>
      </c>
      <c r="P198" s="21" t="n">
        <f aca="false">MIN(ROUND(C198*(1+C$15),2),I198+MAX(0,N198-O198+H198))</f>
        <v>0</v>
      </c>
      <c r="Q198" s="21" t="n">
        <f aca="false">MIN(ROUND(D198*(1+D$15),2),J198+MAX(0,N198-O198+H198-P198+I198))</f>
        <v>0</v>
      </c>
      <c r="R198" s="21" t="n">
        <f aca="false">MIN(ROUND(E198*(1+E$15),2),K198+MAX(0,N198-O198+H198-P198+I198-Q198+J198))</f>
        <v>0</v>
      </c>
      <c r="S198" s="21" t="n">
        <f aca="false">MIN(ROUND(F198*(1+F$15),2),L198+MAX(0,N198-O198+H198-P198+I198-Q198+J198-R198+K198))</f>
        <v>0</v>
      </c>
      <c r="T198" s="21" t="n">
        <f aca="false">MIN(ROUND(G198*(1+G$15),2),M198+MAX(0,N198-O198+H198-P198+I198-Q198+J198-R198+K198-S198+L198))</f>
        <v>0</v>
      </c>
      <c r="U198" s="21" t="n">
        <f aca="false">SUM(B198:G198)</f>
        <v>0</v>
      </c>
      <c r="V198" s="21" t="n">
        <f aca="false">SUM(O198:T198)</f>
        <v>0</v>
      </c>
      <c r="X198" s="25" t="n">
        <f aca="false">X197+1</f>
        <v>172</v>
      </c>
      <c r="Y198" s="21" t="n">
        <f aca="false">MAX(0,ROUND(Y197*(1+Y$15),2)-AL197)</f>
        <v>0</v>
      </c>
      <c r="Z198" s="21" t="n">
        <f aca="false">MAX(0,ROUND(Z197*(1+Z$15),2)-AM197)</f>
        <v>0</v>
      </c>
      <c r="AA198" s="21" t="n">
        <f aca="false">MAX(0,ROUND(AA197*(1+AA$15),2)-AN197)</f>
        <v>0</v>
      </c>
      <c r="AB198" s="21" t="n">
        <f aca="false">MAX(0,ROUND(AB197*(1+AB$15),2)-AO197)</f>
        <v>0</v>
      </c>
      <c r="AC198" s="21" t="n">
        <f aca="false">MAX(0,ROUND(AC197*(1+AC$15),2)-AP197)</f>
        <v>0</v>
      </c>
      <c r="AD198" s="21" t="n">
        <f aca="false">MAX(0,ROUND(AD197*(1+AD$15),2)-AQ197)</f>
        <v>0</v>
      </c>
      <c r="AE198" s="21" t="n">
        <f aca="false">MIN(Y$16,ROUND(Y198*(1+Y$15),2))</f>
        <v>0</v>
      </c>
      <c r="AF198" s="21" t="n">
        <f aca="false">MIN(Z$16,ROUND(Z198*(1+Z$15),2))</f>
        <v>0</v>
      </c>
      <c r="AG198" s="21" t="n">
        <f aca="false">MIN(AA$16,ROUND(AA198*(1+AA$15),2))</f>
        <v>0</v>
      </c>
      <c r="AH198" s="21" t="n">
        <f aca="false">MIN(AB$16,ROUND(AB198*(1+AB$15),2))</f>
        <v>0</v>
      </c>
      <c r="AI198" s="21" t="n">
        <f aca="false">MIN(AC$16,ROUND(AC198*(1+AC$15),2))</f>
        <v>0</v>
      </c>
      <c r="AJ198" s="21" t="n">
        <f aca="false">MIN(AD$16,ROUND(AD198*(1+AD$15),2))</f>
        <v>0</v>
      </c>
      <c r="AK198" s="21" t="n">
        <f aca="false">Y$20-SUM(AE198:AJ198)</f>
        <v>1170</v>
      </c>
      <c r="AL198" s="21" t="n">
        <f aca="false">MIN(ROUND(Y198*(1+Y$15),2),AE198+MAX(0,AK198))</f>
        <v>0</v>
      </c>
      <c r="AM198" s="21" t="n">
        <f aca="false">MIN(ROUND(Z198*(1+Z$15),2),AF198+MAX(0,AK198-AL198+AE198))</f>
        <v>0</v>
      </c>
      <c r="AN198" s="21" t="n">
        <f aca="false">MIN(ROUND(AA198*(1+AA$15),2),AG198+MAX(0,AK198-AL198+AE198-AM198+AF198))</f>
        <v>0</v>
      </c>
      <c r="AO198" s="21" t="n">
        <f aca="false">MIN(ROUND(AB198*(1+AB$15),2),AH198+MAX(0,AK198-AL198+AE198-AM198+AF198-AN198+AG198))</f>
        <v>0</v>
      </c>
      <c r="AP198" s="21" t="n">
        <f aca="false">MIN(ROUND(AC198*(1+AC$15),2),AI198+MAX(0,AK198-AL198+AE198-AM198+AF198-AN198+AG198-AO198+AH198))</f>
        <v>0</v>
      </c>
      <c r="AQ198" s="21" t="n">
        <f aca="false">MIN(ROUND(AD198*(1+AD$15),2),AJ198+MAX(0,AK198-AL198+AE198-AM198+AF198-AN198+AG198-AO198+AH198-AP198+AI198))</f>
        <v>0</v>
      </c>
      <c r="AR198" s="21" t="n">
        <f aca="false">SUM(Y198:AD198)</f>
        <v>0</v>
      </c>
      <c r="AS198" s="21" t="n">
        <f aca="false">SUM(AL198:AQ198)</f>
        <v>0</v>
      </c>
    </row>
    <row r="199" customFormat="false" ht="15" hidden="false" customHeight="false" outlineLevel="0" collapsed="false">
      <c r="A199" s="25" t="n">
        <f aca="false">A198+1</f>
        <v>173</v>
      </c>
      <c r="B199" s="21" t="n">
        <f aca="false">MAX(0,ROUND(B198*(1+B$15),2)-O198)</f>
        <v>0</v>
      </c>
      <c r="C199" s="21" t="n">
        <f aca="false">MAX(0,ROUND(C198*(1+C$15),2)-P198)</f>
        <v>0</v>
      </c>
      <c r="D199" s="21" t="n">
        <f aca="false">MAX(0,ROUND(D198*(1+D$15),2)-Q198)</f>
        <v>0</v>
      </c>
      <c r="E199" s="21" t="n">
        <f aca="false">MAX(0,ROUND(E198*(1+E$15),2)-R198)</f>
        <v>0</v>
      </c>
      <c r="F199" s="21" t="n">
        <f aca="false">MAX(0,ROUND(F198*(1+F$15),2)-S198)</f>
        <v>0</v>
      </c>
      <c r="G199" s="21" t="n">
        <f aca="false">MAX(0,ROUND(G198*(1+G$15),2)-T198)</f>
        <v>0</v>
      </c>
      <c r="H199" s="21" t="n">
        <f aca="false">MIN(B$16,ROUND(B199*(1+B$15),2))</f>
        <v>0</v>
      </c>
      <c r="I199" s="21" t="n">
        <f aca="false">MIN(C$16,ROUND(C199*(1+C$15),2))</f>
        <v>0</v>
      </c>
      <c r="J199" s="21" t="n">
        <f aca="false">MIN(D$16,ROUND(D199*(1+D$15),2))</f>
        <v>0</v>
      </c>
      <c r="K199" s="21" t="n">
        <f aca="false">MIN(E$16,ROUND(E199*(1+E$15),2))</f>
        <v>0</v>
      </c>
      <c r="L199" s="21" t="n">
        <f aca="false">MIN(F$16,ROUND(F199*(1+F$15),2))</f>
        <v>0</v>
      </c>
      <c r="M199" s="21" t="n">
        <f aca="false">MIN(G$16,ROUND(G199*(1+G$15),2))</f>
        <v>0</v>
      </c>
      <c r="N199" s="21" t="n">
        <f aca="false">B$20-SUM(H199:M199)</f>
        <v>1170</v>
      </c>
      <c r="O199" s="21" t="n">
        <f aca="false">MIN(ROUND(B199*(1+B$15),2),H199+MAX(0,N199))</f>
        <v>0</v>
      </c>
      <c r="P199" s="21" t="n">
        <f aca="false">MIN(ROUND(C199*(1+C$15),2),I199+MAX(0,N199-O199+H199))</f>
        <v>0</v>
      </c>
      <c r="Q199" s="21" t="n">
        <f aca="false">MIN(ROUND(D199*(1+D$15),2),J199+MAX(0,N199-O199+H199-P199+I199))</f>
        <v>0</v>
      </c>
      <c r="R199" s="21" t="n">
        <f aca="false">MIN(ROUND(E199*(1+E$15),2),K199+MAX(0,N199-O199+H199-P199+I199-Q199+J199))</f>
        <v>0</v>
      </c>
      <c r="S199" s="21" t="n">
        <f aca="false">MIN(ROUND(F199*(1+F$15),2),L199+MAX(0,N199-O199+H199-P199+I199-Q199+J199-R199+K199))</f>
        <v>0</v>
      </c>
      <c r="T199" s="21" t="n">
        <f aca="false">MIN(ROUND(G199*(1+G$15),2),M199+MAX(0,N199-O199+H199-P199+I199-Q199+J199-R199+K199-S199+L199))</f>
        <v>0</v>
      </c>
      <c r="U199" s="21" t="n">
        <f aca="false">SUM(B199:G199)</f>
        <v>0</v>
      </c>
      <c r="V199" s="21" t="n">
        <f aca="false">SUM(O199:T199)</f>
        <v>0</v>
      </c>
      <c r="X199" s="25" t="n">
        <f aca="false">X198+1</f>
        <v>173</v>
      </c>
      <c r="Y199" s="21" t="n">
        <f aca="false">MAX(0,ROUND(Y198*(1+Y$15),2)-AL198)</f>
        <v>0</v>
      </c>
      <c r="Z199" s="21" t="n">
        <f aca="false">MAX(0,ROUND(Z198*(1+Z$15),2)-AM198)</f>
        <v>0</v>
      </c>
      <c r="AA199" s="21" t="n">
        <f aca="false">MAX(0,ROUND(AA198*(1+AA$15),2)-AN198)</f>
        <v>0</v>
      </c>
      <c r="AB199" s="21" t="n">
        <f aca="false">MAX(0,ROUND(AB198*(1+AB$15),2)-AO198)</f>
        <v>0</v>
      </c>
      <c r="AC199" s="21" t="n">
        <f aca="false">MAX(0,ROUND(AC198*(1+AC$15),2)-AP198)</f>
        <v>0</v>
      </c>
      <c r="AD199" s="21" t="n">
        <f aca="false">MAX(0,ROUND(AD198*(1+AD$15),2)-AQ198)</f>
        <v>0</v>
      </c>
      <c r="AE199" s="21" t="n">
        <f aca="false">MIN(Y$16,ROUND(Y199*(1+Y$15),2))</f>
        <v>0</v>
      </c>
      <c r="AF199" s="21" t="n">
        <f aca="false">MIN(Z$16,ROUND(Z199*(1+Z$15),2))</f>
        <v>0</v>
      </c>
      <c r="AG199" s="21" t="n">
        <f aca="false">MIN(AA$16,ROUND(AA199*(1+AA$15),2))</f>
        <v>0</v>
      </c>
      <c r="AH199" s="21" t="n">
        <f aca="false">MIN(AB$16,ROUND(AB199*(1+AB$15),2))</f>
        <v>0</v>
      </c>
      <c r="AI199" s="21" t="n">
        <f aca="false">MIN(AC$16,ROUND(AC199*(1+AC$15),2))</f>
        <v>0</v>
      </c>
      <c r="AJ199" s="21" t="n">
        <f aca="false">MIN(AD$16,ROUND(AD199*(1+AD$15),2))</f>
        <v>0</v>
      </c>
      <c r="AK199" s="21" t="n">
        <f aca="false">Y$20-SUM(AE199:AJ199)</f>
        <v>1170</v>
      </c>
      <c r="AL199" s="21" t="n">
        <f aca="false">MIN(ROUND(Y199*(1+Y$15),2),AE199+MAX(0,AK199))</f>
        <v>0</v>
      </c>
      <c r="AM199" s="21" t="n">
        <f aca="false">MIN(ROUND(Z199*(1+Z$15),2),AF199+MAX(0,AK199-AL199+AE199))</f>
        <v>0</v>
      </c>
      <c r="AN199" s="21" t="n">
        <f aca="false">MIN(ROUND(AA199*(1+AA$15),2),AG199+MAX(0,AK199-AL199+AE199-AM199+AF199))</f>
        <v>0</v>
      </c>
      <c r="AO199" s="21" t="n">
        <f aca="false">MIN(ROUND(AB199*(1+AB$15),2),AH199+MAX(0,AK199-AL199+AE199-AM199+AF199-AN199+AG199))</f>
        <v>0</v>
      </c>
      <c r="AP199" s="21" t="n">
        <f aca="false">MIN(ROUND(AC199*(1+AC$15),2),AI199+MAX(0,AK199-AL199+AE199-AM199+AF199-AN199+AG199-AO199+AH199))</f>
        <v>0</v>
      </c>
      <c r="AQ199" s="21" t="n">
        <f aca="false">MIN(ROUND(AD199*(1+AD$15),2),AJ199+MAX(0,AK199-AL199+AE199-AM199+AF199-AN199+AG199-AO199+AH199-AP199+AI199))</f>
        <v>0</v>
      </c>
      <c r="AR199" s="21" t="n">
        <f aca="false">SUM(Y199:AD199)</f>
        <v>0</v>
      </c>
      <c r="AS199" s="21" t="n">
        <f aca="false">SUM(AL199:AQ199)</f>
        <v>0</v>
      </c>
    </row>
    <row r="200" customFormat="false" ht="15" hidden="false" customHeight="false" outlineLevel="0" collapsed="false">
      <c r="A200" s="25" t="n">
        <f aca="false">A199+1</f>
        <v>174</v>
      </c>
      <c r="B200" s="21" t="n">
        <f aca="false">MAX(0,ROUND(B199*(1+B$15),2)-O199)</f>
        <v>0</v>
      </c>
      <c r="C200" s="21" t="n">
        <f aca="false">MAX(0,ROUND(C199*(1+C$15),2)-P199)</f>
        <v>0</v>
      </c>
      <c r="D200" s="21" t="n">
        <f aca="false">MAX(0,ROUND(D199*(1+D$15),2)-Q199)</f>
        <v>0</v>
      </c>
      <c r="E200" s="21" t="n">
        <f aca="false">MAX(0,ROUND(E199*(1+E$15),2)-R199)</f>
        <v>0</v>
      </c>
      <c r="F200" s="21" t="n">
        <f aca="false">MAX(0,ROUND(F199*(1+F$15),2)-S199)</f>
        <v>0</v>
      </c>
      <c r="G200" s="21" t="n">
        <f aca="false">MAX(0,ROUND(G199*(1+G$15),2)-T199)</f>
        <v>0</v>
      </c>
      <c r="H200" s="21" t="n">
        <f aca="false">MIN(B$16,ROUND(B200*(1+B$15),2))</f>
        <v>0</v>
      </c>
      <c r="I200" s="21" t="n">
        <f aca="false">MIN(C$16,ROUND(C200*(1+C$15),2))</f>
        <v>0</v>
      </c>
      <c r="J200" s="21" t="n">
        <f aca="false">MIN(D$16,ROUND(D200*(1+D$15),2))</f>
        <v>0</v>
      </c>
      <c r="K200" s="21" t="n">
        <f aca="false">MIN(E$16,ROUND(E200*(1+E$15),2))</f>
        <v>0</v>
      </c>
      <c r="L200" s="21" t="n">
        <f aca="false">MIN(F$16,ROUND(F200*(1+F$15),2))</f>
        <v>0</v>
      </c>
      <c r="M200" s="21" t="n">
        <f aca="false">MIN(G$16,ROUND(G200*(1+G$15),2))</f>
        <v>0</v>
      </c>
      <c r="N200" s="21" t="n">
        <f aca="false">B$20-SUM(H200:M200)</f>
        <v>1170</v>
      </c>
      <c r="O200" s="21" t="n">
        <f aca="false">MIN(ROUND(B200*(1+B$15),2),H200+MAX(0,N200))</f>
        <v>0</v>
      </c>
      <c r="P200" s="21" t="n">
        <f aca="false">MIN(ROUND(C200*(1+C$15),2),I200+MAX(0,N200-O200+H200))</f>
        <v>0</v>
      </c>
      <c r="Q200" s="21" t="n">
        <f aca="false">MIN(ROUND(D200*(1+D$15),2),J200+MAX(0,N200-O200+H200-P200+I200))</f>
        <v>0</v>
      </c>
      <c r="R200" s="21" t="n">
        <f aca="false">MIN(ROUND(E200*(1+E$15),2),K200+MAX(0,N200-O200+H200-P200+I200-Q200+J200))</f>
        <v>0</v>
      </c>
      <c r="S200" s="21" t="n">
        <f aca="false">MIN(ROUND(F200*(1+F$15),2),L200+MAX(0,N200-O200+H200-P200+I200-Q200+J200-R200+K200))</f>
        <v>0</v>
      </c>
      <c r="T200" s="21" t="n">
        <f aca="false">MIN(ROUND(G200*(1+G$15),2),M200+MAX(0,N200-O200+H200-P200+I200-Q200+J200-R200+K200-S200+L200))</f>
        <v>0</v>
      </c>
      <c r="U200" s="21" t="n">
        <f aca="false">SUM(B200:G200)</f>
        <v>0</v>
      </c>
      <c r="V200" s="21" t="n">
        <f aca="false">SUM(O200:T200)</f>
        <v>0</v>
      </c>
      <c r="X200" s="25" t="n">
        <f aca="false">X199+1</f>
        <v>174</v>
      </c>
      <c r="Y200" s="21" t="n">
        <f aca="false">MAX(0,ROUND(Y199*(1+Y$15),2)-AL199)</f>
        <v>0</v>
      </c>
      <c r="Z200" s="21" t="n">
        <f aca="false">MAX(0,ROUND(Z199*(1+Z$15),2)-AM199)</f>
        <v>0</v>
      </c>
      <c r="AA200" s="21" t="n">
        <f aca="false">MAX(0,ROUND(AA199*(1+AA$15),2)-AN199)</f>
        <v>0</v>
      </c>
      <c r="AB200" s="21" t="n">
        <f aca="false">MAX(0,ROUND(AB199*(1+AB$15),2)-AO199)</f>
        <v>0</v>
      </c>
      <c r="AC200" s="21" t="n">
        <f aca="false">MAX(0,ROUND(AC199*(1+AC$15),2)-AP199)</f>
        <v>0</v>
      </c>
      <c r="AD200" s="21" t="n">
        <f aca="false">MAX(0,ROUND(AD199*(1+AD$15),2)-AQ199)</f>
        <v>0</v>
      </c>
      <c r="AE200" s="21" t="n">
        <f aca="false">MIN(Y$16,ROUND(Y200*(1+Y$15),2))</f>
        <v>0</v>
      </c>
      <c r="AF200" s="21" t="n">
        <f aca="false">MIN(Z$16,ROUND(Z200*(1+Z$15),2))</f>
        <v>0</v>
      </c>
      <c r="AG200" s="21" t="n">
        <f aca="false">MIN(AA$16,ROUND(AA200*(1+AA$15),2))</f>
        <v>0</v>
      </c>
      <c r="AH200" s="21" t="n">
        <f aca="false">MIN(AB$16,ROUND(AB200*(1+AB$15),2))</f>
        <v>0</v>
      </c>
      <c r="AI200" s="21" t="n">
        <f aca="false">MIN(AC$16,ROUND(AC200*(1+AC$15),2))</f>
        <v>0</v>
      </c>
      <c r="AJ200" s="21" t="n">
        <f aca="false">MIN(AD$16,ROUND(AD200*(1+AD$15),2))</f>
        <v>0</v>
      </c>
      <c r="AK200" s="21" t="n">
        <f aca="false">Y$20-SUM(AE200:AJ200)</f>
        <v>1170</v>
      </c>
      <c r="AL200" s="21" t="n">
        <f aca="false">MIN(ROUND(Y200*(1+Y$15),2),AE200+MAX(0,AK200))</f>
        <v>0</v>
      </c>
      <c r="AM200" s="21" t="n">
        <f aca="false">MIN(ROUND(Z200*(1+Z$15),2),AF200+MAX(0,AK200-AL200+AE200))</f>
        <v>0</v>
      </c>
      <c r="AN200" s="21" t="n">
        <f aca="false">MIN(ROUND(AA200*(1+AA$15),2),AG200+MAX(0,AK200-AL200+AE200-AM200+AF200))</f>
        <v>0</v>
      </c>
      <c r="AO200" s="21" t="n">
        <f aca="false">MIN(ROUND(AB200*(1+AB$15),2),AH200+MAX(0,AK200-AL200+AE200-AM200+AF200-AN200+AG200))</f>
        <v>0</v>
      </c>
      <c r="AP200" s="21" t="n">
        <f aca="false">MIN(ROUND(AC200*(1+AC$15),2),AI200+MAX(0,AK200-AL200+AE200-AM200+AF200-AN200+AG200-AO200+AH200))</f>
        <v>0</v>
      </c>
      <c r="AQ200" s="21" t="n">
        <f aca="false">MIN(ROUND(AD200*(1+AD$15),2),AJ200+MAX(0,AK200-AL200+AE200-AM200+AF200-AN200+AG200-AO200+AH200-AP200+AI200))</f>
        <v>0</v>
      </c>
      <c r="AR200" s="21" t="n">
        <f aca="false">SUM(Y200:AD200)</f>
        <v>0</v>
      </c>
      <c r="AS200" s="21" t="n">
        <f aca="false">SUM(AL200:AQ200)</f>
        <v>0</v>
      </c>
    </row>
    <row r="201" customFormat="false" ht="15" hidden="false" customHeight="false" outlineLevel="0" collapsed="false">
      <c r="A201" s="25" t="n">
        <f aca="false">A200+1</f>
        <v>175</v>
      </c>
      <c r="B201" s="21" t="n">
        <f aca="false">MAX(0,ROUND(B200*(1+B$15),2)-O200)</f>
        <v>0</v>
      </c>
      <c r="C201" s="21" t="n">
        <f aca="false">MAX(0,ROUND(C200*(1+C$15),2)-P200)</f>
        <v>0</v>
      </c>
      <c r="D201" s="21" t="n">
        <f aca="false">MAX(0,ROUND(D200*(1+D$15),2)-Q200)</f>
        <v>0</v>
      </c>
      <c r="E201" s="21" t="n">
        <f aca="false">MAX(0,ROUND(E200*(1+E$15),2)-R200)</f>
        <v>0</v>
      </c>
      <c r="F201" s="21" t="n">
        <f aca="false">MAX(0,ROUND(F200*(1+F$15),2)-S200)</f>
        <v>0</v>
      </c>
      <c r="G201" s="21" t="n">
        <f aca="false">MAX(0,ROUND(G200*(1+G$15),2)-T200)</f>
        <v>0</v>
      </c>
      <c r="H201" s="21" t="n">
        <f aca="false">MIN(B$16,ROUND(B201*(1+B$15),2))</f>
        <v>0</v>
      </c>
      <c r="I201" s="21" t="n">
        <f aca="false">MIN(C$16,ROUND(C201*(1+C$15),2))</f>
        <v>0</v>
      </c>
      <c r="J201" s="21" t="n">
        <f aca="false">MIN(D$16,ROUND(D201*(1+D$15),2))</f>
        <v>0</v>
      </c>
      <c r="K201" s="21" t="n">
        <f aca="false">MIN(E$16,ROUND(E201*(1+E$15),2))</f>
        <v>0</v>
      </c>
      <c r="L201" s="21" t="n">
        <f aca="false">MIN(F$16,ROUND(F201*(1+F$15),2))</f>
        <v>0</v>
      </c>
      <c r="M201" s="21" t="n">
        <f aca="false">MIN(G$16,ROUND(G201*(1+G$15),2))</f>
        <v>0</v>
      </c>
      <c r="N201" s="21" t="n">
        <f aca="false">B$20-SUM(H201:M201)</f>
        <v>1170</v>
      </c>
      <c r="O201" s="21" t="n">
        <f aca="false">MIN(ROUND(B201*(1+B$15),2),H201+MAX(0,N201))</f>
        <v>0</v>
      </c>
      <c r="P201" s="21" t="n">
        <f aca="false">MIN(ROUND(C201*(1+C$15),2),I201+MAX(0,N201-O201+H201))</f>
        <v>0</v>
      </c>
      <c r="Q201" s="21" t="n">
        <f aca="false">MIN(ROUND(D201*(1+D$15),2),J201+MAX(0,N201-O201+H201-P201+I201))</f>
        <v>0</v>
      </c>
      <c r="R201" s="21" t="n">
        <f aca="false">MIN(ROUND(E201*(1+E$15),2),K201+MAX(0,N201-O201+H201-P201+I201-Q201+J201))</f>
        <v>0</v>
      </c>
      <c r="S201" s="21" t="n">
        <f aca="false">MIN(ROUND(F201*(1+F$15),2),L201+MAX(0,N201-O201+H201-P201+I201-Q201+J201-R201+K201))</f>
        <v>0</v>
      </c>
      <c r="T201" s="21" t="n">
        <f aca="false">MIN(ROUND(G201*(1+G$15),2),M201+MAX(0,N201-O201+H201-P201+I201-Q201+J201-R201+K201-S201+L201))</f>
        <v>0</v>
      </c>
      <c r="U201" s="21" t="n">
        <f aca="false">SUM(B201:G201)</f>
        <v>0</v>
      </c>
      <c r="V201" s="21" t="n">
        <f aca="false">SUM(O201:T201)</f>
        <v>0</v>
      </c>
      <c r="X201" s="25" t="n">
        <f aca="false">X200+1</f>
        <v>175</v>
      </c>
      <c r="Y201" s="21" t="n">
        <f aca="false">MAX(0,ROUND(Y200*(1+Y$15),2)-AL200)</f>
        <v>0</v>
      </c>
      <c r="Z201" s="21" t="n">
        <f aca="false">MAX(0,ROUND(Z200*(1+Z$15),2)-AM200)</f>
        <v>0</v>
      </c>
      <c r="AA201" s="21" t="n">
        <f aca="false">MAX(0,ROUND(AA200*(1+AA$15),2)-AN200)</f>
        <v>0</v>
      </c>
      <c r="AB201" s="21" t="n">
        <f aca="false">MAX(0,ROUND(AB200*(1+AB$15),2)-AO200)</f>
        <v>0</v>
      </c>
      <c r="AC201" s="21" t="n">
        <f aca="false">MAX(0,ROUND(AC200*(1+AC$15),2)-AP200)</f>
        <v>0</v>
      </c>
      <c r="AD201" s="21" t="n">
        <f aca="false">MAX(0,ROUND(AD200*(1+AD$15),2)-AQ200)</f>
        <v>0</v>
      </c>
      <c r="AE201" s="21" t="n">
        <f aca="false">MIN(Y$16,ROUND(Y201*(1+Y$15),2))</f>
        <v>0</v>
      </c>
      <c r="AF201" s="21" t="n">
        <f aca="false">MIN(Z$16,ROUND(Z201*(1+Z$15),2))</f>
        <v>0</v>
      </c>
      <c r="AG201" s="21" t="n">
        <f aca="false">MIN(AA$16,ROUND(AA201*(1+AA$15),2))</f>
        <v>0</v>
      </c>
      <c r="AH201" s="21" t="n">
        <f aca="false">MIN(AB$16,ROUND(AB201*(1+AB$15),2))</f>
        <v>0</v>
      </c>
      <c r="AI201" s="21" t="n">
        <f aca="false">MIN(AC$16,ROUND(AC201*(1+AC$15),2))</f>
        <v>0</v>
      </c>
      <c r="AJ201" s="21" t="n">
        <f aca="false">MIN(AD$16,ROUND(AD201*(1+AD$15),2))</f>
        <v>0</v>
      </c>
      <c r="AK201" s="21" t="n">
        <f aca="false">Y$20-SUM(AE201:AJ201)</f>
        <v>1170</v>
      </c>
      <c r="AL201" s="21" t="n">
        <f aca="false">MIN(ROUND(Y201*(1+Y$15),2),AE201+MAX(0,AK201))</f>
        <v>0</v>
      </c>
      <c r="AM201" s="21" t="n">
        <f aca="false">MIN(ROUND(Z201*(1+Z$15),2),AF201+MAX(0,AK201-AL201+AE201))</f>
        <v>0</v>
      </c>
      <c r="AN201" s="21" t="n">
        <f aca="false">MIN(ROUND(AA201*(1+AA$15),2),AG201+MAX(0,AK201-AL201+AE201-AM201+AF201))</f>
        <v>0</v>
      </c>
      <c r="AO201" s="21" t="n">
        <f aca="false">MIN(ROUND(AB201*(1+AB$15),2),AH201+MAX(0,AK201-AL201+AE201-AM201+AF201-AN201+AG201))</f>
        <v>0</v>
      </c>
      <c r="AP201" s="21" t="n">
        <f aca="false">MIN(ROUND(AC201*(1+AC$15),2),AI201+MAX(0,AK201-AL201+AE201-AM201+AF201-AN201+AG201-AO201+AH201))</f>
        <v>0</v>
      </c>
      <c r="AQ201" s="21" t="n">
        <f aca="false">MIN(ROUND(AD201*(1+AD$15),2),AJ201+MAX(0,AK201-AL201+AE201-AM201+AF201-AN201+AG201-AO201+AH201-AP201+AI201))</f>
        <v>0</v>
      </c>
      <c r="AR201" s="21" t="n">
        <f aca="false">SUM(Y201:AD201)</f>
        <v>0</v>
      </c>
      <c r="AS201" s="21" t="n">
        <f aca="false">SUM(AL201:AQ201)</f>
        <v>0</v>
      </c>
    </row>
    <row r="202" customFormat="false" ht="15" hidden="false" customHeight="false" outlineLevel="0" collapsed="false">
      <c r="A202" s="25" t="n">
        <f aca="false">A201+1</f>
        <v>176</v>
      </c>
      <c r="B202" s="21" t="n">
        <f aca="false">MAX(0,ROUND(B201*(1+B$15),2)-O201)</f>
        <v>0</v>
      </c>
      <c r="C202" s="21" t="n">
        <f aca="false">MAX(0,ROUND(C201*(1+C$15),2)-P201)</f>
        <v>0</v>
      </c>
      <c r="D202" s="21" t="n">
        <f aca="false">MAX(0,ROUND(D201*(1+D$15),2)-Q201)</f>
        <v>0</v>
      </c>
      <c r="E202" s="21" t="n">
        <f aca="false">MAX(0,ROUND(E201*(1+E$15),2)-R201)</f>
        <v>0</v>
      </c>
      <c r="F202" s="21" t="n">
        <f aca="false">MAX(0,ROUND(F201*(1+F$15),2)-S201)</f>
        <v>0</v>
      </c>
      <c r="G202" s="21" t="n">
        <f aca="false">MAX(0,ROUND(G201*(1+G$15),2)-T201)</f>
        <v>0</v>
      </c>
      <c r="H202" s="21" t="n">
        <f aca="false">MIN(B$16,ROUND(B202*(1+B$15),2))</f>
        <v>0</v>
      </c>
      <c r="I202" s="21" t="n">
        <f aca="false">MIN(C$16,ROUND(C202*(1+C$15),2))</f>
        <v>0</v>
      </c>
      <c r="J202" s="21" t="n">
        <f aca="false">MIN(D$16,ROUND(D202*(1+D$15),2))</f>
        <v>0</v>
      </c>
      <c r="K202" s="21" t="n">
        <f aca="false">MIN(E$16,ROUND(E202*(1+E$15),2))</f>
        <v>0</v>
      </c>
      <c r="L202" s="21" t="n">
        <f aca="false">MIN(F$16,ROUND(F202*(1+F$15),2))</f>
        <v>0</v>
      </c>
      <c r="M202" s="21" t="n">
        <f aca="false">MIN(G$16,ROUND(G202*(1+G$15),2))</f>
        <v>0</v>
      </c>
      <c r="N202" s="21" t="n">
        <f aca="false">B$20-SUM(H202:M202)</f>
        <v>1170</v>
      </c>
      <c r="O202" s="21" t="n">
        <f aca="false">MIN(ROUND(B202*(1+B$15),2),H202+MAX(0,N202))</f>
        <v>0</v>
      </c>
      <c r="P202" s="21" t="n">
        <f aca="false">MIN(ROUND(C202*(1+C$15),2),I202+MAX(0,N202-O202+H202))</f>
        <v>0</v>
      </c>
      <c r="Q202" s="21" t="n">
        <f aca="false">MIN(ROUND(D202*(1+D$15),2),J202+MAX(0,N202-O202+H202-P202+I202))</f>
        <v>0</v>
      </c>
      <c r="R202" s="21" t="n">
        <f aca="false">MIN(ROUND(E202*(1+E$15),2),K202+MAX(0,N202-O202+H202-P202+I202-Q202+J202))</f>
        <v>0</v>
      </c>
      <c r="S202" s="21" t="n">
        <f aca="false">MIN(ROUND(F202*(1+F$15),2),L202+MAX(0,N202-O202+H202-P202+I202-Q202+J202-R202+K202))</f>
        <v>0</v>
      </c>
      <c r="T202" s="21" t="n">
        <f aca="false">MIN(ROUND(G202*(1+G$15),2),M202+MAX(0,N202-O202+H202-P202+I202-Q202+J202-R202+K202-S202+L202))</f>
        <v>0</v>
      </c>
      <c r="U202" s="21" t="n">
        <f aca="false">SUM(B202:G202)</f>
        <v>0</v>
      </c>
      <c r="V202" s="21" t="n">
        <f aca="false">SUM(O202:T202)</f>
        <v>0</v>
      </c>
      <c r="X202" s="25" t="n">
        <f aca="false">X201+1</f>
        <v>176</v>
      </c>
      <c r="Y202" s="21" t="n">
        <f aca="false">MAX(0,ROUND(Y201*(1+Y$15),2)-AL201)</f>
        <v>0</v>
      </c>
      <c r="Z202" s="21" t="n">
        <f aca="false">MAX(0,ROUND(Z201*(1+Z$15),2)-AM201)</f>
        <v>0</v>
      </c>
      <c r="AA202" s="21" t="n">
        <f aca="false">MAX(0,ROUND(AA201*(1+AA$15),2)-AN201)</f>
        <v>0</v>
      </c>
      <c r="AB202" s="21" t="n">
        <f aca="false">MAX(0,ROUND(AB201*(1+AB$15),2)-AO201)</f>
        <v>0</v>
      </c>
      <c r="AC202" s="21" t="n">
        <f aca="false">MAX(0,ROUND(AC201*(1+AC$15),2)-AP201)</f>
        <v>0</v>
      </c>
      <c r="AD202" s="21" t="n">
        <f aca="false">MAX(0,ROUND(AD201*(1+AD$15),2)-AQ201)</f>
        <v>0</v>
      </c>
      <c r="AE202" s="21" t="n">
        <f aca="false">MIN(Y$16,ROUND(Y202*(1+Y$15),2))</f>
        <v>0</v>
      </c>
      <c r="AF202" s="21" t="n">
        <f aca="false">MIN(Z$16,ROUND(Z202*(1+Z$15),2))</f>
        <v>0</v>
      </c>
      <c r="AG202" s="21" t="n">
        <f aca="false">MIN(AA$16,ROUND(AA202*(1+AA$15),2))</f>
        <v>0</v>
      </c>
      <c r="AH202" s="21" t="n">
        <f aca="false">MIN(AB$16,ROUND(AB202*(1+AB$15),2))</f>
        <v>0</v>
      </c>
      <c r="AI202" s="21" t="n">
        <f aca="false">MIN(AC$16,ROUND(AC202*(1+AC$15),2))</f>
        <v>0</v>
      </c>
      <c r="AJ202" s="21" t="n">
        <f aca="false">MIN(AD$16,ROUND(AD202*(1+AD$15),2))</f>
        <v>0</v>
      </c>
      <c r="AK202" s="21" t="n">
        <f aca="false">Y$20-SUM(AE202:AJ202)</f>
        <v>1170</v>
      </c>
      <c r="AL202" s="21" t="n">
        <f aca="false">MIN(ROUND(Y202*(1+Y$15),2),AE202+MAX(0,AK202))</f>
        <v>0</v>
      </c>
      <c r="AM202" s="21" t="n">
        <f aca="false">MIN(ROUND(Z202*(1+Z$15),2),AF202+MAX(0,AK202-AL202+AE202))</f>
        <v>0</v>
      </c>
      <c r="AN202" s="21" t="n">
        <f aca="false">MIN(ROUND(AA202*(1+AA$15),2),AG202+MAX(0,AK202-AL202+AE202-AM202+AF202))</f>
        <v>0</v>
      </c>
      <c r="AO202" s="21" t="n">
        <f aca="false">MIN(ROUND(AB202*(1+AB$15),2),AH202+MAX(0,AK202-AL202+AE202-AM202+AF202-AN202+AG202))</f>
        <v>0</v>
      </c>
      <c r="AP202" s="21" t="n">
        <f aca="false">MIN(ROUND(AC202*(1+AC$15),2),AI202+MAX(0,AK202-AL202+AE202-AM202+AF202-AN202+AG202-AO202+AH202))</f>
        <v>0</v>
      </c>
      <c r="AQ202" s="21" t="n">
        <f aca="false">MIN(ROUND(AD202*(1+AD$15),2),AJ202+MAX(0,AK202-AL202+AE202-AM202+AF202-AN202+AG202-AO202+AH202-AP202+AI202))</f>
        <v>0</v>
      </c>
      <c r="AR202" s="21" t="n">
        <f aca="false">SUM(Y202:AD202)</f>
        <v>0</v>
      </c>
      <c r="AS202" s="21" t="n">
        <f aca="false">SUM(AL202:AQ202)</f>
        <v>0</v>
      </c>
    </row>
    <row r="203" customFormat="false" ht="15" hidden="false" customHeight="false" outlineLevel="0" collapsed="false">
      <c r="A203" s="25" t="n">
        <f aca="false">A202+1</f>
        <v>177</v>
      </c>
      <c r="B203" s="21" t="n">
        <f aca="false">MAX(0,ROUND(B202*(1+B$15),2)-O202)</f>
        <v>0</v>
      </c>
      <c r="C203" s="21" t="n">
        <f aca="false">MAX(0,ROUND(C202*(1+C$15),2)-P202)</f>
        <v>0</v>
      </c>
      <c r="D203" s="21" t="n">
        <f aca="false">MAX(0,ROUND(D202*(1+D$15),2)-Q202)</f>
        <v>0</v>
      </c>
      <c r="E203" s="21" t="n">
        <f aca="false">MAX(0,ROUND(E202*(1+E$15),2)-R202)</f>
        <v>0</v>
      </c>
      <c r="F203" s="21" t="n">
        <f aca="false">MAX(0,ROUND(F202*(1+F$15),2)-S202)</f>
        <v>0</v>
      </c>
      <c r="G203" s="21" t="n">
        <f aca="false">MAX(0,ROUND(G202*(1+G$15),2)-T202)</f>
        <v>0</v>
      </c>
      <c r="H203" s="21" t="n">
        <f aca="false">MIN(B$16,ROUND(B203*(1+B$15),2))</f>
        <v>0</v>
      </c>
      <c r="I203" s="21" t="n">
        <f aca="false">MIN(C$16,ROUND(C203*(1+C$15),2))</f>
        <v>0</v>
      </c>
      <c r="J203" s="21" t="n">
        <f aca="false">MIN(D$16,ROUND(D203*(1+D$15),2))</f>
        <v>0</v>
      </c>
      <c r="K203" s="21" t="n">
        <f aca="false">MIN(E$16,ROUND(E203*(1+E$15),2))</f>
        <v>0</v>
      </c>
      <c r="L203" s="21" t="n">
        <f aca="false">MIN(F$16,ROUND(F203*(1+F$15),2))</f>
        <v>0</v>
      </c>
      <c r="M203" s="21" t="n">
        <f aca="false">MIN(G$16,ROUND(G203*(1+G$15),2))</f>
        <v>0</v>
      </c>
      <c r="N203" s="21" t="n">
        <f aca="false">B$20-SUM(H203:M203)</f>
        <v>1170</v>
      </c>
      <c r="O203" s="21" t="n">
        <f aca="false">MIN(ROUND(B203*(1+B$15),2),H203+MAX(0,N203))</f>
        <v>0</v>
      </c>
      <c r="P203" s="21" t="n">
        <f aca="false">MIN(ROUND(C203*(1+C$15),2),I203+MAX(0,N203-O203+H203))</f>
        <v>0</v>
      </c>
      <c r="Q203" s="21" t="n">
        <f aca="false">MIN(ROUND(D203*(1+D$15),2),J203+MAX(0,N203-O203+H203-P203+I203))</f>
        <v>0</v>
      </c>
      <c r="R203" s="21" t="n">
        <f aca="false">MIN(ROUND(E203*(1+E$15),2),K203+MAX(0,N203-O203+H203-P203+I203-Q203+J203))</f>
        <v>0</v>
      </c>
      <c r="S203" s="21" t="n">
        <f aca="false">MIN(ROUND(F203*(1+F$15),2),L203+MAX(0,N203-O203+H203-P203+I203-Q203+J203-R203+K203))</f>
        <v>0</v>
      </c>
      <c r="T203" s="21" t="n">
        <f aca="false">MIN(ROUND(G203*(1+G$15),2),M203+MAX(0,N203-O203+H203-P203+I203-Q203+J203-R203+K203-S203+L203))</f>
        <v>0</v>
      </c>
      <c r="U203" s="21" t="n">
        <f aca="false">SUM(B203:G203)</f>
        <v>0</v>
      </c>
      <c r="V203" s="21" t="n">
        <f aca="false">SUM(O203:T203)</f>
        <v>0</v>
      </c>
      <c r="X203" s="25" t="n">
        <f aca="false">X202+1</f>
        <v>177</v>
      </c>
      <c r="Y203" s="21" t="n">
        <f aca="false">MAX(0,ROUND(Y202*(1+Y$15),2)-AL202)</f>
        <v>0</v>
      </c>
      <c r="Z203" s="21" t="n">
        <f aca="false">MAX(0,ROUND(Z202*(1+Z$15),2)-AM202)</f>
        <v>0</v>
      </c>
      <c r="AA203" s="21" t="n">
        <f aca="false">MAX(0,ROUND(AA202*(1+AA$15),2)-AN202)</f>
        <v>0</v>
      </c>
      <c r="AB203" s="21" t="n">
        <f aca="false">MAX(0,ROUND(AB202*(1+AB$15),2)-AO202)</f>
        <v>0</v>
      </c>
      <c r="AC203" s="21" t="n">
        <f aca="false">MAX(0,ROUND(AC202*(1+AC$15),2)-AP202)</f>
        <v>0</v>
      </c>
      <c r="AD203" s="21" t="n">
        <f aca="false">MAX(0,ROUND(AD202*(1+AD$15),2)-AQ202)</f>
        <v>0</v>
      </c>
      <c r="AE203" s="21" t="n">
        <f aca="false">MIN(Y$16,ROUND(Y203*(1+Y$15),2))</f>
        <v>0</v>
      </c>
      <c r="AF203" s="21" t="n">
        <f aca="false">MIN(Z$16,ROUND(Z203*(1+Z$15),2))</f>
        <v>0</v>
      </c>
      <c r="AG203" s="21" t="n">
        <f aca="false">MIN(AA$16,ROUND(AA203*(1+AA$15),2))</f>
        <v>0</v>
      </c>
      <c r="AH203" s="21" t="n">
        <f aca="false">MIN(AB$16,ROUND(AB203*(1+AB$15),2))</f>
        <v>0</v>
      </c>
      <c r="AI203" s="21" t="n">
        <f aca="false">MIN(AC$16,ROUND(AC203*(1+AC$15),2))</f>
        <v>0</v>
      </c>
      <c r="AJ203" s="21" t="n">
        <f aca="false">MIN(AD$16,ROUND(AD203*(1+AD$15),2))</f>
        <v>0</v>
      </c>
      <c r="AK203" s="21" t="n">
        <f aca="false">Y$20-SUM(AE203:AJ203)</f>
        <v>1170</v>
      </c>
      <c r="AL203" s="21" t="n">
        <f aca="false">MIN(ROUND(Y203*(1+Y$15),2),AE203+MAX(0,AK203))</f>
        <v>0</v>
      </c>
      <c r="AM203" s="21" t="n">
        <f aca="false">MIN(ROUND(Z203*(1+Z$15),2),AF203+MAX(0,AK203-AL203+AE203))</f>
        <v>0</v>
      </c>
      <c r="AN203" s="21" t="n">
        <f aca="false">MIN(ROUND(AA203*(1+AA$15),2),AG203+MAX(0,AK203-AL203+AE203-AM203+AF203))</f>
        <v>0</v>
      </c>
      <c r="AO203" s="21" t="n">
        <f aca="false">MIN(ROUND(AB203*(1+AB$15),2),AH203+MAX(0,AK203-AL203+AE203-AM203+AF203-AN203+AG203))</f>
        <v>0</v>
      </c>
      <c r="AP203" s="21" t="n">
        <f aca="false">MIN(ROUND(AC203*(1+AC$15),2),AI203+MAX(0,AK203-AL203+AE203-AM203+AF203-AN203+AG203-AO203+AH203))</f>
        <v>0</v>
      </c>
      <c r="AQ203" s="21" t="n">
        <f aca="false">MIN(ROUND(AD203*(1+AD$15),2),AJ203+MAX(0,AK203-AL203+AE203-AM203+AF203-AN203+AG203-AO203+AH203-AP203+AI203))</f>
        <v>0</v>
      </c>
      <c r="AR203" s="21" t="n">
        <f aca="false">SUM(Y203:AD203)</f>
        <v>0</v>
      </c>
      <c r="AS203" s="21" t="n">
        <f aca="false">SUM(AL203:AQ203)</f>
        <v>0</v>
      </c>
    </row>
    <row r="204" customFormat="false" ht="15" hidden="false" customHeight="false" outlineLevel="0" collapsed="false">
      <c r="A204" s="25" t="n">
        <f aca="false">A203+1</f>
        <v>178</v>
      </c>
      <c r="B204" s="21" t="n">
        <f aca="false">MAX(0,ROUND(B203*(1+B$15),2)-O203)</f>
        <v>0</v>
      </c>
      <c r="C204" s="21" t="n">
        <f aca="false">MAX(0,ROUND(C203*(1+C$15),2)-P203)</f>
        <v>0</v>
      </c>
      <c r="D204" s="21" t="n">
        <f aca="false">MAX(0,ROUND(D203*(1+D$15),2)-Q203)</f>
        <v>0</v>
      </c>
      <c r="E204" s="21" t="n">
        <f aca="false">MAX(0,ROUND(E203*(1+E$15),2)-R203)</f>
        <v>0</v>
      </c>
      <c r="F204" s="21" t="n">
        <f aca="false">MAX(0,ROUND(F203*(1+F$15),2)-S203)</f>
        <v>0</v>
      </c>
      <c r="G204" s="21" t="n">
        <f aca="false">MAX(0,ROUND(G203*(1+G$15),2)-T203)</f>
        <v>0</v>
      </c>
      <c r="H204" s="21" t="n">
        <f aca="false">MIN(B$16,ROUND(B204*(1+B$15),2))</f>
        <v>0</v>
      </c>
      <c r="I204" s="21" t="n">
        <f aca="false">MIN(C$16,ROUND(C204*(1+C$15),2))</f>
        <v>0</v>
      </c>
      <c r="J204" s="21" t="n">
        <f aca="false">MIN(D$16,ROUND(D204*(1+D$15),2))</f>
        <v>0</v>
      </c>
      <c r="K204" s="21" t="n">
        <f aca="false">MIN(E$16,ROUND(E204*(1+E$15),2))</f>
        <v>0</v>
      </c>
      <c r="L204" s="21" t="n">
        <f aca="false">MIN(F$16,ROUND(F204*(1+F$15),2))</f>
        <v>0</v>
      </c>
      <c r="M204" s="21" t="n">
        <f aca="false">MIN(G$16,ROUND(G204*(1+G$15),2))</f>
        <v>0</v>
      </c>
      <c r="N204" s="21" t="n">
        <f aca="false">B$20-SUM(H204:M204)</f>
        <v>1170</v>
      </c>
      <c r="O204" s="21" t="n">
        <f aca="false">MIN(ROUND(B204*(1+B$15),2),H204+MAX(0,N204))</f>
        <v>0</v>
      </c>
      <c r="P204" s="21" t="n">
        <f aca="false">MIN(ROUND(C204*(1+C$15),2),I204+MAX(0,N204-O204+H204))</f>
        <v>0</v>
      </c>
      <c r="Q204" s="21" t="n">
        <f aca="false">MIN(ROUND(D204*(1+D$15),2),J204+MAX(0,N204-O204+H204-P204+I204))</f>
        <v>0</v>
      </c>
      <c r="R204" s="21" t="n">
        <f aca="false">MIN(ROUND(E204*(1+E$15),2),K204+MAX(0,N204-O204+H204-P204+I204-Q204+J204))</f>
        <v>0</v>
      </c>
      <c r="S204" s="21" t="n">
        <f aca="false">MIN(ROUND(F204*(1+F$15),2),L204+MAX(0,N204-O204+H204-P204+I204-Q204+J204-R204+K204))</f>
        <v>0</v>
      </c>
      <c r="T204" s="21" t="n">
        <f aca="false">MIN(ROUND(G204*(1+G$15),2),M204+MAX(0,N204-O204+H204-P204+I204-Q204+J204-R204+K204-S204+L204))</f>
        <v>0</v>
      </c>
      <c r="U204" s="21" t="n">
        <f aca="false">SUM(B204:G204)</f>
        <v>0</v>
      </c>
      <c r="V204" s="21" t="n">
        <f aca="false">SUM(O204:T204)</f>
        <v>0</v>
      </c>
      <c r="X204" s="25" t="n">
        <f aca="false">X203+1</f>
        <v>178</v>
      </c>
      <c r="Y204" s="21" t="n">
        <f aca="false">MAX(0,ROUND(Y203*(1+Y$15),2)-AL203)</f>
        <v>0</v>
      </c>
      <c r="Z204" s="21" t="n">
        <f aca="false">MAX(0,ROUND(Z203*(1+Z$15),2)-AM203)</f>
        <v>0</v>
      </c>
      <c r="AA204" s="21" t="n">
        <f aca="false">MAX(0,ROUND(AA203*(1+AA$15),2)-AN203)</f>
        <v>0</v>
      </c>
      <c r="AB204" s="21" t="n">
        <f aca="false">MAX(0,ROUND(AB203*(1+AB$15),2)-AO203)</f>
        <v>0</v>
      </c>
      <c r="AC204" s="21" t="n">
        <f aca="false">MAX(0,ROUND(AC203*(1+AC$15),2)-AP203)</f>
        <v>0</v>
      </c>
      <c r="AD204" s="21" t="n">
        <f aca="false">MAX(0,ROUND(AD203*(1+AD$15),2)-AQ203)</f>
        <v>0</v>
      </c>
      <c r="AE204" s="21" t="n">
        <f aca="false">MIN(Y$16,ROUND(Y204*(1+Y$15),2))</f>
        <v>0</v>
      </c>
      <c r="AF204" s="21" t="n">
        <f aca="false">MIN(Z$16,ROUND(Z204*(1+Z$15),2))</f>
        <v>0</v>
      </c>
      <c r="AG204" s="21" t="n">
        <f aca="false">MIN(AA$16,ROUND(AA204*(1+AA$15),2))</f>
        <v>0</v>
      </c>
      <c r="AH204" s="21" t="n">
        <f aca="false">MIN(AB$16,ROUND(AB204*(1+AB$15),2))</f>
        <v>0</v>
      </c>
      <c r="AI204" s="21" t="n">
        <f aca="false">MIN(AC$16,ROUND(AC204*(1+AC$15),2))</f>
        <v>0</v>
      </c>
      <c r="AJ204" s="21" t="n">
        <f aca="false">MIN(AD$16,ROUND(AD204*(1+AD$15),2))</f>
        <v>0</v>
      </c>
      <c r="AK204" s="21" t="n">
        <f aca="false">Y$20-SUM(AE204:AJ204)</f>
        <v>1170</v>
      </c>
      <c r="AL204" s="21" t="n">
        <f aca="false">MIN(ROUND(Y204*(1+Y$15),2),AE204+MAX(0,AK204))</f>
        <v>0</v>
      </c>
      <c r="AM204" s="21" t="n">
        <f aca="false">MIN(ROUND(Z204*(1+Z$15),2),AF204+MAX(0,AK204-AL204+AE204))</f>
        <v>0</v>
      </c>
      <c r="AN204" s="21" t="n">
        <f aca="false">MIN(ROUND(AA204*(1+AA$15),2),AG204+MAX(0,AK204-AL204+AE204-AM204+AF204))</f>
        <v>0</v>
      </c>
      <c r="AO204" s="21" t="n">
        <f aca="false">MIN(ROUND(AB204*(1+AB$15),2),AH204+MAX(0,AK204-AL204+AE204-AM204+AF204-AN204+AG204))</f>
        <v>0</v>
      </c>
      <c r="AP204" s="21" t="n">
        <f aca="false">MIN(ROUND(AC204*(1+AC$15),2),AI204+MAX(0,AK204-AL204+AE204-AM204+AF204-AN204+AG204-AO204+AH204))</f>
        <v>0</v>
      </c>
      <c r="AQ204" s="21" t="n">
        <f aca="false">MIN(ROUND(AD204*(1+AD$15),2),AJ204+MAX(0,AK204-AL204+AE204-AM204+AF204-AN204+AG204-AO204+AH204-AP204+AI204))</f>
        <v>0</v>
      </c>
      <c r="AR204" s="21" t="n">
        <f aca="false">SUM(Y204:AD204)</f>
        <v>0</v>
      </c>
      <c r="AS204" s="21" t="n">
        <f aca="false">SUM(AL204:AQ204)</f>
        <v>0</v>
      </c>
    </row>
    <row r="205" customFormat="false" ht="15" hidden="false" customHeight="false" outlineLevel="0" collapsed="false">
      <c r="A205" s="25" t="n">
        <f aca="false">A204+1</f>
        <v>179</v>
      </c>
      <c r="B205" s="21" t="n">
        <f aca="false">MAX(0,ROUND(B204*(1+B$15),2)-O204)</f>
        <v>0</v>
      </c>
      <c r="C205" s="21" t="n">
        <f aca="false">MAX(0,ROUND(C204*(1+C$15),2)-P204)</f>
        <v>0</v>
      </c>
      <c r="D205" s="21" t="n">
        <f aca="false">MAX(0,ROUND(D204*(1+D$15),2)-Q204)</f>
        <v>0</v>
      </c>
      <c r="E205" s="21" t="n">
        <f aca="false">MAX(0,ROUND(E204*(1+E$15),2)-R204)</f>
        <v>0</v>
      </c>
      <c r="F205" s="21" t="n">
        <f aca="false">MAX(0,ROUND(F204*(1+F$15),2)-S204)</f>
        <v>0</v>
      </c>
      <c r="G205" s="21" t="n">
        <f aca="false">MAX(0,ROUND(G204*(1+G$15),2)-T204)</f>
        <v>0</v>
      </c>
      <c r="H205" s="21" t="n">
        <f aca="false">MIN(B$16,ROUND(B205*(1+B$15),2))</f>
        <v>0</v>
      </c>
      <c r="I205" s="21" t="n">
        <f aca="false">MIN(C$16,ROUND(C205*(1+C$15),2))</f>
        <v>0</v>
      </c>
      <c r="J205" s="21" t="n">
        <f aca="false">MIN(D$16,ROUND(D205*(1+D$15),2))</f>
        <v>0</v>
      </c>
      <c r="K205" s="21" t="n">
        <f aca="false">MIN(E$16,ROUND(E205*(1+E$15),2))</f>
        <v>0</v>
      </c>
      <c r="L205" s="21" t="n">
        <f aca="false">MIN(F$16,ROUND(F205*(1+F$15),2))</f>
        <v>0</v>
      </c>
      <c r="M205" s="21" t="n">
        <f aca="false">MIN(G$16,ROUND(G205*(1+G$15),2))</f>
        <v>0</v>
      </c>
      <c r="N205" s="21" t="n">
        <f aca="false">B$20-SUM(H205:M205)</f>
        <v>1170</v>
      </c>
      <c r="O205" s="21" t="n">
        <f aca="false">MIN(ROUND(B205*(1+B$15),2),H205+MAX(0,N205))</f>
        <v>0</v>
      </c>
      <c r="P205" s="21" t="n">
        <f aca="false">MIN(ROUND(C205*(1+C$15),2),I205+MAX(0,N205-O205+H205))</f>
        <v>0</v>
      </c>
      <c r="Q205" s="21" t="n">
        <f aca="false">MIN(ROUND(D205*(1+D$15),2),J205+MAX(0,N205-O205+H205-P205+I205))</f>
        <v>0</v>
      </c>
      <c r="R205" s="21" t="n">
        <f aca="false">MIN(ROUND(E205*(1+E$15),2),K205+MAX(0,N205-O205+H205-P205+I205-Q205+J205))</f>
        <v>0</v>
      </c>
      <c r="S205" s="21" t="n">
        <f aca="false">MIN(ROUND(F205*(1+F$15),2),L205+MAX(0,N205-O205+H205-P205+I205-Q205+J205-R205+K205))</f>
        <v>0</v>
      </c>
      <c r="T205" s="21" t="n">
        <f aca="false">MIN(ROUND(G205*(1+G$15),2),M205+MAX(0,N205-O205+H205-P205+I205-Q205+J205-R205+K205-S205+L205))</f>
        <v>0</v>
      </c>
      <c r="U205" s="21" t="n">
        <f aca="false">SUM(B205:G205)</f>
        <v>0</v>
      </c>
      <c r="V205" s="21" t="n">
        <f aca="false">SUM(O205:T205)</f>
        <v>0</v>
      </c>
      <c r="X205" s="25" t="n">
        <f aca="false">X204+1</f>
        <v>179</v>
      </c>
      <c r="Y205" s="21" t="n">
        <f aca="false">MAX(0,ROUND(Y204*(1+Y$15),2)-AL204)</f>
        <v>0</v>
      </c>
      <c r="Z205" s="21" t="n">
        <f aca="false">MAX(0,ROUND(Z204*(1+Z$15),2)-AM204)</f>
        <v>0</v>
      </c>
      <c r="AA205" s="21" t="n">
        <f aca="false">MAX(0,ROUND(AA204*(1+AA$15),2)-AN204)</f>
        <v>0</v>
      </c>
      <c r="AB205" s="21" t="n">
        <f aca="false">MAX(0,ROUND(AB204*(1+AB$15),2)-AO204)</f>
        <v>0</v>
      </c>
      <c r="AC205" s="21" t="n">
        <f aca="false">MAX(0,ROUND(AC204*(1+AC$15),2)-AP204)</f>
        <v>0</v>
      </c>
      <c r="AD205" s="21" t="n">
        <f aca="false">MAX(0,ROUND(AD204*(1+AD$15),2)-AQ204)</f>
        <v>0</v>
      </c>
      <c r="AE205" s="21" t="n">
        <f aca="false">MIN(Y$16,ROUND(Y205*(1+Y$15),2))</f>
        <v>0</v>
      </c>
      <c r="AF205" s="21" t="n">
        <f aca="false">MIN(Z$16,ROUND(Z205*(1+Z$15),2))</f>
        <v>0</v>
      </c>
      <c r="AG205" s="21" t="n">
        <f aca="false">MIN(AA$16,ROUND(AA205*(1+AA$15),2))</f>
        <v>0</v>
      </c>
      <c r="AH205" s="21" t="n">
        <f aca="false">MIN(AB$16,ROUND(AB205*(1+AB$15),2))</f>
        <v>0</v>
      </c>
      <c r="AI205" s="21" t="n">
        <f aca="false">MIN(AC$16,ROUND(AC205*(1+AC$15),2))</f>
        <v>0</v>
      </c>
      <c r="AJ205" s="21" t="n">
        <f aca="false">MIN(AD$16,ROUND(AD205*(1+AD$15),2))</f>
        <v>0</v>
      </c>
      <c r="AK205" s="21" t="n">
        <f aca="false">Y$20-SUM(AE205:AJ205)</f>
        <v>1170</v>
      </c>
      <c r="AL205" s="21" t="n">
        <f aca="false">MIN(ROUND(Y205*(1+Y$15),2),AE205+MAX(0,AK205))</f>
        <v>0</v>
      </c>
      <c r="AM205" s="21" t="n">
        <f aca="false">MIN(ROUND(Z205*(1+Z$15),2),AF205+MAX(0,AK205-AL205+AE205))</f>
        <v>0</v>
      </c>
      <c r="AN205" s="21" t="n">
        <f aca="false">MIN(ROUND(AA205*(1+AA$15),2),AG205+MAX(0,AK205-AL205+AE205-AM205+AF205))</f>
        <v>0</v>
      </c>
      <c r="AO205" s="21" t="n">
        <f aca="false">MIN(ROUND(AB205*(1+AB$15),2),AH205+MAX(0,AK205-AL205+AE205-AM205+AF205-AN205+AG205))</f>
        <v>0</v>
      </c>
      <c r="AP205" s="21" t="n">
        <f aca="false">MIN(ROUND(AC205*(1+AC$15),2),AI205+MAX(0,AK205-AL205+AE205-AM205+AF205-AN205+AG205-AO205+AH205))</f>
        <v>0</v>
      </c>
      <c r="AQ205" s="21" t="n">
        <f aca="false">MIN(ROUND(AD205*(1+AD$15),2),AJ205+MAX(0,AK205-AL205+AE205-AM205+AF205-AN205+AG205-AO205+AH205-AP205+AI205))</f>
        <v>0</v>
      </c>
      <c r="AR205" s="21" t="n">
        <f aca="false">SUM(Y205:AD205)</f>
        <v>0</v>
      </c>
      <c r="AS205" s="21" t="n">
        <f aca="false">SUM(AL205:AQ205)</f>
        <v>0</v>
      </c>
    </row>
    <row r="206" customFormat="false" ht="15" hidden="false" customHeight="false" outlineLevel="0" collapsed="false">
      <c r="A206" s="25" t="n">
        <f aca="false">A205+1</f>
        <v>180</v>
      </c>
      <c r="B206" s="21" t="n">
        <f aca="false">MAX(0,ROUND(B205*(1+B$15),2)-O205)</f>
        <v>0</v>
      </c>
      <c r="C206" s="21" t="n">
        <f aca="false">MAX(0,ROUND(C205*(1+C$15),2)-P205)</f>
        <v>0</v>
      </c>
      <c r="D206" s="21" t="n">
        <f aca="false">MAX(0,ROUND(D205*(1+D$15),2)-Q205)</f>
        <v>0</v>
      </c>
      <c r="E206" s="21" t="n">
        <f aca="false">MAX(0,ROUND(E205*(1+E$15),2)-R205)</f>
        <v>0</v>
      </c>
      <c r="F206" s="21" t="n">
        <f aca="false">MAX(0,ROUND(F205*(1+F$15),2)-S205)</f>
        <v>0</v>
      </c>
      <c r="G206" s="21" t="n">
        <f aca="false">MAX(0,ROUND(G205*(1+G$15),2)-T205)</f>
        <v>0</v>
      </c>
      <c r="H206" s="21" t="n">
        <f aca="false">MIN(B$16,ROUND(B206*(1+B$15),2))</f>
        <v>0</v>
      </c>
      <c r="I206" s="21" t="n">
        <f aca="false">MIN(C$16,ROUND(C206*(1+C$15),2))</f>
        <v>0</v>
      </c>
      <c r="J206" s="21" t="n">
        <f aca="false">MIN(D$16,ROUND(D206*(1+D$15),2))</f>
        <v>0</v>
      </c>
      <c r="K206" s="21" t="n">
        <f aca="false">MIN(E$16,ROUND(E206*(1+E$15),2))</f>
        <v>0</v>
      </c>
      <c r="L206" s="21" t="n">
        <f aca="false">MIN(F$16,ROUND(F206*(1+F$15),2))</f>
        <v>0</v>
      </c>
      <c r="M206" s="21" t="n">
        <f aca="false">MIN(G$16,ROUND(G206*(1+G$15),2))</f>
        <v>0</v>
      </c>
      <c r="N206" s="21" t="n">
        <f aca="false">B$20-SUM(H206:M206)</f>
        <v>1170</v>
      </c>
      <c r="O206" s="21" t="n">
        <f aca="false">MIN(ROUND(B206*(1+B$15),2),H206+MAX(0,N206))</f>
        <v>0</v>
      </c>
      <c r="P206" s="21" t="n">
        <f aca="false">MIN(ROUND(C206*(1+C$15),2),I206+MAX(0,N206-O206+H206))</f>
        <v>0</v>
      </c>
      <c r="Q206" s="21" t="n">
        <f aca="false">MIN(ROUND(D206*(1+D$15),2),J206+MAX(0,N206-O206+H206-P206+I206))</f>
        <v>0</v>
      </c>
      <c r="R206" s="21" t="n">
        <f aca="false">MIN(ROUND(E206*(1+E$15),2),K206+MAX(0,N206-O206+H206-P206+I206-Q206+J206))</f>
        <v>0</v>
      </c>
      <c r="S206" s="21" t="n">
        <f aca="false">MIN(ROUND(F206*(1+F$15),2),L206+MAX(0,N206-O206+H206-P206+I206-Q206+J206-R206+K206))</f>
        <v>0</v>
      </c>
      <c r="T206" s="21" t="n">
        <f aca="false">MIN(ROUND(G206*(1+G$15),2),M206+MAX(0,N206-O206+H206-P206+I206-Q206+J206-R206+K206-S206+L206))</f>
        <v>0</v>
      </c>
      <c r="U206" s="21" t="n">
        <f aca="false">SUM(B206:G206)</f>
        <v>0</v>
      </c>
      <c r="V206" s="21" t="n">
        <f aca="false">SUM(O206:T206)</f>
        <v>0</v>
      </c>
      <c r="X206" s="25" t="n">
        <f aca="false">X205+1</f>
        <v>180</v>
      </c>
      <c r="Y206" s="21" t="n">
        <f aca="false">MAX(0,ROUND(Y205*(1+Y$15),2)-AL205)</f>
        <v>0</v>
      </c>
      <c r="Z206" s="21" t="n">
        <f aca="false">MAX(0,ROUND(Z205*(1+Z$15),2)-AM205)</f>
        <v>0</v>
      </c>
      <c r="AA206" s="21" t="n">
        <f aca="false">MAX(0,ROUND(AA205*(1+AA$15),2)-AN205)</f>
        <v>0</v>
      </c>
      <c r="AB206" s="21" t="n">
        <f aca="false">MAX(0,ROUND(AB205*(1+AB$15),2)-AO205)</f>
        <v>0</v>
      </c>
      <c r="AC206" s="21" t="n">
        <f aca="false">MAX(0,ROUND(AC205*(1+AC$15),2)-AP205)</f>
        <v>0</v>
      </c>
      <c r="AD206" s="21" t="n">
        <f aca="false">MAX(0,ROUND(AD205*(1+AD$15),2)-AQ205)</f>
        <v>0</v>
      </c>
      <c r="AE206" s="21" t="n">
        <f aca="false">MIN(Y$16,ROUND(Y206*(1+Y$15),2))</f>
        <v>0</v>
      </c>
      <c r="AF206" s="21" t="n">
        <f aca="false">MIN(Z$16,ROUND(Z206*(1+Z$15),2))</f>
        <v>0</v>
      </c>
      <c r="AG206" s="21" t="n">
        <f aca="false">MIN(AA$16,ROUND(AA206*(1+AA$15),2))</f>
        <v>0</v>
      </c>
      <c r="AH206" s="21" t="n">
        <f aca="false">MIN(AB$16,ROUND(AB206*(1+AB$15),2))</f>
        <v>0</v>
      </c>
      <c r="AI206" s="21" t="n">
        <f aca="false">MIN(AC$16,ROUND(AC206*(1+AC$15),2))</f>
        <v>0</v>
      </c>
      <c r="AJ206" s="21" t="n">
        <f aca="false">MIN(AD$16,ROUND(AD206*(1+AD$15),2))</f>
        <v>0</v>
      </c>
      <c r="AK206" s="21" t="n">
        <f aca="false">Y$20-SUM(AE206:AJ206)</f>
        <v>1170</v>
      </c>
      <c r="AL206" s="21" t="n">
        <f aca="false">MIN(ROUND(Y206*(1+Y$15),2),AE206+MAX(0,AK206))</f>
        <v>0</v>
      </c>
      <c r="AM206" s="21" t="n">
        <f aca="false">MIN(ROUND(Z206*(1+Z$15),2),AF206+MAX(0,AK206-AL206+AE206))</f>
        <v>0</v>
      </c>
      <c r="AN206" s="21" t="n">
        <f aca="false">MIN(ROUND(AA206*(1+AA$15),2),AG206+MAX(0,AK206-AL206+AE206-AM206+AF206))</f>
        <v>0</v>
      </c>
      <c r="AO206" s="21" t="n">
        <f aca="false">MIN(ROUND(AB206*(1+AB$15),2),AH206+MAX(0,AK206-AL206+AE206-AM206+AF206-AN206+AG206))</f>
        <v>0</v>
      </c>
      <c r="AP206" s="21" t="n">
        <f aca="false">MIN(ROUND(AC206*(1+AC$15),2),AI206+MAX(0,AK206-AL206+AE206-AM206+AF206-AN206+AG206-AO206+AH206))</f>
        <v>0</v>
      </c>
      <c r="AQ206" s="21" t="n">
        <f aca="false">MIN(ROUND(AD206*(1+AD$15),2),AJ206+MAX(0,AK206-AL206+AE206-AM206+AF206-AN206+AG206-AO206+AH206-AP206+AI206))</f>
        <v>0</v>
      </c>
      <c r="AR206" s="21" t="n">
        <f aca="false">SUM(Y206:AD206)</f>
        <v>0</v>
      </c>
      <c r="AS206" s="21" t="n">
        <f aca="false">SUM(AL206:AQ206)</f>
        <v>0</v>
      </c>
    </row>
    <row r="207" customFormat="false" ht="15" hidden="false" customHeight="false" outlineLevel="0" collapsed="false">
      <c r="A207" s="25" t="n">
        <f aca="false">A206+1</f>
        <v>181</v>
      </c>
      <c r="B207" s="21" t="n">
        <f aca="false">MAX(0,ROUND(B206*(1+B$15),2)-O206)</f>
        <v>0</v>
      </c>
      <c r="C207" s="21" t="n">
        <f aca="false">MAX(0,ROUND(C206*(1+C$15),2)-P206)</f>
        <v>0</v>
      </c>
      <c r="D207" s="21" t="n">
        <f aca="false">MAX(0,ROUND(D206*(1+D$15),2)-Q206)</f>
        <v>0</v>
      </c>
      <c r="E207" s="21" t="n">
        <f aca="false">MAX(0,ROUND(E206*(1+E$15),2)-R206)</f>
        <v>0</v>
      </c>
      <c r="F207" s="21" t="n">
        <f aca="false">MAX(0,ROUND(F206*(1+F$15),2)-S206)</f>
        <v>0</v>
      </c>
      <c r="G207" s="21" t="n">
        <f aca="false">MAX(0,ROUND(G206*(1+G$15),2)-T206)</f>
        <v>0</v>
      </c>
      <c r="H207" s="21" t="n">
        <f aca="false">MIN(B$16,ROUND(B207*(1+B$15),2))</f>
        <v>0</v>
      </c>
      <c r="I207" s="21" t="n">
        <f aca="false">MIN(C$16,ROUND(C207*(1+C$15),2))</f>
        <v>0</v>
      </c>
      <c r="J207" s="21" t="n">
        <f aca="false">MIN(D$16,ROUND(D207*(1+D$15),2))</f>
        <v>0</v>
      </c>
      <c r="K207" s="21" t="n">
        <f aca="false">MIN(E$16,ROUND(E207*(1+E$15),2))</f>
        <v>0</v>
      </c>
      <c r="L207" s="21" t="n">
        <f aca="false">MIN(F$16,ROUND(F207*(1+F$15),2))</f>
        <v>0</v>
      </c>
      <c r="M207" s="21" t="n">
        <f aca="false">MIN(G$16,ROUND(G207*(1+G$15),2))</f>
        <v>0</v>
      </c>
      <c r="N207" s="21" t="n">
        <f aca="false">B$20-SUM(H207:M207)</f>
        <v>1170</v>
      </c>
      <c r="O207" s="21" t="n">
        <f aca="false">MIN(ROUND(B207*(1+B$15),2),H207+MAX(0,N207))</f>
        <v>0</v>
      </c>
      <c r="P207" s="21" t="n">
        <f aca="false">MIN(ROUND(C207*(1+C$15),2),I207+MAX(0,N207-O207+H207))</f>
        <v>0</v>
      </c>
      <c r="Q207" s="21" t="n">
        <f aca="false">MIN(ROUND(D207*(1+D$15),2),J207+MAX(0,N207-O207+H207-P207+I207))</f>
        <v>0</v>
      </c>
      <c r="R207" s="21" t="n">
        <f aca="false">MIN(ROUND(E207*(1+E$15),2),K207+MAX(0,N207-O207+H207-P207+I207-Q207+J207))</f>
        <v>0</v>
      </c>
      <c r="S207" s="21" t="n">
        <f aca="false">MIN(ROUND(F207*(1+F$15),2),L207+MAX(0,N207-O207+H207-P207+I207-Q207+J207-R207+K207))</f>
        <v>0</v>
      </c>
      <c r="T207" s="21" t="n">
        <f aca="false">MIN(ROUND(G207*(1+G$15),2),M207+MAX(0,N207-O207+H207-P207+I207-Q207+J207-R207+K207-S207+L207))</f>
        <v>0</v>
      </c>
      <c r="U207" s="21" t="n">
        <f aca="false">SUM(B207:G207)</f>
        <v>0</v>
      </c>
      <c r="V207" s="21" t="n">
        <f aca="false">SUM(O207:T207)</f>
        <v>0</v>
      </c>
      <c r="X207" s="25" t="n">
        <f aca="false">X206+1</f>
        <v>181</v>
      </c>
      <c r="Y207" s="21" t="n">
        <f aca="false">MAX(0,ROUND(Y206*(1+Y$15),2)-AL206)</f>
        <v>0</v>
      </c>
      <c r="Z207" s="21" t="n">
        <f aca="false">MAX(0,ROUND(Z206*(1+Z$15),2)-AM206)</f>
        <v>0</v>
      </c>
      <c r="AA207" s="21" t="n">
        <f aca="false">MAX(0,ROUND(AA206*(1+AA$15),2)-AN206)</f>
        <v>0</v>
      </c>
      <c r="AB207" s="21" t="n">
        <f aca="false">MAX(0,ROUND(AB206*(1+AB$15),2)-AO206)</f>
        <v>0</v>
      </c>
      <c r="AC207" s="21" t="n">
        <f aca="false">MAX(0,ROUND(AC206*(1+AC$15),2)-AP206)</f>
        <v>0</v>
      </c>
      <c r="AD207" s="21" t="n">
        <f aca="false">MAX(0,ROUND(AD206*(1+AD$15),2)-AQ206)</f>
        <v>0</v>
      </c>
      <c r="AE207" s="21" t="n">
        <f aca="false">MIN(Y$16,ROUND(Y207*(1+Y$15),2))</f>
        <v>0</v>
      </c>
      <c r="AF207" s="21" t="n">
        <f aca="false">MIN(Z$16,ROUND(Z207*(1+Z$15),2))</f>
        <v>0</v>
      </c>
      <c r="AG207" s="21" t="n">
        <f aca="false">MIN(AA$16,ROUND(AA207*(1+AA$15),2))</f>
        <v>0</v>
      </c>
      <c r="AH207" s="21" t="n">
        <f aca="false">MIN(AB$16,ROUND(AB207*(1+AB$15),2))</f>
        <v>0</v>
      </c>
      <c r="AI207" s="21" t="n">
        <f aca="false">MIN(AC$16,ROUND(AC207*(1+AC$15),2))</f>
        <v>0</v>
      </c>
      <c r="AJ207" s="21" t="n">
        <f aca="false">MIN(AD$16,ROUND(AD207*(1+AD$15),2))</f>
        <v>0</v>
      </c>
      <c r="AK207" s="21" t="n">
        <f aca="false">Y$20-SUM(AE207:AJ207)</f>
        <v>1170</v>
      </c>
      <c r="AL207" s="21" t="n">
        <f aca="false">MIN(ROUND(Y207*(1+Y$15),2),AE207+MAX(0,AK207))</f>
        <v>0</v>
      </c>
      <c r="AM207" s="21" t="n">
        <f aca="false">MIN(ROUND(Z207*(1+Z$15),2),AF207+MAX(0,AK207-AL207+AE207))</f>
        <v>0</v>
      </c>
      <c r="AN207" s="21" t="n">
        <f aca="false">MIN(ROUND(AA207*(1+AA$15),2),AG207+MAX(0,AK207-AL207+AE207-AM207+AF207))</f>
        <v>0</v>
      </c>
      <c r="AO207" s="21" t="n">
        <f aca="false">MIN(ROUND(AB207*(1+AB$15),2),AH207+MAX(0,AK207-AL207+AE207-AM207+AF207-AN207+AG207))</f>
        <v>0</v>
      </c>
      <c r="AP207" s="21" t="n">
        <f aca="false">MIN(ROUND(AC207*(1+AC$15),2),AI207+MAX(0,AK207-AL207+AE207-AM207+AF207-AN207+AG207-AO207+AH207))</f>
        <v>0</v>
      </c>
      <c r="AQ207" s="21" t="n">
        <f aca="false">MIN(ROUND(AD207*(1+AD$15),2),AJ207+MAX(0,AK207-AL207+AE207-AM207+AF207-AN207+AG207-AO207+AH207-AP207+AI207))</f>
        <v>0</v>
      </c>
      <c r="AR207" s="21" t="n">
        <f aca="false">SUM(Y207:AD207)</f>
        <v>0</v>
      </c>
      <c r="AS207" s="21" t="n">
        <f aca="false">SUM(AL207:AQ207)</f>
        <v>0</v>
      </c>
    </row>
    <row r="208" customFormat="false" ht="15" hidden="false" customHeight="false" outlineLevel="0" collapsed="false">
      <c r="A208" s="25" t="n">
        <f aca="false">A207+1</f>
        <v>182</v>
      </c>
      <c r="B208" s="21" t="n">
        <f aca="false">MAX(0,ROUND(B207*(1+B$15),2)-O207)</f>
        <v>0</v>
      </c>
      <c r="C208" s="21" t="n">
        <f aca="false">MAX(0,ROUND(C207*(1+C$15),2)-P207)</f>
        <v>0</v>
      </c>
      <c r="D208" s="21" t="n">
        <f aca="false">MAX(0,ROUND(D207*(1+D$15),2)-Q207)</f>
        <v>0</v>
      </c>
      <c r="E208" s="21" t="n">
        <f aca="false">MAX(0,ROUND(E207*(1+E$15),2)-R207)</f>
        <v>0</v>
      </c>
      <c r="F208" s="21" t="n">
        <f aca="false">MAX(0,ROUND(F207*(1+F$15),2)-S207)</f>
        <v>0</v>
      </c>
      <c r="G208" s="21" t="n">
        <f aca="false">MAX(0,ROUND(G207*(1+G$15),2)-T207)</f>
        <v>0</v>
      </c>
      <c r="H208" s="21" t="n">
        <f aca="false">MIN(B$16,ROUND(B208*(1+B$15),2))</f>
        <v>0</v>
      </c>
      <c r="I208" s="21" t="n">
        <f aca="false">MIN(C$16,ROUND(C208*(1+C$15),2))</f>
        <v>0</v>
      </c>
      <c r="J208" s="21" t="n">
        <f aca="false">MIN(D$16,ROUND(D208*(1+D$15),2))</f>
        <v>0</v>
      </c>
      <c r="K208" s="21" t="n">
        <f aca="false">MIN(E$16,ROUND(E208*(1+E$15),2))</f>
        <v>0</v>
      </c>
      <c r="L208" s="21" t="n">
        <f aca="false">MIN(F$16,ROUND(F208*(1+F$15),2))</f>
        <v>0</v>
      </c>
      <c r="M208" s="21" t="n">
        <f aca="false">MIN(G$16,ROUND(G208*(1+G$15),2))</f>
        <v>0</v>
      </c>
      <c r="N208" s="21" t="n">
        <f aca="false">B$20-SUM(H208:M208)</f>
        <v>1170</v>
      </c>
      <c r="O208" s="21" t="n">
        <f aca="false">MIN(ROUND(B208*(1+B$15),2),H208+MAX(0,N208))</f>
        <v>0</v>
      </c>
      <c r="P208" s="21" t="n">
        <f aca="false">MIN(ROUND(C208*(1+C$15),2),I208+MAX(0,N208-O208+H208))</f>
        <v>0</v>
      </c>
      <c r="Q208" s="21" t="n">
        <f aca="false">MIN(ROUND(D208*(1+D$15),2),J208+MAX(0,N208-O208+H208-P208+I208))</f>
        <v>0</v>
      </c>
      <c r="R208" s="21" t="n">
        <f aca="false">MIN(ROUND(E208*(1+E$15),2),K208+MAX(0,N208-O208+H208-P208+I208-Q208+J208))</f>
        <v>0</v>
      </c>
      <c r="S208" s="21" t="n">
        <f aca="false">MIN(ROUND(F208*(1+F$15),2),L208+MAX(0,N208-O208+H208-P208+I208-Q208+J208-R208+K208))</f>
        <v>0</v>
      </c>
      <c r="T208" s="21" t="n">
        <f aca="false">MIN(ROUND(G208*(1+G$15),2),M208+MAX(0,N208-O208+H208-P208+I208-Q208+J208-R208+K208-S208+L208))</f>
        <v>0</v>
      </c>
      <c r="U208" s="21" t="n">
        <f aca="false">SUM(B208:G208)</f>
        <v>0</v>
      </c>
      <c r="V208" s="21" t="n">
        <f aca="false">SUM(O208:T208)</f>
        <v>0</v>
      </c>
      <c r="X208" s="25" t="n">
        <f aca="false">X207+1</f>
        <v>182</v>
      </c>
      <c r="Y208" s="21" t="n">
        <f aca="false">MAX(0,ROUND(Y207*(1+Y$15),2)-AL207)</f>
        <v>0</v>
      </c>
      <c r="Z208" s="21" t="n">
        <f aca="false">MAX(0,ROUND(Z207*(1+Z$15),2)-AM207)</f>
        <v>0</v>
      </c>
      <c r="AA208" s="21" t="n">
        <f aca="false">MAX(0,ROUND(AA207*(1+AA$15),2)-AN207)</f>
        <v>0</v>
      </c>
      <c r="AB208" s="21" t="n">
        <f aca="false">MAX(0,ROUND(AB207*(1+AB$15),2)-AO207)</f>
        <v>0</v>
      </c>
      <c r="AC208" s="21" t="n">
        <f aca="false">MAX(0,ROUND(AC207*(1+AC$15),2)-AP207)</f>
        <v>0</v>
      </c>
      <c r="AD208" s="21" t="n">
        <f aca="false">MAX(0,ROUND(AD207*(1+AD$15),2)-AQ207)</f>
        <v>0</v>
      </c>
      <c r="AE208" s="21" t="n">
        <f aca="false">MIN(Y$16,ROUND(Y208*(1+Y$15),2))</f>
        <v>0</v>
      </c>
      <c r="AF208" s="21" t="n">
        <f aca="false">MIN(Z$16,ROUND(Z208*(1+Z$15),2))</f>
        <v>0</v>
      </c>
      <c r="AG208" s="21" t="n">
        <f aca="false">MIN(AA$16,ROUND(AA208*(1+AA$15),2))</f>
        <v>0</v>
      </c>
      <c r="AH208" s="21" t="n">
        <f aca="false">MIN(AB$16,ROUND(AB208*(1+AB$15),2))</f>
        <v>0</v>
      </c>
      <c r="AI208" s="21" t="n">
        <f aca="false">MIN(AC$16,ROUND(AC208*(1+AC$15),2))</f>
        <v>0</v>
      </c>
      <c r="AJ208" s="21" t="n">
        <f aca="false">MIN(AD$16,ROUND(AD208*(1+AD$15),2))</f>
        <v>0</v>
      </c>
      <c r="AK208" s="21" t="n">
        <f aca="false">Y$20-SUM(AE208:AJ208)</f>
        <v>1170</v>
      </c>
      <c r="AL208" s="21" t="n">
        <f aca="false">MIN(ROUND(Y208*(1+Y$15),2),AE208+MAX(0,AK208))</f>
        <v>0</v>
      </c>
      <c r="AM208" s="21" t="n">
        <f aca="false">MIN(ROUND(Z208*(1+Z$15),2),AF208+MAX(0,AK208-AL208+AE208))</f>
        <v>0</v>
      </c>
      <c r="AN208" s="21" t="n">
        <f aca="false">MIN(ROUND(AA208*(1+AA$15),2),AG208+MAX(0,AK208-AL208+AE208-AM208+AF208))</f>
        <v>0</v>
      </c>
      <c r="AO208" s="21" t="n">
        <f aca="false">MIN(ROUND(AB208*(1+AB$15),2),AH208+MAX(0,AK208-AL208+AE208-AM208+AF208-AN208+AG208))</f>
        <v>0</v>
      </c>
      <c r="AP208" s="21" t="n">
        <f aca="false">MIN(ROUND(AC208*(1+AC$15),2),AI208+MAX(0,AK208-AL208+AE208-AM208+AF208-AN208+AG208-AO208+AH208))</f>
        <v>0</v>
      </c>
      <c r="AQ208" s="21" t="n">
        <f aca="false">MIN(ROUND(AD208*(1+AD$15),2),AJ208+MAX(0,AK208-AL208+AE208-AM208+AF208-AN208+AG208-AO208+AH208-AP208+AI208))</f>
        <v>0</v>
      </c>
      <c r="AR208" s="21" t="n">
        <f aca="false">SUM(Y208:AD208)</f>
        <v>0</v>
      </c>
      <c r="AS208" s="21" t="n">
        <f aca="false">SUM(AL208:AQ208)</f>
        <v>0</v>
      </c>
    </row>
    <row r="209" customFormat="false" ht="15" hidden="false" customHeight="false" outlineLevel="0" collapsed="false">
      <c r="A209" s="25" t="n">
        <f aca="false">A208+1</f>
        <v>183</v>
      </c>
      <c r="B209" s="21" t="n">
        <f aca="false">MAX(0,ROUND(B208*(1+B$15),2)-O208)</f>
        <v>0</v>
      </c>
      <c r="C209" s="21" t="n">
        <f aca="false">MAX(0,ROUND(C208*(1+C$15),2)-P208)</f>
        <v>0</v>
      </c>
      <c r="D209" s="21" t="n">
        <f aca="false">MAX(0,ROUND(D208*(1+D$15),2)-Q208)</f>
        <v>0</v>
      </c>
      <c r="E209" s="21" t="n">
        <f aca="false">MAX(0,ROUND(E208*(1+E$15),2)-R208)</f>
        <v>0</v>
      </c>
      <c r="F209" s="21" t="n">
        <f aca="false">MAX(0,ROUND(F208*(1+F$15),2)-S208)</f>
        <v>0</v>
      </c>
      <c r="G209" s="21" t="n">
        <f aca="false">MAX(0,ROUND(G208*(1+G$15),2)-T208)</f>
        <v>0</v>
      </c>
      <c r="H209" s="21" t="n">
        <f aca="false">MIN(B$16,ROUND(B209*(1+B$15),2))</f>
        <v>0</v>
      </c>
      <c r="I209" s="21" t="n">
        <f aca="false">MIN(C$16,ROUND(C209*(1+C$15),2))</f>
        <v>0</v>
      </c>
      <c r="J209" s="21" t="n">
        <f aca="false">MIN(D$16,ROUND(D209*(1+D$15),2))</f>
        <v>0</v>
      </c>
      <c r="K209" s="21" t="n">
        <f aca="false">MIN(E$16,ROUND(E209*(1+E$15),2))</f>
        <v>0</v>
      </c>
      <c r="L209" s="21" t="n">
        <f aca="false">MIN(F$16,ROUND(F209*(1+F$15),2))</f>
        <v>0</v>
      </c>
      <c r="M209" s="21" t="n">
        <f aca="false">MIN(G$16,ROUND(G209*(1+G$15),2))</f>
        <v>0</v>
      </c>
      <c r="N209" s="21" t="n">
        <f aca="false">B$20-SUM(H209:M209)</f>
        <v>1170</v>
      </c>
      <c r="O209" s="21" t="n">
        <f aca="false">MIN(ROUND(B209*(1+B$15),2),H209+MAX(0,N209))</f>
        <v>0</v>
      </c>
      <c r="P209" s="21" t="n">
        <f aca="false">MIN(ROUND(C209*(1+C$15),2),I209+MAX(0,N209-O209+H209))</f>
        <v>0</v>
      </c>
      <c r="Q209" s="21" t="n">
        <f aca="false">MIN(ROUND(D209*(1+D$15),2),J209+MAX(0,N209-O209+H209-P209+I209))</f>
        <v>0</v>
      </c>
      <c r="R209" s="21" t="n">
        <f aca="false">MIN(ROUND(E209*(1+E$15),2),K209+MAX(0,N209-O209+H209-P209+I209-Q209+J209))</f>
        <v>0</v>
      </c>
      <c r="S209" s="21" t="n">
        <f aca="false">MIN(ROUND(F209*(1+F$15),2),L209+MAX(0,N209-O209+H209-P209+I209-Q209+J209-R209+K209))</f>
        <v>0</v>
      </c>
      <c r="T209" s="21" t="n">
        <f aca="false">MIN(ROUND(G209*(1+G$15),2),M209+MAX(0,N209-O209+H209-P209+I209-Q209+J209-R209+K209-S209+L209))</f>
        <v>0</v>
      </c>
      <c r="U209" s="21" t="n">
        <f aca="false">SUM(B209:G209)</f>
        <v>0</v>
      </c>
      <c r="V209" s="21" t="n">
        <f aca="false">SUM(O209:T209)</f>
        <v>0</v>
      </c>
      <c r="X209" s="25" t="n">
        <f aca="false">X208+1</f>
        <v>183</v>
      </c>
      <c r="Y209" s="21" t="n">
        <f aca="false">MAX(0,ROUND(Y208*(1+Y$15),2)-AL208)</f>
        <v>0</v>
      </c>
      <c r="Z209" s="21" t="n">
        <f aca="false">MAX(0,ROUND(Z208*(1+Z$15),2)-AM208)</f>
        <v>0</v>
      </c>
      <c r="AA209" s="21" t="n">
        <f aca="false">MAX(0,ROUND(AA208*(1+AA$15),2)-AN208)</f>
        <v>0</v>
      </c>
      <c r="AB209" s="21" t="n">
        <f aca="false">MAX(0,ROUND(AB208*(1+AB$15),2)-AO208)</f>
        <v>0</v>
      </c>
      <c r="AC209" s="21" t="n">
        <f aca="false">MAX(0,ROUND(AC208*(1+AC$15),2)-AP208)</f>
        <v>0</v>
      </c>
      <c r="AD209" s="21" t="n">
        <f aca="false">MAX(0,ROUND(AD208*(1+AD$15),2)-AQ208)</f>
        <v>0</v>
      </c>
      <c r="AE209" s="21" t="n">
        <f aca="false">MIN(Y$16,ROUND(Y209*(1+Y$15),2))</f>
        <v>0</v>
      </c>
      <c r="AF209" s="21" t="n">
        <f aca="false">MIN(Z$16,ROUND(Z209*(1+Z$15),2))</f>
        <v>0</v>
      </c>
      <c r="AG209" s="21" t="n">
        <f aca="false">MIN(AA$16,ROUND(AA209*(1+AA$15),2))</f>
        <v>0</v>
      </c>
      <c r="AH209" s="21" t="n">
        <f aca="false">MIN(AB$16,ROUND(AB209*(1+AB$15),2))</f>
        <v>0</v>
      </c>
      <c r="AI209" s="21" t="n">
        <f aca="false">MIN(AC$16,ROUND(AC209*(1+AC$15),2))</f>
        <v>0</v>
      </c>
      <c r="AJ209" s="21" t="n">
        <f aca="false">MIN(AD$16,ROUND(AD209*(1+AD$15),2))</f>
        <v>0</v>
      </c>
      <c r="AK209" s="21" t="n">
        <f aca="false">Y$20-SUM(AE209:AJ209)</f>
        <v>1170</v>
      </c>
      <c r="AL209" s="21" t="n">
        <f aca="false">MIN(ROUND(Y209*(1+Y$15),2),AE209+MAX(0,AK209))</f>
        <v>0</v>
      </c>
      <c r="AM209" s="21" t="n">
        <f aca="false">MIN(ROUND(Z209*(1+Z$15),2),AF209+MAX(0,AK209-AL209+AE209))</f>
        <v>0</v>
      </c>
      <c r="AN209" s="21" t="n">
        <f aca="false">MIN(ROUND(AA209*(1+AA$15),2),AG209+MAX(0,AK209-AL209+AE209-AM209+AF209))</f>
        <v>0</v>
      </c>
      <c r="AO209" s="21" t="n">
        <f aca="false">MIN(ROUND(AB209*(1+AB$15),2),AH209+MAX(0,AK209-AL209+AE209-AM209+AF209-AN209+AG209))</f>
        <v>0</v>
      </c>
      <c r="AP209" s="21" t="n">
        <f aca="false">MIN(ROUND(AC209*(1+AC$15),2),AI209+MAX(0,AK209-AL209+AE209-AM209+AF209-AN209+AG209-AO209+AH209))</f>
        <v>0</v>
      </c>
      <c r="AQ209" s="21" t="n">
        <f aca="false">MIN(ROUND(AD209*(1+AD$15),2),AJ209+MAX(0,AK209-AL209+AE209-AM209+AF209-AN209+AG209-AO209+AH209-AP209+AI209))</f>
        <v>0</v>
      </c>
      <c r="AR209" s="21" t="n">
        <f aca="false">SUM(Y209:AD209)</f>
        <v>0</v>
      </c>
      <c r="AS209" s="21" t="n">
        <f aca="false">SUM(AL209:AQ209)</f>
        <v>0</v>
      </c>
    </row>
    <row r="210" customFormat="false" ht="15" hidden="false" customHeight="false" outlineLevel="0" collapsed="false">
      <c r="A210" s="25" t="n">
        <f aca="false">A209+1</f>
        <v>184</v>
      </c>
      <c r="B210" s="21" t="n">
        <f aca="false">MAX(0,ROUND(B209*(1+B$15),2)-O209)</f>
        <v>0</v>
      </c>
      <c r="C210" s="21" t="n">
        <f aca="false">MAX(0,ROUND(C209*(1+C$15),2)-P209)</f>
        <v>0</v>
      </c>
      <c r="D210" s="21" t="n">
        <f aca="false">MAX(0,ROUND(D209*(1+D$15),2)-Q209)</f>
        <v>0</v>
      </c>
      <c r="E210" s="21" t="n">
        <f aca="false">MAX(0,ROUND(E209*(1+E$15),2)-R209)</f>
        <v>0</v>
      </c>
      <c r="F210" s="21" t="n">
        <f aca="false">MAX(0,ROUND(F209*(1+F$15),2)-S209)</f>
        <v>0</v>
      </c>
      <c r="G210" s="21" t="n">
        <f aca="false">MAX(0,ROUND(G209*(1+G$15),2)-T209)</f>
        <v>0</v>
      </c>
      <c r="H210" s="21" t="n">
        <f aca="false">MIN(B$16,ROUND(B210*(1+B$15),2))</f>
        <v>0</v>
      </c>
      <c r="I210" s="21" t="n">
        <f aca="false">MIN(C$16,ROUND(C210*(1+C$15),2))</f>
        <v>0</v>
      </c>
      <c r="J210" s="21" t="n">
        <f aca="false">MIN(D$16,ROUND(D210*(1+D$15),2))</f>
        <v>0</v>
      </c>
      <c r="K210" s="21" t="n">
        <f aca="false">MIN(E$16,ROUND(E210*(1+E$15),2))</f>
        <v>0</v>
      </c>
      <c r="L210" s="21" t="n">
        <f aca="false">MIN(F$16,ROUND(F210*(1+F$15),2))</f>
        <v>0</v>
      </c>
      <c r="M210" s="21" t="n">
        <f aca="false">MIN(G$16,ROUND(G210*(1+G$15),2))</f>
        <v>0</v>
      </c>
      <c r="N210" s="21" t="n">
        <f aca="false">B$20-SUM(H210:M210)</f>
        <v>1170</v>
      </c>
      <c r="O210" s="21" t="n">
        <f aca="false">MIN(ROUND(B210*(1+B$15),2),H210+MAX(0,N210))</f>
        <v>0</v>
      </c>
      <c r="P210" s="21" t="n">
        <f aca="false">MIN(ROUND(C210*(1+C$15),2),I210+MAX(0,N210-O210+H210))</f>
        <v>0</v>
      </c>
      <c r="Q210" s="21" t="n">
        <f aca="false">MIN(ROUND(D210*(1+D$15),2),J210+MAX(0,N210-O210+H210-P210+I210))</f>
        <v>0</v>
      </c>
      <c r="R210" s="21" t="n">
        <f aca="false">MIN(ROUND(E210*(1+E$15),2),K210+MAX(0,N210-O210+H210-P210+I210-Q210+J210))</f>
        <v>0</v>
      </c>
      <c r="S210" s="21" t="n">
        <f aca="false">MIN(ROUND(F210*(1+F$15),2),L210+MAX(0,N210-O210+H210-P210+I210-Q210+J210-R210+K210))</f>
        <v>0</v>
      </c>
      <c r="T210" s="21" t="n">
        <f aca="false">MIN(ROUND(G210*(1+G$15),2),M210+MAX(0,N210-O210+H210-P210+I210-Q210+J210-R210+K210-S210+L210))</f>
        <v>0</v>
      </c>
      <c r="U210" s="21" t="n">
        <f aca="false">SUM(B210:G210)</f>
        <v>0</v>
      </c>
      <c r="V210" s="21" t="n">
        <f aca="false">SUM(O210:T210)</f>
        <v>0</v>
      </c>
      <c r="X210" s="25" t="n">
        <f aca="false">X209+1</f>
        <v>184</v>
      </c>
      <c r="Y210" s="21" t="n">
        <f aca="false">MAX(0,ROUND(Y209*(1+Y$15),2)-AL209)</f>
        <v>0</v>
      </c>
      <c r="Z210" s="21" t="n">
        <f aca="false">MAX(0,ROUND(Z209*(1+Z$15),2)-AM209)</f>
        <v>0</v>
      </c>
      <c r="AA210" s="21" t="n">
        <f aca="false">MAX(0,ROUND(AA209*(1+AA$15),2)-AN209)</f>
        <v>0</v>
      </c>
      <c r="AB210" s="21" t="n">
        <f aca="false">MAX(0,ROUND(AB209*(1+AB$15),2)-AO209)</f>
        <v>0</v>
      </c>
      <c r="AC210" s="21" t="n">
        <f aca="false">MAX(0,ROUND(AC209*(1+AC$15),2)-AP209)</f>
        <v>0</v>
      </c>
      <c r="AD210" s="21" t="n">
        <f aca="false">MAX(0,ROUND(AD209*(1+AD$15),2)-AQ209)</f>
        <v>0</v>
      </c>
      <c r="AE210" s="21" t="n">
        <f aca="false">MIN(Y$16,ROUND(Y210*(1+Y$15),2))</f>
        <v>0</v>
      </c>
      <c r="AF210" s="21" t="n">
        <f aca="false">MIN(Z$16,ROUND(Z210*(1+Z$15),2))</f>
        <v>0</v>
      </c>
      <c r="AG210" s="21" t="n">
        <f aca="false">MIN(AA$16,ROUND(AA210*(1+AA$15),2))</f>
        <v>0</v>
      </c>
      <c r="AH210" s="21" t="n">
        <f aca="false">MIN(AB$16,ROUND(AB210*(1+AB$15),2))</f>
        <v>0</v>
      </c>
      <c r="AI210" s="21" t="n">
        <f aca="false">MIN(AC$16,ROUND(AC210*(1+AC$15),2))</f>
        <v>0</v>
      </c>
      <c r="AJ210" s="21" t="n">
        <f aca="false">MIN(AD$16,ROUND(AD210*(1+AD$15),2))</f>
        <v>0</v>
      </c>
      <c r="AK210" s="21" t="n">
        <f aca="false">Y$20-SUM(AE210:AJ210)</f>
        <v>1170</v>
      </c>
      <c r="AL210" s="21" t="n">
        <f aca="false">MIN(ROUND(Y210*(1+Y$15),2),AE210+MAX(0,AK210))</f>
        <v>0</v>
      </c>
      <c r="AM210" s="21" t="n">
        <f aca="false">MIN(ROUND(Z210*(1+Z$15),2),AF210+MAX(0,AK210-AL210+AE210))</f>
        <v>0</v>
      </c>
      <c r="AN210" s="21" t="n">
        <f aca="false">MIN(ROUND(AA210*(1+AA$15),2),AG210+MAX(0,AK210-AL210+AE210-AM210+AF210))</f>
        <v>0</v>
      </c>
      <c r="AO210" s="21" t="n">
        <f aca="false">MIN(ROUND(AB210*(1+AB$15),2),AH210+MAX(0,AK210-AL210+AE210-AM210+AF210-AN210+AG210))</f>
        <v>0</v>
      </c>
      <c r="AP210" s="21" t="n">
        <f aca="false">MIN(ROUND(AC210*(1+AC$15),2),AI210+MAX(0,AK210-AL210+AE210-AM210+AF210-AN210+AG210-AO210+AH210))</f>
        <v>0</v>
      </c>
      <c r="AQ210" s="21" t="n">
        <f aca="false">MIN(ROUND(AD210*(1+AD$15),2),AJ210+MAX(0,AK210-AL210+AE210-AM210+AF210-AN210+AG210-AO210+AH210-AP210+AI210))</f>
        <v>0</v>
      </c>
      <c r="AR210" s="21" t="n">
        <f aca="false">SUM(Y210:AD210)</f>
        <v>0</v>
      </c>
      <c r="AS210" s="21" t="n">
        <f aca="false">SUM(AL210:AQ210)</f>
        <v>0</v>
      </c>
    </row>
    <row r="211" customFormat="false" ht="15" hidden="false" customHeight="false" outlineLevel="0" collapsed="false">
      <c r="A211" s="25" t="n">
        <f aca="false">A210+1</f>
        <v>185</v>
      </c>
      <c r="B211" s="21" t="n">
        <f aca="false">MAX(0,ROUND(B210*(1+B$15),2)-O210)</f>
        <v>0</v>
      </c>
      <c r="C211" s="21" t="n">
        <f aca="false">MAX(0,ROUND(C210*(1+C$15),2)-P210)</f>
        <v>0</v>
      </c>
      <c r="D211" s="21" t="n">
        <f aca="false">MAX(0,ROUND(D210*(1+D$15),2)-Q210)</f>
        <v>0</v>
      </c>
      <c r="E211" s="21" t="n">
        <f aca="false">MAX(0,ROUND(E210*(1+E$15),2)-R210)</f>
        <v>0</v>
      </c>
      <c r="F211" s="21" t="n">
        <f aca="false">MAX(0,ROUND(F210*(1+F$15),2)-S210)</f>
        <v>0</v>
      </c>
      <c r="G211" s="21" t="n">
        <f aca="false">MAX(0,ROUND(G210*(1+G$15),2)-T210)</f>
        <v>0</v>
      </c>
      <c r="H211" s="21" t="n">
        <f aca="false">MIN(B$16,ROUND(B211*(1+B$15),2))</f>
        <v>0</v>
      </c>
      <c r="I211" s="21" t="n">
        <f aca="false">MIN(C$16,ROUND(C211*(1+C$15),2))</f>
        <v>0</v>
      </c>
      <c r="J211" s="21" t="n">
        <f aca="false">MIN(D$16,ROUND(D211*(1+D$15),2))</f>
        <v>0</v>
      </c>
      <c r="K211" s="21" t="n">
        <f aca="false">MIN(E$16,ROUND(E211*(1+E$15),2))</f>
        <v>0</v>
      </c>
      <c r="L211" s="21" t="n">
        <f aca="false">MIN(F$16,ROUND(F211*(1+F$15),2))</f>
        <v>0</v>
      </c>
      <c r="M211" s="21" t="n">
        <f aca="false">MIN(G$16,ROUND(G211*(1+G$15),2))</f>
        <v>0</v>
      </c>
      <c r="N211" s="21" t="n">
        <f aca="false">B$20-SUM(H211:M211)</f>
        <v>1170</v>
      </c>
      <c r="O211" s="21" t="n">
        <f aca="false">MIN(ROUND(B211*(1+B$15),2),H211+MAX(0,N211))</f>
        <v>0</v>
      </c>
      <c r="P211" s="21" t="n">
        <f aca="false">MIN(ROUND(C211*(1+C$15),2),I211+MAX(0,N211-O211+H211))</f>
        <v>0</v>
      </c>
      <c r="Q211" s="21" t="n">
        <f aca="false">MIN(ROUND(D211*(1+D$15),2),J211+MAX(0,N211-O211+H211-P211+I211))</f>
        <v>0</v>
      </c>
      <c r="R211" s="21" t="n">
        <f aca="false">MIN(ROUND(E211*(1+E$15),2),K211+MAX(0,N211-O211+H211-P211+I211-Q211+J211))</f>
        <v>0</v>
      </c>
      <c r="S211" s="21" t="n">
        <f aca="false">MIN(ROUND(F211*(1+F$15),2),L211+MAX(0,N211-O211+H211-P211+I211-Q211+J211-R211+K211))</f>
        <v>0</v>
      </c>
      <c r="T211" s="21" t="n">
        <f aca="false">MIN(ROUND(G211*(1+G$15),2),M211+MAX(0,N211-O211+H211-P211+I211-Q211+J211-R211+K211-S211+L211))</f>
        <v>0</v>
      </c>
      <c r="U211" s="21" t="n">
        <f aca="false">SUM(B211:G211)</f>
        <v>0</v>
      </c>
      <c r="V211" s="21" t="n">
        <f aca="false">SUM(O211:T211)</f>
        <v>0</v>
      </c>
      <c r="X211" s="25" t="n">
        <f aca="false">X210+1</f>
        <v>185</v>
      </c>
      <c r="Y211" s="21" t="n">
        <f aca="false">MAX(0,ROUND(Y210*(1+Y$15),2)-AL210)</f>
        <v>0</v>
      </c>
      <c r="Z211" s="21" t="n">
        <f aca="false">MAX(0,ROUND(Z210*(1+Z$15),2)-AM210)</f>
        <v>0</v>
      </c>
      <c r="AA211" s="21" t="n">
        <f aca="false">MAX(0,ROUND(AA210*(1+AA$15),2)-AN210)</f>
        <v>0</v>
      </c>
      <c r="AB211" s="21" t="n">
        <f aca="false">MAX(0,ROUND(AB210*(1+AB$15),2)-AO210)</f>
        <v>0</v>
      </c>
      <c r="AC211" s="21" t="n">
        <f aca="false">MAX(0,ROUND(AC210*(1+AC$15),2)-AP210)</f>
        <v>0</v>
      </c>
      <c r="AD211" s="21" t="n">
        <f aca="false">MAX(0,ROUND(AD210*(1+AD$15),2)-AQ210)</f>
        <v>0</v>
      </c>
      <c r="AE211" s="21" t="n">
        <f aca="false">MIN(Y$16,ROUND(Y211*(1+Y$15),2))</f>
        <v>0</v>
      </c>
      <c r="AF211" s="21" t="n">
        <f aca="false">MIN(Z$16,ROUND(Z211*(1+Z$15),2))</f>
        <v>0</v>
      </c>
      <c r="AG211" s="21" t="n">
        <f aca="false">MIN(AA$16,ROUND(AA211*(1+AA$15),2))</f>
        <v>0</v>
      </c>
      <c r="AH211" s="21" t="n">
        <f aca="false">MIN(AB$16,ROUND(AB211*(1+AB$15),2))</f>
        <v>0</v>
      </c>
      <c r="AI211" s="21" t="n">
        <f aca="false">MIN(AC$16,ROUND(AC211*(1+AC$15),2))</f>
        <v>0</v>
      </c>
      <c r="AJ211" s="21" t="n">
        <f aca="false">MIN(AD$16,ROUND(AD211*(1+AD$15),2))</f>
        <v>0</v>
      </c>
      <c r="AK211" s="21" t="n">
        <f aca="false">Y$20-SUM(AE211:AJ211)</f>
        <v>1170</v>
      </c>
      <c r="AL211" s="21" t="n">
        <f aca="false">MIN(ROUND(Y211*(1+Y$15),2),AE211+MAX(0,AK211))</f>
        <v>0</v>
      </c>
      <c r="AM211" s="21" t="n">
        <f aca="false">MIN(ROUND(Z211*(1+Z$15),2),AF211+MAX(0,AK211-AL211+AE211))</f>
        <v>0</v>
      </c>
      <c r="AN211" s="21" t="n">
        <f aca="false">MIN(ROUND(AA211*(1+AA$15),2),AG211+MAX(0,AK211-AL211+AE211-AM211+AF211))</f>
        <v>0</v>
      </c>
      <c r="AO211" s="21" t="n">
        <f aca="false">MIN(ROUND(AB211*(1+AB$15),2),AH211+MAX(0,AK211-AL211+AE211-AM211+AF211-AN211+AG211))</f>
        <v>0</v>
      </c>
      <c r="AP211" s="21" t="n">
        <f aca="false">MIN(ROUND(AC211*(1+AC$15),2),AI211+MAX(0,AK211-AL211+AE211-AM211+AF211-AN211+AG211-AO211+AH211))</f>
        <v>0</v>
      </c>
      <c r="AQ211" s="21" t="n">
        <f aca="false">MIN(ROUND(AD211*(1+AD$15),2),AJ211+MAX(0,AK211-AL211+AE211-AM211+AF211-AN211+AG211-AO211+AH211-AP211+AI211))</f>
        <v>0</v>
      </c>
      <c r="AR211" s="21" t="n">
        <f aca="false">SUM(Y211:AD211)</f>
        <v>0</v>
      </c>
      <c r="AS211" s="21" t="n">
        <f aca="false">SUM(AL211:AQ211)</f>
        <v>0</v>
      </c>
    </row>
    <row r="212" customFormat="false" ht="15" hidden="false" customHeight="false" outlineLevel="0" collapsed="false">
      <c r="A212" s="25" t="n">
        <f aca="false">A211+1</f>
        <v>186</v>
      </c>
      <c r="B212" s="21" t="n">
        <f aca="false">MAX(0,ROUND(B211*(1+B$15),2)-O211)</f>
        <v>0</v>
      </c>
      <c r="C212" s="21" t="n">
        <f aca="false">MAX(0,ROUND(C211*(1+C$15),2)-P211)</f>
        <v>0</v>
      </c>
      <c r="D212" s="21" t="n">
        <f aca="false">MAX(0,ROUND(D211*(1+D$15),2)-Q211)</f>
        <v>0</v>
      </c>
      <c r="E212" s="21" t="n">
        <f aca="false">MAX(0,ROUND(E211*(1+E$15),2)-R211)</f>
        <v>0</v>
      </c>
      <c r="F212" s="21" t="n">
        <f aca="false">MAX(0,ROUND(F211*(1+F$15),2)-S211)</f>
        <v>0</v>
      </c>
      <c r="G212" s="21" t="n">
        <f aca="false">MAX(0,ROUND(G211*(1+G$15),2)-T211)</f>
        <v>0</v>
      </c>
      <c r="H212" s="21" t="n">
        <f aca="false">MIN(B$16,ROUND(B212*(1+B$15),2))</f>
        <v>0</v>
      </c>
      <c r="I212" s="21" t="n">
        <f aca="false">MIN(C$16,ROUND(C212*(1+C$15),2))</f>
        <v>0</v>
      </c>
      <c r="J212" s="21" t="n">
        <f aca="false">MIN(D$16,ROUND(D212*(1+D$15),2))</f>
        <v>0</v>
      </c>
      <c r="K212" s="21" t="n">
        <f aca="false">MIN(E$16,ROUND(E212*(1+E$15),2))</f>
        <v>0</v>
      </c>
      <c r="L212" s="21" t="n">
        <f aca="false">MIN(F$16,ROUND(F212*(1+F$15),2))</f>
        <v>0</v>
      </c>
      <c r="M212" s="21" t="n">
        <f aca="false">MIN(G$16,ROUND(G212*(1+G$15),2))</f>
        <v>0</v>
      </c>
      <c r="N212" s="21" t="n">
        <f aca="false">B$20-SUM(H212:M212)</f>
        <v>1170</v>
      </c>
      <c r="O212" s="21" t="n">
        <f aca="false">MIN(ROUND(B212*(1+B$15),2),H212+MAX(0,N212))</f>
        <v>0</v>
      </c>
      <c r="P212" s="21" t="n">
        <f aca="false">MIN(ROUND(C212*(1+C$15),2),I212+MAX(0,N212-O212+H212))</f>
        <v>0</v>
      </c>
      <c r="Q212" s="21" t="n">
        <f aca="false">MIN(ROUND(D212*(1+D$15),2),J212+MAX(0,N212-O212+H212-P212+I212))</f>
        <v>0</v>
      </c>
      <c r="R212" s="21" t="n">
        <f aca="false">MIN(ROUND(E212*(1+E$15),2),K212+MAX(0,N212-O212+H212-P212+I212-Q212+J212))</f>
        <v>0</v>
      </c>
      <c r="S212" s="21" t="n">
        <f aca="false">MIN(ROUND(F212*(1+F$15),2),L212+MAX(0,N212-O212+H212-P212+I212-Q212+J212-R212+K212))</f>
        <v>0</v>
      </c>
      <c r="T212" s="21" t="n">
        <f aca="false">MIN(ROUND(G212*(1+G$15),2),M212+MAX(0,N212-O212+H212-P212+I212-Q212+J212-R212+K212-S212+L212))</f>
        <v>0</v>
      </c>
      <c r="U212" s="21" t="n">
        <f aca="false">SUM(B212:G212)</f>
        <v>0</v>
      </c>
      <c r="V212" s="21" t="n">
        <f aca="false">SUM(O212:T212)</f>
        <v>0</v>
      </c>
      <c r="X212" s="25" t="n">
        <f aca="false">X211+1</f>
        <v>186</v>
      </c>
      <c r="Y212" s="21" t="n">
        <f aca="false">MAX(0,ROUND(Y211*(1+Y$15),2)-AL211)</f>
        <v>0</v>
      </c>
      <c r="Z212" s="21" t="n">
        <f aca="false">MAX(0,ROUND(Z211*(1+Z$15),2)-AM211)</f>
        <v>0</v>
      </c>
      <c r="AA212" s="21" t="n">
        <f aca="false">MAX(0,ROUND(AA211*(1+AA$15),2)-AN211)</f>
        <v>0</v>
      </c>
      <c r="AB212" s="21" t="n">
        <f aca="false">MAX(0,ROUND(AB211*(1+AB$15),2)-AO211)</f>
        <v>0</v>
      </c>
      <c r="AC212" s="21" t="n">
        <f aca="false">MAX(0,ROUND(AC211*(1+AC$15),2)-AP211)</f>
        <v>0</v>
      </c>
      <c r="AD212" s="21" t="n">
        <f aca="false">MAX(0,ROUND(AD211*(1+AD$15),2)-AQ211)</f>
        <v>0</v>
      </c>
      <c r="AE212" s="21" t="n">
        <f aca="false">MIN(Y$16,ROUND(Y212*(1+Y$15),2))</f>
        <v>0</v>
      </c>
      <c r="AF212" s="21" t="n">
        <f aca="false">MIN(Z$16,ROUND(Z212*(1+Z$15),2))</f>
        <v>0</v>
      </c>
      <c r="AG212" s="21" t="n">
        <f aca="false">MIN(AA$16,ROUND(AA212*(1+AA$15),2))</f>
        <v>0</v>
      </c>
      <c r="AH212" s="21" t="n">
        <f aca="false">MIN(AB$16,ROUND(AB212*(1+AB$15),2))</f>
        <v>0</v>
      </c>
      <c r="AI212" s="21" t="n">
        <f aca="false">MIN(AC$16,ROUND(AC212*(1+AC$15),2))</f>
        <v>0</v>
      </c>
      <c r="AJ212" s="21" t="n">
        <f aca="false">MIN(AD$16,ROUND(AD212*(1+AD$15),2))</f>
        <v>0</v>
      </c>
      <c r="AK212" s="21" t="n">
        <f aca="false">Y$20-SUM(AE212:AJ212)</f>
        <v>1170</v>
      </c>
      <c r="AL212" s="21" t="n">
        <f aca="false">MIN(ROUND(Y212*(1+Y$15),2),AE212+MAX(0,AK212))</f>
        <v>0</v>
      </c>
      <c r="AM212" s="21" t="n">
        <f aca="false">MIN(ROUND(Z212*(1+Z$15),2),AF212+MAX(0,AK212-AL212+AE212))</f>
        <v>0</v>
      </c>
      <c r="AN212" s="21" t="n">
        <f aca="false">MIN(ROUND(AA212*(1+AA$15),2),AG212+MAX(0,AK212-AL212+AE212-AM212+AF212))</f>
        <v>0</v>
      </c>
      <c r="AO212" s="21" t="n">
        <f aca="false">MIN(ROUND(AB212*(1+AB$15),2),AH212+MAX(0,AK212-AL212+AE212-AM212+AF212-AN212+AG212))</f>
        <v>0</v>
      </c>
      <c r="AP212" s="21" t="n">
        <f aca="false">MIN(ROUND(AC212*(1+AC$15),2),AI212+MAX(0,AK212-AL212+AE212-AM212+AF212-AN212+AG212-AO212+AH212))</f>
        <v>0</v>
      </c>
      <c r="AQ212" s="21" t="n">
        <f aca="false">MIN(ROUND(AD212*(1+AD$15),2),AJ212+MAX(0,AK212-AL212+AE212-AM212+AF212-AN212+AG212-AO212+AH212-AP212+AI212))</f>
        <v>0</v>
      </c>
      <c r="AR212" s="21" t="n">
        <f aca="false">SUM(Y212:AD212)</f>
        <v>0</v>
      </c>
      <c r="AS212" s="21" t="n">
        <f aca="false">SUM(AL212:AQ212)</f>
        <v>0</v>
      </c>
    </row>
    <row r="213" customFormat="false" ht="15" hidden="false" customHeight="false" outlineLevel="0" collapsed="false">
      <c r="A213" s="25" t="n">
        <f aca="false">A212+1</f>
        <v>187</v>
      </c>
      <c r="B213" s="21" t="n">
        <f aca="false">MAX(0,ROUND(B212*(1+B$15),2)-O212)</f>
        <v>0</v>
      </c>
      <c r="C213" s="21" t="n">
        <f aca="false">MAX(0,ROUND(C212*(1+C$15),2)-P212)</f>
        <v>0</v>
      </c>
      <c r="D213" s="21" t="n">
        <f aca="false">MAX(0,ROUND(D212*(1+D$15),2)-Q212)</f>
        <v>0</v>
      </c>
      <c r="E213" s="21" t="n">
        <f aca="false">MAX(0,ROUND(E212*(1+E$15),2)-R212)</f>
        <v>0</v>
      </c>
      <c r="F213" s="21" t="n">
        <f aca="false">MAX(0,ROUND(F212*(1+F$15),2)-S212)</f>
        <v>0</v>
      </c>
      <c r="G213" s="21" t="n">
        <f aca="false">MAX(0,ROUND(G212*(1+G$15),2)-T212)</f>
        <v>0</v>
      </c>
      <c r="H213" s="21" t="n">
        <f aca="false">MIN(B$16,ROUND(B213*(1+B$15),2))</f>
        <v>0</v>
      </c>
      <c r="I213" s="21" t="n">
        <f aca="false">MIN(C$16,ROUND(C213*(1+C$15),2))</f>
        <v>0</v>
      </c>
      <c r="J213" s="21" t="n">
        <f aca="false">MIN(D$16,ROUND(D213*(1+D$15),2))</f>
        <v>0</v>
      </c>
      <c r="K213" s="21" t="n">
        <f aca="false">MIN(E$16,ROUND(E213*(1+E$15),2))</f>
        <v>0</v>
      </c>
      <c r="L213" s="21" t="n">
        <f aca="false">MIN(F$16,ROUND(F213*(1+F$15),2))</f>
        <v>0</v>
      </c>
      <c r="M213" s="21" t="n">
        <f aca="false">MIN(G$16,ROUND(G213*(1+G$15),2))</f>
        <v>0</v>
      </c>
      <c r="N213" s="21" t="n">
        <f aca="false">B$20-SUM(H213:M213)</f>
        <v>1170</v>
      </c>
      <c r="O213" s="21" t="n">
        <f aca="false">MIN(ROUND(B213*(1+B$15),2),H213+MAX(0,N213))</f>
        <v>0</v>
      </c>
      <c r="P213" s="21" t="n">
        <f aca="false">MIN(ROUND(C213*(1+C$15),2),I213+MAX(0,N213-O213+H213))</f>
        <v>0</v>
      </c>
      <c r="Q213" s="21" t="n">
        <f aca="false">MIN(ROUND(D213*(1+D$15),2),J213+MAX(0,N213-O213+H213-P213+I213))</f>
        <v>0</v>
      </c>
      <c r="R213" s="21" t="n">
        <f aca="false">MIN(ROUND(E213*(1+E$15),2),K213+MAX(0,N213-O213+H213-P213+I213-Q213+J213))</f>
        <v>0</v>
      </c>
      <c r="S213" s="21" t="n">
        <f aca="false">MIN(ROUND(F213*(1+F$15),2),L213+MAX(0,N213-O213+H213-P213+I213-Q213+J213-R213+K213))</f>
        <v>0</v>
      </c>
      <c r="T213" s="21" t="n">
        <f aca="false">MIN(ROUND(G213*(1+G$15),2),M213+MAX(0,N213-O213+H213-P213+I213-Q213+J213-R213+K213-S213+L213))</f>
        <v>0</v>
      </c>
      <c r="U213" s="21" t="n">
        <f aca="false">SUM(B213:G213)</f>
        <v>0</v>
      </c>
      <c r="V213" s="21" t="n">
        <f aca="false">SUM(O213:T213)</f>
        <v>0</v>
      </c>
      <c r="X213" s="25" t="n">
        <f aca="false">X212+1</f>
        <v>187</v>
      </c>
      <c r="Y213" s="21" t="n">
        <f aca="false">MAX(0,ROUND(Y212*(1+Y$15),2)-AL212)</f>
        <v>0</v>
      </c>
      <c r="Z213" s="21" t="n">
        <f aca="false">MAX(0,ROUND(Z212*(1+Z$15),2)-AM212)</f>
        <v>0</v>
      </c>
      <c r="AA213" s="21" t="n">
        <f aca="false">MAX(0,ROUND(AA212*(1+AA$15),2)-AN212)</f>
        <v>0</v>
      </c>
      <c r="AB213" s="21" t="n">
        <f aca="false">MAX(0,ROUND(AB212*(1+AB$15),2)-AO212)</f>
        <v>0</v>
      </c>
      <c r="AC213" s="21" t="n">
        <f aca="false">MAX(0,ROUND(AC212*(1+AC$15),2)-AP212)</f>
        <v>0</v>
      </c>
      <c r="AD213" s="21" t="n">
        <f aca="false">MAX(0,ROUND(AD212*(1+AD$15),2)-AQ212)</f>
        <v>0</v>
      </c>
      <c r="AE213" s="21" t="n">
        <f aca="false">MIN(Y$16,ROUND(Y213*(1+Y$15),2))</f>
        <v>0</v>
      </c>
      <c r="AF213" s="21" t="n">
        <f aca="false">MIN(Z$16,ROUND(Z213*(1+Z$15),2))</f>
        <v>0</v>
      </c>
      <c r="AG213" s="21" t="n">
        <f aca="false">MIN(AA$16,ROUND(AA213*(1+AA$15),2))</f>
        <v>0</v>
      </c>
      <c r="AH213" s="21" t="n">
        <f aca="false">MIN(AB$16,ROUND(AB213*(1+AB$15),2))</f>
        <v>0</v>
      </c>
      <c r="AI213" s="21" t="n">
        <f aca="false">MIN(AC$16,ROUND(AC213*(1+AC$15),2))</f>
        <v>0</v>
      </c>
      <c r="AJ213" s="21" t="n">
        <f aca="false">MIN(AD$16,ROUND(AD213*(1+AD$15),2))</f>
        <v>0</v>
      </c>
      <c r="AK213" s="21" t="n">
        <f aca="false">Y$20-SUM(AE213:AJ213)</f>
        <v>1170</v>
      </c>
      <c r="AL213" s="21" t="n">
        <f aca="false">MIN(ROUND(Y213*(1+Y$15),2),AE213+MAX(0,AK213))</f>
        <v>0</v>
      </c>
      <c r="AM213" s="21" t="n">
        <f aca="false">MIN(ROUND(Z213*(1+Z$15),2),AF213+MAX(0,AK213-AL213+AE213))</f>
        <v>0</v>
      </c>
      <c r="AN213" s="21" t="n">
        <f aca="false">MIN(ROUND(AA213*(1+AA$15),2),AG213+MAX(0,AK213-AL213+AE213-AM213+AF213))</f>
        <v>0</v>
      </c>
      <c r="AO213" s="21" t="n">
        <f aca="false">MIN(ROUND(AB213*(1+AB$15),2),AH213+MAX(0,AK213-AL213+AE213-AM213+AF213-AN213+AG213))</f>
        <v>0</v>
      </c>
      <c r="AP213" s="21" t="n">
        <f aca="false">MIN(ROUND(AC213*(1+AC$15),2),AI213+MAX(0,AK213-AL213+AE213-AM213+AF213-AN213+AG213-AO213+AH213))</f>
        <v>0</v>
      </c>
      <c r="AQ213" s="21" t="n">
        <f aca="false">MIN(ROUND(AD213*(1+AD$15),2),AJ213+MAX(0,AK213-AL213+AE213-AM213+AF213-AN213+AG213-AO213+AH213-AP213+AI213))</f>
        <v>0</v>
      </c>
      <c r="AR213" s="21" t="n">
        <f aca="false">SUM(Y213:AD213)</f>
        <v>0</v>
      </c>
      <c r="AS213" s="21" t="n">
        <f aca="false">SUM(AL213:AQ213)</f>
        <v>0</v>
      </c>
    </row>
    <row r="214" customFormat="false" ht="15" hidden="false" customHeight="false" outlineLevel="0" collapsed="false">
      <c r="A214" s="25" t="n">
        <f aca="false">A213+1</f>
        <v>188</v>
      </c>
      <c r="B214" s="21" t="n">
        <f aca="false">MAX(0,ROUND(B213*(1+B$15),2)-O213)</f>
        <v>0</v>
      </c>
      <c r="C214" s="21" t="n">
        <f aca="false">MAX(0,ROUND(C213*(1+C$15),2)-P213)</f>
        <v>0</v>
      </c>
      <c r="D214" s="21" t="n">
        <f aca="false">MAX(0,ROUND(D213*(1+D$15),2)-Q213)</f>
        <v>0</v>
      </c>
      <c r="E214" s="21" t="n">
        <f aca="false">MAX(0,ROUND(E213*(1+E$15),2)-R213)</f>
        <v>0</v>
      </c>
      <c r="F214" s="21" t="n">
        <f aca="false">MAX(0,ROUND(F213*(1+F$15),2)-S213)</f>
        <v>0</v>
      </c>
      <c r="G214" s="21" t="n">
        <f aca="false">MAX(0,ROUND(G213*(1+G$15),2)-T213)</f>
        <v>0</v>
      </c>
      <c r="H214" s="21" t="n">
        <f aca="false">MIN(B$16,ROUND(B214*(1+B$15),2))</f>
        <v>0</v>
      </c>
      <c r="I214" s="21" t="n">
        <f aca="false">MIN(C$16,ROUND(C214*(1+C$15),2))</f>
        <v>0</v>
      </c>
      <c r="J214" s="21" t="n">
        <f aca="false">MIN(D$16,ROUND(D214*(1+D$15),2))</f>
        <v>0</v>
      </c>
      <c r="K214" s="21" t="n">
        <f aca="false">MIN(E$16,ROUND(E214*(1+E$15),2))</f>
        <v>0</v>
      </c>
      <c r="L214" s="21" t="n">
        <f aca="false">MIN(F$16,ROUND(F214*(1+F$15),2))</f>
        <v>0</v>
      </c>
      <c r="M214" s="21" t="n">
        <f aca="false">MIN(G$16,ROUND(G214*(1+G$15),2))</f>
        <v>0</v>
      </c>
      <c r="N214" s="21" t="n">
        <f aca="false">B$20-SUM(H214:M214)</f>
        <v>1170</v>
      </c>
      <c r="O214" s="21" t="n">
        <f aca="false">MIN(ROUND(B214*(1+B$15),2),H214+MAX(0,N214))</f>
        <v>0</v>
      </c>
      <c r="P214" s="21" t="n">
        <f aca="false">MIN(ROUND(C214*(1+C$15),2),I214+MAX(0,N214-O214+H214))</f>
        <v>0</v>
      </c>
      <c r="Q214" s="21" t="n">
        <f aca="false">MIN(ROUND(D214*(1+D$15),2),J214+MAX(0,N214-O214+H214-P214+I214))</f>
        <v>0</v>
      </c>
      <c r="R214" s="21" t="n">
        <f aca="false">MIN(ROUND(E214*(1+E$15),2),K214+MAX(0,N214-O214+H214-P214+I214-Q214+J214))</f>
        <v>0</v>
      </c>
      <c r="S214" s="21" t="n">
        <f aca="false">MIN(ROUND(F214*(1+F$15),2),L214+MAX(0,N214-O214+H214-P214+I214-Q214+J214-R214+K214))</f>
        <v>0</v>
      </c>
      <c r="T214" s="21" t="n">
        <f aca="false">MIN(ROUND(G214*(1+G$15),2),M214+MAX(0,N214-O214+H214-P214+I214-Q214+J214-R214+K214-S214+L214))</f>
        <v>0</v>
      </c>
      <c r="U214" s="21" t="n">
        <f aca="false">SUM(B214:G214)</f>
        <v>0</v>
      </c>
      <c r="V214" s="21" t="n">
        <f aca="false">SUM(O214:T214)</f>
        <v>0</v>
      </c>
      <c r="X214" s="25" t="n">
        <f aca="false">X213+1</f>
        <v>188</v>
      </c>
      <c r="Y214" s="21" t="n">
        <f aca="false">MAX(0,ROUND(Y213*(1+Y$15),2)-AL213)</f>
        <v>0</v>
      </c>
      <c r="Z214" s="21" t="n">
        <f aca="false">MAX(0,ROUND(Z213*(1+Z$15),2)-AM213)</f>
        <v>0</v>
      </c>
      <c r="AA214" s="21" t="n">
        <f aca="false">MAX(0,ROUND(AA213*(1+AA$15),2)-AN213)</f>
        <v>0</v>
      </c>
      <c r="AB214" s="21" t="n">
        <f aca="false">MAX(0,ROUND(AB213*(1+AB$15),2)-AO213)</f>
        <v>0</v>
      </c>
      <c r="AC214" s="21" t="n">
        <f aca="false">MAX(0,ROUND(AC213*(1+AC$15),2)-AP213)</f>
        <v>0</v>
      </c>
      <c r="AD214" s="21" t="n">
        <f aca="false">MAX(0,ROUND(AD213*(1+AD$15),2)-AQ213)</f>
        <v>0</v>
      </c>
      <c r="AE214" s="21" t="n">
        <f aca="false">MIN(Y$16,ROUND(Y214*(1+Y$15),2))</f>
        <v>0</v>
      </c>
      <c r="AF214" s="21" t="n">
        <f aca="false">MIN(Z$16,ROUND(Z214*(1+Z$15),2))</f>
        <v>0</v>
      </c>
      <c r="AG214" s="21" t="n">
        <f aca="false">MIN(AA$16,ROUND(AA214*(1+AA$15),2))</f>
        <v>0</v>
      </c>
      <c r="AH214" s="21" t="n">
        <f aca="false">MIN(AB$16,ROUND(AB214*(1+AB$15),2))</f>
        <v>0</v>
      </c>
      <c r="AI214" s="21" t="n">
        <f aca="false">MIN(AC$16,ROUND(AC214*(1+AC$15),2))</f>
        <v>0</v>
      </c>
      <c r="AJ214" s="21" t="n">
        <f aca="false">MIN(AD$16,ROUND(AD214*(1+AD$15),2))</f>
        <v>0</v>
      </c>
      <c r="AK214" s="21" t="n">
        <f aca="false">Y$20-SUM(AE214:AJ214)</f>
        <v>1170</v>
      </c>
      <c r="AL214" s="21" t="n">
        <f aca="false">MIN(ROUND(Y214*(1+Y$15),2),AE214+MAX(0,AK214))</f>
        <v>0</v>
      </c>
      <c r="AM214" s="21" t="n">
        <f aca="false">MIN(ROUND(Z214*(1+Z$15),2),AF214+MAX(0,AK214-AL214+AE214))</f>
        <v>0</v>
      </c>
      <c r="AN214" s="21" t="n">
        <f aca="false">MIN(ROUND(AA214*(1+AA$15),2),AG214+MAX(0,AK214-AL214+AE214-AM214+AF214))</f>
        <v>0</v>
      </c>
      <c r="AO214" s="21" t="n">
        <f aca="false">MIN(ROUND(AB214*(1+AB$15),2),AH214+MAX(0,AK214-AL214+AE214-AM214+AF214-AN214+AG214))</f>
        <v>0</v>
      </c>
      <c r="AP214" s="21" t="n">
        <f aca="false">MIN(ROUND(AC214*(1+AC$15),2),AI214+MAX(0,AK214-AL214+AE214-AM214+AF214-AN214+AG214-AO214+AH214))</f>
        <v>0</v>
      </c>
      <c r="AQ214" s="21" t="n">
        <f aca="false">MIN(ROUND(AD214*(1+AD$15),2),AJ214+MAX(0,AK214-AL214+AE214-AM214+AF214-AN214+AG214-AO214+AH214-AP214+AI214))</f>
        <v>0</v>
      </c>
      <c r="AR214" s="21" t="n">
        <f aca="false">SUM(Y214:AD214)</f>
        <v>0</v>
      </c>
      <c r="AS214" s="21" t="n">
        <f aca="false">SUM(AL214:AQ214)</f>
        <v>0</v>
      </c>
    </row>
    <row r="215" customFormat="false" ht="15" hidden="false" customHeight="false" outlineLevel="0" collapsed="false">
      <c r="A215" s="25" t="n">
        <f aca="false">A214+1</f>
        <v>189</v>
      </c>
      <c r="B215" s="21" t="n">
        <f aca="false">MAX(0,ROUND(B214*(1+B$15),2)-O214)</f>
        <v>0</v>
      </c>
      <c r="C215" s="21" t="n">
        <f aca="false">MAX(0,ROUND(C214*(1+C$15),2)-P214)</f>
        <v>0</v>
      </c>
      <c r="D215" s="21" t="n">
        <f aca="false">MAX(0,ROUND(D214*(1+D$15),2)-Q214)</f>
        <v>0</v>
      </c>
      <c r="E215" s="21" t="n">
        <f aca="false">MAX(0,ROUND(E214*(1+E$15),2)-R214)</f>
        <v>0</v>
      </c>
      <c r="F215" s="21" t="n">
        <f aca="false">MAX(0,ROUND(F214*(1+F$15),2)-S214)</f>
        <v>0</v>
      </c>
      <c r="G215" s="21" t="n">
        <f aca="false">MAX(0,ROUND(G214*(1+G$15),2)-T214)</f>
        <v>0</v>
      </c>
      <c r="H215" s="21" t="n">
        <f aca="false">MIN(B$16,ROUND(B215*(1+B$15),2))</f>
        <v>0</v>
      </c>
      <c r="I215" s="21" t="n">
        <f aca="false">MIN(C$16,ROUND(C215*(1+C$15),2))</f>
        <v>0</v>
      </c>
      <c r="J215" s="21" t="n">
        <f aca="false">MIN(D$16,ROUND(D215*(1+D$15),2))</f>
        <v>0</v>
      </c>
      <c r="K215" s="21" t="n">
        <f aca="false">MIN(E$16,ROUND(E215*(1+E$15),2))</f>
        <v>0</v>
      </c>
      <c r="L215" s="21" t="n">
        <f aca="false">MIN(F$16,ROUND(F215*(1+F$15),2))</f>
        <v>0</v>
      </c>
      <c r="M215" s="21" t="n">
        <f aca="false">MIN(G$16,ROUND(G215*(1+G$15),2))</f>
        <v>0</v>
      </c>
      <c r="N215" s="21" t="n">
        <f aca="false">B$20-SUM(H215:M215)</f>
        <v>1170</v>
      </c>
      <c r="O215" s="21" t="n">
        <f aca="false">MIN(ROUND(B215*(1+B$15),2),H215+MAX(0,N215))</f>
        <v>0</v>
      </c>
      <c r="P215" s="21" t="n">
        <f aca="false">MIN(ROUND(C215*(1+C$15),2),I215+MAX(0,N215-O215+H215))</f>
        <v>0</v>
      </c>
      <c r="Q215" s="21" t="n">
        <f aca="false">MIN(ROUND(D215*(1+D$15),2),J215+MAX(0,N215-O215+H215-P215+I215))</f>
        <v>0</v>
      </c>
      <c r="R215" s="21" t="n">
        <f aca="false">MIN(ROUND(E215*(1+E$15),2),K215+MAX(0,N215-O215+H215-P215+I215-Q215+J215))</f>
        <v>0</v>
      </c>
      <c r="S215" s="21" t="n">
        <f aca="false">MIN(ROUND(F215*(1+F$15),2),L215+MAX(0,N215-O215+H215-P215+I215-Q215+J215-R215+K215))</f>
        <v>0</v>
      </c>
      <c r="T215" s="21" t="n">
        <f aca="false">MIN(ROUND(G215*(1+G$15),2),M215+MAX(0,N215-O215+H215-P215+I215-Q215+J215-R215+K215-S215+L215))</f>
        <v>0</v>
      </c>
      <c r="U215" s="21" t="n">
        <f aca="false">SUM(B215:G215)</f>
        <v>0</v>
      </c>
      <c r="V215" s="21" t="n">
        <f aca="false">SUM(O215:T215)</f>
        <v>0</v>
      </c>
      <c r="X215" s="25" t="n">
        <f aca="false">X214+1</f>
        <v>189</v>
      </c>
      <c r="Y215" s="21" t="n">
        <f aca="false">MAX(0,ROUND(Y214*(1+Y$15),2)-AL214)</f>
        <v>0</v>
      </c>
      <c r="Z215" s="21" t="n">
        <f aca="false">MAX(0,ROUND(Z214*(1+Z$15),2)-AM214)</f>
        <v>0</v>
      </c>
      <c r="AA215" s="21" t="n">
        <f aca="false">MAX(0,ROUND(AA214*(1+AA$15),2)-AN214)</f>
        <v>0</v>
      </c>
      <c r="AB215" s="21" t="n">
        <f aca="false">MAX(0,ROUND(AB214*(1+AB$15),2)-AO214)</f>
        <v>0</v>
      </c>
      <c r="AC215" s="21" t="n">
        <f aca="false">MAX(0,ROUND(AC214*(1+AC$15),2)-AP214)</f>
        <v>0</v>
      </c>
      <c r="AD215" s="21" t="n">
        <f aca="false">MAX(0,ROUND(AD214*(1+AD$15),2)-AQ214)</f>
        <v>0</v>
      </c>
      <c r="AE215" s="21" t="n">
        <f aca="false">MIN(Y$16,ROUND(Y215*(1+Y$15),2))</f>
        <v>0</v>
      </c>
      <c r="AF215" s="21" t="n">
        <f aca="false">MIN(Z$16,ROUND(Z215*(1+Z$15),2))</f>
        <v>0</v>
      </c>
      <c r="AG215" s="21" t="n">
        <f aca="false">MIN(AA$16,ROUND(AA215*(1+AA$15),2))</f>
        <v>0</v>
      </c>
      <c r="AH215" s="21" t="n">
        <f aca="false">MIN(AB$16,ROUND(AB215*(1+AB$15),2))</f>
        <v>0</v>
      </c>
      <c r="AI215" s="21" t="n">
        <f aca="false">MIN(AC$16,ROUND(AC215*(1+AC$15),2))</f>
        <v>0</v>
      </c>
      <c r="AJ215" s="21" t="n">
        <f aca="false">MIN(AD$16,ROUND(AD215*(1+AD$15),2))</f>
        <v>0</v>
      </c>
      <c r="AK215" s="21" t="n">
        <f aca="false">Y$20-SUM(AE215:AJ215)</f>
        <v>1170</v>
      </c>
      <c r="AL215" s="21" t="n">
        <f aca="false">MIN(ROUND(Y215*(1+Y$15),2),AE215+MAX(0,AK215))</f>
        <v>0</v>
      </c>
      <c r="AM215" s="21" t="n">
        <f aca="false">MIN(ROUND(Z215*(1+Z$15),2),AF215+MAX(0,AK215-AL215+AE215))</f>
        <v>0</v>
      </c>
      <c r="AN215" s="21" t="n">
        <f aca="false">MIN(ROUND(AA215*(1+AA$15),2),AG215+MAX(0,AK215-AL215+AE215-AM215+AF215))</f>
        <v>0</v>
      </c>
      <c r="AO215" s="21" t="n">
        <f aca="false">MIN(ROUND(AB215*(1+AB$15),2),AH215+MAX(0,AK215-AL215+AE215-AM215+AF215-AN215+AG215))</f>
        <v>0</v>
      </c>
      <c r="AP215" s="21" t="n">
        <f aca="false">MIN(ROUND(AC215*(1+AC$15),2),AI215+MAX(0,AK215-AL215+AE215-AM215+AF215-AN215+AG215-AO215+AH215))</f>
        <v>0</v>
      </c>
      <c r="AQ215" s="21" t="n">
        <f aca="false">MIN(ROUND(AD215*(1+AD$15),2),AJ215+MAX(0,AK215-AL215+AE215-AM215+AF215-AN215+AG215-AO215+AH215-AP215+AI215))</f>
        <v>0</v>
      </c>
      <c r="AR215" s="21" t="n">
        <f aca="false">SUM(Y215:AD215)</f>
        <v>0</v>
      </c>
      <c r="AS215" s="21" t="n">
        <f aca="false">SUM(AL215:AQ215)</f>
        <v>0</v>
      </c>
    </row>
    <row r="216" customFormat="false" ht="15" hidden="false" customHeight="false" outlineLevel="0" collapsed="false">
      <c r="A216" s="25" t="n">
        <f aca="false">A215+1</f>
        <v>190</v>
      </c>
      <c r="B216" s="21" t="n">
        <f aca="false">MAX(0,ROUND(B215*(1+B$15),2)-O215)</f>
        <v>0</v>
      </c>
      <c r="C216" s="21" t="n">
        <f aca="false">MAX(0,ROUND(C215*(1+C$15),2)-P215)</f>
        <v>0</v>
      </c>
      <c r="D216" s="21" t="n">
        <f aca="false">MAX(0,ROUND(D215*(1+D$15),2)-Q215)</f>
        <v>0</v>
      </c>
      <c r="E216" s="21" t="n">
        <f aca="false">MAX(0,ROUND(E215*(1+E$15),2)-R215)</f>
        <v>0</v>
      </c>
      <c r="F216" s="21" t="n">
        <f aca="false">MAX(0,ROUND(F215*(1+F$15),2)-S215)</f>
        <v>0</v>
      </c>
      <c r="G216" s="21" t="n">
        <f aca="false">MAX(0,ROUND(G215*(1+G$15),2)-T215)</f>
        <v>0</v>
      </c>
      <c r="H216" s="21" t="n">
        <f aca="false">MIN(B$16,ROUND(B216*(1+B$15),2))</f>
        <v>0</v>
      </c>
      <c r="I216" s="21" t="n">
        <f aca="false">MIN(C$16,ROUND(C216*(1+C$15),2))</f>
        <v>0</v>
      </c>
      <c r="J216" s="21" t="n">
        <f aca="false">MIN(D$16,ROUND(D216*(1+D$15),2))</f>
        <v>0</v>
      </c>
      <c r="K216" s="21" t="n">
        <f aca="false">MIN(E$16,ROUND(E216*(1+E$15),2))</f>
        <v>0</v>
      </c>
      <c r="L216" s="21" t="n">
        <f aca="false">MIN(F$16,ROUND(F216*(1+F$15),2))</f>
        <v>0</v>
      </c>
      <c r="M216" s="21" t="n">
        <f aca="false">MIN(G$16,ROUND(G216*(1+G$15),2))</f>
        <v>0</v>
      </c>
      <c r="N216" s="21" t="n">
        <f aca="false">B$20-SUM(H216:M216)</f>
        <v>1170</v>
      </c>
      <c r="O216" s="21" t="n">
        <f aca="false">MIN(ROUND(B216*(1+B$15),2),H216+MAX(0,N216))</f>
        <v>0</v>
      </c>
      <c r="P216" s="21" t="n">
        <f aca="false">MIN(ROUND(C216*(1+C$15),2),I216+MAX(0,N216-O216+H216))</f>
        <v>0</v>
      </c>
      <c r="Q216" s="21" t="n">
        <f aca="false">MIN(ROUND(D216*(1+D$15),2),J216+MAX(0,N216-O216+H216-P216+I216))</f>
        <v>0</v>
      </c>
      <c r="R216" s="21" t="n">
        <f aca="false">MIN(ROUND(E216*(1+E$15),2),K216+MAX(0,N216-O216+H216-P216+I216-Q216+J216))</f>
        <v>0</v>
      </c>
      <c r="S216" s="21" t="n">
        <f aca="false">MIN(ROUND(F216*(1+F$15),2),L216+MAX(0,N216-O216+H216-P216+I216-Q216+J216-R216+K216))</f>
        <v>0</v>
      </c>
      <c r="T216" s="21" t="n">
        <f aca="false">MIN(ROUND(G216*(1+G$15),2),M216+MAX(0,N216-O216+H216-P216+I216-Q216+J216-R216+K216-S216+L216))</f>
        <v>0</v>
      </c>
      <c r="U216" s="21" t="n">
        <f aca="false">SUM(B216:G216)</f>
        <v>0</v>
      </c>
      <c r="V216" s="21" t="n">
        <f aca="false">SUM(O216:T216)</f>
        <v>0</v>
      </c>
      <c r="X216" s="25" t="n">
        <f aca="false">X215+1</f>
        <v>190</v>
      </c>
      <c r="Y216" s="21" t="n">
        <f aca="false">MAX(0,ROUND(Y215*(1+Y$15),2)-AL215)</f>
        <v>0</v>
      </c>
      <c r="Z216" s="21" t="n">
        <f aca="false">MAX(0,ROUND(Z215*(1+Z$15),2)-AM215)</f>
        <v>0</v>
      </c>
      <c r="AA216" s="21" t="n">
        <f aca="false">MAX(0,ROUND(AA215*(1+AA$15),2)-AN215)</f>
        <v>0</v>
      </c>
      <c r="AB216" s="21" t="n">
        <f aca="false">MAX(0,ROUND(AB215*(1+AB$15),2)-AO215)</f>
        <v>0</v>
      </c>
      <c r="AC216" s="21" t="n">
        <f aca="false">MAX(0,ROUND(AC215*(1+AC$15),2)-AP215)</f>
        <v>0</v>
      </c>
      <c r="AD216" s="21" t="n">
        <f aca="false">MAX(0,ROUND(AD215*(1+AD$15),2)-AQ215)</f>
        <v>0</v>
      </c>
      <c r="AE216" s="21" t="n">
        <f aca="false">MIN(Y$16,ROUND(Y216*(1+Y$15),2))</f>
        <v>0</v>
      </c>
      <c r="AF216" s="21" t="n">
        <f aca="false">MIN(Z$16,ROUND(Z216*(1+Z$15),2))</f>
        <v>0</v>
      </c>
      <c r="AG216" s="21" t="n">
        <f aca="false">MIN(AA$16,ROUND(AA216*(1+AA$15),2))</f>
        <v>0</v>
      </c>
      <c r="AH216" s="21" t="n">
        <f aca="false">MIN(AB$16,ROUND(AB216*(1+AB$15),2))</f>
        <v>0</v>
      </c>
      <c r="AI216" s="21" t="n">
        <f aca="false">MIN(AC$16,ROUND(AC216*(1+AC$15),2))</f>
        <v>0</v>
      </c>
      <c r="AJ216" s="21" t="n">
        <f aca="false">MIN(AD$16,ROUND(AD216*(1+AD$15),2))</f>
        <v>0</v>
      </c>
      <c r="AK216" s="21" t="n">
        <f aca="false">Y$20-SUM(AE216:AJ216)</f>
        <v>1170</v>
      </c>
      <c r="AL216" s="21" t="n">
        <f aca="false">MIN(ROUND(Y216*(1+Y$15),2),AE216+MAX(0,AK216))</f>
        <v>0</v>
      </c>
      <c r="AM216" s="21" t="n">
        <f aca="false">MIN(ROUND(Z216*(1+Z$15),2),AF216+MAX(0,AK216-AL216+AE216))</f>
        <v>0</v>
      </c>
      <c r="AN216" s="21" t="n">
        <f aca="false">MIN(ROUND(AA216*(1+AA$15),2),AG216+MAX(0,AK216-AL216+AE216-AM216+AF216))</f>
        <v>0</v>
      </c>
      <c r="AO216" s="21" t="n">
        <f aca="false">MIN(ROUND(AB216*(1+AB$15),2),AH216+MAX(0,AK216-AL216+AE216-AM216+AF216-AN216+AG216))</f>
        <v>0</v>
      </c>
      <c r="AP216" s="21" t="n">
        <f aca="false">MIN(ROUND(AC216*(1+AC$15),2),AI216+MAX(0,AK216-AL216+AE216-AM216+AF216-AN216+AG216-AO216+AH216))</f>
        <v>0</v>
      </c>
      <c r="AQ216" s="21" t="n">
        <f aca="false">MIN(ROUND(AD216*(1+AD$15),2),AJ216+MAX(0,AK216-AL216+AE216-AM216+AF216-AN216+AG216-AO216+AH216-AP216+AI216))</f>
        <v>0</v>
      </c>
      <c r="AR216" s="21" t="n">
        <f aca="false">SUM(Y216:AD216)</f>
        <v>0</v>
      </c>
      <c r="AS216" s="21" t="n">
        <f aca="false">SUM(AL216:AQ216)</f>
        <v>0</v>
      </c>
    </row>
    <row r="217" customFormat="false" ht="15" hidden="false" customHeight="false" outlineLevel="0" collapsed="false">
      <c r="A217" s="25" t="n">
        <f aca="false">A216+1</f>
        <v>191</v>
      </c>
      <c r="B217" s="21" t="n">
        <f aca="false">MAX(0,ROUND(B216*(1+B$15),2)-O216)</f>
        <v>0</v>
      </c>
      <c r="C217" s="21" t="n">
        <f aca="false">MAX(0,ROUND(C216*(1+C$15),2)-P216)</f>
        <v>0</v>
      </c>
      <c r="D217" s="21" t="n">
        <f aca="false">MAX(0,ROUND(D216*(1+D$15),2)-Q216)</f>
        <v>0</v>
      </c>
      <c r="E217" s="21" t="n">
        <f aca="false">MAX(0,ROUND(E216*(1+E$15),2)-R216)</f>
        <v>0</v>
      </c>
      <c r="F217" s="21" t="n">
        <f aca="false">MAX(0,ROUND(F216*(1+F$15),2)-S216)</f>
        <v>0</v>
      </c>
      <c r="G217" s="21" t="n">
        <f aca="false">MAX(0,ROUND(G216*(1+G$15),2)-T216)</f>
        <v>0</v>
      </c>
      <c r="H217" s="21" t="n">
        <f aca="false">MIN(B$16,ROUND(B217*(1+B$15),2))</f>
        <v>0</v>
      </c>
      <c r="I217" s="21" t="n">
        <f aca="false">MIN(C$16,ROUND(C217*(1+C$15),2))</f>
        <v>0</v>
      </c>
      <c r="J217" s="21" t="n">
        <f aca="false">MIN(D$16,ROUND(D217*(1+D$15),2))</f>
        <v>0</v>
      </c>
      <c r="K217" s="21" t="n">
        <f aca="false">MIN(E$16,ROUND(E217*(1+E$15),2))</f>
        <v>0</v>
      </c>
      <c r="L217" s="21" t="n">
        <f aca="false">MIN(F$16,ROUND(F217*(1+F$15),2))</f>
        <v>0</v>
      </c>
      <c r="M217" s="21" t="n">
        <f aca="false">MIN(G$16,ROUND(G217*(1+G$15),2))</f>
        <v>0</v>
      </c>
      <c r="N217" s="21" t="n">
        <f aca="false">B$20-SUM(H217:M217)</f>
        <v>1170</v>
      </c>
      <c r="O217" s="21" t="n">
        <f aca="false">MIN(ROUND(B217*(1+B$15),2),H217+MAX(0,N217))</f>
        <v>0</v>
      </c>
      <c r="P217" s="21" t="n">
        <f aca="false">MIN(ROUND(C217*(1+C$15),2),I217+MAX(0,N217-O217+H217))</f>
        <v>0</v>
      </c>
      <c r="Q217" s="21" t="n">
        <f aca="false">MIN(ROUND(D217*(1+D$15),2),J217+MAX(0,N217-O217+H217-P217+I217))</f>
        <v>0</v>
      </c>
      <c r="R217" s="21" t="n">
        <f aca="false">MIN(ROUND(E217*(1+E$15),2),K217+MAX(0,N217-O217+H217-P217+I217-Q217+J217))</f>
        <v>0</v>
      </c>
      <c r="S217" s="21" t="n">
        <f aca="false">MIN(ROUND(F217*(1+F$15),2),L217+MAX(0,N217-O217+H217-P217+I217-Q217+J217-R217+K217))</f>
        <v>0</v>
      </c>
      <c r="T217" s="21" t="n">
        <f aca="false">MIN(ROUND(G217*(1+G$15),2),M217+MAX(0,N217-O217+H217-P217+I217-Q217+J217-R217+K217-S217+L217))</f>
        <v>0</v>
      </c>
      <c r="U217" s="21" t="n">
        <f aca="false">SUM(B217:G217)</f>
        <v>0</v>
      </c>
      <c r="V217" s="21" t="n">
        <f aca="false">SUM(O217:T217)</f>
        <v>0</v>
      </c>
      <c r="X217" s="25" t="n">
        <f aca="false">X216+1</f>
        <v>191</v>
      </c>
      <c r="Y217" s="21" t="n">
        <f aca="false">MAX(0,ROUND(Y216*(1+Y$15),2)-AL216)</f>
        <v>0</v>
      </c>
      <c r="Z217" s="21" t="n">
        <f aca="false">MAX(0,ROUND(Z216*(1+Z$15),2)-AM216)</f>
        <v>0</v>
      </c>
      <c r="AA217" s="21" t="n">
        <f aca="false">MAX(0,ROUND(AA216*(1+AA$15),2)-AN216)</f>
        <v>0</v>
      </c>
      <c r="AB217" s="21" t="n">
        <f aca="false">MAX(0,ROUND(AB216*(1+AB$15),2)-AO216)</f>
        <v>0</v>
      </c>
      <c r="AC217" s="21" t="n">
        <f aca="false">MAX(0,ROUND(AC216*(1+AC$15),2)-AP216)</f>
        <v>0</v>
      </c>
      <c r="AD217" s="21" t="n">
        <f aca="false">MAX(0,ROUND(AD216*(1+AD$15),2)-AQ216)</f>
        <v>0</v>
      </c>
      <c r="AE217" s="21" t="n">
        <f aca="false">MIN(Y$16,ROUND(Y217*(1+Y$15),2))</f>
        <v>0</v>
      </c>
      <c r="AF217" s="21" t="n">
        <f aca="false">MIN(Z$16,ROUND(Z217*(1+Z$15),2))</f>
        <v>0</v>
      </c>
      <c r="AG217" s="21" t="n">
        <f aca="false">MIN(AA$16,ROUND(AA217*(1+AA$15),2))</f>
        <v>0</v>
      </c>
      <c r="AH217" s="21" t="n">
        <f aca="false">MIN(AB$16,ROUND(AB217*(1+AB$15),2))</f>
        <v>0</v>
      </c>
      <c r="AI217" s="21" t="n">
        <f aca="false">MIN(AC$16,ROUND(AC217*(1+AC$15),2))</f>
        <v>0</v>
      </c>
      <c r="AJ217" s="21" t="n">
        <f aca="false">MIN(AD$16,ROUND(AD217*(1+AD$15),2))</f>
        <v>0</v>
      </c>
      <c r="AK217" s="21" t="n">
        <f aca="false">Y$20-SUM(AE217:AJ217)</f>
        <v>1170</v>
      </c>
      <c r="AL217" s="21" t="n">
        <f aca="false">MIN(ROUND(Y217*(1+Y$15),2),AE217+MAX(0,AK217))</f>
        <v>0</v>
      </c>
      <c r="AM217" s="21" t="n">
        <f aca="false">MIN(ROUND(Z217*(1+Z$15),2),AF217+MAX(0,AK217-AL217+AE217))</f>
        <v>0</v>
      </c>
      <c r="AN217" s="21" t="n">
        <f aca="false">MIN(ROUND(AA217*(1+AA$15),2),AG217+MAX(0,AK217-AL217+AE217-AM217+AF217))</f>
        <v>0</v>
      </c>
      <c r="AO217" s="21" t="n">
        <f aca="false">MIN(ROUND(AB217*(1+AB$15),2),AH217+MAX(0,AK217-AL217+AE217-AM217+AF217-AN217+AG217))</f>
        <v>0</v>
      </c>
      <c r="AP217" s="21" t="n">
        <f aca="false">MIN(ROUND(AC217*(1+AC$15),2),AI217+MAX(0,AK217-AL217+AE217-AM217+AF217-AN217+AG217-AO217+AH217))</f>
        <v>0</v>
      </c>
      <c r="AQ217" s="21" t="n">
        <f aca="false">MIN(ROUND(AD217*(1+AD$15),2),AJ217+MAX(0,AK217-AL217+AE217-AM217+AF217-AN217+AG217-AO217+AH217-AP217+AI217))</f>
        <v>0</v>
      </c>
      <c r="AR217" s="21" t="n">
        <f aca="false">SUM(Y217:AD217)</f>
        <v>0</v>
      </c>
      <c r="AS217" s="21" t="n">
        <f aca="false">SUM(AL217:AQ217)</f>
        <v>0</v>
      </c>
    </row>
    <row r="218" customFormat="false" ht="15" hidden="false" customHeight="false" outlineLevel="0" collapsed="false">
      <c r="A218" s="25" t="n">
        <f aca="false">A217+1</f>
        <v>192</v>
      </c>
      <c r="B218" s="21" t="n">
        <f aca="false">MAX(0,ROUND(B217*(1+B$15),2)-O217)</f>
        <v>0</v>
      </c>
      <c r="C218" s="21" t="n">
        <f aca="false">MAX(0,ROUND(C217*(1+C$15),2)-P217)</f>
        <v>0</v>
      </c>
      <c r="D218" s="21" t="n">
        <f aca="false">MAX(0,ROUND(D217*(1+D$15),2)-Q217)</f>
        <v>0</v>
      </c>
      <c r="E218" s="21" t="n">
        <f aca="false">MAX(0,ROUND(E217*(1+E$15),2)-R217)</f>
        <v>0</v>
      </c>
      <c r="F218" s="21" t="n">
        <f aca="false">MAX(0,ROUND(F217*(1+F$15),2)-S217)</f>
        <v>0</v>
      </c>
      <c r="G218" s="21" t="n">
        <f aca="false">MAX(0,ROUND(G217*(1+G$15),2)-T217)</f>
        <v>0</v>
      </c>
      <c r="H218" s="21" t="n">
        <f aca="false">MIN(B$16,ROUND(B218*(1+B$15),2))</f>
        <v>0</v>
      </c>
      <c r="I218" s="21" t="n">
        <f aca="false">MIN(C$16,ROUND(C218*(1+C$15),2))</f>
        <v>0</v>
      </c>
      <c r="J218" s="21" t="n">
        <f aca="false">MIN(D$16,ROUND(D218*(1+D$15),2))</f>
        <v>0</v>
      </c>
      <c r="K218" s="21" t="n">
        <f aca="false">MIN(E$16,ROUND(E218*(1+E$15),2))</f>
        <v>0</v>
      </c>
      <c r="L218" s="21" t="n">
        <f aca="false">MIN(F$16,ROUND(F218*(1+F$15),2))</f>
        <v>0</v>
      </c>
      <c r="M218" s="21" t="n">
        <f aca="false">MIN(G$16,ROUND(G218*(1+G$15),2))</f>
        <v>0</v>
      </c>
      <c r="N218" s="21" t="n">
        <f aca="false">B$20-SUM(H218:M218)</f>
        <v>1170</v>
      </c>
      <c r="O218" s="21" t="n">
        <f aca="false">MIN(ROUND(B218*(1+B$15),2),H218+MAX(0,N218))</f>
        <v>0</v>
      </c>
      <c r="P218" s="21" t="n">
        <f aca="false">MIN(ROUND(C218*(1+C$15),2),I218+MAX(0,N218-O218+H218))</f>
        <v>0</v>
      </c>
      <c r="Q218" s="21" t="n">
        <f aca="false">MIN(ROUND(D218*(1+D$15),2),J218+MAX(0,N218-O218+H218-P218+I218))</f>
        <v>0</v>
      </c>
      <c r="R218" s="21" t="n">
        <f aca="false">MIN(ROUND(E218*(1+E$15),2),K218+MAX(0,N218-O218+H218-P218+I218-Q218+J218))</f>
        <v>0</v>
      </c>
      <c r="S218" s="21" t="n">
        <f aca="false">MIN(ROUND(F218*(1+F$15),2),L218+MAX(0,N218-O218+H218-P218+I218-Q218+J218-R218+K218))</f>
        <v>0</v>
      </c>
      <c r="T218" s="21" t="n">
        <f aca="false">MIN(ROUND(G218*(1+G$15),2),M218+MAX(0,N218-O218+H218-P218+I218-Q218+J218-R218+K218-S218+L218))</f>
        <v>0</v>
      </c>
      <c r="U218" s="21" t="n">
        <f aca="false">SUM(B218:G218)</f>
        <v>0</v>
      </c>
      <c r="V218" s="21" t="n">
        <f aca="false">SUM(O218:T218)</f>
        <v>0</v>
      </c>
      <c r="X218" s="25" t="n">
        <f aca="false">X217+1</f>
        <v>192</v>
      </c>
      <c r="Y218" s="21" t="n">
        <f aca="false">MAX(0,ROUND(Y217*(1+Y$15),2)-AL217)</f>
        <v>0</v>
      </c>
      <c r="Z218" s="21" t="n">
        <f aca="false">MAX(0,ROUND(Z217*(1+Z$15),2)-AM217)</f>
        <v>0</v>
      </c>
      <c r="AA218" s="21" t="n">
        <f aca="false">MAX(0,ROUND(AA217*(1+AA$15),2)-AN217)</f>
        <v>0</v>
      </c>
      <c r="AB218" s="21" t="n">
        <f aca="false">MAX(0,ROUND(AB217*(1+AB$15),2)-AO217)</f>
        <v>0</v>
      </c>
      <c r="AC218" s="21" t="n">
        <f aca="false">MAX(0,ROUND(AC217*(1+AC$15),2)-AP217)</f>
        <v>0</v>
      </c>
      <c r="AD218" s="21" t="n">
        <f aca="false">MAX(0,ROUND(AD217*(1+AD$15),2)-AQ217)</f>
        <v>0</v>
      </c>
      <c r="AE218" s="21" t="n">
        <f aca="false">MIN(Y$16,ROUND(Y218*(1+Y$15),2))</f>
        <v>0</v>
      </c>
      <c r="AF218" s="21" t="n">
        <f aca="false">MIN(Z$16,ROUND(Z218*(1+Z$15),2))</f>
        <v>0</v>
      </c>
      <c r="AG218" s="21" t="n">
        <f aca="false">MIN(AA$16,ROUND(AA218*(1+AA$15),2))</f>
        <v>0</v>
      </c>
      <c r="AH218" s="21" t="n">
        <f aca="false">MIN(AB$16,ROUND(AB218*(1+AB$15),2))</f>
        <v>0</v>
      </c>
      <c r="AI218" s="21" t="n">
        <f aca="false">MIN(AC$16,ROUND(AC218*(1+AC$15),2))</f>
        <v>0</v>
      </c>
      <c r="AJ218" s="21" t="n">
        <f aca="false">MIN(AD$16,ROUND(AD218*(1+AD$15),2))</f>
        <v>0</v>
      </c>
      <c r="AK218" s="21" t="n">
        <f aca="false">Y$20-SUM(AE218:AJ218)</f>
        <v>1170</v>
      </c>
      <c r="AL218" s="21" t="n">
        <f aca="false">MIN(ROUND(Y218*(1+Y$15),2),AE218+MAX(0,AK218))</f>
        <v>0</v>
      </c>
      <c r="AM218" s="21" t="n">
        <f aca="false">MIN(ROUND(Z218*(1+Z$15),2),AF218+MAX(0,AK218-AL218+AE218))</f>
        <v>0</v>
      </c>
      <c r="AN218" s="21" t="n">
        <f aca="false">MIN(ROUND(AA218*(1+AA$15),2),AG218+MAX(0,AK218-AL218+AE218-AM218+AF218))</f>
        <v>0</v>
      </c>
      <c r="AO218" s="21" t="n">
        <f aca="false">MIN(ROUND(AB218*(1+AB$15),2),AH218+MAX(0,AK218-AL218+AE218-AM218+AF218-AN218+AG218))</f>
        <v>0</v>
      </c>
      <c r="AP218" s="21" t="n">
        <f aca="false">MIN(ROUND(AC218*(1+AC$15),2),AI218+MAX(0,AK218-AL218+AE218-AM218+AF218-AN218+AG218-AO218+AH218))</f>
        <v>0</v>
      </c>
      <c r="AQ218" s="21" t="n">
        <f aca="false">MIN(ROUND(AD218*(1+AD$15),2),AJ218+MAX(0,AK218-AL218+AE218-AM218+AF218-AN218+AG218-AO218+AH218-AP218+AI218))</f>
        <v>0</v>
      </c>
      <c r="AR218" s="21" t="n">
        <f aca="false">SUM(Y218:AD218)</f>
        <v>0</v>
      </c>
      <c r="AS218" s="21" t="n">
        <f aca="false">SUM(AL218:AQ218)</f>
        <v>0</v>
      </c>
    </row>
    <row r="219" customFormat="false" ht="15" hidden="false" customHeight="false" outlineLevel="0" collapsed="false">
      <c r="A219" s="25" t="n">
        <f aca="false">A218+1</f>
        <v>193</v>
      </c>
      <c r="B219" s="21" t="n">
        <f aca="false">MAX(0,ROUND(B218*(1+B$15),2)-O218)</f>
        <v>0</v>
      </c>
      <c r="C219" s="21" t="n">
        <f aca="false">MAX(0,ROUND(C218*(1+C$15),2)-P218)</f>
        <v>0</v>
      </c>
      <c r="D219" s="21" t="n">
        <f aca="false">MAX(0,ROUND(D218*(1+D$15),2)-Q218)</f>
        <v>0</v>
      </c>
      <c r="E219" s="21" t="n">
        <f aca="false">MAX(0,ROUND(E218*(1+E$15),2)-R218)</f>
        <v>0</v>
      </c>
      <c r="F219" s="21" t="n">
        <f aca="false">MAX(0,ROUND(F218*(1+F$15),2)-S218)</f>
        <v>0</v>
      </c>
      <c r="G219" s="21" t="n">
        <f aca="false">MAX(0,ROUND(G218*(1+G$15),2)-T218)</f>
        <v>0</v>
      </c>
      <c r="H219" s="21" t="n">
        <f aca="false">MIN(B$16,ROUND(B219*(1+B$15),2))</f>
        <v>0</v>
      </c>
      <c r="I219" s="21" t="n">
        <f aca="false">MIN(C$16,ROUND(C219*(1+C$15),2))</f>
        <v>0</v>
      </c>
      <c r="J219" s="21" t="n">
        <f aca="false">MIN(D$16,ROUND(D219*(1+D$15),2))</f>
        <v>0</v>
      </c>
      <c r="K219" s="21" t="n">
        <f aca="false">MIN(E$16,ROUND(E219*(1+E$15),2))</f>
        <v>0</v>
      </c>
      <c r="L219" s="21" t="n">
        <f aca="false">MIN(F$16,ROUND(F219*(1+F$15),2))</f>
        <v>0</v>
      </c>
      <c r="M219" s="21" t="n">
        <f aca="false">MIN(G$16,ROUND(G219*(1+G$15),2))</f>
        <v>0</v>
      </c>
      <c r="N219" s="21" t="n">
        <f aca="false">B$20-SUM(H219:M219)</f>
        <v>1170</v>
      </c>
      <c r="O219" s="21" t="n">
        <f aca="false">MIN(ROUND(B219*(1+B$15),2),H219+MAX(0,N219))</f>
        <v>0</v>
      </c>
      <c r="P219" s="21" t="n">
        <f aca="false">MIN(ROUND(C219*(1+C$15),2),I219+MAX(0,N219-O219+H219))</f>
        <v>0</v>
      </c>
      <c r="Q219" s="21" t="n">
        <f aca="false">MIN(ROUND(D219*(1+D$15),2),J219+MAX(0,N219-O219+H219-P219+I219))</f>
        <v>0</v>
      </c>
      <c r="R219" s="21" t="n">
        <f aca="false">MIN(ROUND(E219*(1+E$15),2),K219+MAX(0,N219-O219+H219-P219+I219-Q219+J219))</f>
        <v>0</v>
      </c>
      <c r="S219" s="21" t="n">
        <f aca="false">MIN(ROUND(F219*(1+F$15),2),L219+MAX(0,N219-O219+H219-P219+I219-Q219+J219-R219+K219))</f>
        <v>0</v>
      </c>
      <c r="T219" s="21" t="n">
        <f aca="false">MIN(ROUND(G219*(1+G$15),2),M219+MAX(0,N219-O219+H219-P219+I219-Q219+J219-R219+K219-S219+L219))</f>
        <v>0</v>
      </c>
      <c r="U219" s="21" t="n">
        <f aca="false">SUM(B219:G219)</f>
        <v>0</v>
      </c>
      <c r="V219" s="21" t="n">
        <f aca="false">SUM(O219:T219)</f>
        <v>0</v>
      </c>
      <c r="X219" s="25" t="n">
        <f aca="false">X218+1</f>
        <v>193</v>
      </c>
      <c r="Y219" s="21" t="n">
        <f aca="false">MAX(0,ROUND(Y218*(1+Y$15),2)-AL218)</f>
        <v>0</v>
      </c>
      <c r="Z219" s="21" t="n">
        <f aca="false">MAX(0,ROUND(Z218*(1+Z$15),2)-AM218)</f>
        <v>0</v>
      </c>
      <c r="AA219" s="21" t="n">
        <f aca="false">MAX(0,ROUND(AA218*(1+AA$15),2)-AN218)</f>
        <v>0</v>
      </c>
      <c r="AB219" s="21" t="n">
        <f aca="false">MAX(0,ROUND(AB218*(1+AB$15),2)-AO218)</f>
        <v>0</v>
      </c>
      <c r="AC219" s="21" t="n">
        <f aca="false">MAX(0,ROUND(AC218*(1+AC$15),2)-AP218)</f>
        <v>0</v>
      </c>
      <c r="AD219" s="21" t="n">
        <f aca="false">MAX(0,ROUND(AD218*(1+AD$15),2)-AQ218)</f>
        <v>0</v>
      </c>
      <c r="AE219" s="21" t="n">
        <f aca="false">MIN(Y$16,ROUND(Y219*(1+Y$15),2))</f>
        <v>0</v>
      </c>
      <c r="AF219" s="21" t="n">
        <f aca="false">MIN(Z$16,ROUND(Z219*(1+Z$15),2))</f>
        <v>0</v>
      </c>
      <c r="AG219" s="21" t="n">
        <f aca="false">MIN(AA$16,ROUND(AA219*(1+AA$15),2))</f>
        <v>0</v>
      </c>
      <c r="AH219" s="21" t="n">
        <f aca="false">MIN(AB$16,ROUND(AB219*(1+AB$15),2))</f>
        <v>0</v>
      </c>
      <c r="AI219" s="21" t="n">
        <f aca="false">MIN(AC$16,ROUND(AC219*(1+AC$15),2))</f>
        <v>0</v>
      </c>
      <c r="AJ219" s="21" t="n">
        <f aca="false">MIN(AD$16,ROUND(AD219*(1+AD$15),2))</f>
        <v>0</v>
      </c>
      <c r="AK219" s="21" t="n">
        <f aca="false">Y$20-SUM(AE219:AJ219)</f>
        <v>1170</v>
      </c>
      <c r="AL219" s="21" t="n">
        <f aca="false">MIN(ROUND(Y219*(1+Y$15),2),AE219+MAX(0,AK219))</f>
        <v>0</v>
      </c>
      <c r="AM219" s="21" t="n">
        <f aca="false">MIN(ROUND(Z219*(1+Z$15),2),AF219+MAX(0,AK219-AL219+AE219))</f>
        <v>0</v>
      </c>
      <c r="AN219" s="21" t="n">
        <f aca="false">MIN(ROUND(AA219*(1+AA$15),2),AG219+MAX(0,AK219-AL219+AE219-AM219+AF219))</f>
        <v>0</v>
      </c>
      <c r="AO219" s="21" t="n">
        <f aca="false">MIN(ROUND(AB219*(1+AB$15),2),AH219+MAX(0,AK219-AL219+AE219-AM219+AF219-AN219+AG219))</f>
        <v>0</v>
      </c>
      <c r="AP219" s="21" t="n">
        <f aca="false">MIN(ROUND(AC219*(1+AC$15),2),AI219+MAX(0,AK219-AL219+AE219-AM219+AF219-AN219+AG219-AO219+AH219))</f>
        <v>0</v>
      </c>
      <c r="AQ219" s="21" t="n">
        <f aca="false">MIN(ROUND(AD219*(1+AD$15),2),AJ219+MAX(0,AK219-AL219+AE219-AM219+AF219-AN219+AG219-AO219+AH219-AP219+AI219))</f>
        <v>0</v>
      </c>
      <c r="AR219" s="21" t="n">
        <f aca="false">SUM(Y219:AD219)</f>
        <v>0</v>
      </c>
      <c r="AS219" s="21" t="n">
        <f aca="false">SUM(AL219:AQ219)</f>
        <v>0</v>
      </c>
    </row>
    <row r="220" customFormat="false" ht="15" hidden="false" customHeight="false" outlineLevel="0" collapsed="false">
      <c r="A220" s="25" t="n">
        <f aca="false">A219+1</f>
        <v>194</v>
      </c>
      <c r="B220" s="21" t="n">
        <f aca="false">MAX(0,ROUND(B219*(1+B$15),2)-O219)</f>
        <v>0</v>
      </c>
      <c r="C220" s="21" t="n">
        <f aca="false">MAX(0,ROUND(C219*(1+C$15),2)-P219)</f>
        <v>0</v>
      </c>
      <c r="D220" s="21" t="n">
        <f aca="false">MAX(0,ROUND(D219*(1+D$15),2)-Q219)</f>
        <v>0</v>
      </c>
      <c r="E220" s="21" t="n">
        <f aca="false">MAX(0,ROUND(E219*(1+E$15),2)-R219)</f>
        <v>0</v>
      </c>
      <c r="F220" s="21" t="n">
        <f aca="false">MAX(0,ROUND(F219*(1+F$15),2)-S219)</f>
        <v>0</v>
      </c>
      <c r="G220" s="21" t="n">
        <f aca="false">MAX(0,ROUND(G219*(1+G$15),2)-T219)</f>
        <v>0</v>
      </c>
      <c r="H220" s="21" t="n">
        <f aca="false">MIN(B$16,ROUND(B220*(1+B$15),2))</f>
        <v>0</v>
      </c>
      <c r="I220" s="21" t="n">
        <f aca="false">MIN(C$16,ROUND(C220*(1+C$15),2))</f>
        <v>0</v>
      </c>
      <c r="J220" s="21" t="n">
        <f aca="false">MIN(D$16,ROUND(D220*(1+D$15),2))</f>
        <v>0</v>
      </c>
      <c r="K220" s="21" t="n">
        <f aca="false">MIN(E$16,ROUND(E220*(1+E$15),2))</f>
        <v>0</v>
      </c>
      <c r="L220" s="21" t="n">
        <f aca="false">MIN(F$16,ROUND(F220*(1+F$15),2))</f>
        <v>0</v>
      </c>
      <c r="M220" s="21" t="n">
        <f aca="false">MIN(G$16,ROUND(G220*(1+G$15),2))</f>
        <v>0</v>
      </c>
      <c r="N220" s="21" t="n">
        <f aca="false">B$20-SUM(H220:M220)</f>
        <v>1170</v>
      </c>
      <c r="O220" s="21" t="n">
        <f aca="false">MIN(ROUND(B220*(1+B$15),2),H220+MAX(0,N220))</f>
        <v>0</v>
      </c>
      <c r="P220" s="21" t="n">
        <f aca="false">MIN(ROUND(C220*(1+C$15),2),I220+MAX(0,N220-O220+H220))</f>
        <v>0</v>
      </c>
      <c r="Q220" s="21" t="n">
        <f aca="false">MIN(ROUND(D220*(1+D$15),2),J220+MAX(0,N220-O220+H220-P220+I220))</f>
        <v>0</v>
      </c>
      <c r="R220" s="21" t="n">
        <f aca="false">MIN(ROUND(E220*(1+E$15),2),K220+MAX(0,N220-O220+H220-P220+I220-Q220+J220))</f>
        <v>0</v>
      </c>
      <c r="S220" s="21" t="n">
        <f aca="false">MIN(ROUND(F220*(1+F$15),2),L220+MAX(0,N220-O220+H220-P220+I220-Q220+J220-R220+K220))</f>
        <v>0</v>
      </c>
      <c r="T220" s="21" t="n">
        <f aca="false">MIN(ROUND(G220*(1+G$15),2),M220+MAX(0,N220-O220+H220-P220+I220-Q220+J220-R220+K220-S220+L220))</f>
        <v>0</v>
      </c>
      <c r="U220" s="21" t="n">
        <f aca="false">SUM(B220:G220)</f>
        <v>0</v>
      </c>
      <c r="V220" s="21" t="n">
        <f aca="false">SUM(O220:T220)</f>
        <v>0</v>
      </c>
      <c r="X220" s="25" t="n">
        <f aca="false">X219+1</f>
        <v>194</v>
      </c>
      <c r="Y220" s="21" t="n">
        <f aca="false">MAX(0,ROUND(Y219*(1+Y$15),2)-AL219)</f>
        <v>0</v>
      </c>
      <c r="Z220" s="21" t="n">
        <f aca="false">MAX(0,ROUND(Z219*(1+Z$15),2)-AM219)</f>
        <v>0</v>
      </c>
      <c r="AA220" s="21" t="n">
        <f aca="false">MAX(0,ROUND(AA219*(1+AA$15),2)-AN219)</f>
        <v>0</v>
      </c>
      <c r="AB220" s="21" t="n">
        <f aca="false">MAX(0,ROUND(AB219*(1+AB$15),2)-AO219)</f>
        <v>0</v>
      </c>
      <c r="AC220" s="21" t="n">
        <f aca="false">MAX(0,ROUND(AC219*(1+AC$15),2)-AP219)</f>
        <v>0</v>
      </c>
      <c r="AD220" s="21" t="n">
        <f aca="false">MAX(0,ROUND(AD219*(1+AD$15),2)-AQ219)</f>
        <v>0</v>
      </c>
      <c r="AE220" s="21" t="n">
        <f aca="false">MIN(Y$16,ROUND(Y220*(1+Y$15),2))</f>
        <v>0</v>
      </c>
      <c r="AF220" s="21" t="n">
        <f aca="false">MIN(Z$16,ROUND(Z220*(1+Z$15),2))</f>
        <v>0</v>
      </c>
      <c r="AG220" s="21" t="n">
        <f aca="false">MIN(AA$16,ROUND(AA220*(1+AA$15),2))</f>
        <v>0</v>
      </c>
      <c r="AH220" s="21" t="n">
        <f aca="false">MIN(AB$16,ROUND(AB220*(1+AB$15),2))</f>
        <v>0</v>
      </c>
      <c r="AI220" s="21" t="n">
        <f aca="false">MIN(AC$16,ROUND(AC220*(1+AC$15),2))</f>
        <v>0</v>
      </c>
      <c r="AJ220" s="21" t="n">
        <f aca="false">MIN(AD$16,ROUND(AD220*(1+AD$15),2))</f>
        <v>0</v>
      </c>
      <c r="AK220" s="21" t="n">
        <f aca="false">Y$20-SUM(AE220:AJ220)</f>
        <v>1170</v>
      </c>
      <c r="AL220" s="21" t="n">
        <f aca="false">MIN(ROUND(Y220*(1+Y$15),2),AE220+MAX(0,AK220))</f>
        <v>0</v>
      </c>
      <c r="AM220" s="21" t="n">
        <f aca="false">MIN(ROUND(Z220*(1+Z$15),2),AF220+MAX(0,AK220-AL220+AE220))</f>
        <v>0</v>
      </c>
      <c r="AN220" s="21" t="n">
        <f aca="false">MIN(ROUND(AA220*(1+AA$15),2),AG220+MAX(0,AK220-AL220+AE220-AM220+AF220))</f>
        <v>0</v>
      </c>
      <c r="AO220" s="21" t="n">
        <f aca="false">MIN(ROUND(AB220*(1+AB$15),2),AH220+MAX(0,AK220-AL220+AE220-AM220+AF220-AN220+AG220))</f>
        <v>0</v>
      </c>
      <c r="AP220" s="21" t="n">
        <f aca="false">MIN(ROUND(AC220*(1+AC$15),2),AI220+MAX(0,AK220-AL220+AE220-AM220+AF220-AN220+AG220-AO220+AH220))</f>
        <v>0</v>
      </c>
      <c r="AQ220" s="21" t="n">
        <f aca="false">MIN(ROUND(AD220*(1+AD$15),2),AJ220+MAX(0,AK220-AL220+AE220-AM220+AF220-AN220+AG220-AO220+AH220-AP220+AI220))</f>
        <v>0</v>
      </c>
      <c r="AR220" s="21" t="n">
        <f aca="false">SUM(Y220:AD220)</f>
        <v>0</v>
      </c>
      <c r="AS220" s="21" t="n">
        <f aca="false">SUM(AL220:AQ220)</f>
        <v>0</v>
      </c>
    </row>
    <row r="221" customFormat="false" ht="15" hidden="false" customHeight="false" outlineLevel="0" collapsed="false">
      <c r="A221" s="25" t="n">
        <f aca="false">A220+1</f>
        <v>195</v>
      </c>
      <c r="B221" s="21" t="n">
        <f aca="false">MAX(0,ROUND(B220*(1+B$15),2)-O220)</f>
        <v>0</v>
      </c>
      <c r="C221" s="21" t="n">
        <f aca="false">MAX(0,ROUND(C220*(1+C$15),2)-P220)</f>
        <v>0</v>
      </c>
      <c r="D221" s="21" t="n">
        <f aca="false">MAX(0,ROUND(D220*(1+D$15),2)-Q220)</f>
        <v>0</v>
      </c>
      <c r="E221" s="21" t="n">
        <f aca="false">MAX(0,ROUND(E220*(1+E$15),2)-R220)</f>
        <v>0</v>
      </c>
      <c r="F221" s="21" t="n">
        <f aca="false">MAX(0,ROUND(F220*(1+F$15),2)-S220)</f>
        <v>0</v>
      </c>
      <c r="G221" s="21" t="n">
        <f aca="false">MAX(0,ROUND(G220*(1+G$15),2)-T220)</f>
        <v>0</v>
      </c>
      <c r="H221" s="21" t="n">
        <f aca="false">MIN(B$16,ROUND(B221*(1+B$15),2))</f>
        <v>0</v>
      </c>
      <c r="I221" s="21" t="n">
        <f aca="false">MIN(C$16,ROUND(C221*(1+C$15),2))</f>
        <v>0</v>
      </c>
      <c r="J221" s="21" t="n">
        <f aca="false">MIN(D$16,ROUND(D221*(1+D$15),2))</f>
        <v>0</v>
      </c>
      <c r="K221" s="21" t="n">
        <f aca="false">MIN(E$16,ROUND(E221*(1+E$15),2))</f>
        <v>0</v>
      </c>
      <c r="L221" s="21" t="n">
        <f aca="false">MIN(F$16,ROUND(F221*(1+F$15),2))</f>
        <v>0</v>
      </c>
      <c r="M221" s="21" t="n">
        <f aca="false">MIN(G$16,ROUND(G221*(1+G$15),2))</f>
        <v>0</v>
      </c>
      <c r="N221" s="21" t="n">
        <f aca="false">B$20-SUM(H221:M221)</f>
        <v>1170</v>
      </c>
      <c r="O221" s="21" t="n">
        <f aca="false">MIN(ROUND(B221*(1+B$15),2),H221+MAX(0,N221))</f>
        <v>0</v>
      </c>
      <c r="P221" s="21" t="n">
        <f aca="false">MIN(ROUND(C221*(1+C$15),2),I221+MAX(0,N221-O221+H221))</f>
        <v>0</v>
      </c>
      <c r="Q221" s="21" t="n">
        <f aca="false">MIN(ROUND(D221*(1+D$15),2),J221+MAX(0,N221-O221+H221-P221+I221))</f>
        <v>0</v>
      </c>
      <c r="R221" s="21" t="n">
        <f aca="false">MIN(ROUND(E221*(1+E$15),2),K221+MAX(0,N221-O221+H221-P221+I221-Q221+J221))</f>
        <v>0</v>
      </c>
      <c r="S221" s="21" t="n">
        <f aca="false">MIN(ROUND(F221*(1+F$15),2),L221+MAX(0,N221-O221+H221-P221+I221-Q221+J221-R221+K221))</f>
        <v>0</v>
      </c>
      <c r="T221" s="21" t="n">
        <f aca="false">MIN(ROUND(G221*(1+G$15),2),M221+MAX(0,N221-O221+H221-P221+I221-Q221+J221-R221+K221-S221+L221))</f>
        <v>0</v>
      </c>
      <c r="U221" s="21" t="n">
        <f aca="false">SUM(B221:G221)</f>
        <v>0</v>
      </c>
      <c r="V221" s="21" t="n">
        <f aca="false">SUM(O221:T221)</f>
        <v>0</v>
      </c>
      <c r="X221" s="25" t="n">
        <f aca="false">X220+1</f>
        <v>195</v>
      </c>
      <c r="Y221" s="21" t="n">
        <f aca="false">MAX(0,ROUND(Y220*(1+Y$15),2)-AL220)</f>
        <v>0</v>
      </c>
      <c r="Z221" s="21" t="n">
        <f aca="false">MAX(0,ROUND(Z220*(1+Z$15),2)-AM220)</f>
        <v>0</v>
      </c>
      <c r="AA221" s="21" t="n">
        <f aca="false">MAX(0,ROUND(AA220*(1+AA$15),2)-AN220)</f>
        <v>0</v>
      </c>
      <c r="AB221" s="21" t="n">
        <f aca="false">MAX(0,ROUND(AB220*(1+AB$15),2)-AO220)</f>
        <v>0</v>
      </c>
      <c r="AC221" s="21" t="n">
        <f aca="false">MAX(0,ROUND(AC220*(1+AC$15),2)-AP220)</f>
        <v>0</v>
      </c>
      <c r="AD221" s="21" t="n">
        <f aca="false">MAX(0,ROUND(AD220*(1+AD$15),2)-AQ220)</f>
        <v>0</v>
      </c>
      <c r="AE221" s="21" t="n">
        <f aca="false">MIN(Y$16,ROUND(Y221*(1+Y$15),2))</f>
        <v>0</v>
      </c>
      <c r="AF221" s="21" t="n">
        <f aca="false">MIN(Z$16,ROUND(Z221*(1+Z$15),2))</f>
        <v>0</v>
      </c>
      <c r="AG221" s="21" t="n">
        <f aca="false">MIN(AA$16,ROUND(AA221*(1+AA$15),2))</f>
        <v>0</v>
      </c>
      <c r="AH221" s="21" t="n">
        <f aca="false">MIN(AB$16,ROUND(AB221*(1+AB$15),2))</f>
        <v>0</v>
      </c>
      <c r="AI221" s="21" t="n">
        <f aca="false">MIN(AC$16,ROUND(AC221*(1+AC$15),2))</f>
        <v>0</v>
      </c>
      <c r="AJ221" s="21" t="n">
        <f aca="false">MIN(AD$16,ROUND(AD221*(1+AD$15),2))</f>
        <v>0</v>
      </c>
      <c r="AK221" s="21" t="n">
        <f aca="false">Y$20-SUM(AE221:AJ221)</f>
        <v>1170</v>
      </c>
      <c r="AL221" s="21" t="n">
        <f aca="false">MIN(ROUND(Y221*(1+Y$15),2),AE221+MAX(0,AK221))</f>
        <v>0</v>
      </c>
      <c r="AM221" s="21" t="n">
        <f aca="false">MIN(ROUND(Z221*(1+Z$15),2),AF221+MAX(0,AK221-AL221+AE221))</f>
        <v>0</v>
      </c>
      <c r="AN221" s="21" t="n">
        <f aca="false">MIN(ROUND(AA221*(1+AA$15),2),AG221+MAX(0,AK221-AL221+AE221-AM221+AF221))</f>
        <v>0</v>
      </c>
      <c r="AO221" s="21" t="n">
        <f aca="false">MIN(ROUND(AB221*(1+AB$15),2),AH221+MAX(0,AK221-AL221+AE221-AM221+AF221-AN221+AG221))</f>
        <v>0</v>
      </c>
      <c r="AP221" s="21" t="n">
        <f aca="false">MIN(ROUND(AC221*(1+AC$15),2),AI221+MAX(0,AK221-AL221+AE221-AM221+AF221-AN221+AG221-AO221+AH221))</f>
        <v>0</v>
      </c>
      <c r="AQ221" s="21" t="n">
        <f aca="false">MIN(ROUND(AD221*(1+AD$15),2),AJ221+MAX(0,AK221-AL221+AE221-AM221+AF221-AN221+AG221-AO221+AH221-AP221+AI221))</f>
        <v>0</v>
      </c>
      <c r="AR221" s="21" t="n">
        <f aca="false">SUM(Y221:AD221)</f>
        <v>0</v>
      </c>
      <c r="AS221" s="21" t="n">
        <f aca="false">SUM(AL221:AQ221)</f>
        <v>0</v>
      </c>
    </row>
    <row r="222" customFormat="false" ht="15" hidden="false" customHeight="false" outlineLevel="0" collapsed="false">
      <c r="A222" s="25" t="n">
        <f aca="false">A221+1</f>
        <v>196</v>
      </c>
      <c r="B222" s="21" t="n">
        <f aca="false">MAX(0,ROUND(B221*(1+B$15),2)-O221)</f>
        <v>0</v>
      </c>
      <c r="C222" s="21" t="n">
        <f aca="false">MAX(0,ROUND(C221*(1+C$15),2)-P221)</f>
        <v>0</v>
      </c>
      <c r="D222" s="21" t="n">
        <f aca="false">MAX(0,ROUND(D221*(1+D$15),2)-Q221)</f>
        <v>0</v>
      </c>
      <c r="E222" s="21" t="n">
        <f aca="false">MAX(0,ROUND(E221*(1+E$15),2)-R221)</f>
        <v>0</v>
      </c>
      <c r="F222" s="21" t="n">
        <f aca="false">MAX(0,ROUND(F221*(1+F$15),2)-S221)</f>
        <v>0</v>
      </c>
      <c r="G222" s="21" t="n">
        <f aca="false">MAX(0,ROUND(G221*(1+G$15),2)-T221)</f>
        <v>0</v>
      </c>
      <c r="H222" s="21" t="n">
        <f aca="false">MIN(B$16,ROUND(B222*(1+B$15),2))</f>
        <v>0</v>
      </c>
      <c r="I222" s="21" t="n">
        <f aca="false">MIN(C$16,ROUND(C222*(1+C$15),2))</f>
        <v>0</v>
      </c>
      <c r="J222" s="21" t="n">
        <f aca="false">MIN(D$16,ROUND(D222*(1+D$15),2))</f>
        <v>0</v>
      </c>
      <c r="K222" s="21" t="n">
        <f aca="false">MIN(E$16,ROUND(E222*(1+E$15),2))</f>
        <v>0</v>
      </c>
      <c r="L222" s="21" t="n">
        <f aca="false">MIN(F$16,ROUND(F222*(1+F$15),2))</f>
        <v>0</v>
      </c>
      <c r="M222" s="21" t="n">
        <f aca="false">MIN(G$16,ROUND(G222*(1+G$15),2))</f>
        <v>0</v>
      </c>
      <c r="N222" s="21" t="n">
        <f aca="false">B$20-SUM(H222:M222)</f>
        <v>1170</v>
      </c>
      <c r="O222" s="21" t="n">
        <f aca="false">MIN(ROUND(B222*(1+B$15),2),H222+MAX(0,N222))</f>
        <v>0</v>
      </c>
      <c r="P222" s="21" t="n">
        <f aca="false">MIN(ROUND(C222*(1+C$15),2),I222+MAX(0,N222-O222+H222))</f>
        <v>0</v>
      </c>
      <c r="Q222" s="21" t="n">
        <f aca="false">MIN(ROUND(D222*(1+D$15),2),J222+MAX(0,N222-O222+H222-P222+I222))</f>
        <v>0</v>
      </c>
      <c r="R222" s="21" t="n">
        <f aca="false">MIN(ROUND(E222*(1+E$15),2),K222+MAX(0,N222-O222+H222-P222+I222-Q222+J222))</f>
        <v>0</v>
      </c>
      <c r="S222" s="21" t="n">
        <f aca="false">MIN(ROUND(F222*(1+F$15),2),L222+MAX(0,N222-O222+H222-P222+I222-Q222+J222-R222+K222))</f>
        <v>0</v>
      </c>
      <c r="T222" s="21" t="n">
        <f aca="false">MIN(ROUND(G222*(1+G$15),2),M222+MAX(0,N222-O222+H222-P222+I222-Q222+J222-R222+K222-S222+L222))</f>
        <v>0</v>
      </c>
      <c r="U222" s="21" t="n">
        <f aca="false">SUM(B222:G222)</f>
        <v>0</v>
      </c>
      <c r="V222" s="21" t="n">
        <f aca="false">SUM(O222:T222)</f>
        <v>0</v>
      </c>
      <c r="X222" s="25" t="n">
        <f aca="false">X221+1</f>
        <v>196</v>
      </c>
      <c r="Y222" s="21" t="n">
        <f aca="false">MAX(0,ROUND(Y221*(1+Y$15),2)-AL221)</f>
        <v>0</v>
      </c>
      <c r="Z222" s="21" t="n">
        <f aca="false">MAX(0,ROUND(Z221*(1+Z$15),2)-AM221)</f>
        <v>0</v>
      </c>
      <c r="AA222" s="21" t="n">
        <f aca="false">MAX(0,ROUND(AA221*(1+AA$15),2)-AN221)</f>
        <v>0</v>
      </c>
      <c r="AB222" s="21" t="n">
        <f aca="false">MAX(0,ROUND(AB221*(1+AB$15),2)-AO221)</f>
        <v>0</v>
      </c>
      <c r="AC222" s="21" t="n">
        <f aca="false">MAX(0,ROUND(AC221*(1+AC$15),2)-AP221)</f>
        <v>0</v>
      </c>
      <c r="AD222" s="21" t="n">
        <f aca="false">MAX(0,ROUND(AD221*(1+AD$15),2)-AQ221)</f>
        <v>0</v>
      </c>
      <c r="AE222" s="21" t="n">
        <f aca="false">MIN(Y$16,ROUND(Y222*(1+Y$15),2))</f>
        <v>0</v>
      </c>
      <c r="AF222" s="21" t="n">
        <f aca="false">MIN(Z$16,ROUND(Z222*(1+Z$15),2))</f>
        <v>0</v>
      </c>
      <c r="AG222" s="21" t="n">
        <f aca="false">MIN(AA$16,ROUND(AA222*(1+AA$15),2))</f>
        <v>0</v>
      </c>
      <c r="AH222" s="21" t="n">
        <f aca="false">MIN(AB$16,ROUND(AB222*(1+AB$15),2))</f>
        <v>0</v>
      </c>
      <c r="AI222" s="21" t="n">
        <f aca="false">MIN(AC$16,ROUND(AC222*(1+AC$15),2))</f>
        <v>0</v>
      </c>
      <c r="AJ222" s="21" t="n">
        <f aca="false">MIN(AD$16,ROUND(AD222*(1+AD$15),2))</f>
        <v>0</v>
      </c>
      <c r="AK222" s="21" t="n">
        <f aca="false">Y$20-SUM(AE222:AJ222)</f>
        <v>1170</v>
      </c>
      <c r="AL222" s="21" t="n">
        <f aca="false">MIN(ROUND(Y222*(1+Y$15),2),AE222+MAX(0,AK222))</f>
        <v>0</v>
      </c>
      <c r="AM222" s="21" t="n">
        <f aca="false">MIN(ROUND(Z222*(1+Z$15),2),AF222+MAX(0,AK222-AL222+AE222))</f>
        <v>0</v>
      </c>
      <c r="AN222" s="21" t="n">
        <f aca="false">MIN(ROUND(AA222*(1+AA$15),2),AG222+MAX(0,AK222-AL222+AE222-AM222+AF222))</f>
        <v>0</v>
      </c>
      <c r="AO222" s="21" t="n">
        <f aca="false">MIN(ROUND(AB222*(1+AB$15),2),AH222+MAX(0,AK222-AL222+AE222-AM222+AF222-AN222+AG222))</f>
        <v>0</v>
      </c>
      <c r="AP222" s="21" t="n">
        <f aca="false">MIN(ROUND(AC222*(1+AC$15),2),AI222+MAX(0,AK222-AL222+AE222-AM222+AF222-AN222+AG222-AO222+AH222))</f>
        <v>0</v>
      </c>
      <c r="AQ222" s="21" t="n">
        <f aca="false">MIN(ROUND(AD222*(1+AD$15),2),AJ222+MAX(0,AK222-AL222+AE222-AM222+AF222-AN222+AG222-AO222+AH222-AP222+AI222))</f>
        <v>0</v>
      </c>
      <c r="AR222" s="21" t="n">
        <f aca="false">SUM(Y222:AD222)</f>
        <v>0</v>
      </c>
      <c r="AS222" s="21" t="n">
        <f aca="false">SUM(AL222:AQ222)</f>
        <v>0</v>
      </c>
    </row>
    <row r="223" customFormat="false" ht="15" hidden="false" customHeight="false" outlineLevel="0" collapsed="false">
      <c r="A223" s="25" t="n">
        <f aca="false">A222+1</f>
        <v>197</v>
      </c>
      <c r="B223" s="21" t="n">
        <f aca="false">MAX(0,ROUND(B222*(1+B$15),2)-O222)</f>
        <v>0</v>
      </c>
      <c r="C223" s="21" t="n">
        <f aca="false">MAX(0,ROUND(C222*(1+C$15),2)-P222)</f>
        <v>0</v>
      </c>
      <c r="D223" s="21" t="n">
        <f aca="false">MAX(0,ROUND(D222*(1+D$15),2)-Q222)</f>
        <v>0</v>
      </c>
      <c r="E223" s="21" t="n">
        <f aca="false">MAX(0,ROUND(E222*(1+E$15),2)-R222)</f>
        <v>0</v>
      </c>
      <c r="F223" s="21" t="n">
        <f aca="false">MAX(0,ROUND(F222*(1+F$15),2)-S222)</f>
        <v>0</v>
      </c>
      <c r="G223" s="21" t="n">
        <f aca="false">MAX(0,ROUND(G222*(1+G$15),2)-T222)</f>
        <v>0</v>
      </c>
      <c r="H223" s="21" t="n">
        <f aca="false">MIN(B$16,ROUND(B223*(1+B$15),2))</f>
        <v>0</v>
      </c>
      <c r="I223" s="21" t="n">
        <f aca="false">MIN(C$16,ROUND(C223*(1+C$15),2))</f>
        <v>0</v>
      </c>
      <c r="J223" s="21" t="n">
        <f aca="false">MIN(D$16,ROUND(D223*(1+D$15),2))</f>
        <v>0</v>
      </c>
      <c r="K223" s="21" t="n">
        <f aca="false">MIN(E$16,ROUND(E223*(1+E$15),2))</f>
        <v>0</v>
      </c>
      <c r="L223" s="21" t="n">
        <f aca="false">MIN(F$16,ROUND(F223*(1+F$15),2))</f>
        <v>0</v>
      </c>
      <c r="M223" s="21" t="n">
        <f aca="false">MIN(G$16,ROUND(G223*(1+G$15),2))</f>
        <v>0</v>
      </c>
      <c r="N223" s="21" t="n">
        <f aca="false">B$20-SUM(H223:M223)</f>
        <v>1170</v>
      </c>
      <c r="O223" s="21" t="n">
        <f aca="false">MIN(ROUND(B223*(1+B$15),2),H223+MAX(0,N223))</f>
        <v>0</v>
      </c>
      <c r="P223" s="21" t="n">
        <f aca="false">MIN(ROUND(C223*(1+C$15),2),I223+MAX(0,N223-O223+H223))</f>
        <v>0</v>
      </c>
      <c r="Q223" s="21" t="n">
        <f aca="false">MIN(ROUND(D223*(1+D$15),2),J223+MAX(0,N223-O223+H223-P223+I223))</f>
        <v>0</v>
      </c>
      <c r="R223" s="21" t="n">
        <f aca="false">MIN(ROUND(E223*(1+E$15),2),K223+MAX(0,N223-O223+H223-P223+I223-Q223+J223))</f>
        <v>0</v>
      </c>
      <c r="S223" s="21" t="n">
        <f aca="false">MIN(ROUND(F223*(1+F$15),2),L223+MAX(0,N223-O223+H223-P223+I223-Q223+J223-R223+K223))</f>
        <v>0</v>
      </c>
      <c r="T223" s="21" t="n">
        <f aca="false">MIN(ROUND(G223*(1+G$15),2),M223+MAX(0,N223-O223+H223-P223+I223-Q223+J223-R223+K223-S223+L223))</f>
        <v>0</v>
      </c>
      <c r="U223" s="21" t="n">
        <f aca="false">SUM(B223:G223)</f>
        <v>0</v>
      </c>
      <c r="V223" s="21" t="n">
        <f aca="false">SUM(O223:T223)</f>
        <v>0</v>
      </c>
      <c r="X223" s="25" t="n">
        <f aca="false">X222+1</f>
        <v>197</v>
      </c>
      <c r="Y223" s="21" t="n">
        <f aca="false">MAX(0,ROUND(Y222*(1+Y$15),2)-AL222)</f>
        <v>0</v>
      </c>
      <c r="Z223" s="21" t="n">
        <f aca="false">MAX(0,ROUND(Z222*(1+Z$15),2)-AM222)</f>
        <v>0</v>
      </c>
      <c r="AA223" s="21" t="n">
        <f aca="false">MAX(0,ROUND(AA222*(1+AA$15),2)-AN222)</f>
        <v>0</v>
      </c>
      <c r="AB223" s="21" t="n">
        <f aca="false">MAX(0,ROUND(AB222*(1+AB$15),2)-AO222)</f>
        <v>0</v>
      </c>
      <c r="AC223" s="21" t="n">
        <f aca="false">MAX(0,ROUND(AC222*(1+AC$15),2)-AP222)</f>
        <v>0</v>
      </c>
      <c r="AD223" s="21" t="n">
        <f aca="false">MAX(0,ROUND(AD222*(1+AD$15),2)-AQ222)</f>
        <v>0</v>
      </c>
      <c r="AE223" s="21" t="n">
        <f aca="false">MIN(Y$16,ROUND(Y223*(1+Y$15),2))</f>
        <v>0</v>
      </c>
      <c r="AF223" s="21" t="n">
        <f aca="false">MIN(Z$16,ROUND(Z223*(1+Z$15),2))</f>
        <v>0</v>
      </c>
      <c r="AG223" s="21" t="n">
        <f aca="false">MIN(AA$16,ROUND(AA223*(1+AA$15),2))</f>
        <v>0</v>
      </c>
      <c r="AH223" s="21" t="n">
        <f aca="false">MIN(AB$16,ROUND(AB223*(1+AB$15),2))</f>
        <v>0</v>
      </c>
      <c r="AI223" s="21" t="n">
        <f aca="false">MIN(AC$16,ROUND(AC223*(1+AC$15),2))</f>
        <v>0</v>
      </c>
      <c r="AJ223" s="21" t="n">
        <f aca="false">MIN(AD$16,ROUND(AD223*(1+AD$15),2))</f>
        <v>0</v>
      </c>
      <c r="AK223" s="21" t="n">
        <f aca="false">Y$20-SUM(AE223:AJ223)</f>
        <v>1170</v>
      </c>
      <c r="AL223" s="21" t="n">
        <f aca="false">MIN(ROUND(Y223*(1+Y$15),2),AE223+MAX(0,AK223))</f>
        <v>0</v>
      </c>
      <c r="AM223" s="21" t="n">
        <f aca="false">MIN(ROUND(Z223*(1+Z$15),2),AF223+MAX(0,AK223-AL223+AE223))</f>
        <v>0</v>
      </c>
      <c r="AN223" s="21" t="n">
        <f aca="false">MIN(ROUND(AA223*(1+AA$15),2),AG223+MAX(0,AK223-AL223+AE223-AM223+AF223))</f>
        <v>0</v>
      </c>
      <c r="AO223" s="21" t="n">
        <f aca="false">MIN(ROUND(AB223*(1+AB$15),2),AH223+MAX(0,AK223-AL223+AE223-AM223+AF223-AN223+AG223))</f>
        <v>0</v>
      </c>
      <c r="AP223" s="21" t="n">
        <f aca="false">MIN(ROUND(AC223*(1+AC$15),2),AI223+MAX(0,AK223-AL223+AE223-AM223+AF223-AN223+AG223-AO223+AH223))</f>
        <v>0</v>
      </c>
      <c r="AQ223" s="21" t="n">
        <f aca="false">MIN(ROUND(AD223*(1+AD$15),2),AJ223+MAX(0,AK223-AL223+AE223-AM223+AF223-AN223+AG223-AO223+AH223-AP223+AI223))</f>
        <v>0</v>
      </c>
      <c r="AR223" s="21" t="n">
        <f aca="false">SUM(Y223:AD223)</f>
        <v>0</v>
      </c>
      <c r="AS223" s="21" t="n">
        <f aca="false">SUM(AL223:AQ223)</f>
        <v>0</v>
      </c>
    </row>
    <row r="224" customFormat="false" ht="15" hidden="false" customHeight="false" outlineLevel="0" collapsed="false">
      <c r="A224" s="25" t="n">
        <f aca="false">A223+1</f>
        <v>198</v>
      </c>
      <c r="B224" s="21" t="n">
        <f aca="false">MAX(0,ROUND(B223*(1+B$15),2)-O223)</f>
        <v>0</v>
      </c>
      <c r="C224" s="21" t="n">
        <f aca="false">MAX(0,ROUND(C223*(1+C$15),2)-P223)</f>
        <v>0</v>
      </c>
      <c r="D224" s="21" t="n">
        <f aca="false">MAX(0,ROUND(D223*(1+D$15),2)-Q223)</f>
        <v>0</v>
      </c>
      <c r="E224" s="21" t="n">
        <f aca="false">MAX(0,ROUND(E223*(1+E$15),2)-R223)</f>
        <v>0</v>
      </c>
      <c r="F224" s="21" t="n">
        <f aca="false">MAX(0,ROUND(F223*(1+F$15),2)-S223)</f>
        <v>0</v>
      </c>
      <c r="G224" s="21" t="n">
        <f aca="false">MAX(0,ROUND(G223*(1+G$15),2)-T223)</f>
        <v>0</v>
      </c>
      <c r="H224" s="21" t="n">
        <f aca="false">MIN(B$16,ROUND(B224*(1+B$15),2))</f>
        <v>0</v>
      </c>
      <c r="I224" s="21" t="n">
        <f aca="false">MIN(C$16,ROUND(C224*(1+C$15),2))</f>
        <v>0</v>
      </c>
      <c r="J224" s="21" t="n">
        <f aca="false">MIN(D$16,ROUND(D224*(1+D$15),2))</f>
        <v>0</v>
      </c>
      <c r="K224" s="21" t="n">
        <f aca="false">MIN(E$16,ROUND(E224*(1+E$15),2))</f>
        <v>0</v>
      </c>
      <c r="L224" s="21" t="n">
        <f aca="false">MIN(F$16,ROUND(F224*(1+F$15),2))</f>
        <v>0</v>
      </c>
      <c r="M224" s="21" t="n">
        <f aca="false">MIN(G$16,ROUND(G224*(1+G$15),2))</f>
        <v>0</v>
      </c>
      <c r="N224" s="21" t="n">
        <f aca="false">B$20-SUM(H224:M224)</f>
        <v>1170</v>
      </c>
      <c r="O224" s="21" t="n">
        <f aca="false">MIN(ROUND(B224*(1+B$15),2),H224+MAX(0,N224))</f>
        <v>0</v>
      </c>
      <c r="P224" s="21" t="n">
        <f aca="false">MIN(ROUND(C224*(1+C$15),2),I224+MAX(0,N224-O224+H224))</f>
        <v>0</v>
      </c>
      <c r="Q224" s="21" t="n">
        <f aca="false">MIN(ROUND(D224*(1+D$15),2),J224+MAX(0,N224-O224+H224-P224+I224))</f>
        <v>0</v>
      </c>
      <c r="R224" s="21" t="n">
        <f aca="false">MIN(ROUND(E224*(1+E$15),2),K224+MAX(0,N224-O224+H224-P224+I224-Q224+J224))</f>
        <v>0</v>
      </c>
      <c r="S224" s="21" t="n">
        <f aca="false">MIN(ROUND(F224*(1+F$15),2),L224+MAX(0,N224-O224+H224-P224+I224-Q224+J224-R224+K224))</f>
        <v>0</v>
      </c>
      <c r="T224" s="21" t="n">
        <f aca="false">MIN(ROUND(G224*(1+G$15),2),M224+MAX(0,N224-O224+H224-P224+I224-Q224+J224-R224+K224-S224+L224))</f>
        <v>0</v>
      </c>
      <c r="U224" s="21" t="n">
        <f aca="false">SUM(B224:G224)</f>
        <v>0</v>
      </c>
      <c r="V224" s="21" t="n">
        <f aca="false">SUM(O224:T224)</f>
        <v>0</v>
      </c>
      <c r="X224" s="25" t="n">
        <f aca="false">X223+1</f>
        <v>198</v>
      </c>
      <c r="Y224" s="21" t="n">
        <f aca="false">MAX(0,ROUND(Y223*(1+Y$15),2)-AL223)</f>
        <v>0</v>
      </c>
      <c r="Z224" s="21" t="n">
        <f aca="false">MAX(0,ROUND(Z223*(1+Z$15),2)-AM223)</f>
        <v>0</v>
      </c>
      <c r="AA224" s="21" t="n">
        <f aca="false">MAX(0,ROUND(AA223*(1+AA$15),2)-AN223)</f>
        <v>0</v>
      </c>
      <c r="AB224" s="21" t="n">
        <f aca="false">MAX(0,ROUND(AB223*(1+AB$15),2)-AO223)</f>
        <v>0</v>
      </c>
      <c r="AC224" s="21" t="n">
        <f aca="false">MAX(0,ROUND(AC223*(1+AC$15),2)-AP223)</f>
        <v>0</v>
      </c>
      <c r="AD224" s="21" t="n">
        <f aca="false">MAX(0,ROUND(AD223*(1+AD$15),2)-AQ223)</f>
        <v>0</v>
      </c>
      <c r="AE224" s="21" t="n">
        <f aca="false">MIN(Y$16,ROUND(Y224*(1+Y$15),2))</f>
        <v>0</v>
      </c>
      <c r="AF224" s="21" t="n">
        <f aca="false">MIN(Z$16,ROUND(Z224*(1+Z$15),2))</f>
        <v>0</v>
      </c>
      <c r="AG224" s="21" t="n">
        <f aca="false">MIN(AA$16,ROUND(AA224*(1+AA$15),2))</f>
        <v>0</v>
      </c>
      <c r="AH224" s="21" t="n">
        <f aca="false">MIN(AB$16,ROUND(AB224*(1+AB$15),2))</f>
        <v>0</v>
      </c>
      <c r="AI224" s="21" t="n">
        <f aca="false">MIN(AC$16,ROUND(AC224*(1+AC$15),2))</f>
        <v>0</v>
      </c>
      <c r="AJ224" s="21" t="n">
        <f aca="false">MIN(AD$16,ROUND(AD224*(1+AD$15),2))</f>
        <v>0</v>
      </c>
      <c r="AK224" s="21" t="n">
        <f aca="false">Y$20-SUM(AE224:AJ224)</f>
        <v>1170</v>
      </c>
      <c r="AL224" s="21" t="n">
        <f aca="false">MIN(ROUND(Y224*(1+Y$15),2),AE224+MAX(0,AK224))</f>
        <v>0</v>
      </c>
      <c r="AM224" s="21" t="n">
        <f aca="false">MIN(ROUND(Z224*(1+Z$15),2),AF224+MAX(0,AK224-AL224+AE224))</f>
        <v>0</v>
      </c>
      <c r="AN224" s="21" t="n">
        <f aca="false">MIN(ROUND(AA224*(1+AA$15),2),AG224+MAX(0,AK224-AL224+AE224-AM224+AF224))</f>
        <v>0</v>
      </c>
      <c r="AO224" s="21" t="n">
        <f aca="false">MIN(ROUND(AB224*(1+AB$15),2),AH224+MAX(0,AK224-AL224+AE224-AM224+AF224-AN224+AG224))</f>
        <v>0</v>
      </c>
      <c r="AP224" s="21" t="n">
        <f aca="false">MIN(ROUND(AC224*(1+AC$15),2),AI224+MAX(0,AK224-AL224+AE224-AM224+AF224-AN224+AG224-AO224+AH224))</f>
        <v>0</v>
      </c>
      <c r="AQ224" s="21" t="n">
        <f aca="false">MIN(ROUND(AD224*(1+AD$15),2),AJ224+MAX(0,AK224-AL224+AE224-AM224+AF224-AN224+AG224-AO224+AH224-AP224+AI224))</f>
        <v>0</v>
      </c>
      <c r="AR224" s="21" t="n">
        <f aca="false">SUM(Y224:AD224)</f>
        <v>0</v>
      </c>
      <c r="AS224" s="21" t="n">
        <f aca="false">SUM(AL224:AQ224)</f>
        <v>0</v>
      </c>
    </row>
    <row r="225" customFormat="false" ht="15" hidden="false" customHeight="false" outlineLevel="0" collapsed="false">
      <c r="A225" s="25" t="n">
        <f aca="false">A224+1</f>
        <v>199</v>
      </c>
      <c r="B225" s="21" t="n">
        <f aca="false">MAX(0,ROUND(B224*(1+B$15),2)-O224)</f>
        <v>0</v>
      </c>
      <c r="C225" s="21" t="n">
        <f aca="false">MAX(0,ROUND(C224*(1+C$15),2)-P224)</f>
        <v>0</v>
      </c>
      <c r="D225" s="21" t="n">
        <f aca="false">MAX(0,ROUND(D224*(1+D$15),2)-Q224)</f>
        <v>0</v>
      </c>
      <c r="E225" s="21" t="n">
        <f aca="false">MAX(0,ROUND(E224*(1+E$15),2)-R224)</f>
        <v>0</v>
      </c>
      <c r="F225" s="21" t="n">
        <f aca="false">MAX(0,ROUND(F224*(1+F$15),2)-S224)</f>
        <v>0</v>
      </c>
      <c r="G225" s="21" t="n">
        <f aca="false">MAX(0,ROUND(G224*(1+G$15),2)-T224)</f>
        <v>0</v>
      </c>
      <c r="H225" s="21" t="n">
        <f aca="false">MIN(B$16,ROUND(B225*(1+B$15),2))</f>
        <v>0</v>
      </c>
      <c r="I225" s="21" t="n">
        <f aca="false">MIN(C$16,ROUND(C225*(1+C$15),2))</f>
        <v>0</v>
      </c>
      <c r="J225" s="21" t="n">
        <f aca="false">MIN(D$16,ROUND(D225*(1+D$15),2))</f>
        <v>0</v>
      </c>
      <c r="K225" s="21" t="n">
        <f aca="false">MIN(E$16,ROUND(E225*(1+E$15),2))</f>
        <v>0</v>
      </c>
      <c r="L225" s="21" t="n">
        <f aca="false">MIN(F$16,ROUND(F225*(1+F$15),2))</f>
        <v>0</v>
      </c>
      <c r="M225" s="21" t="n">
        <f aca="false">MIN(G$16,ROUND(G225*(1+G$15),2))</f>
        <v>0</v>
      </c>
      <c r="N225" s="21" t="n">
        <f aca="false">B$20-SUM(H225:M225)</f>
        <v>1170</v>
      </c>
      <c r="O225" s="21" t="n">
        <f aca="false">MIN(ROUND(B225*(1+B$15),2),H225+MAX(0,N225))</f>
        <v>0</v>
      </c>
      <c r="P225" s="21" t="n">
        <f aca="false">MIN(ROUND(C225*(1+C$15),2),I225+MAX(0,N225-O225+H225))</f>
        <v>0</v>
      </c>
      <c r="Q225" s="21" t="n">
        <f aca="false">MIN(ROUND(D225*(1+D$15),2),J225+MAX(0,N225-O225+H225-P225+I225))</f>
        <v>0</v>
      </c>
      <c r="R225" s="21" t="n">
        <f aca="false">MIN(ROUND(E225*(1+E$15),2),K225+MAX(0,N225-O225+H225-P225+I225-Q225+J225))</f>
        <v>0</v>
      </c>
      <c r="S225" s="21" t="n">
        <f aca="false">MIN(ROUND(F225*(1+F$15),2),L225+MAX(0,N225-O225+H225-P225+I225-Q225+J225-R225+K225))</f>
        <v>0</v>
      </c>
      <c r="T225" s="21" t="n">
        <f aca="false">MIN(ROUND(G225*(1+G$15),2),M225+MAX(0,N225-O225+H225-P225+I225-Q225+J225-R225+K225-S225+L225))</f>
        <v>0</v>
      </c>
      <c r="U225" s="21" t="n">
        <f aca="false">SUM(B225:G225)</f>
        <v>0</v>
      </c>
      <c r="V225" s="21" t="n">
        <f aca="false">SUM(O225:T225)</f>
        <v>0</v>
      </c>
      <c r="X225" s="25" t="n">
        <f aca="false">X224+1</f>
        <v>199</v>
      </c>
      <c r="Y225" s="21" t="n">
        <f aca="false">MAX(0,ROUND(Y224*(1+Y$15),2)-AL224)</f>
        <v>0</v>
      </c>
      <c r="Z225" s="21" t="n">
        <f aca="false">MAX(0,ROUND(Z224*(1+Z$15),2)-AM224)</f>
        <v>0</v>
      </c>
      <c r="AA225" s="21" t="n">
        <f aca="false">MAX(0,ROUND(AA224*(1+AA$15),2)-AN224)</f>
        <v>0</v>
      </c>
      <c r="AB225" s="21" t="n">
        <f aca="false">MAX(0,ROUND(AB224*(1+AB$15),2)-AO224)</f>
        <v>0</v>
      </c>
      <c r="AC225" s="21" t="n">
        <f aca="false">MAX(0,ROUND(AC224*(1+AC$15),2)-AP224)</f>
        <v>0</v>
      </c>
      <c r="AD225" s="21" t="n">
        <f aca="false">MAX(0,ROUND(AD224*(1+AD$15),2)-AQ224)</f>
        <v>0</v>
      </c>
      <c r="AE225" s="21" t="n">
        <f aca="false">MIN(Y$16,ROUND(Y225*(1+Y$15),2))</f>
        <v>0</v>
      </c>
      <c r="AF225" s="21" t="n">
        <f aca="false">MIN(Z$16,ROUND(Z225*(1+Z$15),2))</f>
        <v>0</v>
      </c>
      <c r="AG225" s="21" t="n">
        <f aca="false">MIN(AA$16,ROUND(AA225*(1+AA$15),2))</f>
        <v>0</v>
      </c>
      <c r="AH225" s="21" t="n">
        <f aca="false">MIN(AB$16,ROUND(AB225*(1+AB$15),2))</f>
        <v>0</v>
      </c>
      <c r="AI225" s="21" t="n">
        <f aca="false">MIN(AC$16,ROUND(AC225*(1+AC$15),2))</f>
        <v>0</v>
      </c>
      <c r="AJ225" s="21" t="n">
        <f aca="false">MIN(AD$16,ROUND(AD225*(1+AD$15),2))</f>
        <v>0</v>
      </c>
      <c r="AK225" s="21" t="n">
        <f aca="false">Y$20-SUM(AE225:AJ225)</f>
        <v>1170</v>
      </c>
      <c r="AL225" s="21" t="n">
        <f aca="false">MIN(ROUND(Y225*(1+Y$15),2),AE225+MAX(0,AK225))</f>
        <v>0</v>
      </c>
      <c r="AM225" s="21" t="n">
        <f aca="false">MIN(ROUND(Z225*(1+Z$15),2),AF225+MAX(0,AK225-AL225+AE225))</f>
        <v>0</v>
      </c>
      <c r="AN225" s="21" t="n">
        <f aca="false">MIN(ROUND(AA225*(1+AA$15),2),AG225+MAX(0,AK225-AL225+AE225-AM225+AF225))</f>
        <v>0</v>
      </c>
      <c r="AO225" s="21" t="n">
        <f aca="false">MIN(ROUND(AB225*(1+AB$15),2),AH225+MAX(0,AK225-AL225+AE225-AM225+AF225-AN225+AG225))</f>
        <v>0</v>
      </c>
      <c r="AP225" s="21" t="n">
        <f aca="false">MIN(ROUND(AC225*(1+AC$15),2),AI225+MAX(0,AK225-AL225+AE225-AM225+AF225-AN225+AG225-AO225+AH225))</f>
        <v>0</v>
      </c>
      <c r="AQ225" s="21" t="n">
        <f aca="false">MIN(ROUND(AD225*(1+AD$15),2),AJ225+MAX(0,AK225-AL225+AE225-AM225+AF225-AN225+AG225-AO225+AH225-AP225+AI225))</f>
        <v>0</v>
      </c>
      <c r="AR225" s="21" t="n">
        <f aca="false">SUM(Y225:AD225)</f>
        <v>0</v>
      </c>
      <c r="AS225" s="21" t="n">
        <f aca="false">SUM(AL225:AQ225)</f>
        <v>0</v>
      </c>
    </row>
    <row r="226" customFormat="false" ht="15" hidden="false" customHeight="false" outlineLevel="0" collapsed="false">
      <c r="A226" s="25" t="n">
        <f aca="false">A225+1</f>
        <v>200</v>
      </c>
      <c r="B226" s="21" t="n">
        <f aca="false">MAX(0,ROUND(B225*(1+B$15),2)-O225)</f>
        <v>0</v>
      </c>
      <c r="C226" s="21" t="n">
        <f aca="false">MAX(0,ROUND(C225*(1+C$15),2)-P225)</f>
        <v>0</v>
      </c>
      <c r="D226" s="21" t="n">
        <f aca="false">MAX(0,ROUND(D225*(1+D$15),2)-Q225)</f>
        <v>0</v>
      </c>
      <c r="E226" s="21" t="n">
        <f aca="false">MAX(0,ROUND(E225*(1+E$15),2)-R225)</f>
        <v>0</v>
      </c>
      <c r="F226" s="21" t="n">
        <f aca="false">MAX(0,ROUND(F225*(1+F$15),2)-S225)</f>
        <v>0</v>
      </c>
      <c r="G226" s="21" t="n">
        <f aca="false">MAX(0,ROUND(G225*(1+G$15),2)-T225)</f>
        <v>0</v>
      </c>
      <c r="H226" s="21" t="n">
        <f aca="false">MIN(B$16,ROUND(B226*(1+B$15),2))</f>
        <v>0</v>
      </c>
      <c r="I226" s="21" t="n">
        <f aca="false">MIN(C$16,ROUND(C226*(1+C$15),2))</f>
        <v>0</v>
      </c>
      <c r="J226" s="21" t="n">
        <f aca="false">MIN(D$16,ROUND(D226*(1+D$15),2))</f>
        <v>0</v>
      </c>
      <c r="K226" s="21" t="n">
        <f aca="false">MIN(E$16,ROUND(E226*(1+E$15),2))</f>
        <v>0</v>
      </c>
      <c r="L226" s="21" t="n">
        <f aca="false">MIN(F$16,ROUND(F226*(1+F$15),2))</f>
        <v>0</v>
      </c>
      <c r="M226" s="21" t="n">
        <f aca="false">MIN(G$16,ROUND(G226*(1+G$15),2))</f>
        <v>0</v>
      </c>
      <c r="N226" s="21" t="n">
        <f aca="false">B$20-SUM(H226:M226)</f>
        <v>1170</v>
      </c>
      <c r="O226" s="21" t="n">
        <f aca="false">MIN(ROUND(B226*(1+B$15),2),H226+MAX(0,N226))</f>
        <v>0</v>
      </c>
      <c r="P226" s="21" t="n">
        <f aca="false">MIN(ROUND(C226*(1+C$15),2),I226+MAX(0,N226-O226+H226))</f>
        <v>0</v>
      </c>
      <c r="Q226" s="21" t="n">
        <f aca="false">MIN(ROUND(D226*(1+D$15),2),J226+MAX(0,N226-O226+H226-P226+I226))</f>
        <v>0</v>
      </c>
      <c r="R226" s="21" t="n">
        <f aca="false">MIN(ROUND(E226*(1+E$15),2),K226+MAX(0,N226-O226+H226-P226+I226-Q226+J226))</f>
        <v>0</v>
      </c>
      <c r="S226" s="21" t="n">
        <f aca="false">MIN(ROUND(F226*(1+F$15),2),L226+MAX(0,N226-O226+H226-P226+I226-Q226+J226-R226+K226))</f>
        <v>0</v>
      </c>
      <c r="T226" s="21" t="n">
        <f aca="false">MIN(ROUND(G226*(1+G$15),2),M226+MAX(0,N226-O226+H226-P226+I226-Q226+J226-R226+K226-S226+L226))</f>
        <v>0</v>
      </c>
      <c r="U226" s="21" t="n">
        <f aca="false">SUM(B226:G226)</f>
        <v>0</v>
      </c>
      <c r="V226" s="21" t="n">
        <f aca="false">SUM(O226:T226)</f>
        <v>0</v>
      </c>
      <c r="X226" s="25" t="n">
        <f aca="false">X225+1</f>
        <v>200</v>
      </c>
      <c r="Y226" s="21" t="n">
        <f aca="false">MAX(0,ROUND(Y225*(1+Y$15),2)-AL225)</f>
        <v>0</v>
      </c>
      <c r="Z226" s="21" t="n">
        <f aca="false">MAX(0,ROUND(Z225*(1+Z$15),2)-AM225)</f>
        <v>0</v>
      </c>
      <c r="AA226" s="21" t="n">
        <f aca="false">MAX(0,ROUND(AA225*(1+AA$15),2)-AN225)</f>
        <v>0</v>
      </c>
      <c r="AB226" s="21" t="n">
        <f aca="false">MAX(0,ROUND(AB225*(1+AB$15),2)-AO225)</f>
        <v>0</v>
      </c>
      <c r="AC226" s="21" t="n">
        <f aca="false">MAX(0,ROUND(AC225*(1+AC$15),2)-AP225)</f>
        <v>0</v>
      </c>
      <c r="AD226" s="21" t="n">
        <f aca="false">MAX(0,ROUND(AD225*(1+AD$15),2)-AQ225)</f>
        <v>0</v>
      </c>
      <c r="AE226" s="21" t="n">
        <f aca="false">MIN(Y$16,ROUND(Y226*(1+Y$15),2))</f>
        <v>0</v>
      </c>
      <c r="AF226" s="21" t="n">
        <f aca="false">MIN(Z$16,ROUND(Z226*(1+Z$15),2))</f>
        <v>0</v>
      </c>
      <c r="AG226" s="21" t="n">
        <f aca="false">MIN(AA$16,ROUND(AA226*(1+AA$15),2))</f>
        <v>0</v>
      </c>
      <c r="AH226" s="21" t="n">
        <f aca="false">MIN(AB$16,ROUND(AB226*(1+AB$15),2))</f>
        <v>0</v>
      </c>
      <c r="AI226" s="21" t="n">
        <f aca="false">MIN(AC$16,ROUND(AC226*(1+AC$15),2))</f>
        <v>0</v>
      </c>
      <c r="AJ226" s="21" t="n">
        <f aca="false">MIN(AD$16,ROUND(AD226*(1+AD$15),2))</f>
        <v>0</v>
      </c>
      <c r="AK226" s="21" t="n">
        <f aca="false">Y$20-SUM(AE226:AJ226)</f>
        <v>1170</v>
      </c>
      <c r="AL226" s="21" t="n">
        <f aca="false">MIN(ROUND(Y226*(1+Y$15),2),AE226+MAX(0,AK226))</f>
        <v>0</v>
      </c>
      <c r="AM226" s="21" t="n">
        <f aca="false">MIN(ROUND(Z226*(1+Z$15),2),AF226+MAX(0,AK226-AL226+AE226))</f>
        <v>0</v>
      </c>
      <c r="AN226" s="21" t="n">
        <f aca="false">MIN(ROUND(AA226*(1+AA$15),2),AG226+MAX(0,AK226-AL226+AE226-AM226+AF226))</f>
        <v>0</v>
      </c>
      <c r="AO226" s="21" t="n">
        <f aca="false">MIN(ROUND(AB226*(1+AB$15),2),AH226+MAX(0,AK226-AL226+AE226-AM226+AF226-AN226+AG226))</f>
        <v>0</v>
      </c>
      <c r="AP226" s="21" t="n">
        <f aca="false">MIN(ROUND(AC226*(1+AC$15),2),AI226+MAX(0,AK226-AL226+AE226-AM226+AF226-AN226+AG226-AO226+AH226))</f>
        <v>0</v>
      </c>
      <c r="AQ226" s="21" t="n">
        <f aca="false">MIN(ROUND(AD226*(1+AD$15),2),AJ226+MAX(0,AK226-AL226+AE226-AM226+AF226-AN226+AG226-AO226+AH226-AP226+AI226))</f>
        <v>0</v>
      </c>
      <c r="AR226" s="21" t="n">
        <f aca="false">SUM(Y226:AD226)</f>
        <v>0</v>
      </c>
      <c r="AS226" s="21" t="n">
        <f aca="false">SUM(AL226:AQ226)</f>
        <v>0</v>
      </c>
    </row>
    <row r="227" customFormat="false" ht="15" hidden="false" customHeight="false" outlineLevel="0" collapsed="false">
      <c r="A227" s="25" t="n">
        <f aca="false">A226+1</f>
        <v>201</v>
      </c>
      <c r="B227" s="21" t="n">
        <f aca="false">MAX(0,ROUND(B226*(1+B$15),2)-O226)</f>
        <v>0</v>
      </c>
      <c r="C227" s="21" t="n">
        <f aca="false">MAX(0,ROUND(C226*(1+C$15),2)-P226)</f>
        <v>0</v>
      </c>
      <c r="D227" s="21" t="n">
        <f aca="false">MAX(0,ROUND(D226*(1+D$15),2)-Q226)</f>
        <v>0</v>
      </c>
      <c r="E227" s="21" t="n">
        <f aca="false">MAX(0,ROUND(E226*(1+E$15),2)-R226)</f>
        <v>0</v>
      </c>
      <c r="F227" s="21" t="n">
        <f aca="false">MAX(0,ROUND(F226*(1+F$15),2)-S226)</f>
        <v>0</v>
      </c>
      <c r="G227" s="21" t="n">
        <f aca="false">MAX(0,ROUND(G226*(1+G$15),2)-T226)</f>
        <v>0</v>
      </c>
      <c r="H227" s="21" t="n">
        <f aca="false">MIN(B$16,ROUND(B227*(1+B$15),2))</f>
        <v>0</v>
      </c>
      <c r="I227" s="21" t="n">
        <f aca="false">MIN(C$16,ROUND(C227*(1+C$15),2))</f>
        <v>0</v>
      </c>
      <c r="J227" s="21" t="n">
        <f aca="false">MIN(D$16,ROUND(D227*(1+D$15),2))</f>
        <v>0</v>
      </c>
      <c r="K227" s="21" t="n">
        <f aca="false">MIN(E$16,ROUND(E227*(1+E$15),2))</f>
        <v>0</v>
      </c>
      <c r="L227" s="21" t="n">
        <f aca="false">MIN(F$16,ROUND(F227*(1+F$15),2))</f>
        <v>0</v>
      </c>
      <c r="M227" s="21" t="n">
        <f aca="false">MIN(G$16,ROUND(G227*(1+G$15),2))</f>
        <v>0</v>
      </c>
      <c r="N227" s="21" t="n">
        <f aca="false">B$20-SUM(H227:M227)</f>
        <v>1170</v>
      </c>
      <c r="O227" s="21" t="n">
        <f aca="false">MIN(ROUND(B227*(1+B$15),2),H227+MAX(0,N227))</f>
        <v>0</v>
      </c>
      <c r="P227" s="21" t="n">
        <f aca="false">MIN(ROUND(C227*(1+C$15),2),I227+MAX(0,N227-O227+H227))</f>
        <v>0</v>
      </c>
      <c r="Q227" s="21" t="n">
        <f aca="false">MIN(ROUND(D227*(1+D$15),2),J227+MAX(0,N227-O227+H227-P227+I227))</f>
        <v>0</v>
      </c>
      <c r="R227" s="21" t="n">
        <f aca="false">MIN(ROUND(E227*(1+E$15),2),K227+MAX(0,N227-O227+H227-P227+I227-Q227+J227))</f>
        <v>0</v>
      </c>
      <c r="S227" s="21" t="n">
        <f aca="false">MIN(ROUND(F227*(1+F$15),2),L227+MAX(0,N227-O227+H227-P227+I227-Q227+J227-R227+K227))</f>
        <v>0</v>
      </c>
      <c r="T227" s="21" t="n">
        <f aca="false">MIN(ROUND(G227*(1+G$15),2),M227+MAX(0,N227-O227+H227-P227+I227-Q227+J227-R227+K227-S227+L227))</f>
        <v>0</v>
      </c>
      <c r="U227" s="21" t="n">
        <f aca="false">SUM(B227:G227)</f>
        <v>0</v>
      </c>
      <c r="V227" s="21" t="n">
        <f aca="false">SUM(O227:T227)</f>
        <v>0</v>
      </c>
      <c r="X227" s="25" t="n">
        <f aca="false">X226+1</f>
        <v>201</v>
      </c>
      <c r="Y227" s="21" t="n">
        <f aca="false">MAX(0,ROUND(Y226*(1+Y$15),2)-AL226)</f>
        <v>0</v>
      </c>
      <c r="Z227" s="21" t="n">
        <f aca="false">MAX(0,ROUND(Z226*(1+Z$15),2)-AM226)</f>
        <v>0</v>
      </c>
      <c r="AA227" s="21" t="n">
        <f aca="false">MAX(0,ROUND(AA226*(1+AA$15),2)-AN226)</f>
        <v>0</v>
      </c>
      <c r="AB227" s="21" t="n">
        <f aca="false">MAX(0,ROUND(AB226*(1+AB$15),2)-AO226)</f>
        <v>0</v>
      </c>
      <c r="AC227" s="21" t="n">
        <f aca="false">MAX(0,ROUND(AC226*(1+AC$15),2)-AP226)</f>
        <v>0</v>
      </c>
      <c r="AD227" s="21" t="n">
        <f aca="false">MAX(0,ROUND(AD226*(1+AD$15),2)-AQ226)</f>
        <v>0</v>
      </c>
      <c r="AE227" s="21" t="n">
        <f aca="false">MIN(Y$16,ROUND(Y227*(1+Y$15),2))</f>
        <v>0</v>
      </c>
      <c r="AF227" s="21" t="n">
        <f aca="false">MIN(Z$16,ROUND(Z227*(1+Z$15),2))</f>
        <v>0</v>
      </c>
      <c r="AG227" s="21" t="n">
        <f aca="false">MIN(AA$16,ROUND(AA227*(1+AA$15),2))</f>
        <v>0</v>
      </c>
      <c r="AH227" s="21" t="n">
        <f aca="false">MIN(AB$16,ROUND(AB227*(1+AB$15),2))</f>
        <v>0</v>
      </c>
      <c r="AI227" s="21" t="n">
        <f aca="false">MIN(AC$16,ROUND(AC227*(1+AC$15),2))</f>
        <v>0</v>
      </c>
      <c r="AJ227" s="21" t="n">
        <f aca="false">MIN(AD$16,ROUND(AD227*(1+AD$15),2))</f>
        <v>0</v>
      </c>
      <c r="AK227" s="21" t="n">
        <f aca="false">Y$20-SUM(AE227:AJ227)</f>
        <v>1170</v>
      </c>
      <c r="AL227" s="21" t="n">
        <f aca="false">MIN(ROUND(Y227*(1+Y$15),2),AE227+MAX(0,AK227))</f>
        <v>0</v>
      </c>
      <c r="AM227" s="21" t="n">
        <f aca="false">MIN(ROUND(Z227*(1+Z$15),2),AF227+MAX(0,AK227-AL227+AE227))</f>
        <v>0</v>
      </c>
      <c r="AN227" s="21" t="n">
        <f aca="false">MIN(ROUND(AA227*(1+AA$15),2),AG227+MAX(0,AK227-AL227+AE227-AM227+AF227))</f>
        <v>0</v>
      </c>
      <c r="AO227" s="21" t="n">
        <f aca="false">MIN(ROUND(AB227*(1+AB$15),2),AH227+MAX(0,AK227-AL227+AE227-AM227+AF227-AN227+AG227))</f>
        <v>0</v>
      </c>
      <c r="AP227" s="21" t="n">
        <f aca="false">MIN(ROUND(AC227*(1+AC$15),2),AI227+MAX(0,AK227-AL227+AE227-AM227+AF227-AN227+AG227-AO227+AH227))</f>
        <v>0</v>
      </c>
      <c r="AQ227" s="21" t="n">
        <f aca="false">MIN(ROUND(AD227*(1+AD$15),2),AJ227+MAX(0,AK227-AL227+AE227-AM227+AF227-AN227+AG227-AO227+AH227-AP227+AI227))</f>
        <v>0</v>
      </c>
      <c r="AR227" s="21" t="n">
        <f aca="false">SUM(Y227:AD227)</f>
        <v>0</v>
      </c>
      <c r="AS227" s="21" t="n">
        <f aca="false">SUM(AL227:AQ227)</f>
        <v>0</v>
      </c>
    </row>
    <row r="228" customFormat="false" ht="15" hidden="false" customHeight="false" outlineLevel="0" collapsed="false">
      <c r="A228" s="25" t="n">
        <f aca="false">A227+1</f>
        <v>202</v>
      </c>
      <c r="B228" s="21" t="n">
        <f aca="false">MAX(0,ROUND(B227*(1+B$15),2)-O227)</f>
        <v>0</v>
      </c>
      <c r="C228" s="21" t="n">
        <f aca="false">MAX(0,ROUND(C227*(1+C$15),2)-P227)</f>
        <v>0</v>
      </c>
      <c r="D228" s="21" t="n">
        <f aca="false">MAX(0,ROUND(D227*(1+D$15),2)-Q227)</f>
        <v>0</v>
      </c>
      <c r="E228" s="21" t="n">
        <f aca="false">MAX(0,ROUND(E227*(1+E$15),2)-R227)</f>
        <v>0</v>
      </c>
      <c r="F228" s="21" t="n">
        <f aca="false">MAX(0,ROUND(F227*(1+F$15),2)-S227)</f>
        <v>0</v>
      </c>
      <c r="G228" s="21" t="n">
        <f aca="false">MAX(0,ROUND(G227*(1+G$15),2)-T227)</f>
        <v>0</v>
      </c>
      <c r="H228" s="21" t="n">
        <f aca="false">MIN(B$16,ROUND(B228*(1+B$15),2))</f>
        <v>0</v>
      </c>
      <c r="I228" s="21" t="n">
        <f aca="false">MIN(C$16,ROUND(C228*(1+C$15),2))</f>
        <v>0</v>
      </c>
      <c r="J228" s="21" t="n">
        <f aca="false">MIN(D$16,ROUND(D228*(1+D$15),2))</f>
        <v>0</v>
      </c>
      <c r="K228" s="21" t="n">
        <f aca="false">MIN(E$16,ROUND(E228*(1+E$15),2))</f>
        <v>0</v>
      </c>
      <c r="L228" s="21" t="n">
        <f aca="false">MIN(F$16,ROUND(F228*(1+F$15),2))</f>
        <v>0</v>
      </c>
      <c r="M228" s="21" t="n">
        <f aca="false">MIN(G$16,ROUND(G228*(1+G$15),2))</f>
        <v>0</v>
      </c>
      <c r="N228" s="21" t="n">
        <f aca="false">B$20-SUM(H228:M228)</f>
        <v>1170</v>
      </c>
      <c r="O228" s="21" t="n">
        <f aca="false">MIN(ROUND(B228*(1+B$15),2),H228+MAX(0,N228))</f>
        <v>0</v>
      </c>
      <c r="P228" s="21" t="n">
        <f aca="false">MIN(ROUND(C228*(1+C$15),2),I228+MAX(0,N228-O228+H228))</f>
        <v>0</v>
      </c>
      <c r="Q228" s="21" t="n">
        <f aca="false">MIN(ROUND(D228*(1+D$15),2),J228+MAX(0,N228-O228+H228-P228+I228))</f>
        <v>0</v>
      </c>
      <c r="R228" s="21" t="n">
        <f aca="false">MIN(ROUND(E228*(1+E$15),2),K228+MAX(0,N228-O228+H228-P228+I228-Q228+J228))</f>
        <v>0</v>
      </c>
      <c r="S228" s="21" t="n">
        <f aca="false">MIN(ROUND(F228*(1+F$15),2),L228+MAX(0,N228-O228+H228-P228+I228-Q228+J228-R228+K228))</f>
        <v>0</v>
      </c>
      <c r="T228" s="21" t="n">
        <f aca="false">MIN(ROUND(G228*(1+G$15),2),M228+MAX(0,N228-O228+H228-P228+I228-Q228+J228-R228+K228-S228+L228))</f>
        <v>0</v>
      </c>
      <c r="U228" s="21" t="n">
        <f aca="false">SUM(B228:G228)</f>
        <v>0</v>
      </c>
      <c r="V228" s="21" t="n">
        <f aca="false">SUM(O228:T228)</f>
        <v>0</v>
      </c>
      <c r="X228" s="25" t="n">
        <f aca="false">X227+1</f>
        <v>202</v>
      </c>
      <c r="Y228" s="21" t="n">
        <f aca="false">MAX(0,ROUND(Y227*(1+Y$15),2)-AL227)</f>
        <v>0</v>
      </c>
      <c r="Z228" s="21" t="n">
        <f aca="false">MAX(0,ROUND(Z227*(1+Z$15),2)-AM227)</f>
        <v>0</v>
      </c>
      <c r="AA228" s="21" t="n">
        <f aca="false">MAX(0,ROUND(AA227*(1+AA$15),2)-AN227)</f>
        <v>0</v>
      </c>
      <c r="AB228" s="21" t="n">
        <f aca="false">MAX(0,ROUND(AB227*(1+AB$15),2)-AO227)</f>
        <v>0</v>
      </c>
      <c r="AC228" s="21" t="n">
        <f aca="false">MAX(0,ROUND(AC227*(1+AC$15),2)-AP227)</f>
        <v>0</v>
      </c>
      <c r="AD228" s="21" t="n">
        <f aca="false">MAX(0,ROUND(AD227*(1+AD$15),2)-AQ227)</f>
        <v>0</v>
      </c>
      <c r="AE228" s="21" t="n">
        <f aca="false">MIN(Y$16,ROUND(Y228*(1+Y$15),2))</f>
        <v>0</v>
      </c>
      <c r="AF228" s="21" t="n">
        <f aca="false">MIN(Z$16,ROUND(Z228*(1+Z$15),2))</f>
        <v>0</v>
      </c>
      <c r="AG228" s="21" t="n">
        <f aca="false">MIN(AA$16,ROUND(AA228*(1+AA$15),2))</f>
        <v>0</v>
      </c>
      <c r="AH228" s="21" t="n">
        <f aca="false">MIN(AB$16,ROUND(AB228*(1+AB$15),2))</f>
        <v>0</v>
      </c>
      <c r="AI228" s="21" t="n">
        <f aca="false">MIN(AC$16,ROUND(AC228*(1+AC$15),2))</f>
        <v>0</v>
      </c>
      <c r="AJ228" s="21" t="n">
        <f aca="false">MIN(AD$16,ROUND(AD228*(1+AD$15),2))</f>
        <v>0</v>
      </c>
      <c r="AK228" s="21" t="n">
        <f aca="false">Y$20-SUM(AE228:AJ228)</f>
        <v>1170</v>
      </c>
      <c r="AL228" s="21" t="n">
        <f aca="false">MIN(ROUND(Y228*(1+Y$15),2),AE228+MAX(0,AK228))</f>
        <v>0</v>
      </c>
      <c r="AM228" s="21" t="n">
        <f aca="false">MIN(ROUND(Z228*(1+Z$15),2),AF228+MAX(0,AK228-AL228+AE228))</f>
        <v>0</v>
      </c>
      <c r="AN228" s="21" t="n">
        <f aca="false">MIN(ROUND(AA228*(1+AA$15),2),AG228+MAX(0,AK228-AL228+AE228-AM228+AF228))</f>
        <v>0</v>
      </c>
      <c r="AO228" s="21" t="n">
        <f aca="false">MIN(ROUND(AB228*(1+AB$15),2),AH228+MAX(0,AK228-AL228+AE228-AM228+AF228-AN228+AG228))</f>
        <v>0</v>
      </c>
      <c r="AP228" s="21" t="n">
        <f aca="false">MIN(ROUND(AC228*(1+AC$15),2),AI228+MAX(0,AK228-AL228+AE228-AM228+AF228-AN228+AG228-AO228+AH228))</f>
        <v>0</v>
      </c>
      <c r="AQ228" s="21" t="n">
        <f aca="false">MIN(ROUND(AD228*(1+AD$15),2),AJ228+MAX(0,AK228-AL228+AE228-AM228+AF228-AN228+AG228-AO228+AH228-AP228+AI228))</f>
        <v>0</v>
      </c>
      <c r="AR228" s="21" t="n">
        <f aca="false">SUM(Y228:AD228)</f>
        <v>0</v>
      </c>
      <c r="AS228" s="21" t="n">
        <f aca="false">SUM(AL228:AQ228)</f>
        <v>0</v>
      </c>
    </row>
    <row r="229" customFormat="false" ht="15" hidden="false" customHeight="false" outlineLevel="0" collapsed="false">
      <c r="A229" s="25" t="n">
        <f aca="false">A228+1</f>
        <v>203</v>
      </c>
      <c r="B229" s="21" t="n">
        <f aca="false">MAX(0,ROUND(B228*(1+B$15),2)-O228)</f>
        <v>0</v>
      </c>
      <c r="C229" s="21" t="n">
        <f aca="false">MAX(0,ROUND(C228*(1+C$15),2)-P228)</f>
        <v>0</v>
      </c>
      <c r="D229" s="21" t="n">
        <f aca="false">MAX(0,ROUND(D228*(1+D$15),2)-Q228)</f>
        <v>0</v>
      </c>
      <c r="E229" s="21" t="n">
        <f aca="false">MAX(0,ROUND(E228*(1+E$15),2)-R228)</f>
        <v>0</v>
      </c>
      <c r="F229" s="21" t="n">
        <f aca="false">MAX(0,ROUND(F228*(1+F$15),2)-S228)</f>
        <v>0</v>
      </c>
      <c r="G229" s="21" t="n">
        <f aca="false">MAX(0,ROUND(G228*(1+G$15),2)-T228)</f>
        <v>0</v>
      </c>
      <c r="H229" s="21" t="n">
        <f aca="false">MIN(B$16,ROUND(B229*(1+B$15),2))</f>
        <v>0</v>
      </c>
      <c r="I229" s="21" t="n">
        <f aca="false">MIN(C$16,ROUND(C229*(1+C$15),2))</f>
        <v>0</v>
      </c>
      <c r="J229" s="21" t="n">
        <f aca="false">MIN(D$16,ROUND(D229*(1+D$15),2))</f>
        <v>0</v>
      </c>
      <c r="K229" s="21" t="n">
        <f aca="false">MIN(E$16,ROUND(E229*(1+E$15),2))</f>
        <v>0</v>
      </c>
      <c r="L229" s="21" t="n">
        <f aca="false">MIN(F$16,ROUND(F229*(1+F$15),2))</f>
        <v>0</v>
      </c>
      <c r="M229" s="21" t="n">
        <f aca="false">MIN(G$16,ROUND(G229*(1+G$15),2))</f>
        <v>0</v>
      </c>
      <c r="N229" s="21" t="n">
        <f aca="false">B$20-SUM(H229:M229)</f>
        <v>1170</v>
      </c>
      <c r="O229" s="21" t="n">
        <f aca="false">MIN(ROUND(B229*(1+B$15),2),H229+MAX(0,N229))</f>
        <v>0</v>
      </c>
      <c r="P229" s="21" t="n">
        <f aca="false">MIN(ROUND(C229*(1+C$15),2),I229+MAX(0,N229-O229+H229))</f>
        <v>0</v>
      </c>
      <c r="Q229" s="21" t="n">
        <f aca="false">MIN(ROUND(D229*(1+D$15),2),J229+MAX(0,N229-O229+H229-P229+I229))</f>
        <v>0</v>
      </c>
      <c r="R229" s="21" t="n">
        <f aca="false">MIN(ROUND(E229*(1+E$15),2),K229+MAX(0,N229-O229+H229-P229+I229-Q229+J229))</f>
        <v>0</v>
      </c>
      <c r="S229" s="21" t="n">
        <f aca="false">MIN(ROUND(F229*(1+F$15),2),L229+MAX(0,N229-O229+H229-P229+I229-Q229+J229-R229+K229))</f>
        <v>0</v>
      </c>
      <c r="T229" s="21" t="n">
        <f aca="false">MIN(ROUND(G229*(1+G$15),2),M229+MAX(0,N229-O229+H229-P229+I229-Q229+J229-R229+K229-S229+L229))</f>
        <v>0</v>
      </c>
      <c r="U229" s="21" t="n">
        <f aca="false">SUM(B229:G229)</f>
        <v>0</v>
      </c>
      <c r="V229" s="21" t="n">
        <f aca="false">SUM(O229:T229)</f>
        <v>0</v>
      </c>
      <c r="X229" s="25" t="n">
        <f aca="false">X228+1</f>
        <v>203</v>
      </c>
      <c r="Y229" s="21" t="n">
        <f aca="false">MAX(0,ROUND(Y228*(1+Y$15),2)-AL228)</f>
        <v>0</v>
      </c>
      <c r="Z229" s="21" t="n">
        <f aca="false">MAX(0,ROUND(Z228*(1+Z$15),2)-AM228)</f>
        <v>0</v>
      </c>
      <c r="AA229" s="21" t="n">
        <f aca="false">MAX(0,ROUND(AA228*(1+AA$15),2)-AN228)</f>
        <v>0</v>
      </c>
      <c r="AB229" s="21" t="n">
        <f aca="false">MAX(0,ROUND(AB228*(1+AB$15),2)-AO228)</f>
        <v>0</v>
      </c>
      <c r="AC229" s="21" t="n">
        <f aca="false">MAX(0,ROUND(AC228*(1+AC$15),2)-AP228)</f>
        <v>0</v>
      </c>
      <c r="AD229" s="21" t="n">
        <f aca="false">MAX(0,ROUND(AD228*(1+AD$15),2)-AQ228)</f>
        <v>0</v>
      </c>
      <c r="AE229" s="21" t="n">
        <f aca="false">MIN(Y$16,ROUND(Y229*(1+Y$15),2))</f>
        <v>0</v>
      </c>
      <c r="AF229" s="21" t="n">
        <f aca="false">MIN(Z$16,ROUND(Z229*(1+Z$15),2))</f>
        <v>0</v>
      </c>
      <c r="AG229" s="21" t="n">
        <f aca="false">MIN(AA$16,ROUND(AA229*(1+AA$15),2))</f>
        <v>0</v>
      </c>
      <c r="AH229" s="21" t="n">
        <f aca="false">MIN(AB$16,ROUND(AB229*(1+AB$15),2))</f>
        <v>0</v>
      </c>
      <c r="AI229" s="21" t="n">
        <f aca="false">MIN(AC$16,ROUND(AC229*(1+AC$15),2))</f>
        <v>0</v>
      </c>
      <c r="AJ229" s="21" t="n">
        <f aca="false">MIN(AD$16,ROUND(AD229*(1+AD$15),2))</f>
        <v>0</v>
      </c>
      <c r="AK229" s="21" t="n">
        <f aca="false">Y$20-SUM(AE229:AJ229)</f>
        <v>1170</v>
      </c>
      <c r="AL229" s="21" t="n">
        <f aca="false">MIN(ROUND(Y229*(1+Y$15),2),AE229+MAX(0,AK229))</f>
        <v>0</v>
      </c>
      <c r="AM229" s="21" t="n">
        <f aca="false">MIN(ROUND(Z229*(1+Z$15),2),AF229+MAX(0,AK229-AL229+AE229))</f>
        <v>0</v>
      </c>
      <c r="AN229" s="21" t="n">
        <f aca="false">MIN(ROUND(AA229*(1+AA$15),2),AG229+MAX(0,AK229-AL229+AE229-AM229+AF229))</f>
        <v>0</v>
      </c>
      <c r="AO229" s="21" t="n">
        <f aca="false">MIN(ROUND(AB229*(1+AB$15),2),AH229+MAX(0,AK229-AL229+AE229-AM229+AF229-AN229+AG229))</f>
        <v>0</v>
      </c>
      <c r="AP229" s="21" t="n">
        <f aca="false">MIN(ROUND(AC229*(1+AC$15),2),AI229+MAX(0,AK229-AL229+AE229-AM229+AF229-AN229+AG229-AO229+AH229))</f>
        <v>0</v>
      </c>
      <c r="AQ229" s="21" t="n">
        <f aca="false">MIN(ROUND(AD229*(1+AD$15),2),AJ229+MAX(0,AK229-AL229+AE229-AM229+AF229-AN229+AG229-AO229+AH229-AP229+AI229))</f>
        <v>0</v>
      </c>
      <c r="AR229" s="21" t="n">
        <f aca="false">SUM(Y229:AD229)</f>
        <v>0</v>
      </c>
      <c r="AS229" s="21" t="n">
        <f aca="false">SUM(AL229:AQ229)</f>
        <v>0</v>
      </c>
    </row>
    <row r="230" customFormat="false" ht="15" hidden="false" customHeight="false" outlineLevel="0" collapsed="false">
      <c r="A230" s="25" t="n">
        <f aca="false">A229+1</f>
        <v>204</v>
      </c>
      <c r="B230" s="21" t="n">
        <f aca="false">MAX(0,ROUND(B229*(1+B$15),2)-O229)</f>
        <v>0</v>
      </c>
      <c r="C230" s="21" t="n">
        <f aca="false">MAX(0,ROUND(C229*(1+C$15),2)-P229)</f>
        <v>0</v>
      </c>
      <c r="D230" s="21" t="n">
        <f aca="false">MAX(0,ROUND(D229*(1+D$15),2)-Q229)</f>
        <v>0</v>
      </c>
      <c r="E230" s="21" t="n">
        <f aca="false">MAX(0,ROUND(E229*(1+E$15),2)-R229)</f>
        <v>0</v>
      </c>
      <c r="F230" s="21" t="n">
        <f aca="false">MAX(0,ROUND(F229*(1+F$15),2)-S229)</f>
        <v>0</v>
      </c>
      <c r="G230" s="21" t="n">
        <f aca="false">MAX(0,ROUND(G229*(1+G$15),2)-T229)</f>
        <v>0</v>
      </c>
      <c r="H230" s="21" t="n">
        <f aca="false">MIN(B$16,ROUND(B230*(1+B$15),2))</f>
        <v>0</v>
      </c>
      <c r="I230" s="21" t="n">
        <f aca="false">MIN(C$16,ROUND(C230*(1+C$15),2))</f>
        <v>0</v>
      </c>
      <c r="J230" s="21" t="n">
        <f aca="false">MIN(D$16,ROUND(D230*(1+D$15),2))</f>
        <v>0</v>
      </c>
      <c r="K230" s="21" t="n">
        <f aca="false">MIN(E$16,ROUND(E230*(1+E$15),2))</f>
        <v>0</v>
      </c>
      <c r="L230" s="21" t="n">
        <f aca="false">MIN(F$16,ROUND(F230*(1+F$15),2))</f>
        <v>0</v>
      </c>
      <c r="M230" s="21" t="n">
        <f aca="false">MIN(G$16,ROUND(G230*(1+G$15),2))</f>
        <v>0</v>
      </c>
      <c r="N230" s="21" t="n">
        <f aca="false">B$20-SUM(H230:M230)</f>
        <v>1170</v>
      </c>
      <c r="O230" s="21" t="n">
        <f aca="false">MIN(ROUND(B230*(1+B$15),2),H230+MAX(0,N230))</f>
        <v>0</v>
      </c>
      <c r="P230" s="21" t="n">
        <f aca="false">MIN(ROUND(C230*(1+C$15),2),I230+MAX(0,N230-O230+H230))</f>
        <v>0</v>
      </c>
      <c r="Q230" s="21" t="n">
        <f aca="false">MIN(ROUND(D230*(1+D$15),2),J230+MAX(0,N230-O230+H230-P230+I230))</f>
        <v>0</v>
      </c>
      <c r="R230" s="21" t="n">
        <f aca="false">MIN(ROUND(E230*(1+E$15),2),K230+MAX(0,N230-O230+H230-P230+I230-Q230+J230))</f>
        <v>0</v>
      </c>
      <c r="S230" s="21" t="n">
        <f aca="false">MIN(ROUND(F230*(1+F$15),2),L230+MAX(0,N230-O230+H230-P230+I230-Q230+J230-R230+K230))</f>
        <v>0</v>
      </c>
      <c r="T230" s="21" t="n">
        <f aca="false">MIN(ROUND(G230*(1+G$15),2),M230+MAX(0,N230-O230+H230-P230+I230-Q230+J230-R230+K230-S230+L230))</f>
        <v>0</v>
      </c>
      <c r="U230" s="21" t="n">
        <f aca="false">SUM(B230:G230)</f>
        <v>0</v>
      </c>
      <c r="V230" s="21" t="n">
        <f aca="false">SUM(O230:T230)</f>
        <v>0</v>
      </c>
      <c r="X230" s="25" t="n">
        <f aca="false">X229+1</f>
        <v>204</v>
      </c>
      <c r="Y230" s="21" t="n">
        <f aca="false">MAX(0,ROUND(Y229*(1+Y$15),2)-AL229)</f>
        <v>0</v>
      </c>
      <c r="Z230" s="21" t="n">
        <f aca="false">MAX(0,ROUND(Z229*(1+Z$15),2)-AM229)</f>
        <v>0</v>
      </c>
      <c r="AA230" s="21" t="n">
        <f aca="false">MAX(0,ROUND(AA229*(1+AA$15),2)-AN229)</f>
        <v>0</v>
      </c>
      <c r="AB230" s="21" t="n">
        <f aca="false">MAX(0,ROUND(AB229*(1+AB$15),2)-AO229)</f>
        <v>0</v>
      </c>
      <c r="AC230" s="21" t="n">
        <f aca="false">MAX(0,ROUND(AC229*(1+AC$15),2)-AP229)</f>
        <v>0</v>
      </c>
      <c r="AD230" s="21" t="n">
        <f aca="false">MAX(0,ROUND(AD229*(1+AD$15),2)-AQ229)</f>
        <v>0</v>
      </c>
      <c r="AE230" s="21" t="n">
        <f aca="false">MIN(Y$16,ROUND(Y230*(1+Y$15),2))</f>
        <v>0</v>
      </c>
      <c r="AF230" s="21" t="n">
        <f aca="false">MIN(Z$16,ROUND(Z230*(1+Z$15),2))</f>
        <v>0</v>
      </c>
      <c r="AG230" s="21" t="n">
        <f aca="false">MIN(AA$16,ROUND(AA230*(1+AA$15),2))</f>
        <v>0</v>
      </c>
      <c r="AH230" s="21" t="n">
        <f aca="false">MIN(AB$16,ROUND(AB230*(1+AB$15),2))</f>
        <v>0</v>
      </c>
      <c r="AI230" s="21" t="n">
        <f aca="false">MIN(AC$16,ROUND(AC230*(1+AC$15),2))</f>
        <v>0</v>
      </c>
      <c r="AJ230" s="21" t="n">
        <f aca="false">MIN(AD$16,ROUND(AD230*(1+AD$15),2))</f>
        <v>0</v>
      </c>
      <c r="AK230" s="21" t="n">
        <f aca="false">Y$20-SUM(AE230:AJ230)</f>
        <v>1170</v>
      </c>
      <c r="AL230" s="21" t="n">
        <f aca="false">MIN(ROUND(Y230*(1+Y$15),2),AE230+MAX(0,AK230))</f>
        <v>0</v>
      </c>
      <c r="AM230" s="21" t="n">
        <f aca="false">MIN(ROUND(Z230*(1+Z$15),2),AF230+MAX(0,AK230-AL230+AE230))</f>
        <v>0</v>
      </c>
      <c r="AN230" s="21" t="n">
        <f aca="false">MIN(ROUND(AA230*(1+AA$15),2),AG230+MAX(0,AK230-AL230+AE230-AM230+AF230))</f>
        <v>0</v>
      </c>
      <c r="AO230" s="21" t="n">
        <f aca="false">MIN(ROUND(AB230*(1+AB$15),2),AH230+MAX(0,AK230-AL230+AE230-AM230+AF230-AN230+AG230))</f>
        <v>0</v>
      </c>
      <c r="AP230" s="21" t="n">
        <f aca="false">MIN(ROUND(AC230*(1+AC$15),2),AI230+MAX(0,AK230-AL230+AE230-AM230+AF230-AN230+AG230-AO230+AH230))</f>
        <v>0</v>
      </c>
      <c r="AQ230" s="21" t="n">
        <f aca="false">MIN(ROUND(AD230*(1+AD$15),2),AJ230+MAX(0,AK230-AL230+AE230-AM230+AF230-AN230+AG230-AO230+AH230-AP230+AI230))</f>
        <v>0</v>
      </c>
      <c r="AR230" s="21" t="n">
        <f aca="false">SUM(Y230:AD230)</f>
        <v>0</v>
      </c>
      <c r="AS230" s="21" t="n">
        <f aca="false">SUM(AL230:AQ230)</f>
        <v>0</v>
      </c>
    </row>
    <row r="231" customFormat="false" ht="15" hidden="false" customHeight="false" outlineLevel="0" collapsed="false">
      <c r="A231" s="25" t="n">
        <f aca="false">A230+1</f>
        <v>205</v>
      </c>
      <c r="B231" s="21" t="n">
        <f aca="false">MAX(0,ROUND(B230*(1+B$15),2)-O230)</f>
        <v>0</v>
      </c>
      <c r="C231" s="21" t="n">
        <f aca="false">MAX(0,ROUND(C230*(1+C$15),2)-P230)</f>
        <v>0</v>
      </c>
      <c r="D231" s="21" t="n">
        <f aca="false">MAX(0,ROUND(D230*(1+D$15),2)-Q230)</f>
        <v>0</v>
      </c>
      <c r="E231" s="21" t="n">
        <f aca="false">MAX(0,ROUND(E230*(1+E$15),2)-R230)</f>
        <v>0</v>
      </c>
      <c r="F231" s="21" t="n">
        <f aca="false">MAX(0,ROUND(F230*(1+F$15),2)-S230)</f>
        <v>0</v>
      </c>
      <c r="G231" s="21" t="n">
        <f aca="false">MAX(0,ROUND(G230*(1+G$15),2)-T230)</f>
        <v>0</v>
      </c>
      <c r="H231" s="21" t="n">
        <f aca="false">MIN(B$16,ROUND(B231*(1+B$15),2))</f>
        <v>0</v>
      </c>
      <c r="I231" s="21" t="n">
        <f aca="false">MIN(C$16,ROUND(C231*(1+C$15),2))</f>
        <v>0</v>
      </c>
      <c r="J231" s="21" t="n">
        <f aca="false">MIN(D$16,ROUND(D231*(1+D$15),2))</f>
        <v>0</v>
      </c>
      <c r="K231" s="21" t="n">
        <f aca="false">MIN(E$16,ROUND(E231*(1+E$15),2))</f>
        <v>0</v>
      </c>
      <c r="L231" s="21" t="n">
        <f aca="false">MIN(F$16,ROUND(F231*(1+F$15),2))</f>
        <v>0</v>
      </c>
      <c r="M231" s="21" t="n">
        <f aca="false">MIN(G$16,ROUND(G231*(1+G$15),2))</f>
        <v>0</v>
      </c>
      <c r="N231" s="21" t="n">
        <f aca="false">B$20-SUM(H231:M231)</f>
        <v>1170</v>
      </c>
      <c r="O231" s="21" t="n">
        <f aca="false">MIN(ROUND(B231*(1+B$15),2),H231+MAX(0,N231))</f>
        <v>0</v>
      </c>
      <c r="P231" s="21" t="n">
        <f aca="false">MIN(ROUND(C231*(1+C$15),2),I231+MAX(0,N231-O231+H231))</f>
        <v>0</v>
      </c>
      <c r="Q231" s="21" t="n">
        <f aca="false">MIN(ROUND(D231*(1+D$15),2),J231+MAX(0,N231-O231+H231-P231+I231))</f>
        <v>0</v>
      </c>
      <c r="R231" s="21" t="n">
        <f aca="false">MIN(ROUND(E231*(1+E$15),2),K231+MAX(0,N231-O231+H231-P231+I231-Q231+J231))</f>
        <v>0</v>
      </c>
      <c r="S231" s="21" t="n">
        <f aca="false">MIN(ROUND(F231*(1+F$15),2),L231+MAX(0,N231-O231+H231-P231+I231-Q231+J231-R231+K231))</f>
        <v>0</v>
      </c>
      <c r="T231" s="21" t="n">
        <f aca="false">MIN(ROUND(G231*(1+G$15),2),M231+MAX(0,N231-O231+H231-P231+I231-Q231+J231-R231+K231-S231+L231))</f>
        <v>0</v>
      </c>
      <c r="U231" s="21" t="n">
        <f aca="false">SUM(B231:G231)</f>
        <v>0</v>
      </c>
      <c r="V231" s="21" t="n">
        <f aca="false">SUM(O231:T231)</f>
        <v>0</v>
      </c>
      <c r="X231" s="25" t="n">
        <f aca="false">X230+1</f>
        <v>205</v>
      </c>
      <c r="Y231" s="21" t="n">
        <f aca="false">MAX(0,ROUND(Y230*(1+Y$15),2)-AL230)</f>
        <v>0</v>
      </c>
      <c r="Z231" s="21" t="n">
        <f aca="false">MAX(0,ROUND(Z230*(1+Z$15),2)-AM230)</f>
        <v>0</v>
      </c>
      <c r="AA231" s="21" t="n">
        <f aca="false">MAX(0,ROUND(AA230*(1+AA$15),2)-AN230)</f>
        <v>0</v>
      </c>
      <c r="AB231" s="21" t="n">
        <f aca="false">MAX(0,ROUND(AB230*(1+AB$15),2)-AO230)</f>
        <v>0</v>
      </c>
      <c r="AC231" s="21" t="n">
        <f aca="false">MAX(0,ROUND(AC230*(1+AC$15),2)-AP230)</f>
        <v>0</v>
      </c>
      <c r="AD231" s="21" t="n">
        <f aca="false">MAX(0,ROUND(AD230*(1+AD$15),2)-AQ230)</f>
        <v>0</v>
      </c>
      <c r="AE231" s="21" t="n">
        <f aca="false">MIN(Y$16,ROUND(Y231*(1+Y$15),2))</f>
        <v>0</v>
      </c>
      <c r="AF231" s="21" t="n">
        <f aca="false">MIN(Z$16,ROUND(Z231*(1+Z$15),2))</f>
        <v>0</v>
      </c>
      <c r="AG231" s="21" t="n">
        <f aca="false">MIN(AA$16,ROUND(AA231*(1+AA$15),2))</f>
        <v>0</v>
      </c>
      <c r="AH231" s="21" t="n">
        <f aca="false">MIN(AB$16,ROUND(AB231*(1+AB$15),2))</f>
        <v>0</v>
      </c>
      <c r="AI231" s="21" t="n">
        <f aca="false">MIN(AC$16,ROUND(AC231*(1+AC$15),2))</f>
        <v>0</v>
      </c>
      <c r="AJ231" s="21" t="n">
        <f aca="false">MIN(AD$16,ROUND(AD231*(1+AD$15),2))</f>
        <v>0</v>
      </c>
      <c r="AK231" s="21" t="n">
        <f aca="false">Y$20-SUM(AE231:AJ231)</f>
        <v>1170</v>
      </c>
      <c r="AL231" s="21" t="n">
        <f aca="false">MIN(ROUND(Y231*(1+Y$15),2),AE231+MAX(0,AK231))</f>
        <v>0</v>
      </c>
      <c r="AM231" s="21" t="n">
        <f aca="false">MIN(ROUND(Z231*(1+Z$15),2),AF231+MAX(0,AK231-AL231+AE231))</f>
        <v>0</v>
      </c>
      <c r="AN231" s="21" t="n">
        <f aca="false">MIN(ROUND(AA231*(1+AA$15),2),AG231+MAX(0,AK231-AL231+AE231-AM231+AF231))</f>
        <v>0</v>
      </c>
      <c r="AO231" s="21" t="n">
        <f aca="false">MIN(ROUND(AB231*(1+AB$15),2),AH231+MAX(0,AK231-AL231+AE231-AM231+AF231-AN231+AG231))</f>
        <v>0</v>
      </c>
      <c r="AP231" s="21" t="n">
        <f aca="false">MIN(ROUND(AC231*(1+AC$15),2),AI231+MAX(0,AK231-AL231+AE231-AM231+AF231-AN231+AG231-AO231+AH231))</f>
        <v>0</v>
      </c>
      <c r="AQ231" s="21" t="n">
        <f aca="false">MIN(ROUND(AD231*(1+AD$15),2),AJ231+MAX(0,AK231-AL231+AE231-AM231+AF231-AN231+AG231-AO231+AH231-AP231+AI231))</f>
        <v>0</v>
      </c>
      <c r="AR231" s="21" t="n">
        <f aca="false">SUM(Y231:AD231)</f>
        <v>0</v>
      </c>
      <c r="AS231" s="21" t="n">
        <f aca="false">SUM(AL231:AQ231)</f>
        <v>0</v>
      </c>
    </row>
    <row r="232" customFormat="false" ht="15" hidden="false" customHeight="false" outlineLevel="0" collapsed="false">
      <c r="A232" s="25" t="n">
        <f aca="false">A231+1</f>
        <v>206</v>
      </c>
      <c r="B232" s="21" t="n">
        <f aca="false">MAX(0,ROUND(B231*(1+B$15),2)-O231)</f>
        <v>0</v>
      </c>
      <c r="C232" s="21" t="n">
        <f aca="false">MAX(0,ROUND(C231*(1+C$15),2)-P231)</f>
        <v>0</v>
      </c>
      <c r="D232" s="21" t="n">
        <f aca="false">MAX(0,ROUND(D231*(1+D$15),2)-Q231)</f>
        <v>0</v>
      </c>
      <c r="E232" s="21" t="n">
        <f aca="false">MAX(0,ROUND(E231*(1+E$15),2)-R231)</f>
        <v>0</v>
      </c>
      <c r="F232" s="21" t="n">
        <f aca="false">MAX(0,ROUND(F231*(1+F$15),2)-S231)</f>
        <v>0</v>
      </c>
      <c r="G232" s="21" t="n">
        <f aca="false">MAX(0,ROUND(G231*(1+G$15),2)-T231)</f>
        <v>0</v>
      </c>
      <c r="H232" s="21" t="n">
        <f aca="false">MIN(B$16,ROUND(B232*(1+B$15),2))</f>
        <v>0</v>
      </c>
      <c r="I232" s="21" t="n">
        <f aca="false">MIN(C$16,ROUND(C232*(1+C$15),2))</f>
        <v>0</v>
      </c>
      <c r="J232" s="21" t="n">
        <f aca="false">MIN(D$16,ROUND(D232*(1+D$15),2))</f>
        <v>0</v>
      </c>
      <c r="K232" s="21" t="n">
        <f aca="false">MIN(E$16,ROUND(E232*(1+E$15),2))</f>
        <v>0</v>
      </c>
      <c r="L232" s="21" t="n">
        <f aca="false">MIN(F$16,ROUND(F232*(1+F$15),2))</f>
        <v>0</v>
      </c>
      <c r="M232" s="21" t="n">
        <f aca="false">MIN(G$16,ROUND(G232*(1+G$15),2))</f>
        <v>0</v>
      </c>
      <c r="N232" s="21" t="n">
        <f aca="false">B$20-SUM(H232:M232)</f>
        <v>1170</v>
      </c>
      <c r="O232" s="21" t="n">
        <f aca="false">MIN(ROUND(B232*(1+B$15),2),H232+MAX(0,N232))</f>
        <v>0</v>
      </c>
      <c r="P232" s="21" t="n">
        <f aca="false">MIN(ROUND(C232*(1+C$15),2),I232+MAX(0,N232-O232+H232))</f>
        <v>0</v>
      </c>
      <c r="Q232" s="21" t="n">
        <f aca="false">MIN(ROUND(D232*(1+D$15),2),J232+MAX(0,N232-O232+H232-P232+I232))</f>
        <v>0</v>
      </c>
      <c r="R232" s="21" t="n">
        <f aca="false">MIN(ROUND(E232*(1+E$15),2),K232+MAX(0,N232-O232+H232-P232+I232-Q232+J232))</f>
        <v>0</v>
      </c>
      <c r="S232" s="21" t="n">
        <f aca="false">MIN(ROUND(F232*(1+F$15),2),L232+MAX(0,N232-O232+H232-P232+I232-Q232+J232-R232+K232))</f>
        <v>0</v>
      </c>
      <c r="T232" s="21" t="n">
        <f aca="false">MIN(ROUND(G232*(1+G$15),2),M232+MAX(0,N232-O232+H232-P232+I232-Q232+J232-R232+K232-S232+L232))</f>
        <v>0</v>
      </c>
      <c r="U232" s="21" t="n">
        <f aca="false">SUM(B232:G232)</f>
        <v>0</v>
      </c>
      <c r="V232" s="21" t="n">
        <f aca="false">SUM(O232:T232)</f>
        <v>0</v>
      </c>
      <c r="X232" s="25" t="n">
        <f aca="false">X231+1</f>
        <v>206</v>
      </c>
      <c r="Y232" s="21" t="n">
        <f aca="false">MAX(0,ROUND(Y231*(1+Y$15),2)-AL231)</f>
        <v>0</v>
      </c>
      <c r="Z232" s="21" t="n">
        <f aca="false">MAX(0,ROUND(Z231*(1+Z$15),2)-AM231)</f>
        <v>0</v>
      </c>
      <c r="AA232" s="21" t="n">
        <f aca="false">MAX(0,ROUND(AA231*(1+AA$15),2)-AN231)</f>
        <v>0</v>
      </c>
      <c r="AB232" s="21" t="n">
        <f aca="false">MAX(0,ROUND(AB231*(1+AB$15),2)-AO231)</f>
        <v>0</v>
      </c>
      <c r="AC232" s="21" t="n">
        <f aca="false">MAX(0,ROUND(AC231*(1+AC$15),2)-AP231)</f>
        <v>0</v>
      </c>
      <c r="AD232" s="21" t="n">
        <f aca="false">MAX(0,ROUND(AD231*(1+AD$15),2)-AQ231)</f>
        <v>0</v>
      </c>
      <c r="AE232" s="21" t="n">
        <f aca="false">MIN(Y$16,ROUND(Y232*(1+Y$15),2))</f>
        <v>0</v>
      </c>
      <c r="AF232" s="21" t="n">
        <f aca="false">MIN(Z$16,ROUND(Z232*(1+Z$15),2))</f>
        <v>0</v>
      </c>
      <c r="AG232" s="21" t="n">
        <f aca="false">MIN(AA$16,ROUND(AA232*(1+AA$15),2))</f>
        <v>0</v>
      </c>
      <c r="AH232" s="21" t="n">
        <f aca="false">MIN(AB$16,ROUND(AB232*(1+AB$15),2))</f>
        <v>0</v>
      </c>
      <c r="AI232" s="21" t="n">
        <f aca="false">MIN(AC$16,ROUND(AC232*(1+AC$15),2))</f>
        <v>0</v>
      </c>
      <c r="AJ232" s="21" t="n">
        <f aca="false">MIN(AD$16,ROUND(AD232*(1+AD$15),2))</f>
        <v>0</v>
      </c>
      <c r="AK232" s="21" t="n">
        <f aca="false">Y$20-SUM(AE232:AJ232)</f>
        <v>1170</v>
      </c>
      <c r="AL232" s="21" t="n">
        <f aca="false">MIN(ROUND(Y232*(1+Y$15),2),AE232+MAX(0,AK232))</f>
        <v>0</v>
      </c>
      <c r="AM232" s="21" t="n">
        <f aca="false">MIN(ROUND(Z232*(1+Z$15),2),AF232+MAX(0,AK232-AL232+AE232))</f>
        <v>0</v>
      </c>
      <c r="AN232" s="21" t="n">
        <f aca="false">MIN(ROUND(AA232*(1+AA$15),2),AG232+MAX(0,AK232-AL232+AE232-AM232+AF232))</f>
        <v>0</v>
      </c>
      <c r="AO232" s="21" t="n">
        <f aca="false">MIN(ROUND(AB232*(1+AB$15),2),AH232+MAX(0,AK232-AL232+AE232-AM232+AF232-AN232+AG232))</f>
        <v>0</v>
      </c>
      <c r="AP232" s="21" t="n">
        <f aca="false">MIN(ROUND(AC232*(1+AC$15),2),AI232+MAX(0,AK232-AL232+AE232-AM232+AF232-AN232+AG232-AO232+AH232))</f>
        <v>0</v>
      </c>
      <c r="AQ232" s="21" t="n">
        <f aca="false">MIN(ROUND(AD232*(1+AD$15),2),AJ232+MAX(0,AK232-AL232+AE232-AM232+AF232-AN232+AG232-AO232+AH232-AP232+AI232))</f>
        <v>0</v>
      </c>
      <c r="AR232" s="21" t="n">
        <f aca="false">SUM(Y232:AD232)</f>
        <v>0</v>
      </c>
      <c r="AS232" s="21" t="n">
        <f aca="false">SUM(AL232:AQ232)</f>
        <v>0</v>
      </c>
    </row>
    <row r="233" customFormat="false" ht="15" hidden="false" customHeight="false" outlineLevel="0" collapsed="false">
      <c r="A233" s="25" t="n">
        <f aca="false">A232+1</f>
        <v>207</v>
      </c>
      <c r="B233" s="21" t="n">
        <f aca="false">MAX(0,ROUND(B232*(1+B$15),2)-O232)</f>
        <v>0</v>
      </c>
      <c r="C233" s="21" t="n">
        <f aca="false">MAX(0,ROUND(C232*(1+C$15),2)-P232)</f>
        <v>0</v>
      </c>
      <c r="D233" s="21" t="n">
        <f aca="false">MAX(0,ROUND(D232*(1+D$15),2)-Q232)</f>
        <v>0</v>
      </c>
      <c r="E233" s="21" t="n">
        <f aca="false">MAX(0,ROUND(E232*(1+E$15),2)-R232)</f>
        <v>0</v>
      </c>
      <c r="F233" s="21" t="n">
        <f aca="false">MAX(0,ROUND(F232*(1+F$15),2)-S232)</f>
        <v>0</v>
      </c>
      <c r="G233" s="21" t="n">
        <f aca="false">MAX(0,ROUND(G232*(1+G$15),2)-T232)</f>
        <v>0</v>
      </c>
      <c r="H233" s="21" t="n">
        <f aca="false">MIN(B$16,ROUND(B233*(1+B$15),2))</f>
        <v>0</v>
      </c>
      <c r="I233" s="21" t="n">
        <f aca="false">MIN(C$16,ROUND(C233*(1+C$15),2))</f>
        <v>0</v>
      </c>
      <c r="J233" s="21" t="n">
        <f aca="false">MIN(D$16,ROUND(D233*(1+D$15),2))</f>
        <v>0</v>
      </c>
      <c r="K233" s="21" t="n">
        <f aca="false">MIN(E$16,ROUND(E233*(1+E$15),2))</f>
        <v>0</v>
      </c>
      <c r="L233" s="21" t="n">
        <f aca="false">MIN(F$16,ROUND(F233*(1+F$15),2))</f>
        <v>0</v>
      </c>
      <c r="M233" s="21" t="n">
        <f aca="false">MIN(G$16,ROUND(G233*(1+G$15),2))</f>
        <v>0</v>
      </c>
      <c r="N233" s="21" t="n">
        <f aca="false">B$20-SUM(H233:M233)</f>
        <v>1170</v>
      </c>
      <c r="O233" s="21" t="n">
        <f aca="false">MIN(ROUND(B233*(1+B$15),2),H233+MAX(0,N233))</f>
        <v>0</v>
      </c>
      <c r="P233" s="21" t="n">
        <f aca="false">MIN(ROUND(C233*(1+C$15),2),I233+MAX(0,N233-O233+H233))</f>
        <v>0</v>
      </c>
      <c r="Q233" s="21" t="n">
        <f aca="false">MIN(ROUND(D233*(1+D$15),2),J233+MAX(0,N233-O233+H233-P233+I233))</f>
        <v>0</v>
      </c>
      <c r="R233" s="21" t="n">
        <f aca="false">MIN(ROUND(E233*(1+E$15),2),K233+MAX(0,N233-O233+H233-P233+I233-Q233+J233))</f>
        <v>0</v>
      </c>
      <c r="S233" s="21" t="n">
        <f aca="false">MIN(ROUND(F233*(1+F$15),2),L233+MAX(0,N233-O233+H233-P233+I233-Q233+J233-R233+K233))</f>
        <v>0</v>
      </c>
      <c r="T233" s="21" t="n">
        <f aca="false">MIN(ROUND(G233*(1+G$15),2),M233+MAX(0,N233-O233+H233-P233+I233-Q233+J233-R233+K233-S233+L233))</f>
        <v>0</v>
      </c>
      <c r="U233" s="21" t="n">
        <f aca="false">SUM(B233:G233)</f>
        <v>0</v>
      </c>
      <c r="V233" s="21" t="n">
        <f aca="false">SUM(O233:T233)</f>
        <v>0</v>
      </c>
      <c r="X233" s="25" t="n">
        <f aca="false">X232+1</f>
        <v>207</v>
      </c>
      <c r="Y233" s="21" t="n">
        <f aca="false">MAX(0,ROUND(Y232*(1+Y$15),2)-AL232)</f>
        <v>0</v>
      </c>
      <c r="Z233" s="21" t="n">
        <f aca="false">MAX(0,ROUND(Z232*(1+Z$15),2)-AM232)</f>
        <v>0</v>
      </c>
      <c r="AA233" s="21" t="n">
        <f aca="false">MAX(0,ROUND(AA232*(1+AA$15),2)-AN232)</f>
        <v>0</v>
      </c>
      <c r="AB233" s="21" t="n">
        <f aca="false">MAX(0,ROUND(AB232*(1+AB$15),2)-AO232)</f>
        <v>0</v>
      </c>
      <c r="AC233" s="21" t="n">
        <f aca="false">MAX(0,ROUND(AC232*(1+AC$15),2)-AP232)</f>
        <v>0</v>
      </c>
      <c r="AD233" s="21" t="n">
        <f aca="false">MAX(0,ROUND(AD232*(1+AD$15),2)-AQ232)</f>
        <v>0</v>
      </c>
      <c r="AE233" s="21" t="n">
        <f aca="false">MIN(Y$16,ROUND(Y233*(1+Y$15),2))</f>
        <v>0</v>
      </c>
      <c r="AF233" s="21" t="n">
        <f aca="false">MIN(Z$16,ROUND(Z233*(1+Z$15),2))</f>
        <v>0</v>
      </c>
      <c r="AG233" s="21" t="n">
        <f aca="false">MIN(AA$16,ROUND(AA233*(1+AA$15),2))</f>
        <v>0</v>
      </c>
      <c r="AH233" s="21" t="n">
        <f aca="false">MIN(AB$16,ROUND(AB233*(1+AB$15),2))</f>
        <v>0</v>
      </c>
      <c r="AI233" s="21" t="n">
        <f aca="false">MIN(AC$16,ROUND(AC233*(1+AC$15),2))</f>
        <v>0</v>
      </c>
      <c r="AJ233" s="21" t="n">
        <f aca="false">MIN(AD$16,ROUND(AD233*(1+AD$15),2))</f>
        <v>0</v>
      </c>
      <c r="AK233" s="21" t="n">
        <f aca="false">Y$20-SUM(AE233:AJ233)</f>
        <v>1170</v>
      </c>
      <c r="AL233" s="21" t="n">
        <f aca="false">MIN(ROUND(Y233*(1+Y$15),2),AE233+MAX(0,AK233))</f>
        <v>0</v>
      </c>
      <c r="AM233" s="21" t="n">
        <f aca="false">MIN(ROUND(Z233*(1+Z$15),2),AF233+MAX(0,AK233-AL233+AE233))</f>
        <v>0</v>
      </c>
      <c r="AN233" s="21" t="n">
        <f aca="false">MIN(ROUND(AA233*(1+AA$15),2),AG233+MAX(0,AK233-AL233+AE233-AM233+AF233))</f>
        <v>0</v>
      </c>
      <c r="AO233" s="21" t="n">
        <f aca="false">MIN(ROUND(AB233*(1+AB$15),2),AH233+MAX(0,AK233-AL233+AE233-AM233+AF233-AN233+AG233))</f>
        <v>0</v>
      </c>
      <c r="AP233" s="21" t="n">
        <f aca="false">MIN(ROUND(AC233*(1+AC$15),2),AI233+MAX(0,AK233-AL233+AE233-AM233+AF233-AN233+AG233-AO233+AH233))</f>
        <v>0</v>
      </c>
      <c r="AQ233" s="21" t="n">
        <f aca="false">MIN(ROUND(AD233*(1+AD$15),2),AJ233+MAX(0,AK233-AL233+AE233-AM233+AF233-AN233+AG233-AO233+AH233-AP233+AI233))</f>
        <v>0</v>
      </c>
      <c r="AR233" s="21" t="n">
        <f aca="false">SUM(Y233:AD233)</f>
        <v>0</v>
      </c>
      <c r="AS233" s="21" t="n">
        <f aca="false">SUM(AL233:AQ233)</f>
        <v>0</v>
      </c>
    </row>
    <row r="234" customFormat="false" ht="15" hidden="false" customHeight="false" outlineLevel="0" collapsed="false">
      <c r="A234" s="25" t="n">
        <f aca="false">A233+1</f>
        <v>208</v>
      </c>
      <c r="B234" s="21" t="n">
        <f aca="false">MAX(0,ROUND(B233*(1+B$15),2)-O233)</f>
        <v>0</v>
      </c>
      <c r="C234" s="21" t="n">
        <f aca="false">MAX(0,ROUND(C233*(1+C$15),2)-P233)</f>
        <v>0</v>
      </c>
      <c r="D234" s="21" t="n">
        <f aca="false">MAX(0,ROUND(D233*(1+D$15),2)-Q233)</f>
        <v>0</v>
      </c>
      <c r="E234" s="21" t="n">
        <f aca="false">MAX(0,ROUND(E233*(1+E$15),2)-R233)</f>
        <v>0</v>
      </c>
      <c r="F234" s="21" t="n">
        <f aca="false">MAX(0,ROUND(F233*(1+F$15),2)-S233)</f>
        <v>0</v>
      </c>
      <c r="G234" s="21" t="n">
        <f aca="false">MAX(0,ROUND(G233*(1+G$15),2)-T233)</f>
        <v>0</v>
      </c>
      <c r="H234" s="21" t="n">
        <f aca="false">MIN(B$16,ROUND(B234*(1+B$15),2))</f>
        <v>0</v>
      </c>
      <c r="I234" s="21" t="n">
        <f aca="false">MIN(C$16,ROUND(C234*(1+C$15),2))</f>
        <v>0</v>
      </c>
      <c r="J234" s="21" t="n">
        <f aca="false">MIN(D$16,ROUND(D234*(1+D$15),2))</f>
        <v>0</v>
      </c>
      <c r="K234" s="21" t="n">
        <f aca="false">MIN(E$16,ROUND(E234*(1+E$15),2))</f>
        <v>0</v>
      </c>
      <c r="L234" s="21" t="n">
        <f aca="false">MIN(F$16,ROUND(F234*(1+F$15),2))</f>
        <v>0</v>
      </c>
      <c r="M234" s="21" t="n">
        <f aca="false">MIN(G$16,ROUND(G234*(1+G$15),2))</f>
        <v>0</v>
      </c>
      <c r="N234" s="21" t="n">
        <f aca="false">B$20-SUM(H234:M234)</f>
        <v>1170</v>
      </c>
      <c r="O234" s="21" t="n">
        <f aca="false">MIN(ROUND(B234*(1+B$15),2),H234+MAX(0,N234))</f>
        <v>0</v>
      </c>
      <c r="P234" s="21" t="n">
        <f aca="false">MIN(ROUND(C234*(1+C$15),2),I234+MAX(0,N234-O234+H234))</f>
        <v>0</v>
      </c>
      <c r="Q234" s="21" t="n">
        <f aca="false">MIN(ROUND(D234*(1+D$15),2),J234+MAX(0,N234-O234+H234-P234+I234))</f>
        <v>0</v>
      </c>
      <c r="R234" s="21" t="n">
        <f aca="false">MIN(ROUND(E234*(1+E$15),2),K234+MAX(0,N234-O234+H234-P234+I234-Q234+J234))</f>
        <v>0</v>
      </c>
      <c r="S234" s="21" t="n">
        <f aca="false">MIN(ROUND(F234*(1+F$15),2),L234+MAX(0,N234-O234+H234-P234+I234-Q234+J234-R234+K234))</f>
        <v>0</v>
      </c>
      <c r="T234" s="21" t="n">
        <f aca="false">MIN(ROUND(G234*(1+G$15),2),M234+MAX(0,N234-O234+H234-P234+I234-Q234+J234-R234+K234-S234+L234))</f>
        <v>0</v>
      </c>
      <c r="U234" s="21" t="n">
        <f aca="false">SUM(B234:G234)</f>
        <v>0</v>
      </c>
      <c r="V234" s="21" t="n">
        <f aca="false">SUM(O234:T234)</f>
        <v>0</v>
      </c>
      <c r="X234" s="25" t="n">
        <f aca="false">X233+1</f>
        <v>208</v>
      </c>
      <c r="Y234" s="21" t="n">
        <f aca="false">MAX(0,ROUND(Y233*(1+Y$15),2)-AL233)</f>
        <v>0</v>
      </c>
      <c r="Z234" s="21" t="n">
        <f aca="false">MAX(0,ROUND(Z233*(1+Z$15),2)-AM233)</f>
        <v>0</v>
      </c>
      <c r="AA234" s="21" t="n">
        <f aca="false">MAX(0,ROUND(AA233*(1+AA$15),2)-AN233)</f>
        <v>0</v>
      </c>
      <c r="AB234" s="21" t="n">
        <f aca="false">MAX(0,ROUND(AB233*(1+AB$15),2)-AO233)</f>
        <v>0</v>
      </c>
      <c r="AC234" s="21" t="n">
        <f aca="false">MAX(0,ROUND(AC233*(1+AC$15),2)-AP233)</f>
        <v>0</v>
      </c>
      <c r="AD234" s="21" t="n">
        <f aca="false">MAX(0,ROUND(AD233*(1+AD$15),2)-AQ233)</f>
        <v>0</v>
      </c>
      <c r="AE234" s="21" t="n">
        <f aca="false">MIN(Y$16,ROUND(Y234*(1+Y$15),2))</f>
        <v>0</v>
      </c>
      <c r="AF234" s="21" t="n">
        <f aca="false">MIN(Z$16,ROUND(Z234*(1+Z$15),2))</f>
        <v>0</v>
      </c>
      <c r="AG234" s="21" t="n">
        <f aca="false">MIN(AA$16,ROUND(AA234*(1+AA$15),2))</f>
        <v>0</v>
      </c>
      <c r="AH234" s="21" t="n">
        <f aca="false">MIN(AB$16,ROUND(AB234*(1+AB$15),2))</f>
        <v>0</v>
      </c>
      <c r="AI234" s="21" t="n">
        <f aca="false">MIN(AC$16,ROUND(AC234*(1+AC$15),2))</f>
        <v>0</v>
      </c>
      <c r="AJ234" s="21" t="n">
        <f aca="false">MIN(AD$16,ROUND(AD234*(1+AD$15),2))</f>
        <v>0</v>
      </c>
      <c r="AK234" s="21" t="n">
        <f aca="false">Y$20-SUM(AE234:AJ234)</f>
        <v>1170</v>
      </c>
      <c r="AL234" s="21" t="n">
        <f aca="false">MIN(ROUND(Y234*(1+Y$15),2),AE234+MAX(0,AK234))</f>
        <v>0</v>
      </c>
      <c r="AM234" s="21" t="n">
        <f aca="false">MIN(ROUND(Z234*(1+Z$15),2),AF234+MAX(0,AK234-AL234+AE234))</f>
        <v>0</v>
      </c>
      <c r="AN234" s="21" t="n">
        <f aca="false">MIN(ROUND(AA234*(1+AA$15),2),AG234+MAX(0,AK234-AL234+AE234-AM234+AF234))</f>
        <v>0</v>
      </c>
      <c r="AO234" s="21" t="n">
        <f aca="false">MIN(ROUND(AB234*(1+AB$15),2),AH234+MAX(0,AK234-AL234+AE234-AM234+AF234-AN234+AG234))</f>
        <v>0</v>
      </c>
      <c r="AP234" s="21" t="n">
        <f aca="false">MIN(ROUND(AC234*(1+AC$15),2),AI234+MAX(0,AK234-AL234+AE234-AM234+AF234-AN234+AG234-AO234+AH234))</f>
        <v>0</v>
      </c>
      <c r="AQ234" s="21" t="n">
        <f aca="false">MIN(ROUND(AD234*(1+AD$15),2),AJ234+MAX(0,AK234-AL234+AE234-AM234+AF234-AN234+AG234-AO234+AH234-AP234+AI234))</f>
        <v>0</v>
      </c>
      <c r="AR234" s="21" t="n">
        <f aca="false">SUM(Y234:AD234)</f>
        <v>0</v>
      </c>
      <c r="AS234" s="21" t="n">
        <f aca="false">SUM(AL234:AQ234)</f>
        <v>0</v>
      </c>
    </row>
    <row r="235" customFormat="false" ht="15" hidden="false" customHeight="false" outlineLevel="0" collapsed="false">
      <c r="A235" s="25" t="n">
        <f aca="false">A234+1</f>
        <v>209</v>
      </c>
      <c r="B235" s="21" t="n">
        <f aca="false">MAX(0,ROUND(B234*(1+B$15),2)-O234)</f>
        <v>0</v>
      </c>
      <c r="C235" s="21" t="n">
        <f aca="false">MAX(0,ROUND(C234*(1+C$15),2)-P234)</f>
        <v>0</v>
      </c>
      <c r="D235" s="21" t="n">
        <f aca="false">MAX(0,ROUND(D234*(1+D$15),2)-Q234)</f>
        <v>0</v>
      </c>
      <c r="E235" s="21" t="n">
        <f aca="false">MAX(0,ROUND(E234*(1+E$15),2)-R234)</f>
        <v>0</v>
      </c>
      <c r="F235" s="21" t="n">
        <f aca="false">MAX(0,ROUND(F234*(1+F$15),2)-S234)</f>
        <v>0</v>
      </c>
      <c r="G235" s="21" t="n">
        <f aca="false">MAX(0,ROUND(G234*(1+G$15),2)-T234)</f>
        <v>0</v>
      </c>
      <c r="H235" s="21" t="n">
        <f aca="false">MIN(B$16,ROUND(B235*(1+B$15),2))</f>
        <v>0</v>
      </c>
      <c r="I235" s="21" t="n">
        <f aca="false">MIN(C$16,ROUND(C235*(1+C$15),2))</f>
        <v>0</v>
      </c>
      <c r="J235" s="21" t="n">
        <f aca="false">MIN(D$16,ROUND(D235*(1+D$15),2))</f>
        <v>0</v>
      </c>
      <c r="K235" s="21" t="n">
        <f aca="false">MIN(E$16,ROUND(E235*(1+E$15),2))</f>
        <v>0</v>
      </c>
      <c r="L235" s="21" t="n">
        <f aca="false">MIN(F$16,ROUND(F235*(1+F$15),2))</f>
        <v>0</v>
      </c>
      <c r="M235" s="21" t="n">
        <f aca="false">MIN(G$16,ROUND(G235*(1+G$15),2))</f>
        <v>0</v>
      </c>
      <c r="N235" s="21" t="n">
        <f aca="false">B$20-SUM(H235:M235)</f>
        <v>1170</v>
      </c>
      <c r="O235" s="21" t="n">
        <f aca="false">MIN(ROUND(B235*(1+B$15),2),H235+MAX(0,N235))</f>
        <v>0</v>
      </c>
      <c r="P235" s="21" t="n">
        <f aca="false">MIN(ROUND(C235*(1+C$15),2),I235+MAX(0,N235-O235+H235))</f>
        <v>0</v>
      </c>
      <c r="Q235" s="21" t="n">
        <f aca="false">MIN(ROUND(D235*(1+D$15),2),J235+MAX(0,N235-O235+H235-P235+I235))</f>
        <v>0</v>
      </c>
      <c r="R235" s="21" t="n">
        <f aca="false">MIN(ROUND(E235*(1+E$15),2),K235+MAX(0,N235-O235+H235-P235+I235-Q235+J235))</f>
        <v>0</v>
      </c>
      <c r="S235" s="21" t="n">
        <f aca="false">MIN(ROUND(F235*(1+F$15),2),L235+MAX(0,N235-O235+H235-P235+I235-Q235+J235-R235+K235))</f>
        <v>0</v>
      </c>
      <c r="T235" s="21" t="n">
        <f aca="false">MIN(ROUND(G235*(1+G$15),2),M235+MAX(0,N235-O235+H235-P235+I235-Q235+J235-R235+K235-S235+L235))</f>
        <v>0</v>
      </c>
      <c r="U235" s="21" t="n">
        <f aca="false">SUM(B235:G235)</f>
        <v>0</v>
      </c>
      <c r="V235" s="21" t="n">
        <f aca="false">SUM(O235:T235)</f>
        <v>0</v>
      </c>
      <c r="X235" s="25" t="n">
        <f aca="false">X234+1</f>
        <v>209</v>
      </c>
      <c r="Y235" s="21" t="n">
        <f aca="false">MAX(0,ROUND(Y234*(1+Y$15),2)-AL234)</f>
        <v>0</v>
      </c>
      <c r="Z235" s="21" t="n">
        <f aca="false">MAX(0,ROUND(Z234*(1+Z$15),2)-AM234)</f>
        <v>0</v>
      </c>
      <c r="AA235" s="21" t="n">
        <f aca="false">MAX(0,ROUND(AA234*(1+AA$15),2)-AN234)</f>
        <v>0</v>
      </c>
      <c r="AB235" s="21" t="n">
        <f aca="false">MAX(0,ROUND(AB234*(1+AB$15),2)-AO234)</f>
        <v>0</v>
      </c>
      <c r="AC235" s="21" t="n">
        <f aca="false">MAX(0,ROUND(AC234*(1+AC$15),2)-AP234)</f>
        <v>0</v>
      </c>
      <c r="AD235" s="21" t="n">
        <f aca="false">MAX(0,ROUND(AD234*(1+AD$15),2)-AQ234)</f>
        <v>0</v>
      </c>
      <c r="AE235" s="21" t="n">
        <f aca="false">MIN(Y$16,ROUND(Y235*(1+Y$15),2))</f>
        <v>0</v>
      </c>
      <c r="AF235" s="21" t="n">
        <f aca="false">MIN(Z$16,ROUND(Z235*(1+Z$15),2))</f>
        <v>0</v>
      </c>
      <c r="AG235" s="21" t="n">
        <f aca="false">MIN(AA$16,ROUND(AA235*(1+AA$15),2))</f>
        <v>0</v>
      </c>
      <c r="AH235" s="21" t="n">
        <f aca="false">MIN(AB$16,ROUND(AB235*(1+AB$15),2))</f>
        <v>0</v>
      </c>
      <c r="AI235" s="21" t="n">
        <f aca="false">MIN(AC$16,ROUND(AC235*(1+AC$15),2))</f>
        <v>0</v>
      </c>
      <c r="AJ235" s="21" t="n">
        <f aca="false">MIN(AD$16,ROUND(AD235*(1+AD$15),2))</f>
        <v>0</v>
      </c>
      <c r="AK235" s="21" t="n">
        <f aca="false">Y$20-SUM(AE235:AJ235)</f>
        <v>1170</v>
      </c>
      <c r="AL235" s="21" t="n">
        <f aca="false">MIN(ROUND(Y235*(1+Y$15),2),AE235+MAX(0,AK235))</f>
        <v>0</v>
      </c>
      <c r="AM235" s="21" t="n">
        <f aca="false">MIN(ROUND(Z235*(1+Z$15),2),AF235+MAX(0,AK235-AL235+AE235))</f>
        <v>0</v>
      </c>
      <c r="AN235" s="21" t="n">
        <f aca="false">MIN(ROUND(AA235*(1+AA$15),2),AG235+MAX(0,AK235-AL235+AE235-AM235+AF235))</f>
        <v>0</v>
      </c>
      <c r="AO235" s="21" t="n">
        <f aca="false">MIN(ROUND(AB235*(1+AB$15),2),AH235+MAX(0,AK235-AL235+AE235-AM235+AF235-AN235+AG235))</f>
        <v>0</v>
      </c>
      <c r="AP235" s="21" t="n">
        <f aca="false">MIN(ROUND(AC235*(1+AC$15),2),AI235+MAX(0,AK235-AL235+AE235-AM235+AF235-AN235+AG235-AO235+AH235))</f>
        <v>0</v>
      </c>
      <c r="AQ235" s="21" t="n">
        <f aca="false">MIN(ROUND(AD235*(1+AD$15),2),AJ235+MAX(0,AK235-AL235+AE235-AM235+AF235-AN235+AG235-AO235+AH235-AP235+AI235))</f>
        <v>0</v>
      </c>
      <c r="AR235" s="21" t="n">
        <f aca="false">SUM(Y235:AD235)</f>
        <v>0</v>
      </c>
      <c r="AS235" s="21" t="n">
        <f aca="false">SUM(AL235:AQ235)</f>
        <v>0</v>
      </c>
    </row>
    <row r="236" customFormat="false" ht="15" hidden="false" customHeight="false" outlineLevel="0" collapsed="false">
      <c r="A236" s="25" t="n">
        <f aca="false">A235+1</f>
        <v>210</v>
      </c>
      <c r="B236" s="21" t="n">
        <f aca="false">MAX(0,ROUND(B235*(1+B$15),2)-O235)</f>
        <v>0</v>
      </c>
      <c r="C236" s="21" t="n">
        <f aca="false">MAX(0,ROUND(C235*(1+C$15),2)-P235)</f>
        <v>0</v>
      </c>
      <c r="D236" s="21" t="n">
        <f aca="false">MAX(0,ROUND(D235*(1+D$15),2)-Q235)</f>
        <v>0</v>
      </c>
      <c r="E236" s="21" t="n">
        <f aca="false">MAX(0,ROUND(E235*(1+E$15),2)-R235)</f>
        <v>0</v>
      </c>
      <c r="F236" s="21" t="n">
        <f aca="false">MAX(0,ROUND(F235*(1+F$15),2)-S235)</f>
        <v>0</v>
      </c>
      <c r="G236" s="21" t="n">
        <f aca="false">MAX(0,ROUND(G235*(1+G$15),2)-T235)</f>
        <v>0</v>
      </c>
      <c r="H236" s="21" t="n">
        <f aca="false">MIN(B$16,ROUND(B236*(1+B$15),2))</f>
        <v>0</v>
      </c>
      <c r="I236" s="21" t="n">
        <f aca="false">MIN(C$16,ROUND(C236*(1+C$15),2))</f>
        <v>0</v>
      </c>
      <c r="J236" s="21" t="n">
        <f aca="false">MIN(D$16,ROUND(D236*(1+D$15),2))</f>
        <v>0</v>
      </c>
      <c r="K236" s="21" t="n">
        <f aca="false">MIN(E$16,ROUND(E236*(1+E$15),2))</f>
        <v>0</v>
      </c>
      <c r="L236" s="21" t="n">
        <f aca="false">MIN(F$16,ROUND(F236*(1+F$15),2))</f>
        <v>0</v>
      </c>
      <c r="M236" s="21" t="n">
        <f aca="false">MIN(G$16,ROUND(G236*(1+G$15),2))</f>
        <v>0</v>
      </c>
      <c r="N236" s="21" t="n">
        <f aca="false">B$20-SUM(H236:M236)</f>
        <v>1170</v>
      </c>
      <c r="O236" s="21" t="n">
        <f aca="false">MIN(ROUND(B236*(1+B$15),2),H236+MAX(0,N236))</f>
        <v>0</v>
      </c>
      <c r="P236" s="21" t="n">
        <f aca="false">MIN(ROUND(C236*(1+C$15),2),I236+MAX(0,N236-O236+H236))</f>
        <v>0</v>
      </c>
      <c r="Q236" s="21" t="n">
        <f aca="false">MIN(ROUND(D236*(1+D$15),2),J236+MAX(0,N236-O236+H236-P236+I236))</f>
        <v>0</v>
      </c>
      <c r="R236" s="21" t="n">
        <f aca="false">MIN(ROUND(E236*(1+E$15),2),K236+MAX(0,N236-O236+H236-P236+I236-Q236+J236))</f>
        <v>0</v>
      </c>
      <c r="S236" s="21" t="n">
        <f aca="false">MIN(ROUND(F236*(1+F$15),2),L236+MAX(0,N236-O236+H236-P236+I236-Q236+J236-R236+K236))</f>
        <v>0</v>
      </c>
      <c r="T236" s="21" t="n">
        <f aca="false">MIN(ROUND(G236*(1+G$15),2),M236+MAX(0,N236-O236+H236-P236+I236-Q236+J236-R236+K236-S236+L236))</f>
        <v>0</v>
      </c>
      <c r="U236" s="21" t="n">
        <f aca="false">SUM(B236:G236)</f>
        <v>0</v>
      </c>
      <c r="V236" s="21" t="n">
        <f aca="false">SUM(O236:T236)</f>
        <v>0</v>
      </c>
      <c r="X236" s="25" t="n">
        <f aca="false">X235+1</f>
        <v>210</v>
      </c>
      <c r="Y236" s="21" t="n">
        <f aca="false">MAX(0,ROUND(Y235*(1+Y$15),2)-AL235)</f>
        <v>0</v>
      </c>
      <c r="Z236" s="21" t="n">
        <f aca="false">MAX(0,ROUND(Z235*(1+Z$15),2)-AM235)</f>
        <v>0</v>
      </c>
      <c r="AA236" s="21" t="n">
        <f aca="false">MAX(0,ROUND(AA235*(1+AA$15),2)-AN235)</f>
        <v>0</v>
      </c>
      <c r="AB236" s="21" t="n">
        <f aca="false">MAX(0,ROUND(AB235*(1+AB$15),2)-AO235)</f>
        <v>0</v>
      </c>
      <c r="AC236" s="21" t="n">
        <f aca="false">MAX(0,ROUND(AC235*(1+AC$15),2)-AP235)</f>
        <v>0</v>
      </c>
      <c r="AD236" s="21" t="n">
        <f aca="false">MAX(0,ROUND(AD235*(1+AD$15),2)-AQ235)</f>
        <v>0</v>
      </c>
      <c r="AE236" s="21" t="n">
        <f aca="false">MIN(Y$16,ROUND(Y236*(1+Y$15),2))</f>
        <v>0</v>
      </c>
      <c r="AF236" s="21" t="n">
        <f aca="false">MIN(Z$16,ROUND(Z236*(1+Z$15),2))</f>
        <v>0</v>
      </c>
      <c r="AG236" s="21" t="n">
        <f aca="false">MIN(AA$16,ROUND(AA236*(1+AA$15),2))</f>
        <v>0</v>
      </c>
      <c r="AH236" s="21" t="n">
        <f aca="false">MIN(AB$16,ROUND(AB236*(1+AB$15),2))</f>
        <v>0</v>
      </c>
      <c r="AI236" s="21" t="n">
        <f aca="false">MIN(AC$16,ROUND(AC236*(1+AC$15),2))</f>
        <v>0</v>
      </c>
      <c r="AJ236" s="21" t="n">
        <f aca="false">MIN(AD$16,ROUND(AD236*(1+AD$15),2))</f>
        <v>0</v>
      </c>
      <c r="AK236" s="21" t="n">
        <f aca="false">Y$20-SUM(AE236:AJ236)</f>
        <v>1170</v>
      </c>
      <c r="AL236" s="21" t="n">
        <f aca="false">MIN(ROUND(Y236*(1+Y$15),2),AE236+MAX(0,AK236))</f>
        <v>0</v>
      </c>
      <c r="AM236" s="21" t="n">
        <f aca="false">MIN(ROUND(Z236*(1+Z$15),2),AF236+MAX(0,AK236-AL236+AE236))</f>
        <v>0</v>
      </c>
      <c r="AN236" s="21" t="n">
        <f aca="false">MIN(ROUND(AA236*(1+AA$15),2),AG236+MAX(0,AK236-AL236+AE236-AM236+AF236))</f>
        <v>0</v>
      </c>
      <c r="AO236" s="21" t="n">
        <f aca="false">MIN(ROUND(AB236*(1+AB$15),2),AH236+MAX(0,AK236-AL236+AE236-AM236+AF236-AN236+AG236))</f>
        <v>0</v>
      </c>
      <c r="AP236" s="21" t="n">
        <f aca="false">MIN(ROUND(AC236*(1+AC$15),2),AI236+MAX(0,AK236-AL236+AE236-AM236+AF236-AN236+AG236-AO236+AH236))</f>
        <v>0</v>
      </c>
      <c r="AQ236" s="21" t="n">
        <f aca="false">MIN(ROUND(AD236*(1+AD$15),2),AJ236+MAX(0,AK236-AL236+AE236-AM236+AF236-AN236+AG236-AO236+AH236-AP236+AI236))</f>
        <v>0</v>
      </c>
      <c r="AR236" s="21" t="n">
        <f aca="false">SUM(Y236:AD236)</f>
        <v>0</v>
      </c>
      <c r="AS236" s="21" t="n">
        <f aca="false">SUM(AL236:AQ236)</f>
        <v>0</v>
      </c>
    </row>
    <row r="237" customFormat="false" ht="15" hidden="false" customHeight="false" outlineLevel="0" collapsed="false">
      <c r="A237" s="25" t="n">
        <f aca="false">A236+1</f>
        <v>211</v>
      </c>
      <c r="B237" s="21" t="n">
        <f aca="false">MAX(0,ROUND(B236*(1+B$15),2)-O236)</f>
        <v>0</v>
      </c>
      <c r="C237" s="21" t="n">
        <f aca="false">MAX(0,ROUND(C236*(1+C$15),2)-P236)</f>
        <v>0</v>
      </c>
      <c r="D237" s="21" t="n">
        <f aca="false">MAX(0,ROUND(D236*(1+D$15),2)-Q236)</f>
        <v>0</v>
      </c>
      <c r="E237" s="21" t="n">
        <f aca="false">MAX(0,ROUND(E236*(1+E$15),2)-R236)</f>
        <v>0</v>
      </c>
      <c r="F237" s="21" t="n">
        <f aca="false">MAX(0,ROUND(F236*(1+F$15),2)-S236)</f>
        <v>0</v>
      </c>
      <c r="G237" s="21" t="n">
        <f aca="false">MAX(0,ROUND(G236*(1+G$15),2)-T236)</f>
        <v>0</v>
      </c>
      <c r="H237" s="21" t="n">
        <f aca="false">MIN(B$16,ROUND(B237*(1+B$15),2))</f>
        <v>0</v>
      </c>
      <c r="I237" s="21" t="n">
        <f aca="false">MIN(C$16,ROUND(C237*(1+C$15),2))</f>
        <v>0</v>
      </c>
      <c r="J237" s="21" t="n">
        <f aca="false">MIN(D$16,ROUND(D237*(1+D$15),2))</f>
        <v>0</v>
      </c>
      <c r="K237" s="21" t="n">
        <f aca="false">MIN(E$16,ROUND(E237*(1+E$15),2))</f>
        <v>0</v>
      </c>
      <c r="L237" s="21" t="n">
        <f aca="false">MIN(F$16,ROUND(F237*(1+F$15),2))</f>
        <v>0</v>
      </c>
      <c r="M237" s="21" t="n">
        <f aca="false">MIN(G$16,ROUND(G237*(1+G$15),2))</f>
        <v>0</v>
      </c>
      <c r="N237" s="21" t="n">
        <f aca="false">B$20-SUM(H237:M237)</f>
        <v>1170</v>
      </c>
      <c r="O237" s="21" t="n">
        <f aca="false">MIN(ROUND(B237*(1+B$15),2),H237+MAX(0,N237))</f>
        <v>0</v>
      </c>
      <c r="P237" s="21" t="n">
        <f aca="false">MIN(ROUND(C237*(1+C$15),2),I237+MAX(0,N237-O237+H237))</f>
        <v>0</v>
      </c>
      <c r="Q237" s="21" t="n">
        <f aca="false">MIN(ROUND(D237*(1+D$15),2),J237+MAX(0,N237-O237+H237-P237+I237))</f>
        <v>0</v>
      </c>
      <c r="R237" s="21" t="n">
        <f aca="false">MIN(ROUND(E237*(1+E$15),2),K237+MAX(0,N237-O237+H237-P237+I237-Q237+J237))</f>
        <v>0</v>
      </c>
      <c r="S237" s="21" t="n">
        <f aca="false">MIN(ROUND(F237*(1+F$15),2),L237+MAX(0,N237-O237+H237-P237+I237-Q237+J237-R237+K237))</f>
        <v>0</v>
      </c>
      <c r="T237" s="21" t="n">
        <f aca="false">MIN(ROUND(G237*(1+G$15),2),M237+MAX(0,N237-O237+H237-P237+I237-Q237+J237-R237+K237-S237+L237))</f>
        <v>0</v>
      </c>
      <c r="U237" s="21" t="n">
        <f aca="false">SUM(B237:G237)</f>
        <v>0</v>
      </c>
      <c r="V237" s="21" t="n">
        <f aca="false">SUM(O237:T237)</f>
        <v>0</v>
      </c>
      <c r="X237" s="25" t="n">
        <f aca="false">X236+1</f>
        <v>211</v>
      </c>
      <c r="Y237" s="21" t="n">
        <f aca="false">MAX(0,ROUND(Y236*(1+Y$15),2)-AL236)</f>
        <v>0</v>
      </c>
      <c r="Z237" s="21" t="n">
        <f aca="false">MAX(0,ROUND(Z236*(1+Z$15),2)-AM236)</f>
        <v>0</v>
      </c>
      <c r="AA237" s="21" t="n">
        <f aca="false">MAX(0,ROUND(AA236*(1+AA$15),2)-AN236)</f>
        <v>0</v>
      </c>
      <c r="AB237" s="21" t="n">
        <f aca="false">MAX(0,ROUND(AB236*(1+AB$15),2)-AO236)</f>
        <v>0</v>
      </c>
      <c r="AC237" s="21" t="n">
        <f aca="false">MAX(0,ROUND(AC236*(1+AC$15),2)-AP236)</f>
        <v>0</v>
      </c>
      <c r="AD237" s="21" t="n">
        <f aca="false">MAX(0,ROUND(AD236*(1+AD$15),2)-AQ236)</f>
        <v>0</v>
      </c>
      <c r="AE237" s="21" t="n">
        <f aca="false">MIN(Y$16,ROUND(Y237*(1+Y$15),2))</f>
        <v>0</v>
      </c>
      <c r="AF237" s="21" t="n">
        <f aca="false">MIN(Z$16,ROUND(Z237*(1+Z$15),2))</f>
        <v>0</v>
      </c>
      <c r="AG237" s="21" t="n">
        <f aca="false">MIN(AA$16,ROUND(AA237*(1+AA$15),2))</f>
        <v>0</v>
      </c>
      <c r="AH237" s="21" t="n">
        <f aca="false">MIN(AB$16,ROUND(AB237*(1+AB$15),2))</f>
        <v>0</v>
      </c>
      <c r="AI237" s="21" t="n">
        <f aca="false">MIN(AC$16,ROUND(AC237*(1+AC$15),2))</f>
        <v>0</v>
      </c>
      <c r="AJ237" s="21" t="n">
        <f aca="false">MIN(AD$16,ROUND(AD237*(1+AD$15),2))</f>
        <v>0</v>
      </c>
      <c r="AK237" s="21" t="n">
        <f aca="false">Y$20-SUM(AE237:AJ237)</f>
        <v>1170</v>
      </c>
      <c r="AL237" s="21" t="n">
        <f aca="false">MIN(ROUND(Y237*(1+Y$15),2),AE237+MAX(0,AK237))</f>
        <v>0</v>
      </c>
      <c r="AM237" s="21" t="n">
        <f aca="false">MIN(ROUND(Z237*(1+Z$15),2),AF237+MAX(0,AK237-AL237+AE237))</f>
        <v>0</v>
      </c>
      <c r="AN237" s="21" t="n">
        <f aca="false">MIN(ROUND(AA237*(1+AA$15),2),AG237+MAX(0,AK237-AL237+AE237-AM237+AF237))</f>
        <v>0</v>
      </c>
      <c r="AO237" s="21" t="n">
        <f aca="false">MIN(ROUND(AB237*(1+AB$15),2),AH237+MAX(0,AK237-AL237+AE237-AM237+AF237-AN237+AG237))</f>
        <v>0</v>
      </c>
      <c r="AP237" s="21" t="n">
        <f aca="false">MIN(ROUND(AC237*(1+AC$15),2),AI237+MAX(0,AK237-AL237+AE237-AM237+AF237-AN237+AG237-AO237+AH237))</f>
        <v>0</v>
      </c>
      <c r="AQ237" s="21" t="n">
        <f aca="false">MIN(ROUND(AD237*(1+AD$15),2),AJ237+MAX(0,AK237-AL237+AE237-AM237+AF237-AN237+AG237-AO237+AH237-AP237+AI237))</f>
        <v>0</v>
      </c>
      <c r="AR237" s="21" t="n">
        <f aca="false">SUM(Y237:AD237)</f>
        <v>0</v>
      </c>
      <c r="AS237" s="21" t="n">
        <f aca="false">SUM(AL237:AQ237)</f>
        <v>0</v>
      </c>
    </row>
    <row r="238" customFormat="false" ht="15" hidden="false" customHeight="false" outlineLevel="0" collapsed="false">
      <c r="A238" s="25" t="n">
        <f aca="false">A237+1</f>
        <v>212</v>
      </c>
      <c r="B238" s="21" t="n">
        <f aca="false">MAX(0,ROUND(B237*(1+B$15),2)-O237)</f>
        <v>0</v>
      </c>
      <c r="C238" s="21" t="n">
        <f aca="false">MAX(0,ROUND(C237*(1+C$15),2)-P237)</f>
        <v>0</v>
      </c>
      <c r="D238" s="21" t="n">
        <f aca="false">MAX(0,ROUND(D237*(1+D$15),2)-Q237)</f>
        <v>0</v>
      </c>
      <c r="E238" s="21" t="n">
        <f aca="false">MAX(0,ROUND(E237*(1+E$15),2)-R237)</f>
        <v>0</v>
      </c>
      <c r="F238" s="21" t="n">
        <f aca="false">MAX(0,ROUND(F237*(1+F$15),2)-S237)</f>
        <v>0</v>
      </c>
      <c r="G238" s="21" t="n">
        <f aca="false">MAX(0,ROUND(G237*(1+G$15),2)-T237)</f>
        <v>0</v>
      </c>
      <c r="H238" s="21" t="n">
        <f aca="false">MIN(B$16,ROUND(B238*(1+B$15),2))</f>
        <v>0</v>
      </c>
      <c r="I238" s="21" t="n">
        <f aca="false">MIN(C$16,ROUND(C238*(1+C$15),2))</f>
        <v>0</v>
      </c>
      <c r="J238" s="21" t="n">
        <f aca="false">MIN(D$16,ROUND(D238*(1+D$15),2))</f>
        <v>0</v>
      </c>
      <c r="K238" s="21" t="n">
        <f aca="false">MIN(E$16,ROUND(E238*(1+E$15),2))</f>
        <v>0</v>
      </c>
      <c r="L238" s="21" t="n">
        <f aca="false">MIN(F$16,ROUND(F238*(1+F$15),2))</f>
        <v>0</v>
      </c>
      <c r="M238" s="21" t="n">
        <f aca="false">MIN(G$16,ROUND(G238*(1+G$15),2))</f>
        <v>0</v>
      </c>
      <c r="N238" s="21" t="n">
        <f aca="false">B$20-SUM(H238:M238)</f>
        <v>1170</v>
      </c>
      <c r="O238" s="21" t="n">
        <f aca="false">MIN(ROUND(B238*(1+B$15),2),H238+MAX(0,N238))</f>
        <v>0</v>
      </c>
      <c r="P238" s="21" t="n">
        <f aca="false">MIN(ROUND(C238*(1+C$15),2),I238+MAX(0,N238-O238+H238))</f>
        <v>0</v>
      </c>
      <c r="Q238" s="21" t="n">
        <f aca="false">MIN(ROUND(D238*(1+D$15),2),J238+MAX(0,N238-O238+H238-P238+I238))</f>
        <v>0</v>
      </c>
      <c r="R238" s="21" t="n">
        <f aca="false">MIN(ROUND(E238*(1+E$15),2),K238+MAX(0,N238-O238+H238-P238+I238-Q238+J238))</f>
        <v>0</v>
      </c>
      <c r="S238" s="21" t="n">
        <f aca="false">MIN(ROUND(F238*(1+F$15),2),L238+MAX(0,N238-O238+H238-P238+I238-Q238+J238-R238+K238))</f>
        <v>0</v>
      </c>
      <c r="T238" s="21" t="n">
        <f aca="false">MIN(ROUND(G238*(1+G$15),2),M238+MAX(0,N238-O238+H238-P238+I238-Q238+J238-R238+K238-S238+L238))</f>
        <v>0</v>
      </c>
      <c r="U238" s="21" t="n">
        <f aca="false">SUM(B238:G238)</f>
        <v>0</v>
      </c>
      <c r="V238" s="21" t="n">
        <f aca="false">SUM(O238:T238)</f>
        <v>0</v>
      </c>
      <c r="X238" s="25" t="n">
        <f aca="false">X237+1</f>
        <v>212</v>
      </c>
      <c r="Y238" s="21" t="n">
        <f aca="false">MAX(0,ROUND(Y237*(1+Y$15),2)-AL237)</f>
        <v>0</v>
      </c>
      <c r="Z238" s="21" t="n">
        <f aca="false">MAX(0,ROUND(Z237*(1+Z$15),2)-AM237)</f>
        <v>0</v>
      </c>
      <c r="AA238" s="21" t="n">
        <f aca="false">MAX(0,ROUND(AA237*(1+AA$15),2)-AN237)</f>
        <v>0</v>
      </c>
      <c r="AB238" s="21" t="n">
        <f aca="false">MAX(0,ROUND(AB237*(1+AB$15),2)-AO237)</f>
        <v>0</v>
      </c>
      <c r="AC238" s="21" t="n">
        <f aca="false">MAX(0,ROUND(AC237*(1+AC$15),2)-AP237)</f>
        <v>0</v>
      </c>
      <c r="AD238" s="21" t="n">
        <f aca="false">MAX(0,ROUND(AD237*(1+AD$15),2)-AQ237)</f>
        <v>0</v>
      </c>
      <c r="AE238" s="21" t="n">
        <f aca="false">MIN(Y$16,ROUND(Y238*(1+Y$15),2))</f>
        <v>0</v>
      </c>
      <c r="AF238" s="21" t="n">
        <f aca="false">MIN(Z$16,ROUND(Z238*(1+Z$15),2))</f>
        <v>0</v>
      </c>
      <c r="AG238" s="21" t="n">
        <f aca="false">MIN(AA$16,ROUND(AA238*(1+AA$15),2))</f>
        <v>0</v>
      </c>
      <c r="AH238" s="21" t="n">
        <f aca="false">MIN(AB$16,ROUND(AB238*(1+AB$15),2))</f>
        <v>0</v>
      </c>
      <c r="AI238" s="21" t="n">
        <f aca="false">MIN(AC$16,ROUND(AC238*(1+AC$15),2))</f>
        <v>0</v>
      </c>
      <c r="AJ238" s="21" t="n">
        <f aca="false">MIN(AD$16,ROUND(AD238*(1+AD$15),2))</f>
        <v>0</v>
      </c>
      <c r="AK238" s="21" t="n">
        <f aca="false">Y$20-SUM(AE238:AJ238)</f>
        <v>1170</v>
      </c>
      <c r="AL238" s="21" t="n">
        <f aca="false">MIN(ROUND(Y238*(1+Y$15),2),AE238+MAX(0,AK238))</f>
        <v>0</v>
      </c>
      <c r="AM238" s="21" t="n">
        <f aca="false">MIN(ROUND(Z238*(1+Z$15),2),AF238+MAX(0,AK238-AL238+AE238))</f>
        <v>0</v>
      </c>
      <c r="AN238" s="21" t="n">
        <f aca="false">MIN(ROUND(AA238*(1+AA$15),2),AG238+MAX(0,AK238-AL238+AE238-AM238+AF238))</f>
        <v>0</v>
      </c>
      <c r="AO238" s="21" t="n">
        <f aca="false">MIN(ROUND(AB238*(1+AB$15),2),AH238+MAX(0,AK238-AL238+AE238-AM238+AF238-AN238+AG238))</f>
        <v>0</v>
      </c>
      <c r="AP238" s="21" t="n">
        <f aca="false">MIN(ROUND(AC238*(1+AC$15),2),AI238+MAX(0,AK238-AL238+AE238-AM238+AF238-AN238+AG238-AO238+AH238))</f>
        <v>0</v>
      </c>
      <c r="AQ238" s="21" t="n">
        <f aca="false">MIN(ROUND(AD238*(1+AD$15),2),AJ238+MAX(0,AK238-AL238+AE238-AM238+AF238-AN238+AG238-AO238+AH238-AP238+AI238))</f>
        <v>0</v>
      </c>
      <c r="AR238" s="21" t="n">
        <f aca="false">SUM(Y238:AD238)</f>
        <v>0</v>
      </c>
      <c r="AS238" s="21" t="n">
        <f aca="false">SUM(AL238:AQ238)</f>
        <v>0</v>
      </c>
    </row>
    <row r="239" customFormat="false" ht="15" hidden="false" customHeight="false" outlineLevel="0" collapsed="false">
      <c r="A239" s="25" t="n">
        <f aca="false">A238+1</f>
        <v>213</v>
      </c>
      <c r="B239" s="21" t="n">
        <f aca="false">MAX(0,ROUND(B238*(1+B$15),2)-O238)</f>
        <v>0</v>
      </c>
      <c r="C239" s="21" t="n">
        <f aca="false">MAX(0,ROUND(C238*(1+C$15),2)-P238)</f>
        <v>0</v>
      </c>
      <c r="D239" s="21" t="n">
        <f aca="false">MAX(0,ROUND(D238*(1+D$15),2)-Q238)</f>
        <v>0</v>
      </c>
      <c r="E239" s="21" t="n">
        <f aca="false">MAX(0,ROUND(E238*(1+E$15),2)-R238)</f>
        <v>0</v>
      </c>
      <c r="F239" s="21" t="n">
        <f aca="false">MAX(0,ROUND(F238*(1+F$15),2)-S238)</f>
        <v>0</v>
      </c>
      <c r="G239" s="21" t="n">
        <f aca="false">MAX(0,ROUND(G238*(1+G$15),2)-T238)</f>
        <v>0</v>
      </c>
      <c r="H239" s="21" t="n">
        <f aca="false">MIN(B$16,ROUND(B239*(1+B$15),2))</f>
        <v>0</v>
      </c>
      <c r="I239" s="21" t="n">
        <f aca="false">MIN(C$16,ROUND(C239*(1+C$15),2))</f>
        <v>0</v>
      </c>
      <c r="J239" s="21" t="n">
        <f aca="false">MIN(D$16,ROUND(D239*(1+D$15),2))</f>
        <v>0</v>
      </c>
      <c r="K239" s="21" t="n">
        <f aca="false">MIN(E$16,ROUND(E239*(1+E$15),2))</f>
        <v>0</v>
      </c>
      <c r="L239" s="21" t="n">
        <f aca="false">MIN(F$16,ROUND(F239*(1+F$15),2))</f>
        <v>0</v>
      </c>
      <c r="M239" s="21" t="n">
        <f aca="false">MIN(G$16,ROUND(G239*(1+G$15),2))</f>
        <v>0</v>
      </c>
      <c r="N239" s="21" t="n">
        <f aca="false">B$20-SUM(H239:M239)</f>
        <v>1170</v>
      </c>
      <c r="O239" s="21" t="n">
        <f aca="false">MIN(ROUND(B239*(1+B$15),2),H239+MAX(0,N239))</f>
        <v>0</v>
      </c>
      <c r="P239" s="21" t="n">
        <f aca="false">MIN(ROUND(C239*(1+C$15),2),I239+MAX(0,N239-O239+H239))</f>
        <v>0</v>
      </c>
      <c r="Q239" s="21" t="n">
        <f aca="false">MIN(ROUND(D239*(1+D$15),2),J239+MAX(0,N239-O239+H239-P239+I239))</f>
        <v>0</v>
      </c>
      <c r="R239" s="21" t="n">
        <f aca="false">MIN(ROUND(E239*(1+E$15),2),K239+MAX(0,N239-O239+H239-P239+I239-Q239+J239))</f>
        <v>0</v>
      </c>
      <c r="S239" s="21" t="n">
        <f aca="false">MIN(ROUND(F239*(1+F$15),2),L239+MAX(0,N239-O239+H239-P239+I239-Q239+J239-R239+K239))</f>
        <v>0</v>
      </c>
      <c r="T239" s="21" t="n">
        <f aca="false">MIN(ROUND(G239*(1+G$15),2),M239+MAX(0,N239-O239+H239-P239+I239-Q239+J239-R239+K239-S239+L239))</f>
        <v>0</v>
      </c>
      <c r="U239" s="21" t="n">
        <f aca="false">SUM(B239:G239)</f>
        <v>0</v>
      </c>
      <c r="V239" s="21" t="n">
        <f aca="false">SUM(O239:T239)</f>
        <v>0</v>
      </c>
      <c r="X239" s="25" t="n">
        <f aca="false">X238+1</f>
        <v>213</v>
      </c>
      <c r="Y239" s="21" t="n">
        <f aca="false">MAX(0,ROUND(Y238*(1+Y$15),2)-AL238)</f>
        <v>0</v>
      </c>
      <c r="Z239" s="21" t="n">
        <f aca="false">MAX(0,ROUND(Z238*(1+Z$15),2)-AM238)</f>
        <v>0</v>
      </c>
      <c r="AA239" s="21" t="n">
        <f aca="false">MAX(0,ROUND(AA238*(1+AA$15),2)-AN238)</f>
        <v>0</v>
      </c>
      <c r="AB239" s="21" t="n">
        <f aca="false">MAX(0,ROUND(AB238*(1+AB$15),2)-AO238)</f>
        <v>0</v>
      </c>
      <c r="AC239" s="21" t="n">
        <f aca="false">MAX(0,ROUND(AC238*(1+AC$15),2)-AP238)</f>
        <v>0</v>
      </c>
      <c r="AD239" s="21" t="n">
        <f aca="false">MAX(0,ROUND(AD238*(1+AD$15),2)-AQ238)</f>
        <v>0</v>
      </c>
      <c r="AE239" s="21" t="n">
        <f aca="false">MIN(Y$16,ROUND(Y239*(1+Y$15),2))</f>
        <v>0</v>
      </c>
      <c r="AF239" s="21" t="n">
        <f aca="false">MIN(Z$16,ROUND(Z239*(1+Z$15),2))</f>
        <v>0</v>
      </c>
      <c r="AG239" s="21" t="n">
        <f aca="false">MIN(AA$16,ROUND(AA239*(1+AA$15),2))</f>
        <v>0</v>
      </c>
      <c r="AH239" s="21" t="n">
        <f aca="false">MIN(AB$16,ROUND(AB239*(1+AB$15),2))</f>
        <v>0</v>
      </c>
      <c r="AI239" s="21" t="n">
        <f aca="false">MIN(AC$16,ROUND(AC239*(1+AC$15),2))</f>
        <v>0</v>
      </c>
      <c r="AJ239" s="21" t="n">
        <f aca="false">MIN(AD$16,ROUND(AD239*(1+AD$15),2))</f>
        <v>0</v>
      </c>
      <c r="AK239" s="21" t="n">
        <f aca="false">Y$20-SUM(AE239:AJ239)</f>
        <v>1170</v>
      </c>
      <c r="AL239" s="21" t="n">
        <f aca="false">MIN(ROUND(Y239*(1+Y$15),2),AE239+MAX(0,AK239))</f>
        <v>0</v>
      </c>
      <c r="AM239" s="21" t="n">
        <f aca="false">MIN(ROUND(Z239*(1+Z$15),2),AF239+MAX(0,AK239-AL239+AE239))</f>
        <v>0</v>
      </c>
      <c r="AN239" s="21" t="n">
        <f aca="false">MIN(ROUND(AA239*(1+AA$15),2),AG239+MAX(0,AK239-AL239+AE239-AM239+AF239))</f>
        <v>0</v>
      </c>
      <c r="AO239" s="21" t="n">
        <f aca="false">MIN(ROUND(AB239*(1+AB$15),2),AH239+MAX(0,AK239-AL239+AE239-AM239+AF239-AN239+AG239))</f>
        <v>0</v>
      </c>
      <c r="AP239" s="21" t="n">
        <f aca="false">MIN(ROUND(AC239*(1+AC$15),2),AI239+MAX(0,AK239-AL239+AE239-AM239+AF239-AN239+AG239-AO239+AH239))</f>
        <v>0</v>
      </c>
      <c r="AQ239" s="21" t="n">
        <f aca="false">MIN(ROUND(AD239*(1+AD$15),2),AJ239+MAX(0,AK239-AL239+AE239-AM239+AF239-AN239+AG239-AO239+AH239-AP239+AI239))</f>
        <v>0</v>
      </c>
      <c r="AR239" s="21" t="n">
        <f aca="false">SUM(Y239:AD239)</f>
        <v>0</v>
      </c>
      <c r="AS239" s="21" t="n">
        <f aca="false">SUM(AL239:AQ239)</f>
        <v>0</v>
      </c>
    </row>
    <row r="240" customFormat="false" ht="15" hidden="false" customHeight="false" outlineLevel="0" collapsed="false">
      <c r="A240" s="25" t="n">
        <f aca="false">A239+1</f>
        <v>214</v>
      </c>
      <c r="B240" s="21" t="n">
        <f aca="false">MAX(0,ROUND(B239*(1+B$15),2)-O239)</f>
        <v>0</v>
      </c>
      <c r="C240" s="21" t="n">
        <f aca="false">MAX(0,ROUND(C239*(1+C$15),2)-P239)</f>
        <v>0</v>
      </c>
      <c r="D240" s="21" t="n">
        <f aca="false">MAX(0,ROUND(D239*(1+D$15),2)-Q239)</f>
        <v>0</v>
      </c>
      <c r="E240" s="21" t="n">
        <f aca="false">MAX(0,ROUND(E239*(1+E$15),2)-R239)</f>
        <v>0</v>
      </c>
      <c r="F240" s="21" t="n">
        <f aca="false">MAX(0,ROUND(F239*(1+F$15),2)-S239)</f>
        <v>0</v>
      </c>
      <c r="G240" s="21" t="n">
        <f aca="false">MAX(0,ROUND(G239*(1+G$15),2)-T239)</f>
        <v>0</v>
      </c>
      <c r="H240" s="21" t="n">
        <f aca="false">MIN(B$16,ROUND(B240*(1+B$15),2))</f>
        <v>0</v>
      </c>
      <c r="I240" s="21" t="n">
        <f aca="false">MIN(C$16,ROUND(C240*(1+C$15),2))</f>
        <v>0</v>
      </c>
      <c r="J240" s="21" t="n">
        <f aca="false">MIN(D$16,ROUND(D240*(1+D$15),2))</f>
        <v>0</v>
      </c>
      <c r="K240" s="21" t="n">
        <f aca="false">MIN(E$16,ROUND(E240*(1+E$15),2))</f>
        <v>0</v>
      </c>
      <c r="L240" s="21" t="n">
        <f aca="false">MIN(F$16,ROUND(F240*(1+F$15),2))</f>
        <v>0</v>
      </c>
      <c r="M240" s="21" t="n">
        <f aca="false">MIN(G$16,ROUND(G240*(1+G$15),2))</f>
        <v>0</v>
      </c>
      <c r="N240" s="21" t="n">
        <f aca="false">B$20-SUM(H240:M240)</f>
        <v>1170</v>
      </c>
      <c r="O240" s="21" t="n">
        <f aca="false">MIN(ROUND(B240*(1+B$15),2),H240+MAX(0,N240))</f>
        <v>0</v>
      </c>
      <c r="P240" s="21" t="n">
        <f aca="false">MIN(ROUND(C240*(1+C$15),2),I240+MAX(0,N240-O240+H240))</f>
        <v>0</v>
      </c>
      <c r="Q240" s="21" t="n">
        <f aca="false">MIN(ROUND(D240*(1+D$15),2),J240+MAX(0,N240-O240+H240-P240+I240))</f>
        <v>0</v>
      </c>
      <c r="R240" s="21" t="n">
        <f aca="false">MIN(ROUND(E240*(1+E$15),2),K240+MAX(0,N240-O240+H240-P240+I240-Q240+J240))</f>
        <v>0</v>
      </c>
      <c r="S240" s="21" t="n">
        <f aca="false">MIN(ROUND(F240*(1+F$15),2),L240+MAX(0,N240-O240+H240-P240+I240-Q240+J240-R240+K240))</f>
        <v>0</v>
      </c>
      <c r="T240" s="21" t="n">
        <f aca="false">MIN(ROUND(G240*(1+G$15),2),M240+MAX(0,N240-O240+H240-P240+I240-Q240+J240-R240+K240-S240+L240))</f>
        <v>0</v>
      </c>
      <c r="U240" s="21" t="n">
        <f aca="false">SUM(B240:G240)</f>
        <v>0</v>
      </c>
      <c r="V240" s="21" t="n">
        <f aca="false">SUM(O240:T240)</f>
        <v>0</v>
      </c>
      <c r="X240" s="25" t="n">
        <f aca="false">X239+1</f>
        <v>214</v>
      </c>
      <c r="Y240" s="21" t="n">
        <f aca="false">MAX(0,ROUND(Y239*(1+Y$15),2)-AL239)</f>
        <v>0</v>
      </c>
      <c r="Z240" s="21" t="n">
        <f aca="false">MAX(0,ROUND(Z239*(1+Z$15),2)-AM239)</f>
        <v>0</v>
      </c>
      <c r="AA240" s="21" t="n">
        <f aca="false">MAX(0,ROUND(AA239*(1+AA$15),2)-AN239)</f>
        <v>0</v>
      </c>
      <c r="AB240" s="21" t="n">
        <f aca="false">MAX(0,ROUND(AB239*(1+AB$15),2)-AO239)</f>
        <v>0</v>
      </c>
      <c r="AC240" s="21" t="n">
        <f aca="false">MAX(0,ROUND(AC239*(1+AC$15),2)-AP239)</f>
        <v>0</v>
      </c>
      <c r="AD240" s="21" t="n">
        <f aca="false">MAX(0,ROUND(AD239*(1+AD$15),2)-AQ239)</f>
        <v>0</v>
      </c>
      <c r="AE240" s="21" t="n">
        <f aca="false">MIN(Y$16,ROUND(Y240*(1+Y$15),2))</f>
        <v>0</v>
      </c>
      <c r="AF240" s="21" t="n">
        <f aca="false">MIN(Z$16,ROUND(Z240*(1+Z$15),2))</f>
        <v>0</v>
      </c>
      <c r="AG240" s="21" t="n">
        <f aca="false">MIN(AA$16,ROUND(AA240*(1+AA$15),2))</f>
        <v>0</v>
      </c>
      <c r="AH240" s="21" t="n">
        <f aca="false">MIN(AB$16,ROUND(AB240*(1+AB$15),2))</f>
        <v>0</v>
      </c>
      <c r="AI240" s="21" t="n">
        <f aca="false">MIN(AC$16,ROUND(AC240*(1+AC$15),2))</f>
        <v>0</v>
      </c>
      <c r="AJ240" s="21" t="n">
        <f aca="false">MIN(AD$16,ROUND(AD240*(1+AD$15),2))</f>
        <v>0</v>
      </c>
      <c r="AK240" s="21" t="n">
        <f aca="false">Y$20-SUM(AE240:AJ240)</f>
        <v>1170</v>
      </c>
      <c r="AL240" s="21" t="n">
        <f aca="false">MIN(ROUND(Y240*(1+Y$15),2),AE240+MAX(0,AK240))</f>
        <v>0</v>
      </c>
      <c r="AM240" s="21" t="n">
        <f aca="false">MIN(ROUND(Z240*(1+Z$15),2),AF240+MAX(0,AK240-AL240+AE240))</f>
        <v>0</v>
      </c>
      <c r="AN240" s="21" t="n">
        <f aca="false">MIN(ROUND(AA240*(1+AA$15),2),AG240+MAX(0,AK240-AL240+AE240-AM240+AF240))</f>
        <v>0</v>
      </c>
      <c r="AO240" s="21" t="n">
        <f aca="false">MIN(ROUND(AB240*(1+AB$15),2),AH240+MAX(0,AK240-AL240+AE240-AM240+AF240-AN240+AG240))</f>
        <v>0</v>
      </c>
      <c r="AP240" s="21" t="n">
        <f aca="false">MIN(ROUND(AC240*(1+AC$15),2),AI240+MAX(0,AK240-AL240+AE240-AM240+AF240-AN240+AG240-AO240+AH240))</f>
        <v>0</v>
      </c>
      <c r="AQ240" s="21" t="n">
        <f aca="false">MIN(ROUND(AD240*(1+AD$15),2),AJ240+MAX(0,AK240-AL240+AE240-AM240+AF240-AN240+AG240-AO240+AH240-AP240+AI240))</f>
        <v>0</v>
      </c>
      <c r="AR240" s="21" t="n">
        <f aca="false">SUM(Y240:AD240)</f>
        <v>0</v>
      </c>
      <c r="AS240" s="21" t="n">
        <f aca="false">SUM(AL240:AQ240)</f>
        <v>0</v>
      </c>
    </row>
    <row r="241" customFormat="false" ht="15" hidden="false" customHeight="false" outlineLevel="0" collapsed="false">
      <c r="A241" s="25" t="n">
        <f aca="false">A240+1</f>
        <v>215</v>
      </c>
      <c r="B241" s="21" t="n">
        <f aca="false">MAX(0,ROUND(B240*(1+B$15),2)-O240)</f>
        <v>0</v>
      </c>
      <c r="C241" s="21" t="n">
        <f aca="false">MAX(0,ROUND(C240*(1+C$15),2)-P240)</f>
        <v>0</v>
      </c>
      <c r="D241" s="21" t="n">
        <f aca="false">MAX(0,ROUND(D240*(1+D$15),2)-Q240)</f>
        <v>0</v>
      </c>
      <c r="E241" s="21" t="n">
        <f aca="false">MAX(0,ROUND(E240*(1+E$15),2)-R240)</f>
        <v>0</v>
      </c>
      <c r="F241" s="21" t="n">
        <f aca="false">MAX(0,ROUND(F240*(1+F$15),2)-S240)</f>
        <v>0</v>
      </c>
      <c r="G241" s="21" t="n">
        <f aca="false">MAX(0,ROUND(G240*(1+G$15),2)-T240)</f>
        <v>0</v>
      </c>
      <c r="H241" s="21" t="n">
        <f aca="false">MIN(B$16,ROUND(B241*(1+B$15),2))</f>
        <v>0</v>
      </c>
      <c r="I241" s="21" t="n">
        <f aca="false">MIN(C$16,ROUND(C241*(1+C$15),2))</f>
        <v>0</v>
      </c>
      <c r="J241" s="21" t="n">
        <f aca="false">MIN(D$16,ROUND(D241*(1+D$15),2))</f>
        <v>0</v>
      </c>
      <c r="K241" s="21" t="n">
        <f aca="false">MIN(E$16,ROUND(E241*(1+E$15),2))</f>
        <v>0</v>
      </c>
      <c r="L241" s="21" t="n">
        <f aca="false">MIN(F$16,ROUND(F241*(1+F$15),2))</f>
        <v>0</v>
      </c>
      <c r="M241" s="21" t="n">
        <f aca="false">MIN(G$16,ROUND(G241*(1+G$15),2))</f>
        <v>0</v>
      </c>
      <c r="N241" s="21" t="n">
        <f aca="false">B$20-SUM(H241:M241)</f>
        <v>1170</v>
      </c>
      <c r="O241" s="21" t="n">
        <f aca="false">MIN(ROUND(B241*(1+B$15),2),H241+MAX(0,N241))</f>
        <v>0</v>
      </c>
      <c r="P241" s="21" t="n">
        <f aca="false">MIN(ROUND(C241*(1+C$15),2),I241+MAX(0,N241-O241+H241))</f>
        <v>0</v>
      </c>
      <c r="Q241" s="21" t="n">
        <f aca="false">MIN(ROUND(D241*(1+D$15),2),J241+MAX(0,N241-O241+H241-P241+I241))</f>
        <v>0</v>
      </c>
      <c r="R241" s="21" t="n">
        <f aca="false">MIN(ROUND(E241*(1+E$15),2),K241+MAX(0,N241-O241+H241-P241+I241-Q241+J241))</f>
        <v>0</v>
      </c>
      <c r="S241" s="21" t="n">
        <f aca="false">MIN(ROUND(F241*(1+F$15),2),L241+MAX(0,N241-O241+H241-P241+I241-Q241+J241-R241+K241))</f>
        <v>0</v>
      </c>
      <c r="T241" s="21" t="n">
        <f aca="false">MIN(ROUND(G241*(1+G$15),2),M241+MAX(0,N241-O241+H241-P241+I241-Q241+J241-R241+K241-S241+L241))</f>
        <v>0</v>
      </c>
      <c r="U241" s="21" t="n">
        <f aca="false">SUM(B241:G241)</f>
        <v>0</v>
      </c>
      <c r="V241" s="21" t="n">
        <f aca="false">SUM(O241:T241)</f>
        <v>0</v>
      </c>
      <c r="X241" s="25" t="n">
        <f aca="false">X240+1</f>
        <v>215</v>
      </c>
      <c r="Y241" s="21" t="n">
        <f aca="false">MAX(0,ROUND(Y240*(1+Y$15),2)-AL240)</f>
        <v>0</v>
      </c>
      <c r="Z241" s="21" t="n">
        <f aca="false">MAX(0,ROUND(Z240*(1+Z$15),2)-AM240)</f>
        <v>0</v>
      </c>
      <c r="AA241" s="21" t="n">
        <f aca="false">MAX(0,ROUND(AA240*(1+AA$15),2)-AN240)</f>
        <v>0</v>
      </c>
      <c r="AB241" s="21" t="n">
        <f aca="false">MAX(0,ROUND(AB240*(1+AB$15),2)-AO240)</f>
        <v>0</v>
      </c>
      <c r="AC241" s="21" t="n">
        <f aca="false">MAX(0,ROUND(AC240*(1+AC$15),2)-AP240)</f>
        <v>0</v>
      </c>
      <c r="AD241" s="21" t="n">
        <f aca="false">MAX(0,ROUND(AD240*(1+AD$15),2)-AQ240)</f>
        <v>0</v>
      </c>
      <c r="AE241" s="21" t="n">
        <f aca="false">MIN(Y$16,ROUND(Y241*(1+Y$15),2))</f>
        <v>0</v>
      </c>
      <c r="AF241" s="21" t="n">
        <f aca="false">MIN(Z$16,ROUND(Z241*(1+Z$15),2))</f>
        <v>0</v>
      </c>
      <c r="AG241" s="21" t="n">
        <f aca="false">MIN(AA$16,ROUND(AA241*(1+AA$15),2))</f>
        <v>0</v>
      </c>
      <c r="AH241" s="21" t="n">
        <f aca="false">MIN(AB$16,ROUND(AB241*(1+AB$15),2))</f>
        <v>0</v>
      </c>
      <c r="AI241" s="21" t="n">
        <f aca="false">MIN(AC$16,ROUND(AC241*(1+AC$15),2))</f>
        <v>0</v>
      </c>
      <c r="AJ241" s="21" t="n">
        <f aca="false">MIN(AD$16,ROUND(AD241*(1+AD$15),2))</f>
        <v>0</v>
      </c>
      <c r="AK241" s="21" t="n">
        <f aca="false">Y$20-SUM(AE241:AJ241)</f>
        <v>1170</v>
      </c>
      <c r="AL241" s="21" t="n">
        <f aca="false">MIN(ROUND(Y241*(1+Y$15),2),AE241+MAX(0,AK241))</f>
        <v>0</v>
      </c>
      <c r="AM241" s="21" t="n">
        <f aca="false">MIN(ROUND(Z241*(1+Z$15),2),AF241+MAX(0,AK241-AL241+AE241))</f>
        <v>0</v>
      </c>
      <c r="AN241" s="21" t="n">
        <f aca="false">MIN(ROUND(AA241*(1+AA$15),2),AG241+MAX(0,AK241-AL241+AE241-AM241+AF241))</f>
        <v>0</v>
      </c>
      <c r="AO241" s="21" t="n">
        <f aca="false">MIN(ROUND(AB241*(1+AB$15),2),AH241+MAX(0,AK241-AL241+AE241-AM241+AF241-AN241+AG241))</f>
        <v>0</v>
      </c>
      <c r="AP241" s="21" t="n">
        <f aca="false">MIN(ROUND(AC241*(1+AC$15),2),AI241+MAX(0,AK241-AL241+AE241-AM241+AF241-AN241+AG241-AO241+AH241))</f>
        <v>0</v>
      </c>
      <c r="AQ241" s="21" t="n">
        <f aca="false">MIN(ROUND(AD241*(1+AD$15),2),AJ241+MAX(0,AK241-AL241+AE241-AM241+AF241-AN241+AG241-AO241+AH241-AP241+AI241))</f>
        <v>0</v>
      </c>
      <c r="AR241" s="21" t="n">
        <f aca="false">SUM(Y241:AD241)</f>
        <v>0</v>
      </c>
      <c r="AS241" s="21" t="n">
        <f aca="false">SUM(AL241:AQ241)</f>
        <v>0</v>
      </c>
    </row>
    <row r="242" customFormat="false" ht="15" hidden="false" customHeight="false" outlineLevel="0" collapsed="false">
      <c r="A242" s="25" t="n">
        <f aca="false">A241+1</f>
        <v>216</v>
      </c>
      <c r="B242" s="21" t="n">
        <f aca="false">MAX(0,ROUND(B241*(1+B$15),2)-O241)</f>
        <v>0</v>
      </c>
      <c r="C242" s="21" t="n">
        <f aca="false">MAX(0,ROUND(C241*(1+C$15),2)-P241)</f>
        <v>0</v>
      </c>
      <c r="D242" s="21" t="n">
        <f aca="false">MAX(0,ROUND(D241*(1+D$15),2)-Q241)</f>
        <v>0</v>
      </c>
      <c r="E242" s="21" t="n">
        <f aca="false">MAX(0,ROUND(E241*(1+E$15),2)-R241)</f>
        <v>0</v>
      </c>
      <c r="F242" s="21" t="n">
        <f aca="false">MAX(0,ROUND(F241*(1+F$15),2)-S241)</f>
        <v>0</v>
      </c>
      <c r="G242" s="21" t="n">
        <f aca="false">MAX(0,ROUND(G241*(1+G$15),2)-T241)</f>
        <v>0</v>
      </c>
      <c r="H242" s="21" t="n">
        <f aca="false">MIN(B$16,ROUND(B242*(1+B$15),2))</f>
        <v>0</v>
      </c>
      <c r="I242" s="21" t="n">
        <f aca="false">MIN(C$16,ROUND(C242*(1+C$15),2))</f>
        <v>0</v>
      </c>
      <c r="J242" s="21" t="n">
        <f aca="false">MIN(D$16,ROUND(D242*(1+D$15),2))</f>
        <v>0</v>
      </c>
      <c r="K242" s="21" t="n">
        <f aca="false">MIN(E$16,ROUND(E242*(1+E$15),2))</f>
        <v>0</v>
      </c>
      <c r="L242" s="21" t="n">
        <f aca="false">MIN(F$16,ROUND(F242*(1+F$15),2))</f>
        <v>0</v>
      </c>
      <c r="M242" s="21" t="n">
        <f aca="false">MIN(G$16,ROUND(G242*(1+G$15),2))</f>
        <v>0</v>
      </c>
      <c r="N242" s="21" t="n">
        <f aca="false">B$20-SUM(H242:M242)</f>
        <v>1170</v>
      </c>
      <c r="O242" s="21" t="n">
        <f aca="false">MIN(ROUND(B242*(1+B$15),2),H242+MAX(0,N242))</f>
        <v>0</v>
      </c>
      <c r="P242" s="21" t="n">
        <f aca="false">MIN(ROUND(C242*(1+C$15),2),I242+MAX(0,N242-O242+H242))</f>
        <v>0</v>
      </c>
      <c r="Q242" s="21" t="n">
        <f aca="false">MIN(ROUND(D242*(1+D$15),2),J242+MAX(0,N242-O242+H242-P242+I242))</f>
        <v>0</v>
      </c>
      <c r="R242" s="21" t="n">
        <f aca="false">MIN(ROUND(E242*(1+E$15),2),K242+MAX(0,N242-O242+H242-P242+I242-Q242+J242))</f>
        <v>0</v>
      </c>
      <c r="S242" s="21" t="n">
        <f aca="false">MIN(ROUND(F242*(1+F$15),2),L242+MAX(0,N242-O242+H242-P242+I242-Q242+J242-R242+K242))</f>
        <v>0</v>
      </c>
      <c r="T242" s="21" t="n">
        <f aca="false">MIN(ROUND(G242*(1+G$15),2),M242+MAX(0,N242-O242+H242-P242+I242-Q242+J242-R242+K242-S242+L242))</f>
        <v>0</v>
      </c>
      <c r="U242" s="21" t="n">
        <f aca="false">SUM(B242:G242)</f>
        <v>0</v>
      </c>
      <c r="V242" s="21" t="n">
        <f aca="false">SUM(O242:T242)</f>
        <v>0</v>
      </c>
      <c r="X242" s="25" t="n">
        <f aca="false">X241+1</f>
        <v>216</v>
      </c>
      <c r="Y242" s="21" t="n">
        <f aca="false">MAX(0,ROUND(Y241*(1+Y$15),2)-AL241)</f>
        <v>0</v>
      </c>
      <c r="Z242" s="21" t="n">
        <f aca="false">MAX(0,ROUND(Z241*(1+Z$15),2)-AM241)</f>
        <v>0</v>
      </c>
      <c r="AA242" s="21" t="n">
        <f aca="false">MAX(0,ROUND(AA241*(1+AA$15),2)-AN241)</f>
        <v>0</v>
      </c>
      <c r="AB242" s="21" t="n">
        <f aca="false">MAX(0,ROUND(AB241*(1+AB$15),2)-AO241)</f>
        <v>0</v>
      </c>
      <c r="AC242" s="21" t="n">
        <f aca="false">MAX(0,ROUND(AC241*(1+AC$15),2)-AP241)</f>
        <v>0</v>
      </c>
      <c r="AD242" s="21" t="n">
        <f aca="false">MAX(0,ROUND(AD241*(1+AD$15),2)-AQ241)</f>
        <v>0</v>
      </c>
      <c r="AE242" s="21" t="n">
        <f aca="false">MIN(Y$16,ROUND(Y242*(1+Y$15),2))</f>
        <v>0</v>
      </c>
      <c r="AF242" s="21" t="n">
        <f aca="false">MIN(Z$16,ROUND(Z242*(1+Z$15),2))</f>
        <v>0</v>
      </c>
      <c r="AG242" s="21" t="n">
        <f aca="false">MIN(AA$16,ROUND(AA242*(1+AA$15),2))</f>
        <v>0</v>
      </c>
      <c r="AH242" s="21" t="n">
        <f aca="false">MIN(AB$16,ROUND(AB242*(1+AB$15),2))</f>
        <v>0</v>
      </c>
      <c r="AI242" s="21" t="n">
        <f aca="false">MIN(AC$16,ROUND(AC242*(1+AC$15),2))</f>
        <v>0</v>
      </c>
      <c r="AJ242" s="21" t="n">
        <f aca="false">MIN(AD$16,ROUND(AD242*(1+AD$15),2))</f>
        <v>0</v>
      </c>
      <c r="AK242" s="21" t="n">
        <f aca="false">Y$20-SUM(AE242:AJ242)</f>
        <v>1170</v>
      </c>
      <c r="AL242" s="21" t="n">
        <f aca="false">MIN(ROUND(Y242*(1+Y$15),2),AE242+MAX(0,AK242))</f>
        <v>0</v>
      </c>
      <c r="AM242" s="21" t="n">
        <f aca="false">MIN(ROUND(Z242*(1+Z$15),2),AF242+MAX(0,AK242-AL242+AE242))</f>
        <v>0</v>
      </c>
      <c r="AN242" s="21" t="n">
        <f aca="false">MIN(ROUND(AA242*(1+AA$15),2),AG242+MAX(0,AK242-AL242+AE242-AM242+AF242))</f>
        <v>0</v>
      </c>
      <c r="AO242" s="21" t="n">
        <f aca="false">MIN(ROUND(AB242*(1+AB$15),2),AH242+MAX(0,AK242-AL242+AE242-AM242+AF242-AN242+AG242))</f>
        <v>0</v>
      </c>
      <c r="AP242" s="21" t="n">
        <f aca="false">MIN(ROUND(AC242*(1+AC$15),2),AI242+MAX(0,AK242-AL242+AE242-AM242+AF242-AN242+AG242-AO242+AH242))</f>
        <v>0</v>
      </c>
      <c r="AQ242" s="21" t="n">
        <f aca="false">MIN(ROUND(AD242*(1+AD$15),2),AJ242+MAX(0,AK242-AL242+AE242-AM242+AF242-AN242+AG242-AO242+AH242-AP242+AI242))</f>
        <v>0</v>
      </c>
      <c r="AR242" s="21" t="n">
        <f aca="false">SUM(Y242:AD242)</f>
        <v>0</v>
      </c>
      <c r="AS242" s="21" t="n">
        <f aca="false">SUM(AL242:AQ242)</f>
        <v>0</v>
      </c>
    </row>
    <row r="243" customFormat="false" ht="15" hidden="false" customHeight="false" outlineLevel="0" collapsed="false">
      <c r="A243" s="25" t="n">
        <f aca="false">A242+1</f>
        <v>217</v>
      </c>
      <c r="B243" s="21" t="n">
        <f aca="false">MAX(0,ROUND(B242*(1+B$15),2)-O242)</f>
        <v>0</v>
      </c>
      <c r="C243" s="21" t="n">
        <f aca="false">MAX(0,ROUND(C242*(1+C$15),2)-P242)</f>
        <v>0</v>
      </c>
      <c r="D243" s="21" t="n">
        <f aca="false">MAX(0,ROUND(D242*(1+D$15),2)-Q242)</f>
        <v>0</v>
      </c>
      <c r="E243" s="21" t="n">
        <f aca="false">MAX(0,ROUND(E242*(1+E$15),2)-R242)</f>
        <v>0</v>
      </c>
      <c r="F243" s="21" t="n">
        <f aca="false">MAX(0,ROUND(F242*(1+F$15),2)-S242)</f>
        <v>0</v>
      </c>
      <c r="G243" s="21" t="n">
        <f aca="false">MAX(0,ROUND(G242*(1+G$15),2)-T242)</f>
        <v>0</v>
      </c>
      <c r="H243" s="21" t="n">
        <f aca="false">MIN(B$16,ROUND(B243*(1+B$15),2))</f>
        <v>0</v>
      </c>
      <c r="I243" s="21" t="n">
        <f aca="false">MIN(C$16,ROUND(C243*(1+C$15),2))</f>
        <v>0</v>
      </c>
      <c r="J243" s="21" t="n">
        <f aca="false">MIN(D$16,ROUND(D243*(1+D$15),2))</f>
        <v>0</v>
      </c>
      <c r="K243" s="21" t="n">
        <f aca="false">MIN(E$16,ROUND(E243*(1+E$15),2))</f>
        <v>0</v>
      </c>
      <c r="L243" s="21" t="n">
        <f aca="false">MIN(F$16,ROUND(F243*(1+F$15),2))</f>
        <v>0</v>
      </c>
      <c r="M243" s="21" t="n">
        <f aca="false">MIN(G$16,ROUND(G243*(1+G$15),2))</f>
        <v>0</v>
      </c>
      <c r="N243" s="21" t="n">
        <f aca="false">B$20-SUM(H243:M243)</f>
        <v>1170</v>
      </c>
      <c r="O243" s="21" t="n">
        <f aca="false">MIN(ROUND(B243*(1+B$15),2),H243+MAX(0,N243))</f>
        <v>0</v>
      </c>
      <c r="P243" s="21" t="n">
        <f aca="false">MIN(ROUND(C243*(1+C$15),2),I243+MAX(0,N243-O243+H243))</f>
        <v>0</v>
      </c>
      <c r="Q243" s="21" t="n">
        <f aca="false">MIN(ROUND(D243*(1+D$15),2),J243+MAX(0,N243-O243+H243-P243+I243))</f>
        <v>0</v>
      </c>
      <c r="R243" s="21" t="n">
        <f aca="false">MIN(ROUND(E243*(1+E$15),2),K243+MAX(0,N243-O243+H243-P243+I243-Q243+J243))</f>
        <v>0</v>
      </c>
      <c r="S243" s="21" t="n">
        <f aca="false">MIN(ROUND(F243*(1+F$15),2),L243+MAX(0,N243-O243+H243-P243+I243-Q243+J243-R243+K243))</f>
        <v>0</v>
      </c>
      <c r="T243" s="21" t="n">
        <f aca="false">MIN(ROUND(G243*(1+G$15),2),M243+MAX(0,N243-O243+H243-P243+I243-Q243+J243-R243+K243-S243+L243))</f>
        <v>0</v>
      </c>
      <c r="U243" s="21" t="n">
        <f aca="false">SUM(B243:G243)</f>
        <v>0</v>
      </c>
      <c r="V243" s="21" t="n">
        <f aca="false">SUM(O243:T243)</f>
        <v>0</v>
      </c>
      <c r="X243" s="25" t="n">
        <f aca="false">X242+1</f>
        <v>217</v>
      </c>
      <c r="Y243" s="21" t="n">
        <f aca="false">MAX(0,ROUND(Y242*(1+Y$15),2)-AL242)</f>
        <v>0</v>
      </c>
      <c r="Z243" s="21" t="n">
        <f aca="false">MAX(0,ROUND(Z242*(1+Z$15),2)-AM242)</f>
        <v>0</v>
      </c>
      <c r="AA243" s="21" t="n">
        <f aca="false">MAX(0,ROUND(AA242*(1+AA$15),2)-AN242)</f>
        <v>0</v>
      </c>
      <c r="AB243" s="21" t="n">
        <f aca="false">MAX(0,ROUND(AB242*(1+AB$15),2)-AO242)</f>
        <v>0</v>
      </c>
      <c r="AC243" s="21" t="n">
        <f aca="false">MAX(0,ROUND(AC242*(1+AC$15),2)-AP242)</f>
        <v>0</v>
      </c>
      <c r="AD243" s="21" t="n">
        <f aca="false">MAX(0,ROUND(AD242*(1+AD$15),2)-AQ242)</f>
        <v>0</v>
      </c>
      <c r="AE243" s="21" t="n">
        <f aca="false">MIN(Y$16,ROUND(Y243*(1+Y$15),2))</f>
        <v>0</v>
      </c>
      <c r="AF243" s="21" t="n">
        <f aca="false">MIN(Z$16,ROUND(Z243*(1+Z$15),2))</f>
        <v>0</v>
      </c>
      <c r="AG243" s="21" t="n">
        <f aca="false">MIN(AA$16,ROUND(AA243*(1+AA$15),2))</f>
        <v>0</v>
      </c>
      <c r="AH243" s="21" t="n">
        <f aca="false">MIN(AB$16,ROUND(AB243*(1+AB$15),2))</f>
        <v>0</v>
      </c>
      <c r="AI243" s="21" t="n">
        <f aca="false">MIN(AC$16,ROUND(AC243*(1+AC$15),2))</f>
        <v>0</v>
      </c>
      <c r="AJ243" s="21" t="n">
        <f aca="false">MIN(AD$16,ROUND(AD243*(1+AD$15),2))</f>
        <v>0</v>
      </c>
      <c r="AK243" s="21" t="n">
        <f aca="false">Y$20-SUM(AE243:AJ243)</f>
        <v>1170</v>
      </c>
      <c r="AL243" s="21" t="n">
        <f aca="false">MIN(ROUND(Y243*(1+Y$15),2),AE243+MAX(0,AK243))</f>
        <v>0</v>
      </c>
      <c r="AM243" s="21" t="n">
        <f aca="false">MIN(ROUND(Z243*(1+Z$15),2),AF243+MAX(0,AK243-AL243+AE243))</f>
        <v>0</v>
      </c>
      <c r="AN243" s="21" t="n">
        <f aca="false">MIN(ROUND(AA243*(1+AA$15),2),AG243+MAX(0,AK243-AL243+AE243-AM243+AF243))</f>
        <v>0</v>
      </c>
      <c r="AO243" s="21" t="n">
        <f aca="false">MIN(ROUND(AB243*(1+AB$15),2),AH243+MAX(0,AK243-AL243+AE243-AM243+AF243-AN243+AG243))</f>
        <v>0</v>
      </c>
      <c r="AP243" s="21" t="n">
        <f aca="false">MIN(ROUND(AC243*(1+AC$15),2),AI243+MAX(0,AK243-AL243+AE243-AM243+AF243-AN243+AG243-AO243+AH243))</f>
        <v>0</v>
      </c>
      <c r="AQ243" s="21" t="n">
        <f aca="false">MIN(ROUND(AD243*(1+AD$15),2),AJ243+MAX(0,AK243-AL243+AE243-AM243+AF243-AN243+AG243-AO243+AH243-AP243+AI243))</f>
        <v>0</v>
      </c>
      <c r="AR243" s="21" t="n">
        <f aca="false">SUM(Y243:AD243)</f>
        <v>0</v>
      </c>
      <c r="AS243" s="21" t="n">
        <f aca="false">SUM(AL243:AQ243)</f>
        <v>0</v>
      </c>
    </row>
    <row r="244" customFormat="false" ht="15" hidden="false" customHeight="false" outlineLevel="0" collapsed="false">
      <c r="A244" s="25" t="n">
        <f aca="false">A243+1</f>
        <v>218</v>
      </c>
      <c r="B244" s="21" t="n">
        <f aca="false">MAX(0,ROUND(B243*(1+B$15),2)-O243)</f>
        <v>0</v>
      </c>
      <c r="C244" s="21" t="n">
        <f aca="false">MAX(0,ROUND(C243*(1+C$15),2)-P243)</f>
        <v>0</v>
      </c>
      <c r="D244" s="21" t="n">
        <f aca="false">MAX(0,ROUND(D243*(1+D$15),2)-Q243)</f>
        <v>0</v>
      </c>
      <c r="E244" s="21" t="n">
        <f aca="false">MAX(0,ROUND(E243*(1+E$15),2)-R243)</f>
        <v>0</v>
      </c>
      <c r="F244" s="21" t="n">
        <f aca="false">MAX(0,ROUND(F243*(1+F$15),2)-S243)</f>
        <v>0</v>
      </c>
      <c r="G244" s="21" t="n">
        <f aca="false">MAX(0,ROUND(G243*(1+G$15),2)-T243)</f>
        <v>0</v>
      </c>
      <c r="H244" s="21" t="n">
        <f aca="false">MIN(B$16,ROUND(B244*(1+B$15),2))</f>
        <v>0</v>
      </c>
      <c r="I244" s="21" t="n">
        <f aca="false">MIN(C$16,ROUND(C244*(1+C$15),2))</f>
        <v>0</v>
      </c>
      <c r="J244" s="21" t="n">
        <f aca="false">MIN(D$16,ROUND(D244*(1+D$15),2))</f>
        <v>0</v>
      </c>
      <c r="K244" s="21" t="n">
        <f aca="false">MIN(E$16,ROUND(E244*(1+E$15),2))</f>
        <v>0</v>
      </c>
      <c r="L244" s="21" t="n">
        <f aca="false">MIN(F$16,ROUND(F244*(1+F$15),2))</f>
        <v>0</v>
      </c>
      <c r="M244" s="21" t="n">
        <f aca="false">MIN(G$16,ROUND(G244*(1+G$15),2))</f>
        <v>0</v>
      </c>
      <c r="N244" s="21" t="n">
        <f aca="false">B$20-SUM(H244:M244)</f>
        <v>1170</v>
      </c>
      <c r="O244" s="21" t="n">
        <f aca="false">MIN(ROUND(B244*(1+B$15),2),H244+MAX(0,N244))</f>
        <v>0</v>
      </c>
      <c r="P244" s="21" t="n">
        <f aca="false">MIN(ROUND(C244*(1+C$15),2),I244+MAX(0,N244-O244+H244))</f>
        <v>0</v>
      </c>
      <c r="Q244" s="21" t="n">
        <f aca="false">MIN(ROUND(D244*(1+D$15),2),J244+MAX(0,N244-O244+H244-P244+I244))</f>
        <v>0</v>
      </c>
      <c r="R244" s="21" t="n">
        <f aca="false">MIN(ROUND(E244*(1+E$15),2),K244+MAX(0,N244-O244+H244-P244+I244-Q244+J244))</f>
        <v>0</v>
      </c>
      <c r="S244" s="21" t="n">
        <f aca="false">MIN(ROUND(F244*(1+F$15),2),L244+MAX(0,N244-O244+H244-P244+I244-Q244+J244-R244+K244))</f>
        <v>0</v>
      </c>
      <c r="T244" s="21" t="n">
        <f aca="false">MIN(ROUND(G244*(1+G$15),2),M244+MAX(0,N244-O244+H244-P244+I244-Q244+J244-R244+K244-S244+L244))</f>
        <v>0</v>
      </c>
      <c r="U244" s="21" t="n">
        <f aca="false">SUM(B244:G244)</f>
        <v>0</v>
      </c>
      <c r="V244" s="21" t="n">
        <f aca="false">SUM(O244:T244)</f>
        <v>0</v>
      </c>
      <c r="X244" s="25" t="n">
        <f aca="false">X243+1</f>
        <v>218</v>
      </c>
      <c r="Y244" s="21" t="n">
        <f aca="false">MAX(0,ROUND(Y243*(1+Y$15),2)-AL243)</f>
        <v>0</v>
      </c>
      <c r="Z244" s="21" t="n">
        <f aca="false">MAX(0,ROUND(Z243*(1+Z$15),2)-AM243)</f>
        <v>0</v>
      </c>
      <c r="AA244" s="21" t="n">
        <f aca="false">MAX(0,ROUND(AA243*(1+AA$15),2)-AN243)</f>
        <v>0</v>
      </c>
      <c r="AB244" s="21" t="n">
        <f aca="false">MAX(0,ROUND(AB243*(1+AB$15),2)-AO243)</f>
        <v>0</v>
      </c>
      <c r="AC244" s="21" t="n">
        <f aca="false">MAX(0,ROUND(AC243*(1+AC$15),2)-AP243)</f>
        <v>0</v>
      </c>
      <c r="AD244" s="21" t="n">
        <f aca="false">MAX(0,ROUND(AD243*(1+AD$15),2)-AQ243)</f>
        <v>0</v>
      </c>
      <c r="AE244" s="21" t="n">
        <f aca="false">MIN(Y$16,ROUND(Y244*(1+Y$15),2))</f>
        <v>0</v>
      </c>
      <c r="AF244" s="21" t="n">
        <f aca="false">MIN(Z$16,ROUND(Z244*(1+Z$15),2))</f>
        <v>0</v>
      </c>
      <c r="AG244" s="21" t="n">
        <f aca="false">MIN(AA$16,ROUND(AA244*(1+AA$15),2))</f>
        <v>0</v>
      </c>
      <c r="AH244" s="21" t="n">
        <f aca="false">MIN(AB$16,ROUND(AB244*(1+AB$15),2))</f>
        <v>0</v>
      </c>
      <c r="AI244" s="21" t="n">
        <f aca="false">MIN(AC$16,ROUND(AC244*(1+AC$15),2))</f>
        <v>0</v>
      </c>
      <c r="AJ244" s="21" t="n">
        <f aca="false">MIN(AD$16,ROUND(AD244*(1+AD$15),2))</f>
        <v>0</v>
      </c>
      <c r="AK244" s="21" t="n">
        <f aca="false">Y$20-SUM(AE244:AJ244)</f>
        <v>1170</v>
      </c>
      <c r="AL244" s="21" t="n">
        <f aca="false">MIN(ROUND(Y244*(1+Y$15),2),AE244+MAX(0,AK244))</f>
        <v>0</v>
      </c>
      <c r="AM244" s="21" t="n">
        <f aca="false">MIN(ROUND(Z244*(1+Z$15),2),AF244+MAX(0,AK244-AL244+AE244))</f>
        <v>0</v>
      </c>
      <c r="AN244" s="21" t="n">
        <f aca="false">MIN(ROUND(AA244*(1+AA$15),2),AG244+MAX(0,AK244-AL244+AE244-AM244+AF244))</f>
        <v>0</v>
      </c>
      <c r="AO244" s="21" t="n">
        <f aca="false">MIN(ROUND(AB244*(1+AB$15),2),AH244+MAX(0,AK244-AL244+AE244-AM244+AF244-AN244+AG244))</f>
        <v>0</v>
      </c>
      <c r="AP244" s="21" t="n">
        <f aca="false">MIN(ROUND(AC244*(1+AC$15),2),AI244+MAX(0,AK244-AL244+AE244-AM244+AF244-AN244+AG244-AO244+AH244))</f>
        <v>0</v>
      </c>
      <c r="AQ244" s="21" t="n">
        <f aca="false">MIN(ROUND(AD244*(1+AD$15),2),AJ244+MAX(0,AK244-AL244+AE244-AM244+AF244-AN244+AG244-AO244+AH244-AP244+AI244))</f>
        <v>0</v>
      </c>
      <c r="AR244" s="21" t="n">
        <f aca="false">SUM(Y244:AD244)</f>
        <v>0</v>
      </c>
      <c r="AS244" s="21" t="n">
        <f aca="false">SUM(AL244:AQ244)</f>
        <v>0</v>
      </c>
    </row>
    <row r="245" customFormat="false" ht="15" hidden="false" customHeight="false" outlineLevel="0" collapsed="false">
      <c r="A245" s="25" t="n">
        <f aca="false">A244+1</f>
        <v>219</v>
      </c>
      <c r="B245" s="21" t="n">
        <f aca="false">MAX(0,ROUND(B244*(1+B$15),2)-O244)</f>
        <v>0</v>
      </c>
      <c r="C245" s="21" t="n">
        <f aca="false">MAX(0,ROUND(C244*(1+C$15),2)-P244)</f>
        <v>0</v>
      </c>
      <c r="D245" s="21" t="n">
        <f aca="false">MAX(0,ROUND(D244*(1+D$15),2)-Q244)</f>
        <v>0</v>
      </c>
      <c r="E245" s="21" t="n">
        <f aca="false">MAX(0,ROUND(E244*(1+E$15),2)-R244)</f>
        <v>0</v>
      </c>
      <c r="F245" s="21" t="n">
        <f aca="false">MAX(0,ROUND(F244*(1+F$15),2)-S244)</f>
        <v>0</v>
      </c>
      <c r="G245" s="21" t="n">
        <f aca="false">MAX(0,ROUND(G244*(1+G$15),2)-T244)</f>
        <v>0</v>
      </c>
      <c r="H245" s="21" t="n">
        <f aca="false">MIN(B$16,ROUND(B245*(1+B$15),2))</f>
        <v>0</v>
      </c>
      <c r="I245" s="21" t="n">
        <f aca="false">MIN(C$16,ROUND(C245*(1+C$15),2))</f>
        <v>0</v>
      </c>
      <c r="J245" s="21" t="n">
        <f aca="false">MIN(D$16,ROUND(D245*(1+D$15),2))</f>
        <v>0</v>
      </c>
      <c r="K245" s="21" t="n">
        <f aca="false">MIN(E$16,ROUND(E245*(1+E$15),2))</f>
        <v>0</v>
      </c>
      <c r="L245" s="21" t="n">
        <f aca="false">MIN(F$16,ROUND(F245*(1+F$15),2))</f>
        <v>0</v>
      </c>
      <c r="M245" s="21" t="n">
        <f aca="false">MIN(G$16,ROUND(G245*(1+G$15),2))</f>
        <v>0</v>
      </c>
      <c r="N245" s="21" t="n">
        <f aca="false">B$20-SUM(H245:M245)</f>
        <v>1170</v>
      </c>
      <c r="O245" s="21" t="n">
        <f aca="false">MIN(ROUND(B245*(1+B$15),2),H245+MAX(0,N245))</f>
        <v>0</v>
      </c>
      <c r="P245" s="21" t="n">
        <f aca="false">MIN(ROUND(C245*(1+C$15),2),I245+MAX(0,N245-O245+H245))</f>
        <v>0</v>
      </c>
      <c r="Q245" s="21" t="n">
        <f aca="false">MIN(ROUND(D245*(1+D$15),2),J245+MAX(0,N245-O245+H245-P245+I245))</f>
        <v>0</v>
      </c>
      <c r="R245" s="21" t="n">
        <f aca="false">MIN(ROUND(E245*(1+E$15),2),K245+MAX(0,N245-O245+H245-P245+I245-Q245+J245))</f>
        <v>0</v>
      </c>
      <c r="S245" s="21" t="n">
        <f aca="false">MIN(ROUND(F245*(1+F$15),2),L245+MAX(0,N245-O245+H245-P245+I245-Q245+J245-R245+K245))</f>
        <v>0</v>
      </c>
      <c r="T245" s="21" t="n">
        <f aca="false">MIN(ROUND(G245*(1+G$15),2),M245+MAX(0,N245-O245+H245-P245+I245-Q245+J245-R245+K245-S245+L245))</f>
        <v>0</v>
      </c>
      <c r="U245" s="21" t="n">
        <f aca="false">SUM(B245:G245)</f>
        <v>0</v>
      </c>
      <c r="V245" s="21" t="n">
        <f aca="false">SUM(O245:T245)</f>
        <v>0</v>
      </c>
      <c r="X245" s="25" t="n">
        <f aca="false">X244+1</f>
        <v>219</v>
      </c>
      <c r="Y245" s="21" t="n">
        <f aca="false">MAX(0,ROUND(Y244*(1+Y$15),2)-AL244)</f>
        <v>0</v>
      </c>
      <c r="Z245" s="21" t="n">
        <f aca="false">MAX(0,ROUND(Z244*(1+Z$15),2)-AM244)</f>
        <v>0</v>
      </c>
      <c r="AA245" s="21" t="n">
        <f aca="false">MAX(0,ROUND(AA244*(1+AA$15),2)-AN244)</f>
        <v>0</v>
      </c>
      <c r="AB245" s="21" t="n">
        <f aca="false">MAX(0,ROUND(AB244*(1+AB$15),2)-AO244)</f>
        <v>0</v>
      </c>
      <c r="AC245" s="21" t="n">
        <f aca="false">MAX(0,ROUND(AC244*(1+AC$15),2)-AP244)</f>
        <v>0</v>
      </c>
      <c r="AD245" s="21" t="n">
        <f aca="false">MAX(0,ROUND(AD244*(1+AD$15),2)-AQ244)</f>
        <v>0</v>
      </c>
      <c r="AE245" s="21" t="n">
        <f aca="false">MIN(Y$16,ROUND(Y245*(1+Y$15),2))</f>
        <v>0</v>
      </c>
      <c r="AF245" s="21" t="n">
        <f aca="false">MIN(Z$16,ROUND(Z245*(1+Z$15),2))</f>
        <v>0</v>
      </c>
      <c r="AG245" s="21" t="n">
        <f aca="false">MIN(AA$16,ROUND(AA245*(1+AA$15),2))</f>
        <v>0</v>
      </c>
      <c r="AH245" s="21" t="n">
        <f aca="false">MIN(AB$16,ROUND(AB245*(1+AB$15),2))</f>
        <v>0</v>
      </c>
      <c r="AI245" s="21" t="n">
        <f aca="false">MIN(AC$16,ROUND(AC245*(1+AC$15),2))</f>
        <v>0</v>
      </c>
      <c r="AJ245" s="21" t="n">
        <f aca="false">MIN(AD$16,ROUND(AD245*(1+AD$15),2))</f>
        <v>0</v>
      </c>
      <c r="AK245" s="21" t="n">
        <f aca="false">Y$20-SUM(AE245:AJ245)</f>
        <v>1170</v>
      </c>
      <c r="AL245" s="21" t="n">
        <f aca="false">MIN(ROUND(Y245*(1+Y$15),2),AE245+MAX(0,AK245))</f>
        <v>0</v>
      </c>
      <c r="AM245" s="21" t="n">
        <f aca="false">MIN(ROUND(Z245*(1+Z$15),2),AF245+MAX(0,AK245-AL245+AE245))</f>
        <v>0</v>
      </c>
      <c r="AN245" s="21" t="n">
        <f aca="false">MIN(ROUND(AA245*(1+AA$15),2),AG245+MAX(0,AK245-AL245+AE245-AM245+AF245))</f>
        <v>0</v>
      </c>
      <c r="AO245" s="21" t="n">
        <f aca="false">MIN(ROUND(AB245*(1+AB$15),2),AH245+MAX(0,AK245-AL245+AE245-AM245+AF245-AN245+AG245))</f>
        <v>0</v>
      </c>
      <c r="AP245" s="21" t="n">
        <f aca="false">MIN(ROUND(AC245*(1+AC$15),2),AI245+MAX(0,AK245-AL245+AE245-AM245+AF245-AN245+AG245-AO245+AH245))</f>
        <v>0</v>
      </c>
      <c r="AQ245" s="21" t="n">
        <f aca="false">MIN(ROUND(AD245*(1+AD$15),2),AJ245+MAX(0,AK245-AL245+AE245-AM245+AF245-AN245+AG245-AO245+AH245-AP245+AI245))</f>
        <v>0</v>
      </c>
      <c r="AR245" s="21" t="n">
        <f aca="false">SUM(Y245:AD245)</f>
        <v>0</v>
      </c>
      <c r="AS245" s="21" t="n">
        <f aca="false">SUM(AL245:AQ245)</f>
        <v>0</v>
      </c>
    </row>
    <row r="246" customFormat="false" ht="15" hidden="false" customHeight="false" outlineLevel="0" collapsed="false">
      <c r="A246" s="25" t="n">
        <f aca="false">A245+1</f>
        <v>220</v>
      </c>
      <c r="B246" s="21" t="n">
        <f aca="false">MAX(0,ROUND(B245*(1+B$15),2)-O245)</f>
        <v>0</v>
      </c>
      <c r="C246" s="21" t="n">
        <f aca="false">MAX(0,ROUND(C245*(1+C$15),2)-P245)</f>
        <v>0</v>
      </c>
      <c r="D246" s="21" t="n">
        <f aca="false">MAX(0,ROUND(D245*(1+D$15),2)-Q245)</f>
        <v>0</v>
      </c>
      <c r="E246" s="21" t="n">
        <f aca="false">MAX(0,ROUND(E245*(1+E$15),2)-R245)</f>
        <v>0</v>
      </c>
      <c r="F246" s="21" t="n">
        <f aca="false">MAX(0,ROUND(F245*(1+F$15),2)-S245)</f>
        <v>0</v>
      </c>
      <c r="G246" s="21" t="n">
        <f aca="false">MAX(0,ROUND(G245*(1+G$15),2)-T245)</f>
        <v>0</v>
      </c>
      <c r="H246" s="21" t="n">
        <f aca="false">MIN(B$16,ROUND(B246*(1+B$15),2))</f>
        <v>0</v>
      </c>
      <c r="I246" s="21" t="n">
        <f aca="false">MIN(C$16,ROUND(C246*(1+C$15),2))</f>
        <v>0</v>
      </c>
      <c r="J246" s="21" t="n">
        <f aca="false">MIN(D$16,ROUND(D246*(1+D$15),2))</f>
        <v>0</v>
      </c>
      <c r="K246" s="21" t="n">
        <f aca="false">MIN(E$16,ROUND(E246*(1+E$15),2))</f>
        <v>0</v>
      </c>
      <c r="L246" s="21" t="n">
        <f aca="false">MIN(F$16,ROUND(F246*(1+F$15),2))</f>
        <v>0</v>
      </c>
      <c r="M246" s="21" t="n">
        <f aca="false">MIN(G$16,ROUND(G246*(1+G$15),2))</f>
        <v>0</v>
      </c>
      <c r="N246" s="21" t="n">
        <f aca="false">B$20-SUM(H246:M246)</f>
        <v>1170</v>
      </c>
      <c r="O246" s="21" t="n">
        <f aca="false">MIN(ROUND(B246*(1+B$15),2),H246+MAX(0,N246))</f>
        <v>0</v>
      </c>
      <c r="P246" s="21" t="n">
        <f aca="false">MIN(ROUND(C246*(1+C$15),2),I246+MAX(0,N246-O246+H246))</f>
        <v>0</v>
      </c>
      <c r="Q246" s="21" t="n">
        <f aca="false">MIN(ROUND(D246*(1+D$15),2),J246+MAX(0,N246-O246+H246-P246+I246))</f>
        <v>0</v>
      </c>
      <c r="R246" s="21" t="n">
        <f aca="false">MIN(ROUND(E246*(1+E$15),2),K246+MAX(0,N246-O246+H246-P246+I246-Q246+J246))</f>
        <v>0</v>
      </c>
      <c r="S246" s="21" t="n">
        <f aca="false">MIN(ROUND(F246*(1+F$15),2),L246+MAX(0,N246-O246+H246-P246+I246-Q246+J246-R246+K246))</f>
        <v>0</v>
      </c>
      <c r="T246" s="21" t="n">
        <f aca="false">MIN(ROUND(G246*(1+G$15),2),M246+MAX(0,N246-O246+H246-P246+I246-Q246+J246-R246+K246-S246+L246))</f>
        <v>0</v>
      </c>
      <c r="U246" s="21" t="n">
        <f aca="false">SUM(B246:G246)</f>
        <v>0</v>
      </c>
      <c r="V246" s="21" t="n">
        <f aca="false">SUM(O246:T246)</f>
        <v>0</v>
      </c>
      <c r="X246" s="25" t="n">
        <f aca="false">X245+1</f>
        <v>220</v>
      </c>
      <c r="Y246" s="21" t="n">
        <f aca="false">MAX(0,ROUND(Y245*(1+Y$15),2)-AL245)</f>
        <v>0</v>
      </c>
      <c r="Z246" s="21" t="n">
        <f aca="false">MAX(0,ROUND(Z245*(1+Z$15),2)-AM245)</f>
        <v>0</v>
      </c>
      <c r="AA246" s="21" t="n">
        <f aca="false">MAX(0,ROUND(AA245*(1+AA$15),2)-AN245)</f>
        <v>0</v>
      </c>
      <c r="AB246" s="21" t="n">
        <f aca="false">MAX(0,ROUND(AB245*(1+AB$15),2)-AO245)</f>
        <v>0</v>
      </c>
      <c r="AC246" s="21" t="n">
        <f aca="false">MAX(0,ROUND(AC245*(1+AC$15),2)-AP245)</f>
        <v>0</v>
      </c>
      <c r="AD246" s="21" t="n">
        <f aca="false">MAX(0,ROUND(AD245*(1+AD$15),2)-AQ245)</f>
        <v>0</v>
      </c>
      <c r="AE246" s="21" t="n">
        <f aca="false">MIN(Y$16,ROUND(Y246*(1+Y$15),2))</f>
        <v>0</v>
      </c>
      <c r="AF246" s="21" t="n">
        <f aca="false">MIN(Z$16,ROUND(Z246*(1+Z$15),2))</f>
        <v>0</v>
      </c>
      <c r="AG246" s="21" t="n">
        <f aca="false">MIN(AA$16,ROUND(AA246*(1+AA$15),2))</f>
        <v>0</v>
      </c>
      <c r="AH246" s="21" t="n">
        <f aca="false">MIN(AB$16,ROUND(AB246*(1+AB$15),2))</f>
        <v>0</v>
      </c>
      <c r="AI246" s="21" t="n">
        <f aca="false">MIN(AC$16,ROUND(AC246*(1+AC$15),2))</f>
        <v>0</v>
      </c>
      <c r="AJ246" s="21" t="n">
        <f aca="false">MIN(AD$16,ROUND(AD246*(1+AD$15),2))</f>
        <v>0</v>
      </c>
      <c r="AK246" s="21" t="n">
        <f aca="false">Y$20-SUM(AE246:AJ246)</f>
        <v>1170</v>
      </c>
      <c r="AL246" s="21" t="n">
        <f aca="false">MIN(ROUND(Y246*(1+Y$15),2),AE246+MAX(0,AK246))</f>
        <v>0</v>
      </c>
      <c r="AM246" s="21" t="n">
        <f aca="false">MIN(ROUND(Z246*(1+Z$15),2),AF246+MAX(0,AK246-AL246+AE246))</f>
        <v>0</v>
      </c>
      <c r="AN246" s="21" t="n">
        <f aca="false">MIN(ROUND(AA246*(1+AA$15),2),AG246+MAX(0,AK246-AL246+AE246-AM246+AF246))</f>
        <v>0</v>
      </c>
      <c r="AO246" s="21" t="n">
        <f aca="false">MIN(ROUND(AB246*(1+AB$15),2),AH246+MAX(0,AK246-AL246+AE246-AM246+AF246-AN246+AG246))</f>
        <v>0</v>
      </c>
      <c r="AP246" s="21" t="n">
        <f aca="false">MIN(ROUND(AC246*(1+AC$15),2),AI246+MAX(0,AK246-AL246+AE246-AM246+AF246-AN246+AG246-AO246+AH246))</f>
        <v>0</v>
      </c>
      <c r="AQ246" s="21" t="n">
        <f aca="false">MIN(ROUND(AD246*(1+AD$15),2),AJ246+MAX(0,AK246-AL246+AE246-AM246+AF246-AN246+AG246-AO246+AH246-AP246+AI246))</f>
        <v>0</v>
      </c>
      <c r="AR246" s="21" t="n">
        <f aca="false">SUM(Y246:AD246)</f>
        <v>0</v>
      </c>
      <c r="AS246" s="21" t="n">
        <f aca="false">SUM(AL246:AQ246)</f>
        <v>0</v>
      </c>
    </row>
    <row r="247" customFormat="false" ht="15" hidden="false" customHeight="false" outlineLevel="0" collapsed="false">
      <c r="A247" s="25" t="n">
        <f aca="false">A246+1</f>
        <v>221</v>
      </c>
      <c r="B247" s="21" t="n">
        <f aca="false">MAX(0,ROUND(B246*(1+B$15),2)-O246)</f>
        <v>0</v>
      </c>
      <c r="C247" s="21" t="n">
        <f aca="false">MAX(0,ROUND(C246*(1+C$15),2)-P246)</f>
        <v>0</v>
      </c>
      <c r="D247" s="21" t="n">
        <f aca="false">MAX(0,ROUND(D246*(1+D$15),2)-Q246)</f>
        <v>0</v>
      </c>
      <c r="E247" s="21" t="n">
        <f aca="false">MAX(0,ROUND(E246*(1+E$15),2)-R246)</f>
        <v>0</v>
      </c>
      <c r="F247" s="21" t="n">
        <f aca="false">MAX(0,ROUND(F246*(1+F$15),2)-S246)</f>
        <v>0</v>
      </c>
      <c r="G247" s="21" t="n">
        <f aca="false">MAX(0,ROUND(G246*(1+G$15),2)-T246)</f>
        <v>0</v>
      </c>
      <c r="H247" s="21" t="n">
        <f aca="false">MIN(B$16,ROUND(B247*(1+B$15),2))</f>
        <v>0</v>
      </c>
      <c r="I247" s="21" t="n">
        <f aca="false">MIN(C$16,ROUND(C247*(1+C$15),2))</f>
        <v>0</v>
      </c>
      <c r="J247" s="21" t="n">
        <f aca="false">MIN(D$16,ROUND(D247*(1+D$15),2))</f>
        <v>0</v>
      </c>
      <c r="K247" s="21" t="n">
        <f aca="false">MIN(E$16,ROUND(E247*(1+E$15),2))</f>
        <v>0</v>
      </c>
      <c r="L247" s="21" t="n">
        <f aca="false">MIN(F$16,ROUND(F247*(1+F$15),2))</f>
        <v>0</v>
      </c>
      <c r="M247" s="21" t="n">
        <f aca="false">MIN(G$16,ROUND(G247*(1+G$15),2))</f>
        <v>0</v>
      </c>
      <c r="N247" s="21" t="n">
        <f aca="false">B$20-SUM(H247:M247)</f>
        <v>1170</v>
      </c>
      <c r="O247" s="21" t="n">
        <f aca="false">MIN(ROUND(B247*(1+B$15),2),H247+MAX(0,N247))</f>
        <v>0</v>
      </c>
      <c r="P247" s="21" t="n">
        <f aca="false">MIN(ROUND(C247*(1+C$15),2),I247+MAX(0,N247-O247+H247))</f>
        <v>0</v>
      </c>
      <c r="Q247" s="21" t="n">
        <f aca="false">MIN(ROUND(D247*(1+D$15),2),J247+MAX(0,N247-O247+H247-P247+I247))</f>
        <v>0</v>
      </c>
      <c r="R247" s="21" t="n">
        <f aca="false">MIN(ROUND(E247*(1+E$15),2),K247+MAX(0,N247-O247+H247-P247+I247-Q247+J247))</f>
        <v>0</v>
      </c>
      <c r="S247" s="21" t="n">
        <f aca="false">MIN(ROUND(F247*(1+F$15),2),L247+MAX(0,N247-O247+H247-P247+I247-Q247+J247-R247+K247))</f>
        <v>0</v>
      </c>
      <c r="T247" s="21" t="n">
        <f aca="false">MIN(ROUND(G247*(1+G$15),2),M247+MAX(0,N247-O247+H247-P247+I247-Q247+J247-R247+K247-S247+L247))</f>
        <v>0</v>
      </c>
      <c r="U247" s="21" t="n">
        <f aca="false">SUM(B247:G247)</f>
        <v>0</v>
      </c>
      <c r="V247" s="21" t="n">
        <f aca="false">SUM(O247:T247)</f>
        <v>0</v>
      </c>
      <c r="X247" s="25" t="n">
        <f aca="false">X246+1</f>
        <v>221</v>
      </c>
      <c r="Y247" s="21" t="n">
        <f aca="false">MAX(0,ROUND(Y246*(1+Y$15),2)-AL246)</f>
        <v>0</v>
      </c>
      <c r="Z247" s="21" t="n">
        <f aca="false">MAX(0,ROUND(Z246*(1+Z$15),2)-AM246)</f>
        <v>0</v>
      </c>
      <c r="AA247" s="21" t="n">
        <f aca="false">MAX(0,ROUND(AA246*(1+AA$15),2)-AN246)</f>
        <v>0</v>
      </c>
      <c r="AB247" s="21" t="n">
        <f aca="false">MAX(0,ROUND(AB246*(1+AB$15),2)-AO246)</f>
        <v>0</v>
      </c>
      <c r="AC247" s="21" t="n">
        <f aca="false">MAX(0,ROUND(AC246*(1+AC$15),2)-AP246)</f>
        <v>0</v>
      </c>
      <c r="AD247" s="21" t="n">
        <f aca="false">MAX(0,ROUND(AD246*(1+AD$15),2)-AQ246)</f>
        <v>0</v>
      </c>
      <c r="AE247" s="21" t="n">
        <f aca="false">MIN(Y$16,ROUND(Y247*(1+Y$15),2))</f>
        <v>0</v>
      </c>
      <c r="AF247" s="21" t="n">
        <f aca="false">MIN(Z$16,ROUND(Z247*(1+Z$15),2))</f>
        <v>0</v>
      </c>
      <c r="AG247" s="21" t="n">
        <f aca="false">MIN(AA$16,ROUND(AA247*(1+AA$15),2))</f>
        <v>0</v>
      </c>
      <c r="AH247" s="21" t="n">
        <f aca="false">MIN(AB$16,ROUND(AB247*(1+AB$15),2))</f>
        <v>0</v>
      </c>
      <c r="AI247" s="21" t="n">
        <f aca="false">MIN(AC$16,ROUND(AC247*(1+AC$15),2))</f>
        <v>0</v>
      </c>
      <c r="AJ247" s="21" t="n">
        <f aca="false">MIN(AD$16,ROUND(AD247*(1+AD$15),2))</f>
        <v>0</v>
      </c>
      <c r="AK247" s="21" t="n">
        <f aca="false">Y$20-SUM(AE247:AJ247)</f>
        <v>1170</v>
      </c>
      <c r="AL247" s="21" t="n">
        <f aca="false">MIN(ROUND(Y247*(1+Y$15),2),AE247+MAX(0,AK247))</f>
        <v>0</v>
      </c>
      <c r="AM247" s="21" t="n">
        <f aca="false">MIN(ROUND(Z247*(1+Z$15),2),AF247+MAX(0,AK247-AL247+AE247))</f>
        <v>0</v>
      </c>
      <c r="AN247" s="21" t="n">
        <f aca="false">MIN(ROUND(AA247*(1+AA$15),2),AG247+MAX(0,AK247-AL247+AE247-AM247+AF247))</f>
        <v>0</v>
      </c>
      <c r="AO247" s="21" t="n">
        <f aca="false">MIN(ROUND(AB247*(1+AB$15),2),AH247+MAX(0,AK247-AL247+AE247-AM247+AF247-AN247+AG247))</f>
        <v>0</v>
      </c>
      <c r="AP247" s="21" t="n">
        <f aca="false">MIN(ROUND(AC247*(1+AC$15),2),AI247+MAX(0,AK247-AL247+AE247-AM247+AF247-AN247+AG247-AO247+AH247))</f>
        <v>0</v>
      </c>
      <c r="AQ247" s="21" t="n">
        <f aca="false">MIN(ROUND(AD247*(1+AD$15),2),AJ247+MAX(0,AK247-AL247+AE247-AM247+AF247-AN247+AG247-AO247+AH247-AP247+AI247))</f>
        <v>0</v>
      </c>
      <c r="AR247" s="21" t="n">
        <f aca="false">SUM(Y247:AD247)</f>
        <v>0</v>
      </c>
      <c r="AS247" s="21" t="n">
        <f aca="false">SUM(AL247:AQ247)</f>
        <v>0</v>
      </c>
    </row>
    <row r="248" customFormat="false" ht="15" hidden="false" customHeight="false" outlineLevel="0" collapsed="false">
      <c r="A248" s="25" t="n">
        <f aca="false">A247+1</f>
        <v>222</v>
      </c>
      <c r="B248" s="21" t="n">
        <f aca="false">MAX(0,ROUND(B247*(1+B$15),2)-O247)</f>
        <v>0</v>
      </c>
      <c r="C248" s="21" t="n">
        <f aca="false">MAX(0,ROUND(C247*(1+C$15),2)-P247)</f>
        <v>0</v>
      </c>
      <c r="D248" s="21" t="n">
        <f aca="false">MAX(0,ROUND(D247*(1+D$15),2)-Q247)</f>
        <v>0</v>
      </c>
      <c r="E248" s="21" t="n">
        <f aca="false">MAX(0,ROUND(E247*(1+E$15),2)-R247)</f>
        <v>0</v>
      </c>
      <c r="F248" s="21" t="n">
        <f aca="false">MAX(0,ROUND(F247*(1+F$15),2)-S247)</f>
        <v>0</v>
      </c>
      <c r="G248" s="21" t="n">
        <f aca="false">MAX(0,ROUND(G247*(1+G$15),2)-T247)</f>
        <v>0</v>
      </c>
      <c r="H248" s="21" t="n">
        <f aca="false">MIN(B$16,ROUND(B248*(1+B$15),2))</f>
        <v>0</v>
      </c>
      <c r="I248" s="21" t="n">
        <f aca="false">MIN(C$16,ROUND(C248*(1+C$15),2))</f>
        <v>0</v>
      </c>
      <c r="J248" s="21" t="n">
        <f aca="false">MIN(D$16,ROUND(D248*(1+D$15),2))</f>
        <v>0</v>
      </c>
      <c r="K248" s="21" t="n">
        <f aca="false">MIN(E$16,ROUND(E248*(1+E$15),2))</f>
        <v>0</v>
      </c>
      <c r="L248" s="21" t="n">
        <f aca="false">MIN(F$16,ROUND(F248*(1+F$15),2))</f>
        <v>0</v>
      </c>
      <c r="M248" s="21" t="n">
        <f aca="false">MIN(G$16,ROUND(G248*(1+G$15),2))</f>
        <v>0</v>
      </c>
      <c r="N248" s="21" t="n">
        <f aca="false">B$20-SUM(H248:M248)</f>
        <v>1170</v>
      </c>
      <c r="O248" s="21" t="n">
        <f aca="false">MIN(ROUND(B248*(1+B$15),2),H248+MAX(0,N248))</f>
        <v>0</v>
      </c>
      <c r="P248" s="21" t="n">
        <f aca="false">MIN(ROUND(C248*(1+C$15),2),I248+MAX(0,N248-O248+H248))</f>
        <v>0</v>
      </c>
      <c r="Q248" s="21" t="n">
        <f aca="false">MIN(ROUND(D248*(1+D$15),2),J248+MAX(0,N248-O248+H248-P248+I248))</f>
        <v>0</v>
      </c>
      <c r="R248" s="21" t="n">
        <f aca="false">MIN(ROUND(E248*(1+E$15),2),K248+MAX(0,N248-O248+H248-P248+I248-Q248+J248))</f>
        <v>0</v>
      </c>
      <c r="S248" s="21" t="n">
        <f aca="false">MIN(ROUND(F248*(1+F$15),2),L248+MAX(0,N248-O248+H248-P248+I248-Q248+J248-R248+K248))</f>
        <v>0</v>
      </c>
      <c r="T248" s="21" t="n">
        <f aca="false">MIN(ROUND(G248*(1+G$15),2),M248+MAX(0,N248-O248+H248-P248+I248-Q248+J248-R248+K248-S248+L248))</f>
        <v>0</v>
      </c>
      <c r="U248" s="21" t="n">
        <f aca="false">SUM(B248:G248)</f>
        <v>0</v>
      </c>
      <c r="V248" s="21" t="n">
        <f aca="false">SUM(O248:T248)</f>
        <v>0</v>
      </c>
      <c r="X248" s="25" t="n">
        <f aca="false">X247+1</f>
        <v>222</v>
      </c>
      <c r="Y248" s="21" t="n">
        <f aca="false">MAX(0,ROUND(Y247*(1+Y$15),2)-AL247)</f>
        <v>0</v>
      </c>
      <c r="Z248" s="21" t="n">
        <f aca="false">MAX(0,ROUND(Z247*(1+Z$15),2)-AM247)</f>
        <v>0</v>
      </c>
      <c r="AA248" s="21" t="n">
        <f aca="false">MAX(0,ROUND(AA247*(1+AA$15),2)-AN247)</f>
        <v>0</v>
      </c>
      <c r="AB248" s="21" t="n">
        <f aca="false">MAX(0,ROUND(AB247*(1+AB$15),2)-AO247)</f>
        <v>0</v>
      </c>
      <c r="AC248" s="21" t="n">
        <f aca="false">MAX(0,ROUND(AC247*(1+AC$15),2)-AP247)</f>
        <v>0</v>
      </c>
      <c r="AD248" s="21" t="n">
        <f aca="false">MAX(0,ROUND(AD247*(1+AD$15),2)-AQ247)</f>
        <v>0</v>
      </c>
      <c r="AE248" s="21" t="n">
        <f aca="false">MIN(Y$16,ROUND(Y248*(1+Y$15),2))</f>
        <v>0</v>
      </c>
      <c r="AF248" s="21" t="n">
        <f aca="false">MIN(Z$16,ROUND(Z248*(1+Z$15),2))</f>
        <v>0</v>
      </c>
      <c r="AG248" s="21" t="n">
        <f aca="false">MIN(AA$16,ROUND(AA248*(1+AA$15),2))</f>
        <v>0</v>
      </c>
      <c r="AH248" s="21" t="n">
        <f aca="false">MIN(AB$16,ROUND(AB248*(1+AB$15),2))</f>
        <v>0</v>
      </c>
      <c r="AI248" s="21" t="n">
        <f aca="false">MIN(AC$16,ROUND(AC248*(1+AC$15),2))</f>
        <v>0</v>
      </c>
      <c r="AJ248" s="21" t="n">
        <f aca="false">MIN(AD$16,ROUND(AD248*(1+AD$15),2))</f>
        <v>0</v>
      </c>
      <c r="AK248" s="21" t="n">
        <f aca="false">Y$20-SUM(AE248:AJ248)</f>
        <v>1170</v>
      </c>
      <c r="AL248" s="21" t="n">
        <f aca="false">MIN(ROUND(Y248*(1+Y$15),2),AE248+MAX(0,AK248))</f>
        <v>0</v>
      </c>
      <c r="AM248" s="21" t="n">
        <f aca="false">MIN(ROUND(Z248*(1+Z$15),2),AF248+MAX(0,AK248-AL248+AE248))</f>
        <v>0</v>
      </c>
      <c r="AN248" s="21" t="n">
        <f aca="false">MIN(ROUND(AA248*(1+AA$15),2),AG248+MAX(0,AK248-AL248+AE248-AM248+AF248))</f>
        <v>0</v>
      </c>
      <c r="AO248" s="21" t="n">
        <f aca="false">MIN(ROUND(AB248*(1+AB$15),2),AH248+MAX(0,AK248-AL248+AE248-AM248+AF248-AN248+AG248))</f>
        <v>0</v>
      </c>
      <c r="AP248" s="21" t="n">
        <f aca="false">MIN(ROUND(AC248*(1+AC$15),2),AI248+MAX(0,AK248-AL248+AE248-AM248+AF248-AN248+AG248-AO248+AH248))</f>
        <v>0</v>
      </c>
      <c r="AQ248" s="21" t="n">
        <f aca="false">MIN(ROUND(AD248*(1+AD$15),2),AJ248+MAX(0,AK248-AL248+AE248-AM248+AF248-AN248+AG248-AO248+AH248-AP248+AI248))</f>
        <v>0</v>
      </c>
      <c r="AR248" s="21" t="n">
        <f aca="false">SUM(Y248:AD248)</f>
        <v>0</v>
      </c>
      <c r="AS248" s="21" t="n">
        <f aca="false">SUM(AL248:AQ248)</f>
        <v>0</v>
      </c>
    </row>
    <row r="249" customFormat="false" ht="15" hidden="false" customHeight="false" outlineLevel="0" collapsed="false">
      <c r="A249" s="25" t="n">
        <f aca="false">A248+1</f>
        <v>223</v>
      </c>
      <c r="B249" s="21" t="n">
        <f aca="false">MAX(0,ROUND(B248*(1+B$15),2)-O248)</f>
        <v>0</v>
      </c>
      <c r="C249" s="21" t="n">
        <f aca="false">MAX(0,ROUND(C248*(1+C$15),2)-P248)</f>
        <v>0</v>
      </c>
      <c r="D249" s="21" t="n">
        <f aca="false">MAX(0,ROUND(D248*(1+D$15),2)-Q248)</f>
        <v>0</v>
      </c>
      <c r="E249" s="21" t="n">
        <f aca="false">MAX(0,ROUND(E248*(1+E$15),2)-R248)</f>
        <v>0</v>
      </c>
      <c r="F249" s="21" t="n">
        <f aca="false">MAX(0,ROUND(F248*(1+F$15),2)-S248)</f>
        <v>0</v>
      </c>
      <c r="G249" s="21" t="n">
        <f aca="false">MAX(0,ROUND(G248*(1+G$15),2)-T248)</f>
        <v>0</v>
      </c>
      <c r="H249" s="21" t="n">
        <f aca="false">MIN(B$16,ROUND(B249*(1+B$15),2))</f>
        <v>0</v>
      </c>
      <c r="I249" s="21" t="n">
        <f aca="false">MIN(C$16,ROUND(C249*(1+C$15),2))</f>
        <v>0</v>
      </c>
      <c r="J249" s="21" t="n">
        <f aca="false">MIN(D$16,ROUND(D249*(1+D$15),2))</f>
        <v>0</v>
      </c>
      <c r="K249" s="21" t="n">
        <f aca="false">MIN(E$16,ROUND(E249*(1+E$15),2))</f>
        <v>0</v>
      </c>
      <c r="L249" s="21" t="n">
        <f aca="false">MIN(F$16,ROUND(F249*(1+F$15),2))</f>
        <v>0</v>
      </c>
      <c r="M249" s="21" t="n">
        <f aca="false">MIN(G$16,ROUND(G249*(1+G$15),2))</f>
        <v>0</v>
      </c>
      <c r="N249" s="21" t="n">
        <f aca="false">B$20-SUM(H249:M249)</f>
        <v>1170</v>
      </c>
      <c r="O249" s="21" t="n">
        <f aca="false">MIN(ROUND(B249*(1+B$15),2),H249+MAX(0,N249))</f>
        <v>0</v>
      </c>
      <c r="P249" s="21" t="n">
        <f aca="false">MIN(ROUND(C249*(1+C$15),2),I249+MAX(0,N249-O249+H249))</f>
        <v>0</v>
      </c>
      <c r="Q249" s="21" t="n">
        <f aca="false">MIN(ROUND(D249*(1+D$15),2),J249+MAX(0,N249-O249+H249-P249+I249))</f>
        <v>0</v>
      </c>
      <c r="R249" s="21" t="n">
        <f aca="false">MIN(ROUND(E249*(1+E$15),2),K249+MAX(0,N249-O249+H249-P249+I249-Q249+J249))</f>
        <v>0</v>
      </c>
      <c r="S249" s="21" t="n">
        <f aca="false">MIN(ROUND(F249*(1+F$15),2),L249+MAX(0,N249-O249+H249-P249+I249-Q249+J249-R249+K249))</f>
        <v>0</v>
      </c>
      <c r="T249" s="21" t="n">
        <f aca="false">MIN(ROUND(G249*(1+G$15),2),M249+MAX(0,N249-O249+H249-P249+I249-Q249+J249-R249+K249-S249+L249))</f>
        <v>0</v>
      </c>
      <c r="U249" s="21" t="n">
        <f aca="false">SUM(B249:G249)</f>
        <v>0</v>
      </c>
      <c r="V249" s="21" t="n">
        <f aca="false">SUM(O249:T249)</f>
        <v>0</v>
      </c>
      <c r="X249" s="25" t="n">
        <f aca="false">X248+1</f>
        <v>223</v>
      </c>
      <c r="Y249" s="21" t="n">
        <f aca="false">MAX(0,ROUND(Y248*(1+Y$15),2)-AL248)</f>
        <v>0</v>
      </c>
      <c r="Z249" s="21" t="n">
        <f aca="false">MAX(0,ROUND(Z248*(1+Z$15),2)-AM248)</f>
        <v>0</v>
      </c>
      <c r="AA249" s="21" t="n">
        <f aca="false">MAX(0,ROUND(AA248*(1+AA$15),2)-AN248)</f>
        <v>0</v>
      </c>
      <c r="AB249" s="21" t="n">
        <f aca="false">MAX(0,ROUND(AB248*(1+AB$15),2)-AO248)</f>
        <v>0</v>
      </c>
      <c r="AC249" s="21" t="n">
        <f aca="false">MAX(0,ROUND(AC248*(1+AC$15),2)-AP248)</f>
        <v>0</v>
      </c>
      <c r="AD249" s="21" t="n">
        <f aca="false">MAX(0,ROUND(AD248*(1+AD$15),2)-AQ248)</f>
        <v>0</v>
      </c>
      <c r="AE249" s="21" t="n">
        <f aca="false">MIN(Y$16,ROUND(Y249*(1+Y$15),2))</f>
        <v>0</v>
      </c>
      <c r="AF249" s="21" t="n">
        <f aca="false">MIN(Z$16,ROUND(Z249*(1+Z$15),2))</f>
        <v>0</v>
      </c>
      <c r="AG249" s="21" t="n">
        <f aca="false">MIN(AA$16,ROUND(AA249*(1+AA$15),2))</f>
        <v>0</v>
      </c>
      <c r="AH249" s="21" t="n">
        <f aca="false">MIN(AB$16,ROUND(AB249*(1+AB$15),2))</f>
        <v>0</v>
      </c>
      <c r="AI249" s="21" t="n">
        <f aca="false">MIN(AC$16,ROUND(AC249*(1+AC$15),2))</f>
        <v>0</v>
      </c>
      <c r="AJ249" s="21" t="n">
        <f aca="false">MIN(AD$16,ROUND(AD249*(1+AD$15),2))</f>
        <v>0</v>
      </c>
      <c r="AK249" s="21" t="n">
        <f aca="false">Y$20-SUM(AE249:AJ249)</f>
        <v>1170</v>
      </c>
      <c r="AL249" s="21" t="n">
        <f aca="false">MIN(ROUND(Y249*(1+Y$15),2),AE249+MAX(0,AK249))</f>
        <v>0</v>
      </c>
      <c r="AM249" s="21" t="n">
        <f aca="false">MIN(ROUND(Z249*(1+Z$15),2),AF249+MAX(0,AK249-AL249+AE249))</f>
        <v>0</v>
      </c>
      <c r="AN249" s="21" t="n">
        <f aca="false">MIN(ROUND(AA249*(1+AA$15),2),AG249+MAX(0,AK249-AL249+AE249-AM249+AF249))</f>
        <v>0</v>
      </c>
      <c r="AO249" s="21" t="n">
        <f aca="false">MIN(ROUND(AB249*(1+AB$15),2),AH249+MAX(0,AK249-AL249+AE249-AM249+AF249-AN249+AG249))</f>
        <v>0</v>
      </c>
      <c r="AP249" s="21" t="n">
        <f aca="false">MIN(ROUND(AC249*(1+AC$15),2),AI249+MAX(0,AK249-AL249+AE249-AM249+AF249-AN249+AG249-AO249+AH249))</f>
        <v>0</v>
      </c>
      <c r="AQ249" s="21" t="n">
        <f aca="false">MIN(ROUND(AD249*(1+AD$15),2),AJ249+MAX(0,AK249-AL249+AE249-AM249+AF249-AN249+AG249-AO249+AH249-AP249+AI249))</f>
        <v>0</v>
      </c>
      <c r="AR249" s="21" t="n">
        <f aca="false">SUM(Y249:AD249)</f>
        <v>0</v>
      </c>
      <c r="AS249" s="21" t="n">
        <f aca="false">SUM(AL249:AQ249)</f>
        <v>0</v>
      </c>
    </row>
    <row r="250" customFormat="false" ht="15" hidden="false" customHeight="false" outlineLevel="0" collapsed="false">
      <c r="A250" s="25" t="n">
        <f aca="false">A249+1</f>
        <v>224</v>
      </c>
      <c r="B250" s="21" t="n">
        <f aca="false">MAX(0,ROUND(B249*(1+B$15),2)-O249)</f>
        <v>0</v>
      </c>
      <c r="C250" s="21" t="n">
        <f aca="false">MAX(0,ROUND(C249*(1+C$15),2)-P249)</f>
        <v>0</v>
      </c>
      <c r="D250" s="21" t="n">
        <f aca="false">MAX(0,ROUND(D249*(1+D$15),2)-Q249)</f>
        <v>0</v>
      </c>
      <c r="E250" s="21" t="n">
        <f aca="false">MAX(0,ROUND(E249*(1+E$15),2)-R249)</f>
        <v>0</v>
      </c>
      <c r="F250" s="21" t="n">
        <f aca="false">MAX(0,ROUND(F249*(1+F$15),2)-S249)</f>
        <v>0</v>
      </c>
      <c r="G250" s="21" t="n">
        <f aca="false">MAX(0,ROUND(G249*(1+G$15),2)-T249)</f>
        <v>0</v>
      </c>
      <c r="H250" s="21" t="n">
        <f aca="false">MIN(B$16,ROUND(B250*(1+B$15),2))</f>
        <v>0</v>
      </c>
      <c r="I250" s="21" t="n">
        <f aca="false">MIN(C$16,ROUND(C250*(1+C$15),2))</f>
        <v>0</v>
      </c>
      <c r="J250" s="21" t="n">
        <f aca="false">MIN(D$16,ROUND(D250*(1+D$15),2))</f>
        <v>0</v>
      </c>
      <c r="K250" s="21" t="n">
        <f aca="false">MIN(E$16,ROUND(E250*(1+E$15),2))</f>
        <v>0</v>
      </c>
      <c r="L250" s="21" t="n">
        <f aca="false">MIN(F$16,ROUND(F250*(1+F$15),2))</f>
        <v>0</v>
      </c>
      <c r="M250" s="21" t="n">
        <f aca="false">MIN(G$16,ROUND(G250*(1+G$15),2))</f>
        <v>0</v>
      </c>
      <c r="N250" s="21" t="n">
        <f aca="false">B$20-SUM(H250:M250)</f>
        <v>1170</v>
      </c>
      <c r="O250" s="21" t="n">
        <f aca="false">MIN(ROUND(B250*(1+B$15),2),H250+MAX(0,N250))</f>
        <v>0</v>
      </c>
      <c r="P250" s="21" t="n">
        <f aca="false">MIN(ROUND(C250*(1+C$15),2),I250+MAX(0,N250-O250+H250))</f>
        <v>0</v>
      </c>
      <c r="Q250" s="21" t="n">
        <f aca="false">MIN(ROUND(D250*(1+D$15),2),J250+MAX(0,N250-O250+H250-P250+I250))</f>
        <v>0</v>
      </c>
      <c r="R250" s="21" t="n">
        <f aca="false">MIN(ROUND(E250*(1+E$15),2),K250+MAX(0,N250-O250+H250-P250+I250-Q250+J250))</f>
        <v>0</v>
      </c>
      <c r="S250" s="21" t="n">
        <f aca="false">MIN(ROUND(F250*(1+F$15),2),L250+MAX(0,N250-O250+H250-P250+I250-Q250+J250-R250+K250))</f>
        <v>0</v>
      </c>
      <c r="T250" s="21" t="n">
        <f aca="false">MIN(ROUND(G250*(1+G$15),2),M250+MAX(0,N250-O250+H250-P250+I250-Q250+J250-R250+K250-S250+L250))</f>
        <v>0</v>
      </c>
      <c r="U250" s="21" t="n">
        <f aca="false">SUM(B250:G250)</f>
        <v>0</v>
      </c>
      <c r="V250" s="21" t="n">
        <f aca="false">SUM(O250:T250)</f>
        <v>0</v>
      </c>
      <c r="X250" s="25" t="n">
        <f aca="false">X249+1</f>
        <v>224</v>
      </c>
      <c r="Y250" s="21" t="n">
        <f aca="false">MAX(0,ROUND(Y249*(1+Y$15),2)-AL249)</f>
        <v>0</v>
      </c>
      <c r="Z250" s="21" t="n">
        <f aca="false">MAX(0,ROUND(Z249*(1+Z$15),2)-AM249)</f>
        <v>0</v>
      </c>
      <c r="AA250" s="21" t="n">
        <f aca="false">MAX(0,ROUND(AA249*(1+AA$15),2)-AN249)</f>
        <v>0</v>
      </c>
      <c r="AB250" s="21" t="n">
        <f aca="false">MAX(0,ROUND(AB249*(1+AB$15),2)-AO249)</f>
        <v>0</v>
      </c>
      <c r="AC250" s="21" t="n">
        <f aca="false">MAX(0,ROUND(AC249*(1+AC$15),2)-AP249)</f>
        <v>0</v>
      </c>
      <c r="AD250" s="21" t="n">
        <f aca="false">MAX(0,ROUND(AD249*(1+AD$15),2)-AQ249)</f>
        <v>0</v>
      </c>
      <c r="AE250" s="21" t="n">
        <f aca="false">MIN(Y$16,ROUND(Y250*(1+Y$15),2))</f>
        <v>0</v>
      </c>
      <c r="AF250" s="21" t="n">
        <f aca="false">MIN(Z$16,ROUND(Z250*(1+Z$15),2))</f>
        <v>0</v>
      </c>
      <c r="AG250" s="21" t="n">
        <f aca="false">MIN(AA$16,ROUND(AA250*(1+AA$15),2))</f>
        <v>0</v>
      </c>
      <c r="AH250" s="21" t="n">
        <f aca="false">MIN(AB$16,ROUND(AB250*(1+AB$15),2))</f>
        <v>0</v>
      </c>
      <c r="AI250" s="21" t="n">
        <f aca="false">MIN(AC$16,ROUND(AC250*(1+AC$15),2))</f>
        <v>0</v>
      </c>
      <c r="AJ250" s="21" t="n">
        <f aca="false">MIN(AD$16,ROUND(AD250*(1+AD$15),2))</f>
        <v>0</v>
      </c>
      <c r="AK250" s="21" t="n">
        <f aca="false">Y$20-SUM(AE250:AJ250)</f>
        <v>1170</v>
      </c>
      <c r="AL250" s="21" t="n">
        <f aca="false">MIN(ROUND(Y250*(1+Y$15),2),AE250+MAX(0,AK250))</f>
        <v>0</v>
      </c>
      <c r="AM250" s="21" t="n">
        <f aca="false">MIN(ROUND(Z250*(1+Z$15),2),AF250+MAX(0,AK250-AL250+AE250))</f>
        <v>0</v>
      </c>
      <c r="AN250" s="21" t="n">
        <f aca="false">MIN(ROUND(AA250*(1+AA$15),2),AG250+MAX(0,AK250-AL250+AE250-AM250+AF250))</f>
        <v>0</v>
      </c>
      <c r="AO250" s="21" t="n">
        <f aca="false">MIN(ROUND(AB250*(1+AB$15),2),AH250+MAX(0,AK250-AL250+AE250-AM250+AF250-AN250+AG250))</f>
        <v>0</v>
      </c>
      <c r="AP250" s="21" t="n">
        <f aca="false">MIN(ROUND(AC250*(1+AC$15),2),AI250+MAX(0,AK250-AL250+AE250-AM250+AF250-AN250+AG250-AO250+AH250))</f>
        <v>0</v>
      </c>
      <c r="AQ250" s="21" t="n">
        <f aca="false">MIN(ROUND(AD250*(1+AD$15),2),AJ250+MAX(0,AK250-AL250+AE250-AM250+AF250-AN250+AG250-AO250+AH250-AP250+AI250))</f>
        <v>0</v>
      </c>
      <c r="AR250" s="21" t="n">
        <f aca="false">SUM(Y250:AD250)</f>
        <v>0</v>
      </c>
      <c r="AS250" s="21" t="n">
        <f aca="false">SUM(AL250:AQ250)</f>
        <v>0</v>
      </c>
    </row>
    <row r="251" customFormat="false" ht="15" hidden="false" customHeight="false" outlineLevel="0" collapsed="false">
      <c r="A251" s="25" t="n">
        <f aca="false">A250+1</f>
        <v>225</v>
      </c>
      <c r="B251" s="21" t="n">
        <f aca="false">MAX(0,ROUND(B250*(1+B$15),2)-O250)</f>
        <v>0</v>
      </c>
      <c r="C251" s="21" t="n">
        <f aca="false">MAX(0,ROUND(C250*(1+C$15),2)-P250)</f>
        <v>0</v>
      </c>
      <c r="D251" s="21" t="n">
        <f aca="false">MAX(0,ROUND(D250*(1+D$15),2)-Q250)</f>
        <v>0</v>
      </c>
      <c r="E251" s="21" t="n">
        <f aca="false">MAX(0,ROUND(E250*(1+E$15),2)-R250)</f>
        <v>0</v>
      </c>
      <c r="F251" s="21" t="n">
        <f aca="false">MAX(0,ROUND(F250*(1+F$15),2)-S250)</f>
        <v>0</v>
      </c>
      <c r="G251" s="21" t="n">
        <f aca="false">MAX(0,ROUND(G250*(1+G$15),2)-T250)</f>
        <v>0</v>
      </c>
      <c r="H251" s="21" t="n">
        <f aca="false">MIN(B$16,ROUND(B251*(1+B$15),2))</f>
        <v>0</v>
      </c>
      <c r="I251" s="21" t="n">
        <f aca="false">MIN(C$16,ROUND(C251*(1+C$15),2))</f>
        <v>0</v>
      </c>
      <c r="J251" s="21" t="n">
        <f aca="false">MIN(D$16,ROUND(D251*(1+D$15),2))</f>
        <v>0</v>
      </c>
      <c r="K251" s="21" t="n">
        <f aca="false">MIN(E$16,ROUND(E251*(1+E$15),2))</f>
        <v>0</v>
      </c>
      <c r="L251" s="21" t="n">
        <f aca="false">MIN(F$16,ROUND(F251*(1+F$15),2))</f>
        <v>0</v>
      </c>
      <c r="M251" s="21" t="n">
        <f aca="false">MIN(G$16,ROUND(G251*(1+G$15),2))</f>
        <v>0</v>
      </c>
      <c r="N251" s="21" t="n">
        <f aca="false">B$20-SUM(H251:M251)</f>
        <v>1170</v>
      </c>
      <c r="O251" s="21" t="n">
        <f aca="false">MIN(ROUND(B251*(1+B$15),2),H251+MAX(0,N251))</f>
        <v>0</v>
      </c>
      <c r="P251" s="21" t="n">
        <f aca="false">MIN(ROUND(C251*(1+C$15),2),I251+MAX(0,N251-O251+H251))</f>
        <v>0</v>
      </c>
      <c r="Q251" s="21" t="n">
        <f aca="false">MIN(ROUND(D251*(1+D$15),2),J251+MAX(0,N251-O251+H251-P251+I251))</f>
        <v>0</v>
      </c>
      <c r="R251" s="21" t="n">
        <f aca="false">MIN(ROUND(E251*(1+E$15),2),K251+MAX(0,N251-O251+H251-P251+I251-Q251+J251))</f>
        <v>0</v>
      </c>
      <c r="S251" s="21" t="n">
        <f aca="false">MIN(ROUND(F251*(1+F$15),2),L251+MAX(0,N251-O251+H251-P251+I251-Q251+J251-R251+K251))</f>
        <v>0</v>
      </c>
      <c r="T251" s="21" t="n">
        <f aca="false">MIN(ROUND(G251*(1+G$15),2),M251+MAX(0,N251-O251+H251-P251+I251-Q251+J251-R251+K251-S251+L251))</f>
        <v>0</v>
      </c>
      <c r="U251" s="21" t="n">
        <f aca="false">SUM(B251:G251)</f>
        <v>0</v>
      </c>
      <c r="V251" s="21" t="n">
        <f aca="false">SUM(O251:T251)</f>
        <v>0</v>
      </c>
      <c r="X251" s="25" t="n">
        <f aca="false">X250+1</f>
        <v>225</v>
      </c>
      <c r="Y251" s="21" t="n">
        <f aca="false">MAX(0,ROUND(Y250*(1+Y$15),2)-AL250)</f>
        <v>0</v>
      </c>
      <c r="Z251" s="21" t="n">
        <f aca="false">MAX(0,ROUND(Z250*(1+Z$15),2)-AM250)</f>
        <v>0</v>
      </c>
      <c r="AA251" s="21" t="n">
        <f aca="false">MAX(0,ROUND(AA250*(1+AA$15),2)-AN250)</f>
        <v>0</v>
      </c>
      <c r="AB251" s="21" t="n">
        <f aca="false">MAX(0,ROUND(AB250*(1+AB$15),2)-AO250)</f>
        <v>0</v>
      </c>
      <c r="AC251" s="21" t="n">
        <f aca="false">MAX(0,ROUND(AC250*(1+AC$15),2)-AP250)</f>
        <v>0</v>
      </c>
      <c r="AD251" s="21" t="n">
        <f aca="false">MAX(0,ROUND(AD250*(1+AD$15),2)-AQ250)</f>
        <v>0</v>
      </c>
      <c r="AE251" s="21" t="n">
        <f aca="false">MIN(Y$16,ROUND(Y251*(1+Y$15),2))</f>
        <v>0</v>
      </c>
      <c r="AF251" s="21" t="n">
        <f aca="false">MIN(Z$16,ROUND(Z251*(1+Z$15),2))</f>
        <v>0</v>
      </c>
      <c r="AG251" s="21" t="n">
        <f aca="false">MIN(AA$16,ROUND(AA251*(1+AA$15),2))</f>
        <v>0</v>
      </c>
      <c r="AH251" s="21" t="n">
        <f aca="false">MIN(AB$16,ROUND(AB251*(1+AB$15),2))</f>
        <v>0</v>
      </c>
      <c r="AI251" s="21" t="n">
        <f aca="false">MIN(AC$16,ROUND(AC251*(1+AC$15),2))</f>
        <v>0</v>
      </c>
      <c r="AJ251" s="21" t="n">
        <f aca="false">MIN(AD$16,ROUND(AD251*(1+AD$15),2))</f>
        <v>0</v>
      </c>
      <c r="AK251" s="21" t="n">
        <f aca="false">Y$20-SUM(AE251:AJ251)</f>
        <v>1170</v>
      </c>
      <c r="AL251" s="21" t="n">
        <f aca="false">MIN(ROUND(Y251*(1+Y$15),2),AE251+MAX(0,AK251))</f>
        <v>0</v>
      </c>
      <c r="AM251" s="21" t="n">
        <f aca="false">MIN(ROUND(Z251*(1+Z$15),2),AF251+MAX(0,AK251-AL251+AE251))</f>
        <v>0</v>
      </c>
      <c r="AN251" s="21" t="n">
        <f aca="false">MIN(ROUND(AA251*(1+AA$15),2),AG251+MAX(0,AK251-AL251+AE251-AM251+AF251))</f>
        <v>0</v>
      </c>
      <c r="AO251" s="21" t="n">
        <f aca="false">MIN(ROUND(AB251*(1+AB$15),2),AH251+MAX(0,AK251-AL251+AE251-AM251+AF251-AN251+AG251))</f>
        <v>0</v>
      </c>
      <c r="AP251" s="21" t="n">
        <f aca="false">MIN(ROUND(AC251*(1+AC$15),2),AI251+MAX(0,AK251-AL251+AE251-AM251+AF251-AN251+AG251-AO251+AH251))</f>
        <v>0</v>
      </c>
      <c r="AQ251" s="21" t="n">
        <f aca="false">MIN(ROUND(AD251*(1+AD$15),2),AJ251+MAX(0,AK251-AL251+AE251-AM251+AF251-AN251+AG251-AO251+AH251-AP251+AI251))</f>
        <v>0</v>
      </c>
      <c r="AR251" s="21" t="n">
        <f aca="false">SUM(Y251:AD251)</f>
        <v>0</v>
      </c>
      <c r="AS251" s="21" t="n">
        <f aca="false">SUM(AL251:AQ251)</f>
        <v>0</v>
      </c>
    </row>
    <row r="252" customFormat="false" ht="15" hidden="false" customHeight="false" outlineLevel="0" collapsed="false">
      <c r="A252" s="25" t="n">
        <f aca="false">A251+1</f>
        <v>226</v>
      </c>
      <c r="B252" s="21" t="n">
        <f aca="false">MAX(0,ROUND(B251*(1+B$15),2)-O251)</f>
        <v>0</v>
      </c>
      <c r="C252" s="21" t="n">
        <f aca="false">MAX(0,ROUND(C251*(1+C$15),2)-P251)</f>
        <v>0</v>
      </c>
      <c r="D252" s="21" t="n">
        <f aca="false">MAX(0,ROUND(D251*(1+D$15),2)-Q251)</f>
        <v>0</v>
      </c>
      <c r="E252" s="21" t="n">
        <f aca="false">MAX(0,ROUND(E251*(1+E$15),2)-R251)</f>
        <v>0</v>
      </c>
      <c r="F252" s="21" t="n">
        <f aca="false">MAX(0,ROUND(F251*(1+F$15),2)-S251)</f>
        <v>0</v>
      </c>
      <c r="G252" s="21" t="n">
        <f aca="false">MAX(0,ROUND(G251*(1+G$15),2)-T251)</f>
        <v>0</v>
      </c>
      <c r="H252" s="21" t="n">
        <f aca="false">MIN(B$16,ROUND(B252*(1+B$15),2))</f>
        <v>0</v>
      </c>
      <c r="I252" s="21" t="n">
        <f aca="false">MIN(C$16,ROUND(C252*(1+C$15),2))</f>
        <v>0</v>
      </c>
      <c r="J252" s="21" t="n">
        <f aca="false">MIN(D$16,ROUND(D252*(1+D$15),2))</f>
        <v>0</v>
      </c>
      <c r="K252" s="21" t="n">
        <f aca="false">MIN(E$16,ROUND(E252*(1+E$15),2))</f>
        <v>0</v>
      </c>
      <c r="L252" s="21" t="n">
        <f aca="false">MIN(F$16,ROUND(F252*(1+F$15),2))</f>
        <v>0</v>
      </c>
      <c r="M252" s="21" t="n">
        <f aca="false">MIN(G$16,ROUND(G252*(1+G$15),2))</f>
        <v>0</v>
      </c>
      <c r="N252" s="21" t="n">
        <f aca="false">B$20-SUM(H252:M252)</f>
        <v>1170</v>
      </c>
      <c r="O252" s="21" t="n">
        <f aca="false">MIN(ROUND(B252*(1+B$15),2),H252+MAX(0,N252))</f>
        <v>0</v>
      </c>
      <c r="P252" s="21" t="n">
        <f aca="false">MIN(ROUND(C252*(1+C$15),2),I252+MAX(0,N252-O252+H252))</f>
        <v>0</v>
      </c>
      <c r="Q252" s="21" t="n">
        <f aca="false">MIN(ROUND(D252*(1+D$15),2),J252+MAX(0,N252-O252+H252-P252+I252))</f>
        <v>0</v>
      </c>
      <c r="R252" s="21" t="n">
        <f aca="false">MIN(ROUND(E252*(1+E$15),2),K252+MAX(0,N252-O252+H252-P252+I252-Q252+J252))</f>
        <v>0</v>
      </c>
      <c r="S252" s="21" t="n">
        <f aca="false">MIN(ROUND(F252*(1+F$15),2),L252+MAX(0,N252-O252+H252-P252+I252-Q252+J252-R252+K252))</f>
        <v>0</v>
      </c>
      <c r="T252" s="21" t="n">
        <f aca="false">MIN(ROUND(G252*(1+G$15),2),M252+MAX(0,N252-O252+H252-P252+I252-Q252+J252-R252+K252-S252+L252))</f>
        <v>0</v>
      </c>
      <c r="U252" s="21" t="n">
        <f aca="false">SUM(B252:G252)</f>
        <v>0</v>
      </c>
      <c r="V252" s="21" t="n">
        <f aca="false">SUM(O252:T252)</f>
        <v>0</v>
      </c>
      <c r="X252" s="25" t="n">
        <f aca="false">X251+1</f>
        <v>226</v>
      </c>
      <c r="Y252" s="21" t="n">
        <f aca="false">MAX(0,ROUND(Y251*(1+Y$15),2)-AL251)</f>
        <v>0</v>
      </c>
      <c r="Z252" s="21" t="n">
        <f aca="false">MAX(0,ROUND(Z251*(1+Z$15),2)-AM251)</f>
        <v>0</v>
      </c>
      <c r="AA252" s="21" t="n">
        <f aca="false">MAX(0,ROUND(AA251*(1+AA$15),2)-AN251)</f>
        <v>0</v>
      </c>
      <c r="AB252" s="21" t="n">
        <f aca="false">MAX(0,ROUND(AB251*(1+AB$15),2)-AO251)</f>
        <v>0</v>
      </c>
      <c r="AC252" s="21" t="n">
        <f aca="false">MAX(0,ROUND(AC251*(1+AC$15),2)-AP251)</f>
        <v>0</v>
      </c>
      <c r="AD252" s="21" t="n">
        <f aca="false">MAX(0,ROUND(AD251*(1+AD$15),2)-AQ251)</f>
        <v>0</v>
      </c>
      <c r="AE252" s="21" t="n">
        <f aca="false">MIN(Y$16,ROUND(Y252*(1+Y$15),2))</f>
        <v>0</v>
      </c>
      <c r="AF252" s="21" t="n">
        <f aca="false">MIN(Z$16,ROUND(Z252*(1+Z$15),2))</f>
        <v>0</v>
      </c>
      <c r="AG252" s="21" t="n">
        <f aca="false">MIN(AA$16,ROUND(AA252*(1+AA$15),2))</f>
        <v>0</v>
      </c>
      <c r="AH252" s="21" t="n">
        <f aca="false">MIN(AB$16,ROUND(AB252*(1+AB$15),2))</f>
        <v>0</v>
      </c>
      <c r="AI252" s="21" t="n">
        <f aca="false">MIN(AC$16,ROUND(AC252*(1+AC$15),2))</f>
        <v>0</v>
      </c>
      <c r="AJ252" s="21" t="n">
        <f aca="false">MIN(AD$16,ROUND(AD252*(1+AD$15),2))</f>
        <v>0</v>
      </c>
      <c r="AK252" s="21" t="n">
        <f aca="false">Y$20-SUM(AE252:AJ252)</f>
        <v>1170</v>
      </c>
      <c r="AL252" s="21" t="n">
        <f aca="false">MIN(ROUND(Y252*(1+Y$15),2),AE252+MAX(0,AK252))</f>
        <v>0</v>
      </c>
      <c r="AM252" s="21" t="n">
        <f aca="false">MIN(ROUND(Z252*(1+Z$15),2),AF252+MAX(0,AK252-AL252+AE252))</f>
        <v>0</v>
      </c>
      <c r="AN252" s="21" t="n">
        <f aca="false">MIN(ROUND(AA252*(1+AA$15),2),AG252+MAX(0,AK252-AL252+AE252-AM252+AF252))</f>
        <v>0</v>
      </c>
      <c r="AO252" s="21" t="n">
        <f aca="false">MIN(ROUND(AB252*(1+AB$15),2),AH252+MAX(0,AK252-AL252+AE252-AM252+AF252-AN252+AG252))</f>
        <v>0</v>
      </c>
      <c r="AP252" s="21" t="n">
        <f aca="false">MIN(ROUND(AC252*(1+AC$15),2),AI252+MAX(0,AK252-AL252+AE252-AM252+AF252-AN252+AG252-AO252+AH252))</f>
        <v>0</v>
      </c>
      <c r="AQ252" s="21" t="n">
        <f aca="false">MIN(ROUND(AD252*(1+AD$15),2),AJ252+MAX(0,AK252-AL252+AE252-AM252+AF252-AN252+AG252-AO252+AH252-AP252+AI252))</f>
        <v>0</v>
      </c>
      <c r="AR252" s="21" t="n">
        <f aca="false">SUM(Y252:AD252)</f>
        <v>0</v>
      </c>
      <c r="AS252" s="21" t="n">
        <f aca="false">SUM(AL252:AQ252)</f>
        <v>0</v>
      </c>
    </row>
    <row r="253" customFormat="false" ht="15" hidden="false" customHeight="false" outlineLevel="0" collapsed="false">
      <c r="A253" s="25" t="n">
        <f aca="false">A252+1</f>
        <v>227</v>
      </c>
      <c r="B253" s="21" t="n">
        <f aca="false">MAX(0,ROUND(B252*(1+B$15),2)-O252)</f>
        <v>0</v>
      </c>
      <c r="C253" s="21" t="n">
        <f aca="false">MAX(0,ROUND(C252*(1+C$15),2)-P252)</f>
        <v>0</v>
      </c>
      <c r="D253" s="21" t="n">
        <f aca="false">MAX(0,ROUND(D252*(1+D$15),2)-Q252)</f>
        <v>0</v>
      </c>
      <c r="E253" s="21" t="n">
        <f aca="false">MAX(0,ROUND(E252*(1+E$15),2)-R252)</f>
        <v>0</v>
      </c>
      <c r="F253" s="21" t="n">
        <f aca="false">MAX(0,ROUND(F252*(1+F$15),2)-S252)</f>
        <v>0</v>
      </c>
      <c r="G253" s="21" t="n">
        <f aca="false">MAX(0,ROUND(G252*(1+G$15),2)-T252)</f>
        <v>0</v>
      </c>
      <c r="H253" s="21" t="n">
        <f aca="false">MIN(B$16,ROUND(B253*(1+B$15),2))</f>
        <v>0</v>
      </c>
      <c r="I253" s="21" t="n">
        <f aca="false">MIN(C$16,ROUND(C253*(1+C$15),2))</f>
        <v>0</v>
      </c>
      <c r="J253" s="21" t="n">
        <f aca="false">MIN(D$16,ROUND(D253*(1+D$15),2))</f>
        <v>0</v>
      </c>
      <c r="K253" s="21" t="n">
        <f aca="false">MIN(E$16,ROUND(E253*(1+E$15),2))</f>
        <v>0</v>
      </c>
      <c r="L253" s="21" t="n">
        <f aca="false">MIN(F$16,ROUND(F253*(1+F$15),2))</f>
        <v>0</v>
      </c>
      <c r="M253" s="21" t="n">
        <f aca="false">MIN(G$16,ROUND(G253*(1+G$15),2))</f>
        <v>0</v>
      </c>
      <c r="N253" s="21" t="n">
        <f aca="false">B$20-SUM(H253:M253)</f>
        <v>1170</v>
      </c>
      <c r="O253" s="21" t="n">
        <f aca="false">MIN(ROUND(B253*(1+B$15),2),H253+MAX(0,N253))</f>
        <v>0</v>
      </c>
      <c r="P253" s="21" t="n">
        <f aca="false">MIN(ROUND(C253*(1+C$15),2),I253+MAX(0,N253-O253+H253))</f>
        <v>0</v>
      </c>
      <c r="Q253" s="21" t="n">
        <f aca="false">MIN(ROUND(D253*(1+D$15),2),J253+MAX(0,N253-O253+H253-P253+I253))</f>
        <v>0</v>
      </c>
      <c r="R253" s="21" t="n">
        <f aca="false">MIN(ROUND(E253*(1+E$15),2),K253+MAX(0,N253-O253+H253-P253+I253-Q253+J253))</f>
        <v>0</v>
      </c>
      <c r="S253" s="21" t="n">
        <f aca="false">MIN(ROUND(F253*(1+F$15),2),L253+MAX(0,N253-O253+H253-P253+I253-Q253+J253-R253+K253))</f>
        <v>0</v>
      </c>
      <c r="T253" s="21" t="n">
        <f aca="false">MIN(ROUND(G253*(1+G$15),2),M253+MAX(0,N253-O253+H253-P253+I253-Q253+J253-R253+K253-S253+L253))</f>
        <v>0</v>
      </c>
      <c r="U253" s="21" t="n">
        <f aca="false">SUM(B253:G253)</f>
        <v>0</v>
      </c>
      <c r="V253" s="21" t="n">
        <f aca="false">SUM(O253:T253)</f>
        <v>0</v>
      </c>
      <c r="X253" s="25" t="n">
        <f aca="false">X252+1</f>
        <v>227</v>
      </c>
      <c r="Y253" s="21" t="n">
        <f aca="false">MAX(0,ROUND(Y252*(1+Y$15),2)-AL252)</f>
        <v>0</v>
      </c>
      <c r="Z253" s="21" t="n">
        <f aca="false">MAX(0,ROUND(Z252*(1+Z$15),2)-AM252)</f>
        <v>0</v>
      </c>
      <c r="AA253" s="21" t="n">
        <f aca="false">MAX(0,ROUND(AA252*(1+AA$15),2)-AN252)</f>
        <v>0</v>
      </c>
      <c r="AB253" s="21" t="n">
        <f aca="false">MAX(0,ROUND(AB252*(1+AB$15),2)-AO252)</f>
        <v>0</v>
      </c>
      <c r="AC253" s="21" t="n">
        <f aca="false">MAX(0,ROUND(AC252*(1+AC$15),2)-AP252)</f>
        <v>0</v>
      </c>
      <c r="AD253" s="21" t="n">
        <f aca="false">MAX(0,ROUND(AD252*(1+AD$15),2)-AQ252)</f>
        <v>0</v>
      </c>
      <c r="AE253" s="21" t="n">
        <f aca="false">MIN(Y$16,ROUND(Y253*(1+Y$15),2))</f>
        <v>0</v>
      </c>
      <c r="AF253" s="21" t="n">
        <f aca="false">MIN(Z$16,ROUND(Z253*(1+Z$15),2))</f>
        <v>0</v>
      </c>
      <c r="AG253" s="21" t="n">
        <f aca="false">MIN(AA$16,ROUND(AA253*(1+AA$15),2))</f>
        <v>0</v>
      </c>
      <c r="AH253" s="21" t="n">
        <f aca="false">MIN(AB$16,ROUND(AB253*(1+AB$15),2))</f>
        <v>0</v>
      </c>
      <c r="AI253" s="21" t="n">
        <f aca="false">MIN(AC$16,ROUND(AC253*(1+AC$15),2))</f>
        <v>0</v>
      </c>
      <c r="AJ253" s="21" t="n">
        <f aca="false">MIN(AD$16,ROUND(AD253*(1+AD$15),2))</f>
        <v>0</v>
      </c>
      <c r="AK253" s="21" t="n">
        <f aca="false">Y$20-SUM(AE253:AJ253)</f>
        <v>1170</v>
      </c>
      <c r="AL253" s="21" t="n">
        <f aca="false">MIN(ROUND(Y253*(1+Y$15),2),AE253+MAX(0,AK253))</f>
        <v>0</v>
      </c>
      <c r="AM253" s="21" t="n">
        <f aca="false">MIN(ROUND(Z253*(1+Z$15),2),AF253+MAX(0,AK253-AL253+AE253))</f>
        <v>0</v>
      </c>
      <c r="AN253" s="21" t="n">
        <f aca="false">MIN(ROUND(AA253*(1+AA$15),2),AG253+MAX(0,AK253-AL253+AE253-AM253+AF253))</f>
        <v>0</v>
      </c>
      <c r="AO253" s="21" t="n">
        <f aca="false">MIN(ROUND(AB253*(1+AB$15),2),AH253+MAX(0,AK253-AL253+AE253-AM253+AF253-AN253+AG253))</f>
        <v>0</v>
      </c>
      <c r="AP253" s="21" t="n">
        <f aca="false">MIN(ROUND(AC253*(1+AC$15),2),AI253+MAX(0,AK253-AL253+AE253-AM253+AF253-AN253+AG253-AO253+AH253))</f>
        <v>0</v>
      </c>
      <c r="AQ253" s="21" t="n">
        <f aca="false">MIN(ROUND(AD253*(1+AD$15),2),AJ253+MAX(0,AK253-AL253+AE253-AM253+AF253-AN253+AG253-AO253+AH253-AP253+AI253))</f>
        <v>0</v>
      </c>
      <c r="AR253" s="21" t="n">
        <f aca="false">SUM(Y253:AD253)</f>
        <v>0</v>
      </c>
      <c r="AS253" s="21" t="n">
        <f aca="false">SUM(AL253:AQ253)</f>
        <v>0</v>
      </c>
    </row>
    <row r="254" customFormat="false" ht="15" hidden="false" customHeight="false" outlineLevel="0" collapsed="false">
      <c r="A254" s="25" t="n">
        <f aca="false">A253+1</f>
        <v>228</v>
      </c>
      <c r="B254" s="21" t="n">
        <f aca="false">MAX(0,ROUND(B253*(1+B$15),2)-O253)</f>
        <v>0</v>
      </c>
      <c r="C254" s="21" t="n">
        <f aca="false">MAX(0,ROUND(C253*(1+C$15),2)-P253)</f>
        <v>0</v>
      </c>
      <c r="D254" s="21" t="n">
        <f aca="false">MAX(0,ROUND(D253*(1+D$15),2)-Q253)</f>
        <v>0</v>
      </c>
      <c r="E254" s="21" t="n">
        <f aca="false">MAX(0,ROUND(E253*(1+E$15),2)-R253)</f>
        <v>0</v>
      </c>
      <c r="F254" s="21" t="n">
        <f aca="false">MAX(0,ROUND(F253*(1+F$15),2)-S253)</f>
        <v>0</v>
      </c>
      <c r="G254" s="21" t="n">
        <f aca="false">MAX(0,ROUND(G253*(1+G$15),2)-T253)</f>
        <v>0</v>
      </c>
      <c r="H254" s="21" t="n">
        <f aca="false">MIN(B$16,ROUND(B254*(1+B$15),2))</f>
        <v>0</v>
      </c>
      <c r="I254" s="21" t="n">
        <f aca="false">MIN(C$16,ROUND(C254*(1+C$15),2))</f>
        <v>0</v>
      </c>
      <c r="J254" s="21" t="n">
        <f aca="false">MIN(D$16,ROUND(D254*(1+D$15),2))</f>
        <v>0</v>
      </c>
      <c r="K254" s="21" t="n">
        <f aca="false">MIN(E$16,ROUND(E254*(1+E$15),2))</f>
        <v>0</v>
      </c>
      <c r="L254" s="21" t="n">
        <f aca="false">MIN(F$16,ROUND(F254*(1+F$15),2))</f>
        <v>0</v>
      </c>
      <c r="M254" s="21" t="n">
        <f aca="false">MIN(G$16,ROUND(G254*(1+G$15),2))</f>
        <v>0</v>
      </c>
      <c r="N254" s="21" t="n">
        <f aca="false">B$20-SUM(H254:M254)</f>
        <v>1170</v>
      </c>
      <c r="O254" s="21" t="n">
        <f aca="false">MIN(ROUND(B254*(1+B$15),2),H254+MAX(0,N254))</f>
        <v>0</v>
      </c>
      <c r="P254" s="21" t="n">
        <f aca="false">MIN(ROUND(C254*(1+C$15),2),I254+MAX(0,N254-O254+H254))</f>
        <v>0</v>
      </c>
      <c r="Q254" s="21" t="n">
        <f aca="false">MIN(ROUND(D254*(1+D$15),2),J254+MAX(0,N254-O254+H254-P254+I254))</f>
        <v>0</v>
      </c>
      <c r="R254" s="21" t="n">
        <f aca="false">MIN(ROUND(E254*(1+E$15),2),K254+MAX(0,N254-O254+H254-P254+I254-Q254+J254))</f>
        <v>0</v>
      </c>
      <c r="S254" s="21" t="n">
        <f aca="false">MIN(ROUND(F254*(1+F$15),2),L254+MAX(0,N254-O254+H254-P254+I254-Q254+J254-R254+K254))</f>
        <v>0</v>
      </c>
      <c r="T254" s="21" t="n">
        <f aca="false">MIN(ROUND(G254*(1+G$15),2),M254+MAX(0,N254-O254+H254-P254+I254-Q254+J254-R254+K254-S254+L254))</f>
        <v>0</v>
      </c>
      <c r="U254" s="21" t="n">
        <f aca="false">SUM(B254:G254)</f>
        <v>0</v>
      </c>
      <c r="V254" s="21" t="n">
        <f aca="false">SUM(O254:T254)</f>
        <v>0</v>
      </c>
      <c r="X254" s="25" t="n">
        <f aca="false">X253+1</f>
        <v>228</v>
      </c>
      <c r="Y254" s="21" t="n">
        <f aca="false">MAX(0,ROUND(Y253*(1+Y$15),2)-AL253)</f>
        <v>0</v>
      </c>
      <c r="Z254" s="21" t="n">
        <f aca="false">MAX(0,ROUND(Z253*(1+Z$15),2)-AM253)</f>
        <v>0</v>
      </c>
      <c r="AA254" s="21" t="n">
        <f aca="false">MAX(0,ROUND(AA253*(1+AA$15),2)-AN253)</f>
        <v>0</v>
      </c>
      <c r="AB254" s="21" t="n">
        <f aca="false">MAX(0,ROUND(AB253*(1+AB$15),2)-AO253)</f>
        <v>0</v>
      </c>
      <c r="AC254" s="21" t="n">
        <f aca="false">MAX(0,ROUND(AC253*(1+AC$15),2)-AP253)</f>
        <v>0</v>
      </c>
      <c r="AD254" s="21" t="n">
        <f aca="false">MAX(0,ROUND(AD253*(1+AD$15),2)-AQ253)</f>
        <v>0</v>
      </c>
      <c r="AE254" s="21" t="n">
        <f aca="false">MIN(Y$16,ROUND(Y254*(1+Y$15),2))</f>
        <v>0</v>
      </c>
      <c r="AF254" s="21" t="n">
        <f aca="false">MIN(Z$16,ROUND(Z254*(1+Z$15),2))</f>
        <v>0</v>
      </c>
      <c r="AG254" s="21" t="n">
        <f aca="false">MIN(AA$16,ROUND(AA254*(1+AA$15),2))</f>
        <v>0</v>
      </c>
      <c r="AH254" s="21" t="n">
        <f aca="false">MIN(AB$16,ROUND(AB254*(1+AB$15),2))</f>
        <v>0</v>
      </c>
      <c r="AI254" s="21" t="n">
        <f aca="false">MIN(AC$16,ROUND(AC254*(1+AC$15),2))</f>
        <v>0</v>
      </c>
      <c r="AJ254" s="21" t="n">
        <f aca="false">MIN(AD$16,ROUND(AD254*(1+AD$15),2))</f>
        <v>0</v>
      </c>
      <c r="AK254" s="21" t="n">
        <f aca="false">Y$20-SUM(AE254:AJ254)</f>
        <v>1170</v>
      </c>
      <c r="AL254" s="21" t="n">
        <f aca="false">MIN(ROUND(Y254*(1+Y$15),2),AE254+MAX(0,AK254))</f>
        <v>0</v>
      </c>
      <c r="AM254" s="21" t="n">
        <f aca="false">MIN(ROUND(Z254*(1+Z$15),2),AF254+MAX(0,AK254-AL254+AE254))</f>
        <v>0</v>
      </c>
      <c r="AN254" s="21" t="n">
        <f aca="false">MIN(ROUND(AA254*(1+AA$15),2),AG254+MAX(0,AK254-AL254+AE254-AM254+AF254))</f>
        <v>0</v>
      </c>
      <c r="AO254" s="21" t="n">
        <f aca="false">MIN(ROUND(AB254*(1+AB$15),2),AH254+MAX(0,AK254-AL254+AE254-AM254+AF254-AN254+AG254))</f>
        <v>0</v>
      </c>
      <c r="AP254" s="21" t="n">
        <f aca="false">MIN(ROUND(AC254*(1+AC$15),2),AI254+MAX(0,AK254-AL254+AE254-AM254+AF254-AN254+AG254-AO254+AH254))</f>
        <v>0</v>
      </c>
      <c r="AQ254" s="21" t="n">
        <f aca="false">MIN(ROUND(AD254*(1+AD$15),2),AJ254+MAX(0,AK254-AL254+AE254-AM254+AF254-AN254+AG254-AO254+AH254-AP254+AI254))</f>
        <v>0</v>
      </c>
      <c r="AR254" s="21" t="n">
        <f aca="false">SUM(Y254:AD254)</f>
        <v>0</v>
      </c>
      <c r="AS254" s="21" t="n">
        <f aca="false">SUM(AL254:AQ254)</f>
        <v>0</v>
      </c>
    </row>
    <row r="255" customFormat="false" ht="15" hidden="false" customHeight="false" outlineLevel="0" collapsed="false">
      <c r="A255" s="25" t="n">
        <f aca="false">A254+1</f>
        <v>229</v>
      </c>
      <c r="B255" s="21" t="n">
        <f aca="false">MAX(0,ROUND(B254*(1+B$15),2)-O254)</f>
        <v>0</v>
      </c>
      <c r="C255" s="21" t="n">
        <f aca="false">MAX(0,ROUND(C254*(1+C$15),2)-P254)</f>
        <v>0</v>
      </c>
      <c r="D255" s="21" t="n">
        <f aca="false">MAX(0,ROUND(D254*(1+D$15),2)-Q254)</f>
        <v>0</v>
      </c>
      <c r="E255" s="21" t="n">
        <f aca="false">MAX(0,ROUND(E254*(1+E$15),2)-R254)</f>
        <v>0</v>
      </c>
      <c r="F255" s="21" t="n">
        <f aca="false">MAX(0,ROUND(F254*(1+F$15),2)-S254)</f>
        <v>0</v>
      </c>
      <c r="G255" s="21" t="n">
        <f aca="false">MAX(0,ROUND(G254*(1+G$15),2)-T254)</f>
        <v>0</v>
      </c>
      <c r="H255" s="21" t="n">
        <f aca="false">MIN(B$16,ROUND(B255*(1+B$15),2))</f>
        <v>0</v>
      </c>
      <c r="I255" s="21" t="n">
        <f aca="false">MIN(C$16,ROUND(C255*(1+C$15),2))</f>
        <v>0</v>
      </c>
      <c r="J255" s="21" t="n">
        <f aca="false">MIN(D$16,ROUND(D255*(1+D$15),2))</f>
        <v>0</v>
      </c>
      <c r="K255" s="21" t="n">
        <f aca="false">MIN(E$16,ROUND(E255*(1+E$15),2))</f>
        <v>0</v>
      </c>
      <c r="L255" s="21" t="n">
        <f aca="false">MIN(F$16,ROUND(F255*(1+F$15),2))</f>
        <v>0</v>
      </c>
      <c r="M255" s="21" t="n">
        <f aca="false">MIN(G$16,ROUND(G255*(1+G$15),2))</f>
        <v>0</v>
      </c>
      <c r="N255" s="21" t="n">
        <f aca="false">B$20-SUM(H255:M255)</f>
        <v>1170</v>
      </c>
      <c r="O255" s="21" t="n">
        <f aca="false">MIN(ROUND(B255*(1+B$15),2),H255+MAX(0,N255))</f>
        <v>0</v>
      </c>
      <c r="P255" s="21" t="n">
        <f aca="false">MIN(ROUND(C255*(1+C$15),2),I255+MAX(0,N255-O255+H255))</f>
        <v>0</v>
      </c>
      <c r="Q255" s="21" t="n">
        <f aca="false">MIN(ROUND(D255*(1+D$15),2),J255+MAX(0,N255-O255+H255-P255+I255))</f>
        <v>0</v>
      </c>
      <c r="R255" s="21" t="n">
        <f aca="false">MIN(ROUND(E255*(1+E$15),2),K255+MAX(0,N255-O255+H255-P255+I255-Q255+J255))</f>
        <v>0</v>
      </c>
      <c r="S255" s="21" t="n">
        <f aca="false">MIN(ROUND(F255*(1+F$15),2),L255+MAX(0,N255-O255+H255-P255+I255-Q255+J255-R255+K255))</f>
        <v>0</v>
      </c>
      <c r="T255" s="21" t="n">
        <f aca="false">MIN(ROUND(G255*(1+G$15),2),M255+MAX(0,N255-O255+H255-P255+I255-Q255+J255-R255+K255-S255+L255))</f>
        <v>0</v>
      </c>
      <c r="U255" s="21" t="n">
        <f aca="false">SUM(B255:G255)</f>
        <v>0</v>
      </c>
      <c r="V255" s="21" t="n">
        <f aca="false">SUM(O255:T255)</f>
        <v>0</v>
      </c>
      <c r="X255" s="25" t="n">
        <f aca="false">X254+1</f>
        <v>229</v>
      </c>
      <c r="Y255" s="21" t="n">
        <f aca="false">MAX(0,ROUND(Y254*(1+Y$15),2)-AL254)</f>
        <v>0</v>
      </c>
      <c r="Z255" s="21" t="n">
        <f aca="false">MAX(0,ROUND(Z254*(1+Z$15),2)-AM254)</f>
        <v>0</v>
      </c>
      <c r="AA255" s="21" t="n">
        <f aca="false">MAX(0,ROUND(AA254*(1+AA$15),2)-AN254)</f>
        <v>0</v>
      </c>
      <c r="AB255" s="21" t="n">
        <f aca="false">MAX(0,ROUND(AB254*(1+AB$15),2)-AO254)</f>
        <v>0</v>
      </c>
      <c r="AC255" s="21" t="n">
        <f aca="false">MAX(0,ROUND(AC254*(1+AC$15),2)-AP254)</f>
        <v>0</v>
      </c>
      <c r="AD255" s="21" t="n">
        <f aca="false">MAX(0,ROUND(AD254*(1+AD$15),2)-AQ254)</f>
        <v>0</v>
      </c>
      <c r="AE255" s="21" t="n">
        <f aca="false">MIN(Y$16,ROUND(Y255*(1+Y$15),2))</f>
        <v>0</v>
      </c>
      <c r="AF255" s="21" t="n">
        <f aca="false">MIN(Z$16,ROUND(Z255*(1+Z$15),2))</f>
        <v>0</v>
      </c>
      <c r="AG255" s="21" t="n">
        <f aca="false">MIN(AA$16,ROUND(AA255*(1+AA$15),2))</f>
        <v>0</v>
      </c>
      <c r="AH255" s="21" t="n">
        <f aca="false">MIN(AB$16,ROUND(AB255*(1+AB$15),2))</f>
        <v>0</v>
      </c>
      <c r="AI255" s="21" t="n">
        <f aca="false">MIN(AC$16,ROUND(AC255*(1+AC$15),2))</f>
        <v>0</v>
      </c>
      <c r="AJ255" s="21" t="n">
        <f aca="false">MIN(AD$16,ROUND(AD255*(1+AD$15),2))</f>
        <v>0</v>
      </c>
      <c r="AK255" s="21" t="n">
        <f aca="false">Y$20-SUM(AE255:AJ255)</f>
        <v>1170</v>
      </c>
      <c r="AL255" s="21" t="n">
        <f aca="false">MIN(ROUND(Y255*(1+Y$15),2),AE255+MAX(0,AK255))</f>
        <v>0</v>
      </c>
      <c r="AM255" s="21" t="n">
        <f aca="false">MIN(ROUND(Z255*(1+Z$15),2),AF255+MAX(0,AK255-AL255+AE255))</f>
        <v>0</v>
      </c>
      <c r="AN255" s="21" t="n">
        <f aca="false">MIN(ROUND(AA255*(1+AA$15),2),AG255+MAX(0,AK255-AL255+AE255-AM255+AF255))</f>
        <v>0</v>
      </c>
      <c r="AO255" s="21" t="n">
        <f aca="false">MIN(ROUND(AB255*(1+AB$15),2),AH255+MAX(0,AK255-AL255+AE255-AM255+AF255-AN255+AG255))</f>
        <v>0</v>
      </c>
      <c r="AP255" s="21" t="n">
        <f aca="false">MIN(ROUND(AC255*(1+AC$15),2),AI255+MAX(0,AK255-AL255+AE255-AM255+AF255-AN255+AG255-AO255+AH255))</f>
        <v>0</v>
      </c>
      <c r="AQ255" s="21" t="n">
        <f aca="false">MIN(ROUND(AD255*(1+AD$15),2),AJ255+MAX(0,AK255-AL255+AE255-AM255+AF255-AN255+AG255-AO255+AH255-AP255+AI255))</f>
        <v>0</v>
      </c>
      <c r="AR255" s="21" t="n">
        <f aca="false">SUM(Y255:AD255)</f>
        <v>0</v>
      </c>
      <c r="AS255" s="21" t="n">
        <f aca="false">SUM(AL255:AQ255)</f>
        <v>0</v>
      </c>
    </row>
    <row r="256" customFormat="false" ht="15" hidden="false" customHeight="false" outlineLevel="0" collapsed="false">
      <c r="A256" s="25" t="n">
        <f aca="false">A255+1</f>
        <v>230</v>
      </c>
      <c r="B256" s="21" t="n">
        <f aca="false">MAX(0,ROUND(B255*(1+B$15),2)-O255)</f>
        <v>0</v>
      </c>
      <c r="C256" s="21" t="n">
        <f aca="false">MAX(0,ROUND(C255*(1+C$15),2)-P255)</f>
        <v>0</v>
      </c>
      <c r="D256" s="21" t="n">
        <f aca="false">MAX(0,ROUND(D255*(1+D$15),2)-Q255)</f>
        <v>0</v>
      </c>
      <c r="E256" s="21" t="n">
        <f aca="false">MAX(0,ROUND(E255*(1+E$15),2)-R255)</f>
        <v>0</v>
      </c>
      <c r="F256" s="21" t="n">
        <f aca="false">MAX(0,ROUND(F255*(1+F$15),2)-S255)</f>
        <v>0</v>
      </c>
      <c r="G256" s="21" t="n">
        <f aca="false">MAX(0,ROUND(G255*(1+G$15),2)-T255)</f>
        <v>0</v>
      </c>
      <c r="H256" s="21" t="n">
        <f aca="false">MIN(B$16,ROUND(B256*(1+B$15),2))</f>
        <v>0</v>
      </c>
      <c r="I256" s="21" t="n">
        <f aca="false">MIN(C$16,ROUND(C256*(1+C$15),2))</f>
        <v>0</v>
      </c>
      <c r="J256" s="21" t="n">
        <f aca="false">MIN(D$16,ROUND(D256*(1+D$15),2))</f>
        <v>0</v>
      </c>
      <c r="K256" s="21" t="n">
        <f aca="false">MIN(E$16,ROUND(E256*(1+E$15),2))</f>
        <v>0</v>
      </c>
      <c r="L256" s="21" t="n">
        <f aca="false">MIN(F$16,ROUND(F256*(1+F$15),2))</f>
        <v>0</v>
      </c>
      <c r="M256" s="21" t="n">
        <f aca="false">MIN(G$16,ROUND(G256*(1+G$15),2))</f>
        <v>0</v>
      </c>
      <c r="N256" s="21" t="n">
        <f aca="false">B$20-SUM(H256:M256)</f>
        <v>1170</v>
      </c>
      <c r="O256" s="21" t="n">
        <f aca="false">MIN(ROUND(B256*(1+B$15),2),H256+MAX(0,N256))</f>
        <v>0</v>
      </c>
      <c r="P256" s="21" t="n">
        <f aca="false">MIN(ROUND(C256*(1+C$15),2),I256+MAX(0,N256-O256+H256))</f>
        <v>0</v>
      </c>
      <c r="Q256" s="21" t="n">
        <f aca="false">MIN(ROUND(D256*(1+D$15),2),J256+MAX(0,N256-O256+H256-P256+I256))</f>
        <v>0</v>
      </c>
      <c r="R256" s="21" t="n">
        <f aca="false">MIN(ROUND(E256*(1+E$15),2),K256+MAX(0,N256-O256+H256-P256+I256-Q256+J256))</f>
        <v>0</v>
      </c>
      <c r="S256" s="21" t="n">
        <f aca="false">MIN(ROUND(F256*(1+F$15),2),L256+MAX(0,N256-O256+H256-P256+I256-Q256+J256-R256+K256))</f>
        <v>0</v>
      </c>
      <c r="T256" s="21" t="n">
        <f aca="false">MIN(ROUND(G256*(1+G$15),2),M256+MAX(0,N256-O256+H256-P256+I256-Q256+J256-R256+K256-S256+L256))</f>
        <v>0</v>
      </c>
      <c r="U256" s="21" t="n">
        <f aca="false">SUM(B256:G256)</f>
        <v>0</v>
      </c>
      <c r="V256" s="21" t="n">
        <f aca="false">SUM(O256:T256)</f>
        <v>0</v>
      </c>
      <c r="X256" s="25" t="n">
        <f aca="false">X255+1</f>
        <v>230</v>
      </c>
      <c r="Y256" s="21" t="n">
        <f aca="false">MAX(0,ROUND(Y255*(1+Y$15),2)-AL255)</f>
        <v>0</v>
      </c>
      <c r="Z256" s="21" t="n">
        <f aca="false">MAX(0,ROUND(Z255*(1+Z$15),2)-AM255)</f>
        <v>0</v>
      </c>
      <c r="AA256" s="21" t="n">
        <f aca="false">MAX(0,ROUND(AA255*(1+AA$15),2)-AN255)</f>
        <v>0</v>
      </c>
      <c r="AB256" s="21" t="n">
        <f aca="false">MAX(0,ROUND(AB255*(1+AB$15),2)-AO255)</f>
        <v>0</v>
      </c>
      <c r="AC256" s="21" t="n">
        <f aca="false">MAX(0,ROUND(AC255*(1+AC$15),2)-AP255)</f>
        <v>0</v>
      </c>
      <c r="AD256" s="21" t="n">
        <f aca="false">MAX(0,ROUND(AD255*(1+AD$15),2)-AQ255)</f>
        <v>0</v>
      </c>
      <c r="AE256" s="21" t="n">
        <f aca="false">MIN(Y$16,ROUND(Y256*(1+Y$15),2))</f>
        <v>0</v>
      </c>
      <c r="AF256" s="21" t="n">
        <f aca="false">MIN(Z$16,ROUND(Z256*(1+Z$15),2))</f>
        <v>0</v>
      </c>
      <c r="AG256" s="21" t="n">
        <f aca="false">MIN(AA$16,ROUND(AA256*(1+AA$15),2))</f>
        <v>0</v>
      </c>
      <c r="AH256" s="21" t="n">
        <f aca="false">MIN(AB$16,ROUND(AB256*(1+AB$15),2))</f>
        <v>0</v>
      </c>
      <c r="AI256" s="21" t="n">
        <f aca="false">MIN(AC$16,ROUND(AC256*(1+AC$15),2))</f>
        <v>0</v>
      </c>
      <c r="AJ256" s="21" t="n">
        <f aca="false">MIN(AD$16,ROUND(AD256*(1+AD$15),2))</f>
        <v>0</v>
      </c>
      <c r="AK256" s="21" t="n">
        <f aca="false">Y$20-SUM(AE256:AJ256)</f>
        <v>1170</v>
      </c>
      <c r="AL256" s="21" t="n">
        <f aca="false">MIN(ROUND(Y256*(1+Y$15),2),AE256+MAX(0,AK256))</f>
        <v>0</v>
      </c>
      <c r="AM256" s="21" t="n">
        <f aca="false">MIN(ROUND(Z256*(1+Z$15),2),AF256+MAX(0,AK256-AL256+AE256))</f>
        <v>0</v>
      </c>
      <c r="AN256" s="21" t="n">
        <f aca="false">MIN(ROUND(AA256*(1+AA$15),2),AG256+MAX(0,AK256-AL256+AE256-AM256+AF256))</f>
        <v>0</v>
      </c>
      <c r="AO256" s="21" t="n">
        <f aca="false">MIN(ROUND(AB256*(1+AB$15),2),AH256+MAX(0,AK256-AL256+AE256-AM256+AF256-AN256+AG256))</f>
        <v>0</v>
      </c>
      <c r="AP256" s="21" t="n">
        <f aca="false">MIN(ROUND(AC256*(1+AC$15),2),AI256+MAX(0,AK256-AL256+AE256-AM256+AF256-AN256+AG256-AO256+AH256))</f>
        <v>0</v>
      </c>
      <c r="AQ256" s="21" t="n">
        <f aca="false">MIN(ROUND(AD256*(1+AD$15),2),AJ256+MAX(0,AK256-AL256+AE256-AM256+AF256-AN256+AG256-AO256+AH256-AP256+AI256))</f>
        <v>0</v>
      </c>
      <c r="AR256" s="21" t="n">
        <f aca="false">SUM(Y256:AD256)</f>
        <v>0</v>
      </c>
      <c r="AS256" s="21" t="n">
        <f aca="false">SUM(AL256:AQ256)</f>
        <v>0</v>
      </c>
    </row>
    <row r="257" customFormat="false" ht="15" hidden="false" customHeight="false" outlineLevel="0" collapsed="false">
      <c r="A257" s="25" t="n">
        <f aca="false">A256+1</f>
        <v>231</v>
      </c>
      <c r="B257" s="21" t="n">
        <f aca="false">MAX(0,ROUND(B256*(1+B$15),2)-O256)</f>
        <v>0</v>
      </c>
      <c r="C257" s="21" t="n">
        <f aca="false">MAX(0,ROUND(C256*(1+C$15),2)-P256)</f>
        <v>0</v>
      </c>
      <c r="D257" s="21" t="n">
        <f aca="false">MAX(0,ROUND(D256*(1+D$15),2)-Q256)</f>
        <v>0</v>
      </c>
      <c r="E257" s="21" t="n">
        <f aca="false">MAX(0,ROUND(E256*(1+E$15),2)-R256)</f>
        <v>0</v>
      </c>
      <c r="F257" s="21" t="n">
        <f aca="false">MAX(0,ROUND(F256*(1+F$15),2)-S256)</f>
        <v>0</v>
      </c>
      <c r="G257" s="21" t="n">
        <f aca="false">MAX(0,ROUND(G256*(1+G$15),2)-T256)</f>
        <v>0</v>
      </c>
      <c r="H257" s="21" t="n">
        <f aca="false">MIN(B$16,ROUND(B257*(1+B$15),2))</f>
        <v>0</v>
      </c>
      <c r="I257" s="21" t="n">
        <f aca="false">MIN(C$16,ROUND(C257*(1+C$15),2))</f>
        <v>0</v>
      </c>
      <c r="J257" s="21" t="n">
        <f aca="false">MIN(D$16,ROUND(D257*(1+D$15),2))</f>
        <v>0</v>
      </c>
      <c r="K257" s="21" t="n">
        <f aca="false">MIN(E$16,ROUND(E257*(1+E$15),2))</f>
        <v>0</v>
      </c>
      <c r="L257" s="21" t="n">
        <f aca="false">MIN(F$16,ROUND(F257*(1+F$15),2))</f>
        <v>0</v>
      </c>
      <c r="M257" s="21" t="n">
        <f aca="false">MIN(G$16,ROUND(G257*(1+G$15),2))</f>
        <v>0</v>
      </c>
      <c r="N257" s="21" t="n">
        <f aca="false">B$20-SUM(H257:M257)</f>
        <v>1170</v>
      </c>
      <c r="O257" s="21" t="n">
        <f aca="false">MIN(ROUND(B257*(1+B$15),2),H257+MAX(0,N257))</f>
        <v>0</v>
      </c>
      <c r="P257" s="21" t="n">
        <f aca="false">MIN(ROUND(C257*(1+C$15),2),I257+MAX(0,N257-O257+H257))</f>
        <v>0</v>
      </c>
      <c r="Q257" s="21" t="n">
        <f aca="false">MIN(ROUND(D257*(1+D$15),2),J257+MAX(0,N257-O257+H257-P257+I257))</f>
        <v>0</v>
      </c>
      <c r="R257" s="21" t="n">
        <f aca="false">MIN(ROUND(E257*(1+E$15),2),K257+MAX(0,N257-O257+H257-P257+I257-Q257+J257))</f>
        <v>0</v>
      </c>
      <c r="S257" s="21" t="n">
        <f aca="false">MIN(ROUND(F257*(1+F$15),2),L257+MAX(0,N257-O257+H257-P257+I257-Q257+J257-R257+K257))</f>
        <v>0</v>
      </c>
      <c r="T257" s="21" t="n">
        <f aca="false">MIN(ROUND(G257*(1+G$15),2),M257+MAX(0,N257-O257+H257-P257+I257-Q257+J257-R257+K257-S257+L257))</f>
        <v>0</v>
      </c>
      <c r="U257" s="21" t="n">
        <f aca="false">SUM(B257:G257)</f>
        <v>0</v>
      </c>
      <c r="V257" s="21" t="n">
        <f aca="false">SUM(O257:T257)</f>
        <v>0</v>
      </c>
      <c r="X257" s="25" t="n">
        <f aca="false">X256+1</f>
        <v>231</v>
      </c>
      <c r="Y257" s="21" t="n">
        <f aca="false">MAX(0,ROUND(Y256*(1+Y$15),2)-AL256)</f>
        <v>0</v>
      </c>
      <c r="Z257" s="21" t="n">
        <f aca="false">MAX(0,ROUND(Z256*(1+Z$15),2)-AM256)</f>
        <v>0</v>
      </c>
      <c r="AA257" s="21" t="n">
        <f aca="false">MAX(0,ROUND(AA256*(1+AA$15),2)-AN256)</f>
        <v>0</v>
      </c>
      <c r="AB257" s="21" t="n">
        <f aca="false">MAX(0,ROUND(AB256*(1+AB$15),2)-AO256)</f>
        <v>0</v>
      </c>
      <c r="AC257" s="21" t="n">
        <f aca="false">MAX(0,ROUND(AC256*(1+AC$15),2)-AP256)</f>
        <v>0</v>
      </c>
      <c r="AD257" s="21" t="n">
        <f aca="false">MAX(0,ROUND(AD256*(1+AD$15),2)-AQ256)</f>
        <v>0</v>
      </c>
      <c r="AE257" s="21" t="n">
        <f aca="false">MIN(Y$16,ROUND(Y257*(1+Y$15),2))</f>
        <v>0</v>
      </c>
      <c r="AF257" s="21" t="n">
        <f aca="false">MIN(Z$16,ROUND(Z257*(1+Z$15),2))</f>
        <v>0</v>
      </c>
      <c r="AG257" s="21" t="n">
        <f aca="false">MIN(AA$16,ROUND(AA257*(1+AA$15),2))</f>
        <v>0</v>
      </c>
      <c r="AH257" s="21" t="n">
        <f aca="false">MIN(AB$16,ROUND(AB257*(1+AB$15),2))</f>
        <v>0</v>
      </c>
      <c r="AI257" s="21" t="n">
        <f aca="false">MIN(AC$16,ROUND(AC257*(1+AC$15),2))</f>
        <v>0</v>
      </c>
      <c r="AJ257" s="21" t="n">
        <f aca="false">MIN(AD$16,ROUND(AD257*(1+AD$15),2))</f>
        <v>0</v>
      </c>
      <c r="AK257" s="21" t="n">
        <f aca="false">Y$20-SUM(AE257:AJ257)</f>
        <v>1170</v>
      </c>
      <c r="AL257" s="21" t="n">
        <f aca="false">MIN(ROUND(Y257*(1+Y$15),2),AE257+MAX(0,AK257))</f>
        <v>0</v>
      </c>
      <c r="AM257" s="21" t="n">
        <f aca="false">MIN(ROUND(Z257*(1+Z$15),2),AF257+MAX(0,AK257-AL257+AE257))</f>
        <v>0</v>
      </c>
      <c r="AN257" s="21" t="n">
        <f aca="false">MIN(ROUND(AA257*(1+AA$15),2),AG257+MAX(0,AK257-AL257+AE257-AM257+AF257))</f>
        <v>0</v>
      </c>
      <c r="AO257" s="21" t="n">
        <f aca="false">MIN(ROUND(AB257*(1+AB$15),2),AH257+MAX(0,AK257-AL257+AE257-AM257+AF257-AN257+AG257))</f>
        <v>0</v>
      </c>
      <c r="AP257" s="21" t="n">
        <f aca="false">MIN(ROUND(AC257*(1+AC$15),2),AI257+MAX(0,AK257-AL257+AE257-AM257+AF257-AN257+AG257-AO257+AH257))</f>
        <v>0</v>
      </c>
      <c r="AQ257" s="21" t="n">
        <f aca="false">MIN(ROUND(AD257*(1+AD$15),2),AJ257+MAX(0,AK257-AL257+AE257-AM257+AF257-AN257+AG257-AO257+AH257-AP257+AI257))</f>
        <v>0</v>
      </c>
      <c r="AR257" s="21" t="n">
        <f aca="false">SUM(Y257:AD257)</f>
        <v>0</v>
      </c>
      <c r="AS257" s="21" t="n">
        <f aca="false">SUM(AL257:AQ257)</f>
        <v>0</v>
      </c>
    </row>
    <row r="258" customFormat="false" ht="15" hidden="false" customHeight="false" outlineLevel="0" collapsed="false">
      <c r="A258" s="25" t="n">
        <f aca="false">A257+1</f>
        <v>232</v>
      </c>
      <c r="B258" s="21" t="n">
        <f aca="false">MAX(0,ROUND(B257*(1+B$15),2)-O257)</f>
        <v>0</v>
      </c>
      <c r="C258" s="21" t="n">
        <f aca="false">MAX(0,ROUND(C257*(1+C$15),2)-P257)</f>
        <v>0</v>
      </c>
      <c r="D258" s="21" t="n">
        <f aca="false">MAX(0,ROUND(D257*(1+D$15),2)-Q257)</f>
        <v>0</v>
      </c>
      <c r="E258" s="21" t="n">
        <f aca="false">MAX(0,ROUND(E257*(1+E$15),2)-R257)</f>
        <v>0</v>
      </c>
      <c r="F258" s="21" t="n">
        <f aca="false">MAX(0,ROUND(F257*(1+F$15),2)-S257)</f>
        <v>0</v>
      </c>
      <c r="G258" s="21" t="n">
        <f aca="false">MAX(0,ROUND(G257*(1+G$15),2)-T257)</f>
        <v>0</v>
      </c>
      <c r="H258" s="21" t="n">
        <f aca="false">MIN(B$16,ROUND(B258*(1+B$15),2))</f>
        <v>0</v>
      </c>
      <c r="I258" s="21" t="n">
        <f aca="false">MIN(C$16,ROUND(C258*(1+C$15),2))</f>
        <v>0</v>
      </c>
      <c r="J258" s="21" t="n">
        <f aca="false">MIN(D$16,ROUND(D258*(1+D$15),2))</f>
        <v>0</v>
      </c>
      <c r="K258" s="21" t="n">
        <f aca="false">MIN(E$16,ROUND(E258*(1+E$15),2))</f>
        <v>0</v>
      </c>
      <c r="L258" s="21" t="n">
        <f aca="false">MIN(F$16,ROUND(F258*(1+F$15),2))</f>
        <v>0</v>
      </c>
      <c r="M258" s="21" t="n">
        <f aca="false">MIN(G$16,ROUND(G258*(1+G$15),2))</f>
        <v>0</v>
      </c>
      <c r="N258" s="21" t="n">
        <f aca="false">B$20-SUM(H258:M258)</f>
        <v>1170</v>
      </c>
      <c r="O258" s="21" t="n">
        <f aca="false">MIN(ROUND(B258*(1+B$15),2),H258+MAX(0,N258))</f>
        <v>0</v>
      </c>
      <c r="P258" s="21" t="n">
        <f aca="false">MIN(ROUND(C258*(1+C$15),2),I258+MAX(0,N258-O258+H258))</f>
        <v>0</v>
      </c>
      <c r="Q258" s="21" t="n">
        <f aca="false">MIN(ROUND(D258*(1+D$15),2),J258+MAX(0,N258-O258+H258-P258+I258))</f>
        <v>0</v>
      </c>
      <c r="R258" s="21" t="n">
        <f aca="false">MIN(ROUND(E258*(1+E$15),2),K258+MAX(0,N258-O258+H258-P258+I258-Q258+J258))</f>
        <v>0</v>
      </c>
      <c r="S258" s="21" t="n">
        <f aca="false">MIN(ROUND(F258*(1+F$15),2),L258+MAX(0,N258-O258+H258-P258+I258-Q258+J258-R258+K258))</f>
        <v>0</v>
      </c>
      <c r="T258" s="21" t="n">
        <f aca="false">MIN(ROUND(G258*(1+G$15),2),M258+MAX(0,N258-O258+H258-P258+I258-Q258+J258-R258+K258-S258+L258))</f>
        <v>0</v>
      </c>
      <c r="U258" s="21" t="n">
        <f aca="false">SUM(B258:G258)</f>
        <v>0</v>
      </c>
      <c r="V258" s="21" t="n">
        <f aca="false">SUM(O258:T258)</f>
        <v>0</v>
      </c>
      <c r="X258" s="25" t="n">
        <f aca="false">X257+1</f>
        <v>232</v>
      </c>
      <c r="Y258" s="21" t="n">
        <f aca="false">MAX(0,ROUND(Y257*(1+Y$15),2)-AL257)</f>
        <v>0</v>
      </c>
      <c r="Z258" s="21" t="n">
        <f aca="false">MAX(0,ROUND(Z257*(1+Z$15),2)-AM257)</f>
        <v>0</v>
      </c>
      <c r="AA258" s="21" t="n">
        <f aca="false">MAX(0,ROUND(AA257*(1+AA$15),2)-AN257)</f>
        <v>0</v>
      </c>
      <c r="AB258" s="21" t="n">
        <f aca="false">MAX(0,ROUND(AB257*(1+AB$15),2)-AO257)</f>
        <v>0</v>
      </c>
      <c r="AC258" s="21" t="n">
        <f aca="false">MAX(0,ROUND(AC257*(1+AC$15),2)-AP257)</f>
        <v>0</v>
      </c>
      <c r="AD258" s="21" t="n">
        <f aca="false">MAX(0,ROUND(AD257*(1+AD$15),2)-AQ257)</f>
        <v>0</v>
      </c>
      <c r="AE258" s="21" t="n">
        <f aca="false">MIN(Y$16,ROUND(Y258*(1+Y$15),2))</f>
        <v>0</v>
      </c>
      <c r="AF258" s="21" t="n">
        <f aca="false">MIN(Z$16,ROUND(Z258*(1+Z$15),2))</f>
        <v>0</v>
      </c>
      <c r="AG258" s="21" t="n">
        <f aca="false">MIN(AA$16,ROUND(AA258*(1+AA$15),2))</f>
        <v>0</v>
      </c>
      <c r="AH258" s="21" t="n">
        <f aca="false">MIN(AB$16,ROUND(AB258*(1+AB$15),2))</f>
        <v>0</v>
      </c>
      <c r="AI258" s="21" t="n">
        <f aca="false">MIN(AC$16,ROUND(AC258*(1+AC$15),2))</f>
        <v>0</v>
      </c>
      <c r="AJ258" s="21" t="n">
        <f aca="false">MIN(AD$16,ROUND(AD258*(1+AD$15),2))</f>
        <v>0</v>
      </c>
      <c r="AK258" s="21" t="n">
        <f aca="false">Y$20-SUM(AE258:AJ258)</f>
        <v>1170</v>
      </c>
      <c r="AL258" s="21" t="n">
        <f aca="false">MIN(ROUND(Y258*(1+Y$15),2),AE258+MAX(0,AK258))</f>
        <v>0</v>
      </c>
      <c r="AM258" s="21" t="n">
        <f aca="false">MIN(ROUND(Z258*(1+Z$15),2),AF258+MAX(0,AK258-AL258+AE258))</f>
        <v>0</v>
      </c>
      <c r="AN258" s="21" t="n">
        <f aca="false">MIN(ROUND(AA258*(1+AA$15),2),AG258+MAX(0,AK258-AL258+AE258-AM258+AF258))</f>
        <v>0</v>
      </c>
      <c r="AO258" s="21" t="n">
        <f aca="false">MIN(ROUND(AB258*(1+AB$15),2),AH258+MAX(0,AK258-AL258+AE258-AM258+AF258-AN258+AG258))</f>
        <v>0</v>
      </c>
      <c r="AP258" s="21" t="n">
        <f aca="false">MIN(ROUND(AC258*(1+AC$15),2),AI258+MAX(0,AK258-AL258+AE258-AM258+AF258-AN258+AG258-AO258+AH258))</f>
        <v>0</v>
      </c>
      <c r="AQ258" s="21" t="n">
        <f aca="false">MIN(ROUND(AD258*(1+AD$15),2),AJ258+MAX(0,AK258-AL258+AE258-AM258+AF258-AN258+AG258-AO258+AH258-AP258+AI258))</f>
        <v>0</v>
      </c>
      <c r="AR258" s="21" t="n">
        <f aca="false">SUM(Y258:AD258)</f>
        <v>0</v>
      </c>
      <c r="AS258" s="21" t="n">
        <f aca="false">SUM(AL258:AQ258)</f>
        <v>0</v>
      </c>
    </row>
    <row r="259" customFormat="false" ht="15" hidden="false" customHeight="false" outlineLevel="0" collapsed="false">
      <c r="A259" s="25" t="n">
        <f aca="false">A258+1</f>
        <v>233</v>
      </c>
      <c r="B259" s="21" t="n">
        <f aca="false">MAX(0,ROUND(B258*(1+B$15),2)-O258)</f>
        <v>0</v>
      </c>
      <c r="C259" s="21" t="n">
        <f aca="false">MAX(0,ROUND(C258*(1+C$15),2)-P258)</f>
        <v>0</v>
      </c>
      <c r="D259" s="21" t="n">
        <f aca="false">MAX(0,ROUND(D258*(1+D$15),2)-Q258)</f>
        <v>0</v>
      </c>
      <c r="E259" s="21" t="n">
        <f aca="false">MAX(0,ROUND(E258*(1+E$15),2)-R258)</f>
        <v>0</v>
      </c>
      <c r="F259" s="21" t="n">
        <f aca="false">MAX(0,ROUND(F258*(1+F$15),2)-S258)</f>
        <v>0</v>
      </c>
      <c r="G259" s="21" t="n">
        <f aca="false">MAX(0,ROUND(G258*(1+G$15),2)-T258)</f>
        <v>0</v>
      </c>
      <c r="H259" s="21" t="n">
        <f aca="false">MIN(B$16,ROUND(B259*(1+B$15),2))</f>
        <v>0</v>
      </c>
      <c r="I259" s="21" t="n">
        <f aca="false">MIN(C$16,ROUND(C259*(1+C$15),2))</f>
        <v>0</v>
      </c>
      <c r="J259" s="21" t="n">
        <f aca="false">MIN(D$16,ROUND(D259*(1+D$15),2))</f>
        <v>0</v>
      </c>
      <c r="K259" s="21" t="n">
        <f aca="false">MIN(E$16,ROUND(E259*(1+E$15),2))</f>
        <v>0</v>
      </c>
      <c r="L259" s="21" t="n">
        <f aca="false">MIN(F$16,ROUND(F259*(1+F$15),2))</f>
        <v>0</v>
      </c>
      <c r="M259" s="21" t="n">
        <f aca="false">MIN(G$16,ROUND(G259*(1+G$15),2))</f>
        <v>0</v>
      </c>
      <c r="N259" s="21" t="n">
        <f aca="false">B$20-SUM(H259:M259)</f>
        <v>1170</v>
      </c>
      <c r="O259" s="21" t="n">
        <f aca="false">MIN(ROUND(B259*(1+B$15),2),H259+MAX(0,N259))</f>
        <v>0</v>
      </c>
      <c r="P259" s="21" t="n">
        <f aca="false">MIN(ROUND(C259*(1+C$15),2),I259+MAX(0,N259-O259+H259))</f>
        <v>0</v>
      </c>
      <c r="Q259" s="21" t="n">
        <f aca="false">MIN(ROUND(D259*(1+D$15),2),J259+MAX(0,N259-O259+H259-P259+I259))</f>
        <v>0</v>
      </c>
      <c r="R259" s="21" t="n">
        <f aca="false">MIN(ROUND(E259*(1+E$15),2),K259+MAX(0,N259-O259+H259-P259+I259-Q259+J259))</f>
        <v>0</v>
      </c>
      <c r="S259" s="21" t="n">
        <f aca="false">MIN(ROUND(F259*(1+F$15),2),L259+MAX(0,N259-O259+H259-P259+I259-Q259+J259-R259+K259))</f>
        <v>0</v>
      </c>
      <c r="T259" s="21" t="n">
        <f aca="false">MIN(ROUND(G259*(1+G$15),2),M259+MAX(0,N259-O259+H259-P259+I259-Q259+J259-R259+K259-S259+L259))</f>
        <v>0</v>
      </c>
      <c r="U259" s="21" t="n">
        <f aca="false">SUM(B259:G259)</f>
        <v>0</v>
      </c>
      <c r="V259" s="21" t="n">
        <f aca="false">SUM(O259:T259)</f>
        <v>0</v>
      </c>
      <c r="X259" s="25" t="n">
        <f aca="false">X258+1</f>
        <v>233</v>
      </c>
      <c r="Y259" s="21" t="n">
        <f aca="false">MAX(0,ROUND(Y258*(1+Y$15),2)-AL258)</f>
        <v>0</v>
      </c>
      <c r="Z259" s="21" t="n">
        <f aca="false">MAX(0,ROUND(Z258*(1+Z$15),2)-AM258)</f>
        <v>0</v>
      </c>
      <c r="AA259" s="21" t="n">
        <f aca="false">MAX(0,ROUND(AA258*(1+AA$15),2)-AN258)</f>
        <v>0</v>
      </c>
      <c r="AB259" s="21" t="n">
        <f aca="false">MAX(0,ROUND(AB258*(1+AB$15),2)-AO258)</f>
        <v>0</v>
      </c>
      <c r="AC259" s="21" t="n">
        <f aca="false">MAX(0,ROUND(AC258*(1+AC$15),2)-AP258)</f>
        <v>0</v>
      </c>
      <c r="AD259" s="21" t="n">
        <f aca="false">MAX(0,ROUND(AD258*(1+AD$15),2)-AQ258)</f>
        <v>0</v>
      </c>
      <c r="AE259" s="21" t="n">
        <f aca="false">MIN(Y$16,ROUND(Y259*(1+Y$15),2))</f>
        <v>0</v>
      </c>
      <c r="AF259" s="21" t="n">
        <f aca="false">MIN(Z$16,ROUND(Z259*(1+Z$15),2))</f>
        <v>0</v>
      </c>
      <c r="AG259" s="21" t="n">
        <f aca="false">MIN(AA$16,ROUND(AA259*(1+AA$15),2))</f>
        <v>0</v>
      </c>
      <c r="AH259" s="21" t="n">
        <f aca="false">MIN(AB$16,ROUND(AB259*(1+AB$15),2))</f>
        <v>0</v>
      </c>
      <c r="AI259" s="21" t="n">
        <f aca="false">MIN(AC$16,ROUND(AC259*(1+AC$15),2))</f>
        <v>0</v>
      </c>
      <c r="AJ259" s="21" t="n">
        <f aca="false">MIN(AD$16,ROUND(AD259*(1+AD$15),2))</f>
        <v>0</v>
      </c>
      <c r="AK259" s="21" t="n">
        <f aca="false">Y$20-SUM(AE259:AJ259)</f>
        <v>1170</v>
      </c>
      <c r="AL259" s="21" t="n">
        <f aca="false">MIN(ROUND(Y259*(1+Y$15),2),AE259+MAX(0,AK259))</f>
        <v>0</v>
      </c>
      <c r="AM259" s="21" t="n">
        <f aca="false">MIN(ROUND(Z259*(1+Z$15),2),AF259+MAX(0,AK259-AL259+AE259))</f>
        <v>0</v>
      </c>
      <c r="AN259" s="21" t="n">
        <f aca="false">MIN(ROUND(AA259*(1+AA$15),2),AG259+MAX(0,AK259-AL259+AE259-AM259+AF259))</f>
        <v>0</v>
      </c>
      <c r="AO259" s="21" t="n">
        <f aca="false">MIN(ROUND(AB259*(1+AB$15),2),AH259+MAX(0,AK259-AL259+AE259-AM259+AF259-AN259+AG259))</f>
        <v>0</v>
      </c>
      <c r="AP259" s="21" t="n">
        <f aca="false">MIN(ROUND(AC259*(1+AC$15),2),AI259+MAX(0,AK259-AL259+AE259-AM259+AF259-AN259+AG259-AO259+AH259))</f>
        <v>0</v>
      </c>
      <c r="AQ259" s="21" t="n">
        <f aca="false">MIN(ROUND(AD259*(1+AD$15),2),AJ259+MAX(0,AK259-AL259+AE259-AM259+AF259-AN259+AG259-AO259+AH259-AP259+AI259))</f>
        <v>0</v>
      </c>
      <c r="AR259" s="21" t="n">
        <f aca="false">SUM(Y259:AD259)</f>
        <v>0</v>
      </c>
      <c r="AS259" s="21" t="n">
        <f aca="false">SUM(AL259:AQ259)</f>
        <v>0</v>
      </c>
    </row>
    <row r="260" customFormat="false" ht="15" hidden="false" customHeight="false" outlineLevel="0" collapsed="false">
      <c r="A260" s="25" t="n">
        <f aca="false">A259+1</f>
        <v>234</v>
      </c>
      <c r="B260" s="21" t="n">
        <f aca="false">MAX(0,ROUND(B259*(1+B$15),2)-O259)</f>
        <v>0</v>
      </c>
      <c r="C260" s="21" t="n">
        <f aca="false">MAX(0,ROUND(C259*(1+C$15),2)-P259)</f>
        <v>0</v>
      </c>
      <c r="D260" s="21" t="n">
        <f aca="false">MAX(0,ROUND(D259*(1+D$15),2)-Q259)</f>
        <v>0</v>
      </c>
      <c r="E260" s="21" t="n">
        <f aca="false">MAX(0,ROUND(E259*(1+E$15),2)-R259)</f>
        <v>0</v>
      </c>
      <c r="F260" s="21" t="n">
        <f aca="false">MAX(0,ROUND(F259*(1+F$15),2)-S259)</f>
        <v>0</v>
      </c>
      <c r="G260" s="21" t="n">
        <f aca="false">MAX(0,ROUND(G259*(1+G$15),2)-T259)</f>
        <v>0</v>
      </c>
      <c r="H260" s="21" t="n">
        <f aca="false">MIN(B$16,ROUND(B260*(1+B$15),2))</f>
        <v>0</v>
      </c>
      <c r="I260" s="21" t="n">
        <f aca="false">MIN(C$16,ROUND(C260*(1+C$15),2))</f>
        <v>0</v>
      </c>
      <c r="J260" s="21" t="n">
        <f aca="false">MIN(D$16,ROUND(D260*(1+D$15),2))</f>
        <v>0</v>
      </c>
      <c r="K260" s="21" t="n">
        <f aca="false">MIN(E$16,ROUND(E260*(1+E$15),2))</f>
        <v>0</v>
      </c>
      <c r="L260" s="21" t="n">
        <f aca="false">MIN(F$16,ROUND(F260*(1+F$15),2))</f>
        <v>0</v>
      </c>
      <c r="M260" s="21" t="n">
        <f aca="false">MIN(G$16,ROUND(G260*(1+G$15),2))</f>
        <v>0</v>
      </c>
      <c r="N260" s="21" t="n">
        <f aca="false">B$20-SUM(H260:M260)</f>
        <v>1170</v>
      </c>
      <c r="O260" s="21" t="n">
        <f aca="false">MIN(ROUND(B260*(1+B$15),2),H260+MAX(0,N260))</f>
        <v>0</v>
      </c>
      <c r="P260" s="21" t="n">
        <f aca="false">MIN(ROUND(C260*(1+C$15),2),I260+MAX(0,N260-O260+H260))</f>
        <v>0</v>
      </c>
      <c r="Q260" s="21" t="n">
        <f aca="false">MIN(ROUND(D260*(1+D$15),2),J260+MAX(0,N260-O260+H260-P260+I260))</f>
        <v>0</v>
      </c>
      <c r="R260" s="21" t="n">
        <f aca="false">MIN(ROUND(E260*(1+E$15),2),K260+MAX(0,N260-O260+H260-P260+I260-Q260+J260))</f>
        <v>0</v>
      </c>
      <c r="S260" s="21" t="n">
        <f aca="false">MIN(ROUND(F260*(1+F$15),2),L260+MAX(0,N260-O260+H260-P260+I260-Q260+J260-R260+K260))</f>
        <v>0</v>
      </c>
      <c r="T260" s="21" t="n">
        <f aca="false">MIN(ROUND(G260*(1+G$15),2),M260+MAX(0,N260-O260+H260-P260+I260-Q260+J260-R260+K260-S260+L260))</f>
        <v>0</v>
      </c>
      <c r="U260" s="21" t="n">
        <f aca="false">SUM(B260:G260)</f>
        <v>0</v>
      </c>
      <c r="V260" s="21" t="n">
        <f aca="false">SUM(O260:T260)</f>
        <v>0</v>
      </c>
      <c r="X260" s="25" t="n">
        <f aca="false">X259+1</f>
        <v>234</v>
      </c>
      <c r="Y260" s="21" t="n">
        <f aca="false">MAX(0,ROUND(Y259*(1+Y$15),2)-AL259)</f>
        <v>0</v>
      </c>
      <c r="Z260" s="21" t="n">
        <f aca="false">MAX(0,ROUND(Z259*(1+Z$15),2)-AM259)</f>
        <v>0</v>
      </c>
      <c r="AA260" s="21" t="n">
        <f aca="false">MAX(0,ROUND(AA259*(1+AA$15),2)-AN259)</f>
        <v>0</v>
      </c>
      <c r="AB260" s="21" t="n">
        <f aca="false">MAX(0,ROUND(AB259*(1+AB$15),2)-AO259)</f>
        <v>0</v>
      </c>
      <c r="AC260" s="21" t="n">
        <f aca="false">MAX(0,ROUND(AC259*(1+AC$15),2)-AP259)</f>
        <v>0</v>
      </c>
      <c r="AD260" s="21" t="n">
        <f aca="false">MAX(0,ROUND(AD259*(1+AD$15),2)-AQ259)</f>
        <v>0</v>
      </c>
      <c r="AE260" s="21" t="n">
        <f aca="false">MIN(Y$16,ROUND(Y260*(1+Y$15),2))</f>
        <v>0</v>
      </c>
      <c r="AF260" s="21" t="n">
        <f aca="false">MIN(Z$16,ROUND(Z260*(1+Z$15),2))</f>
        <v>0</v>
      </c>
      <c r="AG260" s="21" t="n">
        <f aca="false">MIN(AA$16,ROUND(AA260*(1+AA$15),2))</f>
        <v>0</v>
      </c>
      <c r="AH260" s="21" t="n">
        <f aca="false">MIN(AB$16,ROUND(AB260*(1+AB$15),2))</f>
        <v>0</v>
      </c>
      <c r="AI260" s="21" t="n">
        <f aca="false">MIN(AC$16,ROUND(AC260*(1+AC$15),2))</f>
        <v>0</v>
      </c>
      <c r="AJ260" s="21" t="n">
        <f aca="false">MIN(AD$16,ROUND(AD260*(1+AD$15),2))</f>
        <v>0</v>
      </c>
      <c r="AK260" s="21" t="n">
        <f aca="false">Y$20-SUM(AE260:AJ260)</f>
        <v>1170</v>
      </c>
      <c r="AL260" s="21" t="n">
        <f aca="false">MIN(ROUND(Y260*(1+Y$15),2),AE260+MAX(0,AK260))</f>
        <v>0</v>
      </c>
      <c r="AM260" s="21" t="n">
        <f aca="false">MIN(ROUND(Z260*(1+Z$15),2),AF260+MAX(0,AK260-AL260+AE260))</f>
        <v>0</v>
      </c>
      <c r="AN260" s="21" t="n">
        <f aca="false">MIN(ROUND(AA260*(1+AA$15),2),AG260+MAX(0,AK260-AL260+AE260-AM260+AF260))</f>
        <v>0</v>
      </c>
      <c r="AO260" s="21" t="n">
        <f aca="false">MIN(ROUND(AB260*(1+AB$15),2),AH260+MAX(0,AK260-AL260+AE260-AM260+AF260-AN260+AG260))</f>
        <v>0</v>
      </c>
      <c r="AP260" s="21" t="n">
        <f aca="false">MIN(ROUND(AC260*(1+AC$15),2),AI260+MAX(0,AK260-AL260+AE260-AM260+AF260-AN260+AG260-AO260+AH260))</f>
        <v>0</v>
      </c>
      <c r="AQ260" s="21" t="n">
        <f aca="false">MIN(ROUND(AD260*(1+AD$15),2),AJ260+MAX(0,AK260-AL260+AE260-AM260+AF260-AN260+AG260-AO260+AH260-AP260+AI260))</f>
        <v>0</v>
      </c>
      <c r="AR260" s="21" t="n">
        <f aca="false">SUM(Y260:AD260)</f>
        <v>0</v>
      </c>
      <c r="AS260" s="21" t="n">
        <f aca="false">SUM(AL260:AQ260)</f>
        <v>0</v>
      </c>
    </row>
    <row r="261" customFormat="false" ht="15" hidden="false" customHeight="false" outlineLevel="0" collapsed="false">
      <c r="A261" s="25" t="n">
        <f aca="false">A260+1</f>
        <v>235</v>
      </c>
      <c r="B261" s="21" t="n">
        <f aca="false">MAX(0,ROUND(B260*(1+B$15),2)-O260)</f>
        <v>0</v>
      </c>
      <c r="C261" s="21" t="n">
        <f aca="false">MAX(0,ROUND(C260*(1+C$15),2)-P260)</f>
        <v>0</v>
      </c>
      <c r="D261" s="21" t="n">
        <f aca="false">MAX(0,ROUND(D260*(1+D$15),2)-Q260)</f>
        <v>0</v>
      </c>
      <c r="E261" s="21" t="n">
        <f aca="false">MAX(0,ROUND(E260*(1+E$15),2)-R260)</f>
        <v>0</v>
      </c>
      <c r="F261" s="21" t="n">
        <f aca="false">MAX(0,ROUND(F260*(1+F$15),2)-S260)</f>
        <v>0</v>
      </c>
      <c r="G261" s="21" t="n">
        <f aca="false">MAX(0,ROUND(G260*(1+G$15),2)-T260)</f>
        <v>0</v>
      </c>
      <c r="H261" s="21" t="n">
        <f aca="false">MIN(B$16,ROUND(B261*(1+B$15),2))</f>
        <v>0</v>
      </c>
      <c r="I261" s="21" t="n">
        <f aca="false">MIN(C$16,ROUND(C261*(1+C$15),2))</f>
        <v>0</v>
      </c>
      <c r="J261" s="21" t="n">
        <f aca="false">MIN(D$16,ROUND(D261*(1+D$15),2))</f>
        <v>0</v>
      </c>
      <c r="K261" s="21" t="n">
        <f aca="false">MIN(E$16,ROUND(E261*(1+E$15),2))</f>
        <v>0</v>
      </c>
      <c r="L261" s="21" t="n">
        <f aca="false">MIN(F$16,ROUND(F261*(1+F$15),2))</f>
        <v>0</v>
      </c>
      <c r="M261" s="21" t="n">
        <f aca="false">MIN(G$16,ROUND(G261*(1+G$15),2))</f>
        <v>0</v>
      </c>
      <c r="N261" s="21" t="n">
        <f aca="false">B$20-SUM(H261:M261)</f>
        <v>1170</v>
      </c>
      <c r="O261" s="21" t="n">
        <f aca="false">MIN(ROUND(B261*(1+B$15),2),H261+MAX(0,N261))</f>
        <v>0</v>
      </c>
      <c r="P261" s="21" t="n">
        <f aca="false">MIN(ROUND(C261*(1+C$15),2),I261+MAX(0,N261-O261+H261))</f>
        <v>0</v>
      </c>
      <c r="Q261" s="21" t="n">
        <f aca="false">MIN(ROUND(D261*(1+D$15),2),J261+MAX(0,N261-O261+H261-P261+I261))</f>
        <v>0</v>
      </c>
      <c r="R261" s="21" t="n">
        <f aca="false">MIN(ROUND(E261*(1+E$15),2),K261+MAX(0,N261-O261+H261-P261+I261-Q261+J261))</f>
        <v>0</v>
      </c>
      <c r="S261" s="21" t="n">
        <f aca="false">MIN(ROUND(F261*(1+F$15),2),L261+MAX(0,N261-O261+H261-P261+I261-Q261+J261-R261+K261))</f>
        <v>0</v>
      </c>
      <c r="T261" s="21" t="n">
        <f aca="false">MIN(ROUND(G261*(1+G$15),2),M261+MAX(0,N261-O261+H261-P261+I261-Q261+J261-R261+K261-S261+L261))</f>
        <v>0</v>
      </c>
      <c r="U261" s="21" t="n">
        <f aca="false">SUM(B261:G261)</f>
        <v>0</v>
      </c>
      <c r="V261" s="21" t="n">
        <f aca="false">SUM(O261:T261)</f>
        <v>0</v>
      </c>
      <c r="X261" s="25" t="n">
        <f aca="false">X260+1</f>
        <v>235</v>
      </c>
      <c r="Y261" s="21" t="n">
        <f aca="false">MAX(0,ROUND(Y260*(1+Y$15),2)-AL260)</f>
        <v>0</v>
      </c>
      <c r="Z261" s="21" t="n">
        <f aca="false">MAX(0,ROUND(Z260*(1+Z$15),2)-AM260)</f>
        <v>0</v>
      </c>
      <c r="AA261" s="21" t="n">
        <f aca="false">MAX(0,ROUND(AA260*(1+AA$15),2)-AN260)</f>
        <v>0</v>
      </c>
      <c r="AB261" s="21" t="n">
        <f aca="false">MAX(0,ROUND(AB260*(1+AB$15),2)-AO260)</f>
        <v>0</v>
      </c>
      <c r="AC261" s="21" t="n">
        <f aca="false">MAX(0,ROUND(AC260*(1+AC$15),2)-AP260)</f>
        <v>0</v>
      </c>
      <c r="AD261" s="21" t="n">
        <f aca="false">MAX(0,ROUND(AD260*(1+AD$15),2)-AQ260)</f>
        <v>0</v>
      </c>
      <c r="AE261" s="21" t="n">
        <f aca="false">MIN(Y$16,ROUND(Y261*(1+Y$15),2))</f>
        <v>0</v>
      </c>
      <c r="AF261" s="21" t="n">
        <f aca="false">MIN(Z$16,ROUND(Z261*(1+Z$15),2))</f>
        <v>0</v>
      </c>
      <c r="AG261" s="21" t="n">
        <f aca="false">MIN(AA$16,ROUND(AA261*(1+AA$15),2))</f>
        <v>0</v>
      </c>
      <c r="AH261" s="21" t="n">
        <f aca="false">MIN(AB$16,ROUND(AB261*(1+AB$15),2))</f>
        <v>0</v>
      </c>
      <c r="AI261" s="21" t="n">
        <f aca="false">MIN(AC$16,ROUND(AC261*(1+AC$15),2))</f>
        <v>0</v>
      </c>
      <c r="AJ261" s="21" t="n">
        <f aca="false">MIN(AD$16,ROUND(AD261*(1+AD$15),2))</f>
        <v>0</v>
      </c>
      <c r="AK261" s="21" t="n">
        <f aca="false">Y$20-SUM(AE261:AJ261)</f>
        <v>1170</v>
      </c>
      <c r="AL261" s="21" t="n">
        <f aca="false">MIN(ROUND(Y261*(1+Y$15),2),AE261+MAX(0,AK261))</f>
        <v>0</v>
      </c>
      <c r="AM261" s="21" t="n">
        <f aca="false">MIN(ROUND(Z261*(1+Z$15),2),AF261+MAX(0,AK261-AL261+AE261))</f>
        <v>0</v>
      </c>
      <c r="AN261" s="21" t="n">
        <f aca="false">MIN(ROUND(AA261*(1+AA$15),2),AG261+MAX(0,AK261-AL261+AE261-AM261+AF261))</f>
        <v>0</v>
      </c>
      <c r="AO261" s="21" t="n">
        <f aca="false">MIN(ROUND(AB261*(1+AB$15),2),AH261+MAX(0,AK261-AL261+AE261-AM261+AF261-AN261+AG261))</f>
        <v>0</v>
      </c>
      <c r="AP261" s="21" t="n">
        <f aca="false">MIN(ROUND(AC261*(1+AC$15),2),AI261+MAX(0,AK261-AL261+AE261-AM261+AF261-AN261+AG261-AO261+AH261))</f>
        <v>0</v>
      </c>
      <c r="AQ261" s="21" t="n">
        <f aca="false">MIN(ROUND(AD261*(1+AD$15),2),AJ261+MAX(0,AK261-AL261+AE261-AM261+AF261-AN261+AG261-AO261+AH261-AP261+AI261))</f>
        <v>0</v>
      </c>
      <c r="AR261" s="21" t="n">
        <f aca="false">SUM(Y261:AD261)</f>
        <v>0</v>
      </c>
      <c r="AS261" s="21" t="n">
        <f aca="false">SUM(AL261:AQ261)</f>
        <v>0</v>
      </c>
    </row>
    <row r="262" customFormat="false" ht="15" hidden="false" customHeight="false" outlineLevel="0" collapsed="false">
      <c r="A262" s="25" t="n">
        <f aca="false">A261+1</f>
        <v>236</v>
      </c>
      <c r="B262" s="21" t="n">
        <f aca="false">MAX(0,ROUND(B261*(1+B$15),2)-O261)</f>
        <v>0</v>
      </c>
      <c r="C262" s="21" t="n">
        <f aca="false">MAX(0,ROUND(C261*(1+C$15),2)-P261)</f>
        <v>0</v>
      </c>
      <c r="D262" s="21" t="n">
        <f aca="false">MAX(0,ROUND(D261*(1+D$15),2)-Q261)</f>
        <v>0</v>
      </c>
      <c r="E262" s="21" t="n">
        <f aca="false">MAX(0,ROUND(E261*(1+E$15),2)-R261)</f>
        <v>0</v>
      </c>
      <c r="F262" s="21" t="n">
        <f aca="false">MAX(0,ROUND(F261*(1+F$15),2)-S261)</f>
        <v>0</v>
      </c>
      <c r="G262" s="21" t="n">
        <f aca="false">MAX(0,ROUND(G261*(1+G$15),2)-T261)</f>
        <v>0</v>
      </c>
      <c r="H262" s="21" t="n">
        <f aca="false">MIN(B$16,ROUND(B262*(1+B$15),2))</f>
        <v>0</v>
      </c>
      <c r="I262" s="21" t="n">
        <f aca="false">MIN(C$16,ROUND(C262*(1+C$15),2))</f>
        <v>0</v>
      </c>
      <c r="J262" s="21" t="n">
        <f aca="false">MIN(D$16,ROUND(D262*(1+D$15),2))</f>
        <v>0</v>
      </c>
      <c r="K262" s="21" t="n">
        <f aca="false">MIN(E$16,ROUND(E262*(1+E$15),2))</f>
        <v>0</v>
      </c>
      <c r="L262" s="21" t="n">
        <f aca="false">MIN(F$16,ROUND(F262*(1+F$15),2))</f>
        <v>0</v>
      </c>
      <c r="M262" s="21" t="n">
        <f aca="false">MIN(G$16,ROUND(G262*(1+G$15),2))</f>
        <v>0</v>
      </c>
      <c r="N262" s="21" t="n">
        <f aca="false">B$20-SUM(H262:M262)</f>
        <v>1170</v>
      </c>
      <c r="O262" s="21" t="n">
        <f aca="false">MIN(ROUND(B262*(1+B$15),2),H262+MAX(0,N262))</f>
        <v>0</v>
      </c>
      <c r="P262" s="21" t="n">
        <f aca="false">MIN(ROUND(C262*(1+C$15),2),I262+MAX(0,N262-O262+H262))</f>
        <v>0</v>
      </c>
      <c r="Q262" s="21" t="n">
        <f aca="false">MIN(ROUND(D262*(1+D$15),2),J262+MAX(0,N262-O262+H262-P262+I262))</f>
        <v>0</v>
      </c>
      <c r="R262" s="21" t="n">
        <f aca="false">MIN(ROUND(E262*(1+E$15),2),K262+MAX(0,N262-O262+H262-P262+I262-Q262+J262))</f>
        <v>0</v>
      </c>
      <c r="S262" s="21" t="n">
        <f aca="false">MIN(ROUND(F262*(1+F$15),2),L262+MAX(0,N262-O262+H262-P262+I262-Q262+J262-R262+K262))</f>
        <v>0</v>
      </c>
      <c r="T262" s="21" t="n">
        <f aca="false">MIN(ROUND(G262*(1+G$15),2),M262+MAX(0,N262-O262+H262-P262+I262-Q262+J262-R262+K262-S262+L262))</f>
        <v>0</v>
      </c>
      <c r="U262" s="21" t="n">
        <f aca="false">SUM(B262:G262)</f>
        <v>0</v>
      </c>
      <c r="V262" s="21" t="n">
        <f aca="false">SUM(O262:T262)</f>
        <v>0</v>
      </c>
      <c r="X262" s="25" t="n">
        <f aca="false">X261+1</f>
        <v>236</v>
      </c>
      <c r="Y262" s="21" t="n">
        <f aca="false">MAX(0,ROUND(Y261*(1+Y$15),2)-AL261)</f>
        <v>0</v>
      </c>
      <c r="Z262" s="21" t="n">
        <f aca="false">MAX(0,ROUND(Z261*(1+Z$15),2)-AM261)</f>
        <v>0</v>
      </c>
      <c r="AA262" s="21" t="n">
        <f aca="false">MAX(0,ROUND(AA261*(1+AA$15),2)-AN261)</f>
        <v>0</v>
      </c>
      <c r="AB262" s="21" t="n">
        <f aca="false">MAX(0,ROUND(AB261*(1+AB$15),2)-AO261)</f>
        <v>0</v>
      </c>
      <c r="AC262" s="21" t="n">
        <f aca="false">MAX(0,ROUND(AC261*(1+AC$15),2)-AP261)</f>
        <v>0</v>
      </c>
      <c r="AD262" s="21" t="n">
        <f aca="false">MAX(0,ROUND(AD261*(1+AD$15),2)-AQ261)</f>
        <v>0</v>
      </c>
      <c r="AE262" s="21" t="n">
        <f aca="false">MIN(Y$16,ROUND(Y262*(1+Y$15),2))</f>
        <v>0</v>
      </c>
      <c r="AF262" s="21" t="n">
        <f aca="false">MIN(Z$16,ROUND(Z262*(1+Z$15),2))</f>
        <v>0</v>
      </c>
      <c r="AG262" s="21" t="n">
        <f aca="false">MIN(AA$16,ROUND(AA262*(1+AA$15),2))</f>
        <v>0</v>
      </c>
      <c r="AH262" s="21" t="n">
        <f aca="false">MIN(AB$16,ROUND(AB262*(1+AB$15),2))</f>
        <v>0</v>
      </c>
      <c r="AI262" s="21" t="n">
        <f aca="false">MIN(AC$16,ROUND(AC262*(1+AC$15),2))</f>
        <v>0</v>
      </c>
      <c r="AJ262" s="21" t="n">
        <f aca="false">MIN(AD$16,ROUND(AD262*(1+AD$15),2))</f>
        <v>0</v>
      </c>
      <c r="AK262" s="21" t="n">
        <f aca="false">Y$20-SUM(AE262:AJ262)</f>
        <v>1170</v>
      </c>
      <c r="AL262" s="21" t="n">
        <f aca="false">MIN(ROUND(Y262*(1+Y$15),2),AE262+MAX(0,AK262))</f>
        <v>0</v>
      </c>
      <c r="AM262" s="21" t="n">
        <f aca="false">MIN(ROUND(Z262*(1+Z$15),2),AF262+MAX(0,AK262-AL262+AE262))</f>
        <v>0</v>
      </c>
      <c r="AN262" s="21" t="n">
        <f aca="false">MIN(ROUND(AA262*(1+AA$15),2),AG262+MAX(0,AK262-AL262+AE262-AM262+AF262))</f>
        <v>0</v>
      </c>
      <c r="AO262" s="21" t="n">
        <f aca="false">MIN(ROUND(AB262*(1+AB$15),2),AH262+MAX(0,AK262-AL262+AE262-AM262+AF262-AN262+AG262))</f>
        <v>0</v>
      </c>
      <c r="AP262" s="21" t="n">
        <f aca="false">MIN(ROUND(AC262*(1+AC$15),2),AI262+MAX(0,AK262-AL262+AE262-AM262+AF262-AN262+AG262-AO262+AH262))</f>
        <v>0</v>
      </c>
      <c r="AQ262" s="21" t="n">
        <f aca="false">MIN(ROUND(AD262*(1+AD$15),2),AJ262+MAX(0,AK262-AL262+AE262-AM262+AF262-AN262+AG262-AO262+AH262-AP262+AI262))</f>
        <v>0</v>
      </c>
      <c r="AR262" s="21" t="n">
        <f aca="false">SUM(Y262:AD262)</f>
        <v>0</v>
      </c>
      <c r="AS262" s="21" t="n">
        <f aca="false">SUM(AL262:AQ262)</f>
        <v>0</v>
      </c>
    </row>
    <row r="263" customFormat="false" ht="15" hidden="false" customHeight="false" outlineLevel="0" collapsed="false">
      <c r="A263" s="25" t="n">
        <f aca="false">A262+1</f>
        <v>237</v>
      </c>
      <c r="B263" s="21" t="n">
        <f aca="false">MAX(0,ROUND(B262*(1+B$15),2)-O262)</f>
        <v>0</v>
      </c>
      <c r="C263" s="21" t="n">
        <f aca="false">MAX(0,ROUND(C262*(1+C$15),2)-P262)</f>
        <v>0</v>
      </c>
      <c r="D263" s="21" t="n">
        <f aca="false">MAX(0,ROUND(D262*(1+D$15),2)-Q262)</f>
        <v>0</v>
      </c>
      <c r="E263" s="21" t="n">
        <f aca="false">MAX(0,ROUND(E262*(1+E$15),2)-R262)</f>
        <v>0</v>
      </c>
      <c r="F263" s="21" t="n">
        <f aca="false">MAX(0,ROUND(F262*(1+F$15),2)-S262)</f>
        <v>0</v>
      </c>
      <c r="G263" s="21" t="n">
        <f aca="false">MAX(0,ROUND(G262*(1+G$15),2)-T262)</f>
        <v>0</v>
      </c>
      <c r="H263" s="21" t="n">
        <f aca="false">MIN(B$16,ROUND(B263*(1+B$15),2))</f>
        <v>0</v>
      </c>
      <c r="I263" s="21" t="n">
        <f aca="false">MIN(C$16,ROUND(C263*(1+C$15),2))</f>
        <v>0</v>
      </c>
      <c r="J263" s="21" t="n">
        <f aca="false">MIN(D$16,ROUND(D263*(1+D$15),2))</f>
        <v>0</v>
      </c>
      <c r="K263" s="21" t="n">
        <f aca="false">MIN(E$16,ROUND(E263*(1+E$15),2))</f>
        <v>0</v>
      </c>
      <c r="L263" s="21" t="n">
        <f aca="false">MIN(F$16,ROUND(F263*(1+F$15),2))</f>
        <v>0</v>
      </c>
      <c r="M263" s="21" t="n">
        <f aca="false">MIN(G$16,ROUND(G263*(1+G$15),2))</f>
        <v>0</v>
      </c>
      <c r="N263" s="21" t="n">
        <f aca="false">B$20-SUM(H263:M263)</f>
        <v>1170</v>
      </c>
      <c r="O263" s="21" t="n">
        <f aca="false">MIN(ROUND(B263*(1+B$15),2),H263+MAX(0,N263))</f>
        <v>0</v>
      </c>
      <c r="P263" s="21" t="n">
        <f aca="false">MIN(ROUND(C263*(1+C$15),2),I263+MAX(0,N263-O263+H263))</f>
        <v>0</v>
      </c>
      <c r="Q263" s="21" t="n">
        <f aca="false">MIN(ROUND(D263*(1+D$15),2),J263+MAX(0,N263-O263+H263-P263+I263))</f>
        <v>0</v>
      </c>
      <c r="R263" s="21" t="n">
        <f aca="false">MIN(ROUND(E263*(1+E$15),2),K263+MAX(0,N263-O263+H263-P263+I263-Q263+J263))</f>
        <v>0</v>
      </c>
      <c r="S263" s="21" t="n">
        <f aca="false">MIN(ROUND(F263*(1+F$15),2),L263+MAX(0,N263-O263+H263-P263+I263-Q263+J263-R263+K263))</f>
        <v>0</v>
      </c>
      <c r="T263" s="21" t="n">
        <f aca="false">MIN(ROUND(G263*(1+G$15),2),M263+MAX(0,N263-O263+H263-P263+I263-Q263+J263-R263+K263-S263+L263))</f>
        <v>0</v>
      </c>
      <c r="U263" s="21" t="n">
        <f aca="false">SUM(B263:G263)</f>
        <v>0</v>
      </c>
      <c r="V263" s="21" t="n">
        <f aca="false">SUM(O263:T263)</f>
        <v>0</v>
      </c>
      <c r="X263" s="25" t="n">
        <f aca="false">X262+1</f>
        <v>237</v>
      </c>
      <c r="Y263" s="21" t="n">
        <f aca="false">MAX(0,ROUND(Y262*(1+Y$15),2)-AL262)</f>
        <v>0</v>
      </c>
      <c r="Z263" s="21" t="n">
        <f aca="false">MAX(0,ROUND(Z262*(1+Z$15),2)-AM262)</f>
        <v>0</v>
      </c>
      <c r="AA263" s="21" t="n">
        <f aca="false">MAX(0,ROUND(AA262*(1+AA$15),2)-AN262)</f>
        <v>0</v>
      </c>
      <c r="AB263" s="21" t="n">
        <f aca="false">MAX(0,ROUND(AB262*(1+AB$15),2)-AO262)</f>
        <v>0</v>
      </c>
      <c r="AC263" s="21" t="n">
        <f aca="false">MAX(0,ROUND(AC262*(1+AC$15),2)-AP262)</f>
        <v>0</v>
      </c>
      <c r="AD263" s="21" t="n">
        <f aca="false">MAX(0,ROUND(AD262*(1+AD$15),2)-AQ262)</f>
        <v>0</v>
      </c>
      <c r="AE263" s="21" t="n">
        <f aca="false">MIN(Y$16,ROUND(Y263*(1+Y$15),2))</f>
        <v>0</v>
      </c>
      <c r="AF263" s="21" t="n">
        <f aca="false">MIN(Z$16,ROUND(Z263*(1+Z$15),2))</f>
        <v>0</v>
      </c>
      <c r="AG263" s="21" t="n">
        <f aca="false">MIN(AA$16,ROUND(AA263*(1+AA$15),2))</f>
        <v>0</v>
      </c>
      <c r="AH263" s="21" t="n">
        <f aca="false">MIN(AB$16,ROUND(AB263*(1+AB$15),2))</f>
        <v>0</v>
      </c>
      <c r="AI263" s="21" t="n">
        <f aca="false">MIN(AC$16,ROUND(AC263*(1+AC$15),2))</f>
        <v>0</v>
      </c>
      <c r="AJ263" s="21" t="n">
        <f aca="false">MIN(AD$16,ROUND(AD263*(1+AD$15),2))</f>
        <v>0</v>
      </c>
      <c r="AK263" s="21" t="n">
        <f aca="false">Y$20-SUM(AE263:AJ263)</f>
        <v>1170</v>
      </c>
      <c r="AL263" s="21" t="n">
        <f aca="false">MIN(ROUND(Y263*(1+Y$15),2),AE263+MAX(0,AK263))</f>
        <v>0</v>
      </c>
      <c r="AM263" s="21" t="n">
        <f aca="false">MIN(ROUND(Z263*(1+Z$15),2),AF263+MAX(0,AK263-AL263+AE263))</f>
        <v>0</v>
      </c>
      <c r="AN263" s="21" t="n">
        <f aca="false">MIN(ROUND(AA263*(1+AA$15),2),AG263+MAX(0,AK263-AL263+AE263-AM263+AF263))</f>
        <v>0</v>
      </c>
      <c r="AO263" s="21" t="n">
        <f aca="false">MIN(ROUND(AB263*(1+AB$15),2),AH263+MAX(0,AK263-AL263+AE263-AM263+AF263-AN263+AG263))</f>
        <v>0</v>
      </c>
      <c r="AP263" s="21" t="n">
        <f aca="false">MIN(ROUND(AC263*(1+AC$15),2),AI263+MAX(0,AK263-AL263+AE263-AM263+AF263-AN263+AG263-AO263+AH263))</f>
        <v>0</v>
      </c>
      <c r="AQ263" s="21" t="n">
        <f aca="false">MIN(ROUND(AD263*(1+AD$15),2),AJ263+MAX(0,AK263-AL263+AE263-AM263+AF263-AN263+AG263-AO263+AH263-AP263+AI263))</f>
        <v>0</v>
      </c>
      <c r="AR263" s="21" t="n">
        <f aca="false">SUM(Y263:AD263)</f>
        <v>0</v>
      </c>
      <c r="AS263" s="21" t="n">
        <f aca="false">SUM(AL263:AQ263)</f>
        <v>0</v>
      </c>
    </row>
    <row r="264" customFormat="false" ht="15" hidden="false" customHeight="false" outlineLevel="0" collapsed="false">
      <c r="A264" s="25" t="n">
        <f aca="false">A263+1</f>
        <v>238</v>
      </c>
      <c r="B264" s="21" t="n">
        <f aca="false">MAX(0,ROUND(B263*(1+B$15),2)-O263)</f>
        <v>0</v>
      </c>
      <c r="C264" s="21" t="n">
        <f aca="false">MAX(0,ROUND(C263*(1+C$15),2)-P263)</f>
        <v>0</v>
      </c>
      <c r="D264" s="21" t="n">
        <f aca="false">MAX(0,ROUND(D263*(1+D$15),2)-Q263)</f>
        <v>0</v>
      </c>
      <c r="E264" s="21" t="n">
        <f aca="false">MAX(0,ROUND(E263*(1+E$15),2)-R263)</f>
        <v>0</v>
      </c>
      <c r="F264" s="21" t="n">
        <f aca="false">MAX(0,ROUND(F263*(1+F$15),2)-S263)</f>
        <v>0</v>
      </c>
      <c r="G264" s="21" t="n">
        <f aca="false">MAX(0,ROUND(G263*(1+G$15),2)-T263)</f>
        <v>0</v>
      </c>
      <c r="H264" s="21" t="n">
        <f aca="false">MIN(B$16,ROUND(B264*(1+B$15),2))</f>
        <v>0</v>
      </c>
      <c r="I264" s="21" t="n">
        <f aca="false">MIN(C$16,ROUND(C264*(1+C$15),2))</f>
        <v>0</v>
      </c>
      <c r="J264" s="21" t="n">
        <f aca="false">MIN(D$16,ROUND(D264*(1+D$15),2))</f>
        <v>0</v>
      </c>
      <c r="K264" s="21" t="n">
        <f aca="false">MIN(E$16,ROUND(E264*(1+E$15),2))</f>
        <v>0</v>
      </c>
      <c r="L264" s="21" t="n">
        <f aca="false">MIN(F$16,ROUND(F264*(1+F$15),2))</f>
        <v>0</v>
      </c>
      <c r="M264" s="21" t="n">
        <f aca="false">MIN(G$16,ROUND(G264*(1+G$15),2))</f>
        <v>0</v>
      </c>
      <c r="N264" s="21" t="n">
        <f aca="false">B$20-SUM(H264:M264)</f>
        <v>1170</v>
      </c>
      <c r="O264" s="21" t="n">
        <f aca="false">MIN(ROUND(B264*(1+B$15),2),H264+MAX(0,N264))</f>
        <v>0</v>
      </c>
      <c r="P264" s="21" t="n">
        <f aca="false">MIN(ROUND(C264*(1+C$15),2),I264+MAX(0,N264-O264+H264))</f>
        <v>0</v>
      </c>
      <c r="Q264" s="21" t="n">
        <f aca="false">MIN(ROUND(D264*(1+D$15),2),J264+MAX(0,N264-O264+H264-P264+I264))</f>
        <v>0</v>
      </c>
      <c r="R264" s="21" t="n">
        <f aca="false">MIN(ROUND(E264*(1+E$15),2),K264+MAX(0,N264-O264+H264-P264+I264-Q264+J264))</f>
        <v>0</v>
      </c>
      <c r="S264" s="21" t="n">
        <f aca="false">MIN(ROUND(F264*(1+F$15),2),L264+MAX(0,N264-O264+H264-P264+I264-Q264+J264-R264+K264))</f>
        <v>0</v>
      </c>
      <c r="T264" s="21" t="n">
        <f aca="false">MIN(ROUND(G264*(1+G$15),2),M264+MAX(0,N264-O264+H264-P264+I264-Q264+J264-R264+K264-S264+L264))</f>
        <v>0</v>
      </c>
      <c r="U264" s="21" t="n">
        <f aca="false">SUM(B264:G264)</f>
        <v>0</v>
      </c>
      <c r="V264" s="21" t="n">
        <f aca="false">SUM(O264:T264)</f>
        <v>0</v>
      </c>
      <c r="X264" s="25" t="n">
        <f aca="false">X263+1</f>
        <v>238</v>
      </c>
      <c r="Y264" s="21" t="n">
        <f aca="false">MAX(0,ROUND(Y263*(1+Y$15),2)-AL263)</f>
        <v>0</v>
      </c>
      <c r="Z264" s="21" t="n">
        <f aca="false">MAX(0,ROUND(Z263*(1+Z$15),2)-AM263)</f>
        <v>0</v>
      </c>
      <c r="AA264" s="21" t="n">
        <f aca="false">MAX(0,ROUND(AA263*(1+AA$15),2)-AN263)</f>
        <v>0</v>
      </c>
      <c r="AB264" s="21" t="n">
        <f aca="false">MAX(0,ROUND(AB263*(1+AB$15),2)-AO263)</f>
        <v>0</v>
      </c>
      <c r="AC264" s="21" t="n">
        <f aca="false">MAX(0,ROUND(AC263*(1+AC$15),2)-AP263)</f>
        <v>0</v>
      </c>
      <c r="AD264" s="21" t="n">
        <f aca="false">MAX(0,ROUND(AD263*(1+AD$15),2)-AQ263)</f>
        <v>0</v>
      </c>
      <c r="AE264" s="21" t="n">
        <f aca="false">MIN(Y$16,ROUND(Y264*(1+Y$15),2))</f>
        <v>0</v>
      </c>
      <c r="AF264" s="21" t="n">
        <f aca="false">MIN(Z$16,ROUND(Z264*(1+Z$15),2))</f>
        <v>0</v>
      </c>
      <c r="AG264" s="21" t="n">
        <f aca="false">MIN(AA$16,ROUND(AA264*(1+AA$15),2))</f>
        <v>0</v>
      </c>
      <c r="AH264" s="21" t="n">
        <f aca="false">MIN(AB$16,ROUND(AB264*(1+AB$15),2))</f>
        <v>0</v>
      </c>
      <c r="AI264" s="21" t="n">
        <f aca="false">MIN(AC$16,ROUND(AC264*(1+AC$15),2))</f>
        <v>0</v>
      </c>
      <c r="AJ264" s="21" t="n">
        <f aca="false">MIN(AD$16,ROUND(AD264*(1+AD$15),2))</f>
        <v>0</v>
      </c>
      <c r="AK264" s="21" t="n">
        <f aca="false">Y$20-SUM(AE264:AJ264)</f>
        <v>1170</v>
      </c>
      <c r="AL264" s="21" t="n">
        <f aca="false">MIN(ROUND(Y264*(1+Y$15),2),AE264+MAX(0,AK264))</f>
        <v>0</v>
      </c>
      <c r="AM264" s="21" t="n">
        <f aca="false">MIN(ROUND(Z264*(1+Z$15),2),AF264+MAX(0,AK264-AL264+AE264))</f>
        <v>0</v>
      </c>
      <c r="AN264" s="21" t="n">
        <f aca="false">MIN(ROUND(AA264*(1+AA$15),2),AG264+MAX(0,AK264-AL264+AE264-AM264+AF264))</f>
        <v>0</v>
      </c>
      <c r="AO264" s="21" t="n">
        <f aca="false">MIN(ROUND(AB264*(1+AB$15),2),AH264+MAX(0,AK264-AL264+AE264-AM264+AF264-AN264+AG264))</f>
        <v>0</v>
      </c>
      <c r="AP264" s="21" t="n">
        <f aca="false">MIN(ROUND(AC264*(1+AC$15),2),AI264+MAX(0,AK264-AL264+AE264-AM264+AF264-AN264+AG264-AO264+AH264))</f>
        <v>0</v>
      </c>
      <c r="AQ264" s="21" t="n">
        <f aca="false">MIN(ROUND(AD264*(1+AD$15),2),AJ264+MAX(0,AK264-AL264+AE264-AM264+AF264-AN264+AG264-AO264+AH264-AP264+AI264))</f>
        <v>0</v>
      </c>
      <c r="AR264" s="21" t="n">
        <f aca="false">SUM(Y264:AD264)</f>
        <v>0</v>
      </c>
      <c r="AS264" s="21" t="n">
        <f aca="false">SUM(AL264:AQ264)</f>
        <v>0</v>
      </c>
    </row>
    <row r="265" customFormat="false" ht="15" hidden="false" customHeight="false" outlineLevel="0" collapsed="false">
      <c r="A265" s="25" t="n">
        <f aca="false">A264+1</f>
        <v>239</v>
      </c>
      <c r="B265" s="21" t="n">
        <f aca="false">MAX(0,ROUND(B264*(1+B$15),2)-O264)</f>
        <v>0</v>
      </c>
      <c r="C265" s="21" t="n">
        <f aca="false">MAX(0,ROUND(C264*(1+C$15),2)-P264)</f>
        <v>0</v>
      </c>
      <c r="D265" s="21" t="n">
        <f aca="false">MAX(0,ROUND(D264*(1+D$15),2)-Q264)</f>
        <v>0</v>
      </c>
      <c r="E265" s="21" t="n">
        <f aca="false">MAX(0,ROUND(E264*(1+E$15),2)-R264)</f>
        <v>0</v>
      </c>
      <c r="F265" s="21" t="n">
        <f aca="false">MAX(0,ROUND(F264*(1+F$15),2)-S264)</f>
        <v>0</v>
      </c>
      <c r="G265" s="21" t="n">
        <f aca="false">MAX(0,ROUND(G264*(1+G$15),2)-T264)</f>
        <v>0</v>
      </c>
      <c r="H265" s="21" t="n">
        <f aca="false">MIN(B$16,ROUND(B265*(1+B$15),2))</f>
        <v>0</v>
      </c>
      <c r="I265" s="21" t="n">
        <f aca="false">MIN(C$16,ROUND(C265*(1+C$15),2))</f>
        <v>0</v>
      </c>
      <c r="J265" s="21" t="n">
        <f aca="false">MIN(D$16,ROUND(D265*(1+D$15),2))</f>
        <v>0</v>
      </c>
      <c r="K265" s="21" t="n">
        <f aca="false">MIN(E$16,ROUND(E265*(1+E$15),2))</f>
        <v>0</v>
      </c>
      <c r="L265" s="21" t="n">
        <f aca="false">MIN(F$16,ROUND(F265*(1+F$15),2))</f>
        <v>0</v>
      </c>
      <c r="M265" s="21" t="n">
        <f aca="false">MIN(G$16,ROUND(G265*(1+G$15),2))</f>
        <v>0</v>
      </c>
      <c r="N265" s="21" t="n">
        <f aca="false">B$20-SUM(H265:M265)</f>
        <v>1170</v>
      </c>
      <c r="O265" s="21" t="n">
        <f aca="false">MIN(ROUND(B265*(1+B$15),2),H265+MAX(0,N265))</f>
        <v>0</v>
      </c>
      <c r="P265" s="21" t="n">
        <f aca="false">MIN(ROUND(C265*(1+C$15),2),I265+MAX(0,N265-O265+H265))</f>
        <v>0</v>
      </c>
      <c r="Q265" s="21" t="n">
        <f aca="false">MIN(ROUND(D265*(1+D$15),2),J265+MAX(0,N265-O265+H265-P265+I265))</f>
        <v>0</v>
      </c>
      <c r="R265" s="21" t="n">
        <f aca="false">MIN(ROUND(E265*(1+E$15),2),K265+MAX(0,N265-O265+H265-P265+I265-Q265+J265))</f>
        <v>0</v>
      </c>
      <c r="S265" s="21" t="n">
        <f aca="false">MIN(ROUND(F265*(1+F$15),2),L265+MAX(0,N265-O265+H265-P265+I265-Q265+J265-R265+K265))</f>
        <v>0</v>
      </c>
      <c r="T265" s="21" t="n">
        <f aca="false">MIN(ROUND(G265*(1+G$15),2),M265+MAX(0,N265-O265+H265-P265+I265-Q265+J265-R265+K265-S265+L265))</f>
        <v>0</v>
      </c>
      <c r="U265" s="21" t="n">
        <f aca="false">SUM(B265:G265)</f>
        <v>0</v>
      </c>
      <c r="V265" s="21" t="n">
        <f aca="false">SUM(O265:T265)</f>
        <v>0</v>
      </c>
      <c r="X265" s="25" t="n">
        <f aca="false">X264+1</f>
        <v>239</v>
      </c>
      <c r="Y265" s="21" t="n">
        <f aca="false">MAX(0,ROUND(Y264*(1+Y$15),2)-AL264)</f>
        <v>0</v>
      </c>
      <c r="Z265" s="21" t="n">
        <f aca="false">MAX(0,ROUND(Z264*(1+Z$15),2)-AM264)</f>
        <v>0</v>
      </c>
      <c r="AA265" s="21" t="n">
        <f aca="false">MAX(0,ROUND(AA264*(1+AA$15),2)-AN264)</f>
        <v>0</v>
      </c>
      <c r="AB265" s="21" t="n">
        <f aca="false">MAX(0,ROUND(AB264*(1+AB$15),2)-AO264)</f>
        <v>0</v>
      </c>
      <c r="AC265" s="21" t="n">
        <f aca="false">MAX(0,ROUND(AC264*(1+AC$15),2)-AP264)</f>
        <v>0</v>
      </c>
      <c r="AD265" s="21" t="n">
        <f aca="false">MAX(0,ROUND(AD264*(1+AD$15),2)-AQ264)</f>
        <v>0</v>
      </c>
      <c r="AE265" s="21" t="n">
        <f aca="false">MIN(Y$16,ROUND(Y265*(1+Y$15),2))</f>
        <v>0</v>
      </c>
      <c r="AF265" s="21" t="n">
        <f aca="false">MIN(Z$16,ROUND(Z265*(1+Z$15),2))</f>
        <v>0</v>
      </c>
      <c r="AG265" s="21" t="n">
        <f aca="false">MIN(AA$16,ROUND(AA265*(1+AA$15),2))</f>
        <v>0</v>
      </c>
      <c r="AH265" s="21" t="n">
        <f aca="false">MIN(AB$16,ROUND(AB265*(1+AB$15),2))</f>
        <v>0</v>
      </c>
      <c r="AI265" s="21" t="n">
        <f aca="false">MIN(AC$16,ROUND(AC265*(1+AC$15),2))</f>
        <v>0</v>
      </c>
      <c r="AJ265" s="21" t="n">
        <f aca="false">MIN(AD$16,ROUND(AD265*(1+AD$15),2))</f>
        <v>0</v>
      </c>
      <c r="AK265" s="21" t="n">
        <f aca="false">Y$20-SUM(AE265:AJ265)</f>
        <v>1170</v>
      </c>
      <c r="AL265" s="21" t="n">
        <f aca="false">MIN(ROUND(Y265*(1+Y$15),2),AE265+MAX(0,AK265))</f>
        <v>0</v>
      </c>
      <c r="AM265" s="21" t="n">
        <f aca="false">MIN(ROUND(Z265*(1+Z$15),2),AF265+MAX(0,AK265-AL265+AE265))</f>
        <v>0</v>
      </c>
      <c r="AN265" s="21" t="n">
        <f aca="false">MIN(ROUND(AA265*(1+AA$15),2),AG265+MAX(0,AK265-AL265+AE265-AM265+AF265))</f>
        <v>0</v>
      </c>
      <c r="AO265" s="21" t="n">
        <f aca="false">MIN(ROUND(AB265*(1+AB$15),2),AH265+MAX(0,AK265-AL265+AE265-AM265+AF265-AN265+AG265))</f>
        <v>0</v>
      </c>
      <c r="AP265" s="21" t="n">
        <f aca="false">MIN(ROUND(AC265*(1+AC$15),2),AI265+MAX(0,AK265-AL265+AE265-AM265+AF265-AN265+AG265-AO265+AH265))</f>
        <v>0</v>
      </c>
      <c r="AQ265" s="21" t="n">
        <f aca="false">MIN(ROUND(AD265*(1+AD$15),2),AJ265+MAX(0,AK265-AL265+AE265-AM265+AF265-AN265+AG265-AO265+AH265-AP265+AI265))</f>
        <v>0</v>
      </c>
      <c r="AR265" s="21" t="n">
        <f aca="false">SUM(Y265:AD265)</f>
        <v>0</v>
      </c>
      <c r="AS265" s="21" t="n">
        <f aca="false">SUM(AL265:AQ265)</f>
        <v>0</v>
      </c>
    </row>
    <row r="266" customFormat="false" ht="15" hidden="false" customHeight="false" outlineLevel="0" collapsed="false">
      <c r="A266" s="25" t="n">
        <f aca="false">A265+1</f>
        <v>240</v>
      </c>
      <c r="B266" s="21" t="n">
        <f aca="false">MAX(0,ROUND(B265*(1+B$15),2)-O265)</f>
        <v>0</v>
      </c>
      <c r="C266" s="21" t="n">
        <f aca="false">MAX(0,ROUND(C265*(1+C$15),2)-P265)</f>
        <v>0</v>
      </c>
      <c r="D266" s="21" t="n">
        <f aca="false">MAX(0,ROUND(D265*(1+D$15),2)-Q265)</f>
        <v>0</v>
      </c>
      <c r="E266" s="21" t="n">
        <f aca="false">MAX(0,ROUND(E265*(1+E$15),2)-R265)</f>
        <v>0</v>
      </c>
      <c r="F266" s="21" t="n">
        <f aca="false">MAX(0,ROUND(F265*(1+F$15),2)-S265)</f>
        <v>0</v>
      </c>
      <c r="G266" s="21" t="n">
        <f aca="false">MAX(0,ROUND(G265*(1+G$15),2)-T265)</f>
        <v>0</v>
      </c>
      <c r="H266" s="21" t="n">
        <f aca="false">MIN(B$16,ROUND(B266*(1+B$15),2))</f>
        <v>0</v>
      </c>
      <c r="I266" s="21" t="n">
        <f aca="false">MIN(C$16,ROUND(C266*(1+C$15),2))</f>
        <v>0</v>
      </c>
      <c r="J266" s="21" t="n">
        <f aca="false">MIN(D$16,ROUND(D266*(1+D$15),2))</f>
        <v>0</v>
      </c>
      <c r="K266" s="21" t="n">
        <f aca="false">MIN(E$16,ROUND(E266*(1+E$15),2))</f>
        <v>0</v>
      </c>
      <c r="L266" s="21" t="n">
        <f aca="false">MIN(F$16,ROUND(F266*(1+F$15),2))</f>
        <v>0</v>
      </c>
      <c r="M266" s="21" t="n">
        <f aca="false">MIN(G$16,ROUND(G266*(1+G$15),2))</f>
        <v>0</v>
      </c>
      <c r="N266" s="21" t="n">
        <f aca="false">B$20-SUM(H266:M266)</f>
        <v>1170</v>
      </c>
      <c r="O266" s="21" t="n">
        <f aca="false">MIN(ROUND(B266*(1+B$15),2),H266+MAX(0,N266))</f>
        <v>0</v>
      </c>
      <c r="P266" s="21" t="n">
        <f aca="false">MIN(ROUND(C266*(1+C$15),2),I266+MAX(0,N266-O266+H266))</f>
        <v>0</v>
      </c>
      <c r="Q266" s="21" t="n">
        <f aca="false">MIN(ROUND(D266*(1+D$15),2),J266+MAX(0,N266-O266+H266-P266+I266))</f>
        <v>0</v>
      </c>
      <c r="R266" s="21" t="n">
        <f aca="false">MIN(ROUND(E266*(1+E$15),2),K266+MAX(0,N266-O266+H266-P266+I266-Q266+J266))</f>
        <v>0</v>
      </c>
      <c r="S266" s="21" t="n">
        <f aca="false">MIN(ROUND(F266*(1+F$15),2),L266+MAX(0,N266-O266+H266-P266+I266-Q266+J266-R266+K266))</f>
        <v>0</v>
      </c>
      <c r="T266" s="21" t="n">
        <f aca="false">MIN(ROUND(G266*(1+G$15),2),M266+MAX(0,N266-O266+H266-P266+I266-Q266+J266-R266+K266-S266+L266))</f>
        <v>0</v>
      </c>
      <c r="U266" s="21" t="n">
        <f aca="false">SUM(B266:G266)</f>
        <v>0</v>
      </c>
      <c r="V266" s="21" t="n">
        <f aca="false">SUM(O266:T266)</f>
        <v>0</v>
      </c>
      <c r="X266" s="25" t="n">
        <f aca="false">X265+1</f>
        <v>240</v>
      </c>
      <c r="Y266" s="21" t="n">
        <f aca="false">MAX(0,ROUND(Y265*(1+Y$15),2)-AL265)</f>
        <v>0</v>
      </c>
      <c r="Z266" s="21" t="n">
        <f aca="false">MAX(0,ROUND(Z265*(1+Z$15),2)-AM265)</f>
        <v>0</v>
      </c>
      <c r="AA266" s="21" t="n">
        <f aca="false">MAX(0,ROUND(AA265*(1+AA$15),2)-AN265)</f>
        <v>0</v>
      </c>
      <c r="AB266" s="21" t="n">
        <f aca="false">MAX(0,ROUND(AB265*(1+AB$15),2)-AO265)</f>
        <v>0</v>
      </c>
      <c r="AC266" s="21" t="n">
        <f aca="false">MAX(0,ROUND(AC265*(1+AC$15),2)-AP265)</f>
        <v>0</v>
      </c>
      <c r="AD266" s="21" t="n">
        <f aca="false">MAX(0,ROUND(AD265*(1+AD$15),2)-AQ265)</f>
        <v>0</v>
      </c>
      <c r="AE266" s="21" t="n">
        <f aca="false">MIN(Y$16,ROUND(Y266*(1+Y$15),2))</f>
        <v>0</v>
      </c>
      <c r="AF266" s="21" t="n">
        <f aca="false">MIN(Z$16,ROUND(Z266*(1+Z$15),2))</f>
        <v>0</v>
      </c>
      <c r="AG266" s="21" t="n">
        <f aca="false">MIN(AA$16,ROUND(AA266*(1+AA$15),2))</f>
        <v>0</v>
      </c>
      <c r="AH266" s="21" t="n">
        <f aca="false">MIN(AB$16,ROUND(AB266*(1+AB$15),2))</f>
        <v>0</v>
      </c>
      <c r="AI266" s="21" t="n">
        <f aca="false">MIN(AC$16,ROUND(AC266*(1+AC$15),2))</f>
        <v>0</v>
      </c>
      <c r="AJ266" s="21" t="n">
        <f aca="false">MIN(AD$16,ROUND(AD266*(1+AD$15),2))</f>
        <v>0</v>
      </c>
      <c r="AK266" s="21" t="n">
        <f aca="false">Y$20-SUM(AE266:AJ266)</f>
        <v>1170</v>
      </c>
      <c r="AL266" s="21" t="n">
        <f aca="false">MIN(ROUND(Y266*(1+Y$15),2),AE266+MAX(0,AK266))</f>
        <v>0</v>
      </c>
      <c r="AM266" s="21" t="n">
        <f aca="false">MIN(ROUND(Z266*(1+Z$15),2),AF266+MAX(0,AK266-AL266+AE266))</f>
        <v>0</v>
      </c>
      <c r="AN266" s="21" t="n">
        <f aca="false">MIN(ROUND(AA266*(1+AA$15),2),AG266+MAX(0,AK266-AL266+AE266-AM266+AF266))</f>
        <v>0</v>
      </c>
      <c r="AO266" s="21" t="n">
        <f aca="false">MIN(ROUND(AB266*(1+AB$15),2),AH266+MAX(0,AK266-AL266+AE266-AM266+AF266-AN266+AG266))</f>
        <v>0</v>
      </c>
      <c r="AP266" s="21" t="n">
        <f aca="false">MIN(ROUND(AC266*(1+AC$15),2),AI266+MAX(0,AK266-AL266+AE266-AM266+AF266-AN266+AG266-AO266+AH266))</f>
        <v>0</v>
      </c>
      <c r="AQ266" s="21" t="n">
        <f aca="false">MIN(ROUND(AD266*(1+AD$15),2),AJ266+MAX(0,AK266-AL266+AE266-AM266+AF266-AN266+AG266-AO266+AH266-AP266+AI266))</f>
        <v>0</v>
      </c>
      <c r="AR266" s="21" t="n">
        <f aca="false">SUM(Y266:AD266)</f>
        <v>0</v>
      </c>
      <c r="AS266" s="21" t="n">
        <f aca="false">SUM(AL266:AQ266)</f>
        <v>0</v>
      </c>
    </row>
    <row r="267" customFormat="false" ht="15" hidden="false" customHeight="false" outlineLevel="0" collapsed="false">
      <c r="A267" s="25" t="n">
        <f aca="false">A266+1</f>
        <v>241</v>
      </c>
      <c r="B267" s="21" t="n">
        <f aca="false">MAX(0,ROUND(B266*(1+B$15),2)-O266)</f>
        <v>0</v>
      </c>
      <c r="C267" s="21" t="n">
        <f aca="false">MAX(0,ROUND(C266*(1+C$15),2)-P266)</f>
        <v>0</v>
      </c>
      <c r="D267" s="21" t="n">
        <f aca="false">MAX(0,ROUND(D266*(1+D$15),2)-Q266)</f>
        <v>0</v>
      </c>
      <c r="E267" s="21" t="n">
        <f aca="false">MAX(0,ROUND(E266*(1+E$15),2)-R266)</f>
        <v>0</v>
      </c>
      <c r="F267" s="21" t="n">
        <f aca="false">MAX(0,ROUND(F266*(1+F$15),2)-S266)</f>
        <v>0</v>
      </c>
      <c r="G267" s="21" t="n">
        <f aca="false">MAX(0,ROUND(G266*(1+G$15),2)-T266)</f>
        <v>0</v>
      </c>
      <c r="H267" s="21" t="n">
        <f aca="false">MIN(B$16,ROUND(B267*(1+B$15),2))</f>
        <v>0</v>
      </c>
      <c r="I267" s="21" t="n">
        <f aca="false">MIN(C$16,ROUND(C267*(1+C$15),2))</f>
        <v>0</v>
      </c>
      <c r="J267" s="21" t="n">
        <f aca="false">MIN(D$16,ROUND(D267*(1+D$15),2))</f>
        <v>0</v>
      </c>
      <c r="K267" s="21" t="n">
        <f aca="false">MIN(E$16,ROUND(E267*(1+E$15),2))</f>
        <v>0</v>
      </c>
      <c r="L267" s="21" t="n">
        <f aca="false">MIN(F$16,ROUND(F267*(1+F$15),2))</f>
        <v>0</v>
      </c>
      <c r="M267" s="21" t="n">
        <f aca="false">MIN(G$16,ROUND(G267*(1+G$15),2))</f>
        <v>0</v>
      </c>
      <c r="N267" s="21" t="n">
        <f aca="false">B$20-SUM(H267:M267)</f>
        <v>1170</v>
      </c>
      <c r="O267" s="21" t="n">
        <f aca="false">MIN(ROUND(B267*(1+B$15),2),H267+MAX(0,N267))</f>
        <v>0</v>
      </c>
      <c r="P267" s="21" t="n">
        <f aca="false">MIN(ROUND(C267*(1+C$15),2),I267+MAX(0,N267-O267+H267))</f>
        <v>0</v>
      </c>
      <c r="Q267" s="21" t="n">
        <f aca="false">MIN(ROUND(D267*(1+D$15),2),J267+MAX(0,N267-O267+H267-P267+I267))</f>
        <v>0</v>
      </c>
      <c r="R267" s="21" t="n">
        <f aca="false">MIN(ROUND(E267*(1+E$15),2),K267+MAX(0,N267-O267+H267-P267+I267-Q267+J267))</f>
        <v>0</v>
      </c>
      <c r="S267" s="21" t="n">
        <f aca="false">MIN(ROUND(F267*(1+F$15),2),L267+MAX(0,N267-O267+H267-P267+I267-Q267+J267-R267+K267))</f>
        <v>0</v>
      </c>
      <c r="T267" s="21" t="n">
        <f aca="false">MIN(ROUND(G267*(1+G$15),2),M267+MAX(0,N267-O267+H267-P267+I267-Q267+J267-R267+K267-S267+L267))</f>
        <v>0</v>
      </c>
      <c r="U267" s="21" t="n">
        <f aca="false">SUM(B267:G267)</f>
        <v>0</v>
      </c>
      <c r="V267" s="21" t="n">
        <f aca="false">SUM(O267:T267)</f>
        <v>0</v>
      </c>
      <c r="X267" s="25" t="n">
        <f aca="false">X266+1</f>
        <v>241</v>
      </c>
      <c r="Y267" s="21" t="n">
        <f aca="false">MAX(0,ROUND(Y266*(1+Y$15),2)-AL266)</f>
        <v>0</v>
      </c>
      <c r="Z267" s="21" t="n">
        <f aca="false">MAX(0,ROUND(Z266*(1+Z$15),2)-AM266)</f>
        <v>0</v>
      </c>
      <c r="AA267" s="21" t="n">
        <f aca="false">MAX(0,ROUND(AA266*(1+AA$15),2)-AN266)</f>
        <v>0</v>
      </c>
      <c r="AB267" s="21" t="n">
        <f aca="false">MAX(0,ROUND(AB266*(1+AB$15),2)-AO266)</f>
        <v>0</v>
      </c>
      <c r="AC267" s="21" t="n">
        <f aca="false">MAX(0,ROUND(AC266*(1+AC$15),2)-AP266)</f>
        <v>0</v>
      </c>
      <c r="AD267" s="21" t="n">
        <f aca="false">MAX(0,ROUND(AD266*(1+AD$15),2)-AQ266)</f>
        <v>0</v>
      </c>
      <c r="AE267" s="21" t="n">
        <f aca="false">MIN(Y$16,ROUND(Y267*(1+Y$15),2))</f>
        <v>0</v>
      </c>
      <c r="AF267" s="21" t="n">
        <f aca="false">MIN(Z$16,ROUND(Z267*(1+Z$15),2))</f>
        <v>0</v>
      </c>
      <c r="AG267" s="21" t="n">
        <f aca="false">MIN(AA$16,ROUND(AA267*(1+AA$15),2))</f>
        <v>0</v>
      </c>
      <c r="AH267" s="21" t="n">
        <f aca="false">MIN(AB$16,ROUND(AB267*(1+AB$15),2))</f>
        <v>0</v>
      </c>
      <c r="AI267" s="21" t="n">
        <f aca="false">MIN(AC$16,ROUND(AC267*(1+AC$15),2))</f>
        <v>0</v>
      </c>
      <c r="AJ267" s="21" t="n">
        <f aca="false">MIN(AD$16,ROUND(AD267*(1+AD$15),2))</f>
        <v>0</v>
      </c>
      <c r="AK267" s="21" t="n">
        <f aca="false">Y$20-SUM(AE267:AJ267)</f>
        <v>1170</v>
      </c>
      <c r="AL267" s="21" t="n">
        <f aca="false">MIN(ROUND(Y267*(1+Y$15),2),AE267+MAX(0,AK267))</f>
        <v>0</v>
      </c>
      <c r="AM267" s="21" t="n">
        <f aca="false">MIN(ROUND(Z267*(1+Z$15),2),AF267+MAX(0,AK267-AL267+AE267))</f>
        <v>0</v>
      </c>
      <c r="AN267" s="21" t="n">
        <f aca="false">MIN(ROUND(AA267*(1+AA$15),2),AG267+MAX(0,AK267-AL267+AE267-AM267+AF267))</f>
        <v>0</v>
      </c>
      <c r="AO267" s="21" t="n">
        <f aca="false">MIN(ROUND(AB267*(1+AB$15),2),AH267+MAX(0,AK267-AL267+AE267-AM267+AF267-AN267+AG267))</f>
        <v>0</v>
      </c>
      <c r="AP267" s="21" t="n">
        <f aca="false">MIN(ROUND(AC267*(1+AC$15),2),AI267+MAX(0,AK267-AL267+AE267-AM267+AF267-AN267+AG267-AO267+AH267))</f>
        <v>0</v>
      </c>
      <c r="AQ267" s="21" t="n">
        <f aca="false">MIN(ROUND(AD267*(1+AD$15),2),AJ267+MAX(0,AK267-AL267+AE267-AM267+AF267-AN267+AG267-AO267+AH267-AP267+AI267))</f>
        <v>0</v>
      </c>
      <c r="AR267" s="21" t="n">
        <f aca="false">SUM(Y267:AD267)</f>
        <v>0</v>
      </c>
      <c r="AS267" s="21" t="n">
        <f aca="false">SUM(AL267:AQ267)</f>
        <v>0</v>
      </c>
    </row>
    <row r="268" customFormat="false" ht="15" hidden="false" customHeight="false" outlineLevel="0" collapsed="false">
      <c r="A268" s="25" t="n">
        <f aca="false">A267+1</f>
        <v>242</v>
      </c>
      <c r="B268" s="21" t="n">
        <f aca="false">MAX(0,ROUND(B267*(1+B$15),2)-O267)</f>
        <v>0</v>
      </c>
      <c r="C268" s="21" t="n">
        <f aca="false">MAX(0,ROUND(C267*(1+C$15),2)-P267)</f>
        <v>0</v>
      </c>
      <c r="D268" s="21" t="n">
        <f aca="false">MAX(0,ROUND(D267*(1+D$15),2)-Q267)</f>
        <v>0</v>
      </c>
      <c r="E268" s="21" t="n">
        <f aca="false">MAX(0,ROUND(E267*(1+E$15),2)-R267)</f>
        <v>0</v>
      </c>
      <c r="F268" s="21" t="n">
        <f aca="false">MAX(0,ROUND(F267*(1+F$15),2)-S267)</f>
        <v>0</v>
      </c>
      <c r="G268" s="21" t="n">
        <f aca="false">MAX(0,ROUND(G267*(1+G$15),2)-T267)</f>
        <v>0</v>
      </c>
      <c r="H268" s="21" t="n">
        <f aca="false">MIN(B$16,ROUND(B268*(1+B$15),2))</f>
        <v>0</v>
      </c>
      <c r="I268" s="21" t="n">
        <f aca="false">MIN(C$16,ROUND(C268*(1+C$15),2))</f>
        <v>0</v>
      </c>
      <c r="J268" s="21" t="n">
        <f aca="false">MIN(D$16,ROUND(D268*(1+D$15),2))</f>
        <v>0</v>
      </c>
      <c r="K268" s="21" t="n">
        <f aca="false">MIN(E$16,ROUND(E268*(1+E$15),2))</f>
        <v>0</v>
      </c>
      <c r="L268" s="21" t="n">
        <f aca="false">MIN(F$16,ROUND(F268*(1+F$15),2))</f>
        <v>0</v>
      </c>
      <c r="M268" s="21" t="n">
        <f aca="false">MIN(G$16,ROUND(G268*(1+G$15),2))</f>
        <v>0</v>
      </c>
      <c r="N268" s="21" t="n">
        <f aca="false">B$20-SUM(H268:M268)</f>
        <v>1170</v>
      </c>
      <c r="O268" s="21" t="n">
        <f aca="false">MIN(ROUND(B268*(1+B$15),2),H268+MAX(0,N268))</f>
        <v>0</v>
      </c>
      <c r="P268" s="21" t="n">
        <f aca="false">MIN(ROUND(C268*(1+C$15),2),I268+MAX(0,N268-O268+H268))</f>
        <v>0</v>
      </c>
      <c r="Q268" s="21" t="n">
        <f aca="false">MIN(ROUND(D268*(1+D$15),2),J268+MAX(0,N268-O268+H268-P268+I268))</f>
        <v>0</v>
      </c>
      <c r="R268" s="21" t="n">
        <f aca="false">MIN(ROUND(E268*(1+E$15),2),K268+MAX(0,N268-O268+H268-P268+I268-Q268+J268))</f>
        <v>0</v>
      </c>
      <c r="S268" s="21" t="n">
        <f aca="false">MIN(ROUND(F268*(1+F$15),2),L268+MAX(0,N268-O268+H268-P268+I268-Q268+J268-R268+K268))</f>
        <v>0</v>
      </c>
      <c r="T268" s="21" t="n">
        <f aca="false">MIN(ROUND(G268*(1+G$15),2),M268+MAX(0,N268-O268+H268-P268+I268-Q268+J268-R268+K268-S268+L268))</f>
        <v>0</v>
      </c>
      <c r="U268" s="21" t="n">
        <f aca="false">SUM(B268:G268)</f>
        <v>0</v>
      </c>
      <c r="V268" s="21" t="n">
        <f aca="false">SUM(O268:T268)</f>
        <v>0</v>
      </c>
      <c r="X268" s="25" t="n">
        <f aca="false">X267+1</f>
        <v>242</v>
      </c>
      <c r="Y268" s="21" t="n">
        <f aca="false">MAX(0,ROUND(Y267*(1+Y$15),2)-AL267)</f>
        <v>0</v>
      </c>
      <c r="Z268" s="21" t="n">
        <f aca="false">MAX(0,ROUND(Z267*(1+Z$15),2)-AM267)</f>
        <v>0</v>
      </c>
      <c r="AA268" s="21" t="n">
        <f aca="false">MAX(0,ROUND(AA267*(1+AA$15),2)-AN267)</f>
        <v>0</v>
      </c>
      <c r="AB268" s="21" t="n">
        <f aca="false">MAX(0,ROUND(AB267*(1+AB$15),2)-AO267)</f>
        <v>0</v>
      </c>
      <c r="AC268" s="21" t="n">
        <f aca="false">MAX(0,ROUND(AC267*(1+AC$15),2)-AP267)</f>
        <v>0</v>
      </c>
      <c r="AD268" s="21" t="n">
        <f aca="false">MAX(0,ROUND(AD267*(1+AD$15),2)-AQ267)</f>
        <v>0</v>
      </c>
      <c r="AE268" s="21" t="n">
        <f aca="false">MIN(Y$16,ROUND(Y268*(1+Y$15),2))</f>
        <v>0</v>
      </c>
      <c r="AF268" s="21" t="n">
        <f aca="false">MIN(Z$16,ROUND(Z268*(1+Z$15),2))</f>
        <v>0</v>
      </c>
      <c r="AG268" s="21" t="n">
        <f aca="false">MIN(AA$16,ROUND(AA268*(1+AA$15),2))</f>
        <v>0</v>
      </c>
      <c r="AH268" s="21" t="n">
        <f aca="false">MIN(AB$16,ROUND(AB268*(1+AB$15),2))</f>
        <v>0</v>
      </c>
      <c r="AI268" s="21" t="n">
        <f aca="false">MIN(AC$16,ROUND(AC268*(1+AC$15),2))</f>
        <v>0</v>
      </c>
      <c r="AJ268" s="21" t="n">
        <f aca="false">MIN(AD$16,ROUND(AD268*(1+AD$15),2))</f>
        <v>0</v>
      </c>
      <c r="AK268" s="21" t="n">
        <f aca="false">Y$20-SUM(AE268:AJ268)</f>
        <v>1170</v>
      </c>
      <c r="AL268" s="21" t="n">
        <f aca="false">MIN(ROUND(Y268*(1+Y$15),2),AE268+MAX(0,AK268))</f>
        <v>0</v>
      </c>
      <c r="AM268" s="21" t="n">
        <f aca="false">MIN(ROUND(Z268*(1+Z$15),2),AF268+MAX(0,AK268-AL268+AE268))</f>
        <v>0</v>
      </c>
      <c r="AN268" s="21" t="n">
        <f aca="false">MIN(ROUND(AA268*(1+AA$15),2),AG268+MAX(0,AK268-AL268+AE268-AM268+AF268))</f>
        <v>0</v>
      </c>
      <c r="AO268" s="21" t="n">
        <f aca="false">MIN(ROUND(AB268*(1+AB$15),2),AH268+MAX(0,AK268-AL268+AE268-AM268+AF268-AN268+AG268))</f>
        <v>0</v>
      </c>
      <c r="AP268" s="21" t="n">
        <f aca="false">MIN(ROUND(AC268*(1+AC$15),2),AI268+MAX(0,AK268-AL268+AE268-AM268+AF268-AN268+AG268-AO268+AH268))</f>
        <v>0</v>
      </c>
      <c r="AQ268" s="21" t="n">
        <f aca="false">MIN(ROUND(AD268*(1+AD$15),2),AJ268+MAX(0,AK268-AL268+AE268-AM268+AF268-AN268+AG268-AO268+AH268-AP268+AI268))</f>
        <v>0</v>
      </c>
      <c r="AR268" s="21" t="n">
        <f aca="false">SUM(Y268:AD268)</f>
        <v>0</v>
      </c>
      <c r="AS268" s="21" t="n">
        <f aca="false">SUM(AL268:AQ268)</f>
        <v>0</v>
      </c>
    </row>
    <row r="269" customFormat="false" ht="15" hidden="false" customHeight="false" outlineLevel="0" collapsed="false">
      <c r="A269" s="25" t="n">
        <f aca="false">A268+1</f>
        <v>243</v>
      </c>
      <c r="B269" s="21" t="n">
        <f aca="false">MAX(0,ROUND(B268*(1+B$15),2)-O268)</f>
        <v>0</v>
      </c>
      <c r="C269" s="21" t="n">
        <f aca="false">MAX(0,ROUND(C268*(1+C$15),2)-P268)</f>
        <v>0</v>
      </c>
      <c r="D269" s="21" t="n">
        <f aca="false">MAX(0,ROUND(D268*(1+D$15),2)-Q268)</f>
        <v>0</v>
      </c>
      <c r="E269" s="21" t="n">
        <f aca="false">MAX(0,ROUND(E268*(1+E$15),2)-R268)</f>
        <v>0</v>
      </c>
      <c r="F269" s="21" t="n">
        <f aca="false">MAX(0,ROUND(F268*(1+F$15),2)-S268)</f>
        <v>0</v>
      </c>
      <c r="G269" s="21" t="n">
        <f aca="false">MAX(0,ROUND(G268*(1+G$15),2)-T268)</f>
        <v>0</v>
      </c>
      <c r="H269" s="21" t="n">
        <f aca="false">MIN(B$16,ROUND(B269*(1+B$15),2))</f>
        <v>0</v>
      </c>
      <c r="I269" s="21" t="n">
        <f aca="false">MIN(C$16,ROUND(C269*(1+C$15),2))</f>
        <v>0</v>
      </c>
      <c r="J269" s="21" t="n">
        <f aca="false">MIN(D$16,ROUND(D269*(1+D$15),2))</f>
        <v>0</v>
      </c>
      <c r="K269" s="21" t="n">
        <f aca="false">MIN(E$16,ROUND(E269*(1+E$15),2))</f>
        <v>0</v>
      </c>
      <c r="L269" s="21" t="n">
        <f aca="false">MIN(F$16,ROUND(F269*(1+F$15),2))</f>
        <v>0</v>
      </c>
      <c r="M269" s="21" t="n">
        <f aca="false">MIN(G$16,ROUND(G269*(1+G$15),2))</f>
        <v>0</v>
      </c>
      <c r="N269" s="21" t="n">
        <f aca="false">B$20-SUM(H269:M269)</f>
        <v>1170</v>
      </c>
      <c r="O269" s="21" t="n">
        <f aca="false">MIN(ROUND(B269*(1+B$15),2),H269+MAX(0,N269))</f>
        <v>0</v>
      </c>
      <c r="P269" s="21" t="n">
        <f aca="false">MIN(ROUND(C269*(1+C$15),2),I269+MAX(0,N269-O269+H269))</f>
        <v>0</v>
      </c>
      <c r="Q269" s="21" t="n">
        <f aca="false">MIN(ROUND(D269*(1+D$15),2),J269+MAX(0,N269-O269+H269-P269+I269))</f>
        <v>0</v>
      </c>
      <c r="R269" s="21" t="n">
        <f aca="false">MIN(ROUND(E269*(1+E$15),2),K269+MAX(0,N269-O269+H269-P269+I269-Q269+J269))</f>
        <v>0</v>
      </c>
      <c r="S269" s="21" t="n">
        <f aca="false">MIN(ROUND(F269*(1+F$15),2),L269+MAX(0,N269-O269+H269-P269+I269-Q269+J269-R269+K269))</f>
        <v>0</v>
      </c>
      <c r="T269" s="21" t="n">
        <f aca="false">MIN(ROUND(G269*(1+G$15),2),M269+MAX(0,N269-O269+H269-P269+I269-Q269+J269-R269+K269-S269+L269))</f>
        <v>0</v>
      </c>
      <c r="U269" s="21" t="n">
        <f aca="false">SUM(B269:G269)</f>
        <v>0</v>
      </c>
      <c r="V269" s="21" t="n">
        <f aca="false">SUM(O269:T269)</f>
        <v>0</v>
      </c>
      <c r="X269" s="25" t="n">
        <f aca="false">X268+1</f>
        <v>243</v>
      </c>
      <c r="Y269" s="21" t="n">
        <f aca="false">MAX(0,ROUND(Y268*(1+Y$15),2)-AL268)</f>
        <v>0</v>
      </c>
      <c r="Z269" s="21" t="n">
        <f aca="false">MAX(0,ROUND(Z268*(1+Z$15),2)-AM268)</f>
        <v>0</v>
      </c>
      <c r="AA269" s="21" t="n">
        <f aca="false">MAX(0,ROUND(AA268*(1+AA$15),2)-AN268)</f>
        <v>0</v>
      </c>
      <c r="AB269" s="21" t="n">
        <f aca="false">MAX(0,ROUND(AB268*(1+AB$15),2)-AO268)</f>
        <v>0</v>
      </c>
      <c r="AC269" s="21" t="n">
        <f aca="false">MAX(0,ROUND(AC268*(1+AC$15),2)-AP268)</f>
        <v>0</v>
      </c>
      <c r="AD269" s="21" t="n">
        <f aca="false">MAX(0,ROUND(AD268*(1+AD$15),2)-AQ268)</f>
        <v>0</v>
      </c>
      <c r="AE269" s="21" t="n">
        <f aca="false">MIN(Y$16,ROUND(Y269*(1+Y$15),2))</f>
        <v>0</v>
      </c>
      <c r="AF269" s="21" t="n">
        <f aca="false">MIN(Z$16,ROUND(Z269*(1+Z$15),2))</f>
        <v>0</v>
      </c>
      <c r="AG269" s="21" t="n">
        <f aca="false">MIN(AA$16,ROUND(AA269*(1+AA$15),2))</f>
        <v>0</v>
      </c>
      <c r="AH269" s="21" t="n">
        <f aca="false">MIN(AB$16,ROUND(AB269*(1+AB$15),2))</f>
        <v>0</v>
      </c>
      <c r="AI269" s="21" t="n">
        <f aca="false">MIN(AC$16,ROUND(AC269*(1+AC$15),2))</f>
        <v>0</v>
      </c>
      <c r="AJ269" s="21" t="n">
        <f aca="false">MIN(AD$16,ROUND(AD269*(1+AD$15),2))</f>
        <v>0</v>
      </c>
      <c r="AK269" s="21" t="n">
        <f aca="false">Y$20-SUM(AE269:AJ269)</f>
        <v>1170</v>
      </c>
      <c r="AL269" s="21" t="n">
        <f aca="false">MIN(ROUND(Y269*(1+Y$15),2),AE269+MAX(0,AK269))</f>
        <v>0</v>
      </c>
      <c r="AM269" s="21" t="n">
        <f aca="false">MIN(ROUND(Z269*(1+Z$15),2),AF269+MAX(0,AK269-AL269+AE269))</f>
        <v>0</v>
      </c>
      <c r="AN269" s="21" t="n">
        <f aca="false">MIN(ROUND(AA269*(1+AA$15),2),AG269+MAX(0,AK269-AL269+AE269-AM269+AF269))</f>
        <v>0</v>
      </c>
      <c r="AO269" s="21" t="n">
        <f aca="false">MIN(ROUND(AB269*(1+AB$15),2),AH269+MAX(0,AK269-AL269+AE269-AM269+AF269-AN269+AG269))</f>
        <v>0</v>
      </c>
      <c r="AP269" s="21" t="n">
        <f aca="false">MIN(ROUND(AC269*(1+AC$15),2),AI269+MAX(0,AK269-AL269+AE269-AM269+AF269-AN269+AG269-AO269+AH269))</f>
        <v>0</v>
      </c>
      <c r="AQ269" s="21" t="n">
        <f aca="false">MIN(ROUND(AD269*(1+AD$15),2),AJ269+MAX(0,AK269-AL269+AE269-AM269+AF269-AN269+AG269-AO269+AH269-AP269+AI269))</f>
        <v>0</v>
      </c>
      <c r="AR269" s="21" t="n">
        <f aca="false">SUM(Y269:AD269)</f>
        <v>0</v>
      </c>
      <c r="AS269" s="21" t="n">
        <f aca="false">SUM(AL269:AQ269)</f>
        <v>0</v>
      </c>
    </row>
    <row r="270" customFormat="false" ht="15" hidden="false" customHeight="false" outlineLevel="0" collapsed="false">
      <c r="A270" s="25" t="n">
        <f aca="false">A269+1</f>
        <v>244</v>
      </c>
      <c r="B270" s="21" t="n">
        <f aca="false">MAX(0,ROUND(B269*(1+B$15),2)-O269)</f>
        <v>0</v>
      </c>
      <c r="C270" s="21" t="n">
        <f aca="false">MAX(0,ROUND(C269*(1+C$15),2)-P269)</f>
        <v>0</v>
      </c>
      <c r="D270" s="21" t="n">
        <f aca="false">MAX(0,ROUND(D269*(1+D$15),2)-Q269)</f>
        <v>0</v>
      </c>
      <c r="E270" s="21" t="n">
        <f aca="false">MAX(0,ROUND(E269*(1+E$15),2)-R269)</f>
        <v>0</v>
      </c>
      <c r="F270" s="21" t="n">
        <f aca="false">MAX(0,ROUND(F269*(1+F$15),2)-S269)</f>
        <v>0</v>
      </c>
      <c r="G270" s="21" t="n">
        <f aca="false">MAX(0,ROUND(G269*(1+G$15),2)-T269)</f>
        <v>0</v>
      </c>
      <c r="H270" s="21" t="n">
        <f aca="false">MIN(B$16,ROUND(B270*(1+B$15),2))</f>
        <v>0</v>
      </c>
      <c r="I270" s="21" t="n">
        <f aca="false">MIN(C$16,ROUND(C270*(1+C$15),2))</f>
        <v>0</v>
      </c>
      <c r="J270" s="21" t="n">
        <f aca="false">MIN(D$16,ROUND(D270*(1+D$15),2))</f>
        <v>0</v>
      </c>
      <c r="K270" s="21" t="n">
        <f aca="false">MIN(E$16,ROUND(E270*(1+E$15),2))</f>
        <v>0</v>
      </c>
      <c r="L270" s="21" t="n">
        <f aca="false">MIN(F$16,ROUND(F270*(1+F$15),2))</f>
        <v>0</v>
      </c>
      <c r="M270" s="21" t="n">
        <f aca="false">MIN(G$16,ROUND(G270*(1+G$15),2))</f>
        <v>0</v>
      </c>
      <c r="N270" s="21" t="n">
        <f aca="false">B$20-SUM(H270:M270)</f>
        <v>1170</v>
      </c>
      <c r="O270" s="21" t="n">
        <f aca="false">MIN(ROUND(B270*(1+B$15),2),H270+MAX(0,N270))</f>
        <v>0</v>
      </c>
      <c r="P270" s="21" t="n">
        <f aca="false">MIN(ROUND(C270*(1+C$15),2),I270+MAX(0,N270-O270+H270))</f>
        <v>0</v>
      </c>
      <c r="Q270" s="21" t="n">
        <f aca="false">MIN(ROUND(D270*(1+D$15),2),J270+MAX(0,N270-O270+H270-P270+I270))</f>
        <v>0</v>
      </c>
      <c r="R270" s="21" t="n">
        <f aca="false">MIN(ROUND(E270*(1+E$15),2),K270+MAX(0,N270-O270+H270-P270+I270-Q270+J270))</f>
        <v>0</v>
      </c>
      <c r="S270" s="21" t="n">
        <f aca="false">MIN(ROUND(F270*(1+F$15),2),L270+MAX(0,N270-O270+H270-P270+I270-Q270+J270-R270+K270))</f>
        <v>0</v>
      </c>
      <c r="T270" s="21" t="n">
        <f aca="false">MIN(ROUND(G270*(1+G$15),2),M270+MAX(0,N270-O270+H270-P270+I270-Q270+J270-R270+K270-S270+L270))</f>
        <v>0</v>
      </c>
      <c r="U270" s="21" t="n">
        <f aca="false">SUM(B270:G270)</f>
        <v>0</v>
      </c>
      <c r="V270" s="21" t="n">
        <f aca="false">SUM(O270:T270)</f>
        <v>0</v>
      </c>
      <c r="X270" s="25" t="n">
        <f aca="false">X269+1</f>
        <v>244</v>
      </c>
      <c r="Y270" s="21" t="n">
        <f aca="false">MAX(0,ROUND(Y269*(1+Y$15),2)-AL269)</f>
        <v>0</v>
      </c>
      <c r="Z270" s="21" t="n">
        <f aca="false">MAX(0,ROUND(Z269*(1+Z$15),2)-AM269)</f>
        <v>0</v>
      </c>
      <c r="AA270" s="21" t="n">
        <f aca="false">MAX(0,ROUND(AA269*(1+AA$15),2)-AN269)</f>
        <v>0</v>
      </c>
      <c r="AB270" s="21" t="n">
        <f aca="false">MAX(0,ROUND(AB269*(1+AB$15),2)-AO269)</f>
        <v>0</v>
      </c>
      <c r="AC270" s="21" t="n">
        <f aca="false">MAX(0,ROUND(AC269*(1+AC$15),2)-AP269)</f>
        <v>0</v>
      </c>
      <c r="AD270" s="21" t="n">
        <f aca="false">MAX(0,ROUND(AD269*(1+AD$15),2)-AQ269)</f>
        <v>0</v>
      </c>
      <c r="AE270" s="21" t="n">
        <f aca="false">MIN(Y$16,ROUND(Y270*(1+Y$15),2))</f>
        <v>0</v>
      </c>
      <c r="AF270" s="21" t="n">
        <f aca="false">MIN(Z$16,ROUND(Z270*(1+Z$15),2))</f>
        <v>0</v>
      </c>
      <c r="AG270" s="21" t="n">
        <f aca="false">MIN(AA$16,ROUND(AA270*(1+AA$15),2))</f>
        <v>0</v>
      </c>
      <c r="AH270" s="21" t="n">
        <f aca="false">MIN(AB$16,ROUND(AB270*(1+AB$15),2))</f>
        <v>0</v>
      </c>
      <c r="AI270" s="21" t="n">
        <f aca="false">MIN(AC$16,ROUND(AC270*(1+AC$15),2))</f>
        <v>0</v>
      </c>
      <c r="AJ270" s="21" t="n">
        <f aca="false">MIN(AD$16,ROUND(AD270*(1+AD$15),2))</f>
        <v>0</v>
      </c>
      <c r="AK270" s="21" t="n">
        <f aca="false">Y$20-SUM(AE270:AJ270)</f>
        <v>1170</v>
      </c>
      <c r="AL270" s="21" t="n">
        <f aca="false">MIN(ROUND(Y270*(1+Y$15),2),AE270+MAX(0,AK270))</f>
        <v>0</v>
      </c>
      <c r="AM270" s="21" t="n">
        <f aca="false">MIN(ROUND(Z270*(1+Z$15),2),AF270+MAX(0,AK270-AL270+AE270))</f>
        <v>0</v>
      </c>
      <c r="AN270" s="21" t="n">
        <f aca="false">MIN(ROUND(AA270*(1+AA$15),2),AG270+MAX(0,AK270-AL270+AE270-AM270+AF270))</f>
        <v>0</v>
      </c>
      <c r="AO270" s="21" t="n">
        <f aca="false">MIN(ROUND(AB270*(1+AB$15),2),AH270+MAX(0,AK270-AL270+AE270-AM270+AF270-AN270+AG270))</f>
        <v>0</v>
      </c>
      <c r="AP270" s="21" t="n">
        <f aca="false">MIN(ROUND(AC270*(1+AC$15),2),AI270+MAX(0,AK270-AL270+AE270-AM270+AF270-AN270+AG270-AO270+AH270))</f>
        <v>0</v>
      </c>
      <c r="AQ270" s="21" t="n">
        <f aca="false">MIN(ROUND(AD270*(1+AD$15),2),AJ270+MAX(0,AK270-AL270+AE270-AM270+AF270-AN270+AG270-AO270+AH270-AP270+AI270))</f>
        <v>0</v>
      </c>
      <c r="AR270" s="21" t="n">
        <f aca="false">SUM(Y270:AD270)</f>
        <v>0</v>
      </c>
      <c r="AS270" s="21" t="n">
        <f aca="false">SUM(AL270:AQ270)</f>
        <v>0</v>
      </c>
    </row>
    <row r="271" customFormat="false" ht="15" hidden="false" customHeight="false" outlineLevel="0" collapsed="false">
      <c r="A271" s="25" t="n">
        <f aca="false">A270+1</f>
        <v>245</v>
      </c>
      <c r="B271" s="21" t="n">
        <f aca="false">MAX(0,ROUND(B270*(1+B$15),2)-O270)</f>
        <v>0</v>
      </c>
      <c r="C271" s="21" t="n">
        <f aca="false">MAX(0,ROUND(C270*(1+C$15),2)-P270)</f>
        <v>0</v>
      </c>
      <c r="D271" s="21" t="n">
        <f aca="false">MAX(0,ROUND(D270*(1+D$15),2)-Q270)</f>
        <v>0</v>
      </c>
      <c r="E271" s="21" t="n">
        <f aca="false">MAX(0,ROUND(E270*(1+E$15),2)-R270)</f>
        <v>0</v>
      </c>
      <c r="F271" s="21" t="n">
        <f aca="false">MAX(0,ROUND(F270*(1+F$15),2)-S270)</f>
        <v>0</v>
      </c>
      <c r="G271" s="21" t="n">
        <f aca="false">MAX(0,ROUND(G270*(1+G$15),2)-T270)</f>
        <v>0</v>
      </c>
      <c r="H271" s="21" t="n">
        <f aca="false">MIN(B$16,ROUND(B271*(1+B$15),2))</f>
        <v>0</v>
      </c>
      <c r="I271" s="21" t="n">
        <f aca="false">MIN(C$16,ROUND(C271*(1+C$15),2))</f>
        <v>0</v>
      </c>
      <c r="J271" s="21" t="n">
        <f aca="false">MIN(D$16,ROUND(D271*(1+D$15),2))</f>
        <v>0</v>
      </c>
      <c r="K271" s="21" t="n">
        <f aca="false">MIN(E$16,ROUND(E271*(1+E$15),2))</f>
        <v>0</v>
      </c>
      <c r="L271" s="21" t="n">
        <f aca="false">MIN(F$16,ROUND(F271*(1+F$15),2))</f>
        <v>0</v>
      </c>
      <c r="M271" s="21" t="n">
        <f aca="false">MIN(G$16,ROUND(G271*(1+G$15),2))</f>
        <v>0</v>
      </c>
      <c r="N271" s="21" t="n">
        <f aca="false">B$20-SUM(H271:M271)</f>
        <v>1170</v>
      </c>
      <c r="O271" s="21" t="n">
        <f aca="false">MIN(ROUND(B271*(1+B$15),2),H271+MAX(0,N271))</f>
        <v>0</v>
      </c>
      <c r="P271" s="21" t="n">
        <f aca="false">MIN(ROUND(C271*(1+C$15),2),I271+MAX(0,N271-O271+H271))</f>
        <v>0</v>
      </c>
      <c r="Q271" s="21" t="n">
        <f aca="false">MIN(ROUND(D271*(1+D$15),2),J271+MAX(0,N271-O271+H271-P271+I271))</f>
        <v>0</v>
      </c>
      <c r="R271" s="21" t="n">
        <f aca="false">MIN(ROUND(E271*(1+E$15),2),K271+MAX(0,N271-O271+H271-P271+I271-Q271+J271))</f>
        <v>0</v>
      </c>
      <c r="S271" s="21" t="n">
        <f aca="false">MIN(ROUND(F271*(1+F$15),2),L271+MAX(0,N271-O271+H271-P271+I271-Q271+J271-R271+K271))</f>
        <v>0</v>
      </c>
      <c r="T271" s="21" t="n">
        <f aca="false">MIN(ROUND(G271*(1+G$15),2),M271+MAX(0,N271-O271+H271-P271+I271-Q271+J271-R271+K271-S271+L271))</f>
        <v>0</v>
      </c>
      <c r="U271" s="21" t="n">
        <f aca="false">SUM(B271:G271)</f>
        <v>0</v>
      </c>
      <c r="V271" s="21" t="n">
        <f aca="false">SUM(O271:T271)</f>
        <v>0</v>
      </c>
      <c r="X271" s="25" t="n">
        <f aca="false">X270+1</f>
        <v>245</v>
      </c>
      <c r="Y271" s="21" t="n">
        <f aca="false">MAX(0,ROUND(Y270*(1+Y$15),2)-AL270)</f>
        <v>0</v>
      </c>
      <c r="Z271" s="21" t="n">
        <f aca="false">MAX(0,ROUND(Z270*(1+Z$15),2)-AM270)</f>
        <v>0</v>
      </c>
      <c r="AA271" s="21" t="n">
        <f aca="false">MAX(0,ROUND(AA270*(1+AA$15),2)-AN270)</f>
        <v>0</v>
      </c>
      <c r="AB271" s="21" t="n">
        <f aca="false">MAX(0,ROUND(AB270*(1+AB$15),2)-AO270)</f>
        <v>0</v>
      </c>
      <c r="AC271" s="21" t="n">
        <f aca="false">MAX(0,ROUND(AC270*(1+AC$15),2)-AP270)</f>
        <v>0</v>
      </c>
      <c r="AD271" s="21" t="n">
        <f aca="false">MAX(0,ROUND(AD270*(1+AD$15),2)-AQ270)</f>
        <v>0</v>
      </c>
      <c r="AE271" s="21" t="n">
        <f aca="false">MIN(Y$16,ROUND(Y271*(1+Y$15),2))</f>
        <v>0</v>
      </c>
      <c r="AF271" s="21" t="n">
        <f aca="false">MIN(Z$16,ROUND(Z271*(1+Z$15),2))</f>
        <v>0</v>
      </c>
      <c r="AG271" s="21" t="n">
        <f aca="false">MIN(AA$16,ROUND(AA271*(1+AA$15),2))</f>
        <v>0</v>
      </c>
      <c r="AH271" s="21" t="n">
        <f aca="false">MIN(AB$16,ROUND(AB271*(1+AB$15),2))</f>
        <v>0</v>
      </c>
      <c r="AI271" s="21" t="n">
        <f aca="false">MIN(AC$16,ROUND(AC271*(1+AC$15),2))</f>
        <v>0</v>
      </c>
      <c r="AJ271" s="21" t="n">
        <f aca="false">MIN(AD$16,ROUND(AD271*(1+AD$15),2))</f>
        <v>0</v>
      </c>
      <c r="AK271" s="21" t="n">
        <f aca="false">Y$20-SUM(AE271:AJ271)</f>
        <v>1170</v>
      </c>
      <c r="AL271" s="21" t="n">
        <f aca="false">MIN(ROUND(Y271*(1+Y$15),2),AE271+MAX(0,AK271))</f>
        <v>0</v>
      </c>
      <c r="AM271" s="21" t="n">
        <f aca="false">MIN(ROUND(Z271*(1+Z$15),2),AF271+MAX(0,AK271-AL271+AE271))</f>
        <v>0</v>
      </c>
      <c r="AN271" s="21" t="n">
        <f aca="false">MIN(ROUND(AA271*(1+AA$15),2),AG271+MAX(0,AK271-AL271+AE271-AM271+AF271))</f>
        <v>0</v>
      </c>
      <c r="AO271" s="21" t="n">
        <f aca="false">MIN(ROUND(AB271*(1+AB$15),2),AH271+MAX(0,AK271-AL271+AE271-AM271+AF271-AN271+AG271))</f>
        <v>0</v>
      </c>
      <c r="AP271" s="21" t="n">
        <f aca="false">MIN(ROUND(AC271*(1+AC$15),2),AI271+MAX(0,AK271-AL271+AE271-AM271+AF271-AN271+AG271-AO271+AH271))</f>
        <v>0</v>
      </c>
      <c r="AQ271" s="21" t="n">
        <f aca="false">MIN(ROUND(AD271*(1+AD$15),2),AJ271+MAX(0,AK271-AL271+AE271-AM271+AF271-AN271+AG271-AO271+AH271-AP271+AI271))</f>
        <v>0</v>
      </c>
      <c r="AR271" s="21" t="n">
        <f aca="false">SUM(Y271:AD271)</f>
        <v>0</v>
      </c>
      <c r="AS271" s="21" t="n">
        <f aca="false">SUM(AL271:AQ271)</f>
        <v>0</v>
      </c>
    </row>
    <row r="272" customFormat="false" ht="15" hidden="false" customHeight="false" outlineLevel="0" collapsed="false">
      <c r="A272" s="25" t="n">
        <f aca="false">A271+1</f>
        <v>246</v>
      </c>
      <c r="B272" s="21" t="n">
        <f aca="false">MAX(0,ROUND(B271*(1+B$15),2)-O271)</f>
        <v>0</v>
      </c>
      <c r="C272" s="21" t="n">
        <f aca="false">MAX(0,ROUND(C271*(1+C$15),2)-P271)</f>
        <v>0</v>
      </c>
      <c r="D272" s="21" t="n">
        <f aca="false">MAX(0,ROUND(D271*(1+D$15),2)-Q271)</f>
        <v>0</v>
      </c>
      <c r="E272" s="21" t="n">
        <f aca="false">MAX(0,ROUND(E271*(1+E$15),2)-R271)</f>
        <v>0</v>
      </c>
      <c r="F272" s="21" t="n">
        <f aca="false">MAX(0,ROUND(F271*(1+F$15),2)-S271)</f>
        <v>0</v>
      </c>
      <c r="G272" s="21" t="n">
        <f aca="false">MAX(0,ROUND(G271*(1+G$15),2)-T271)</f>
        <v>0</v>
      </c>
      <c r="H272" s="21" t="n">
        <f aca="false">MIN(B$16,ROUND(B272*(1+B$15),2))</f>
        <v>0</v>
      </c>
      <c r="I272" s="21" t="n">
        <f aca="false">MIN(C$16,ROUND(C272*(1+C$15),2))</f>
        <v>0</v>
      </c>
      <c r="J272" s="21" t="n">
        <f aca="false">MIN(D$16,ROUND(D272*(1+D$15),2))</f>
        <v>0</v>
      </c>
      <c r="K272" s="21" t="n">
        <f aca="false">MIN(E$16,ROUND(E272*(1+E$15),2))</f>
        <v>0</v>
      </c>
      <c r="L272" s="21" t="n">
        <f aca="false">MIN(F$16,ROUND(F272*(1+F$15),2))</f>
        <v>0</v>
      </c>
      <c r="M272" s="21" t="n">
        <f aca="false">MIN(G$16,ROUND(G272*(1+G$15),2))</f>
        <v>0</v>
      </c>
      <c r="N272" s="21" t="n">
        <f aca="false">B$20-SUM(H272:M272)</f>
        <v>1170</v>
      </c>
      <c r="O272" s="21" t="n">
        <f aca="false">MIN(ROUND(B272*(1+B$15),2),H272+MAX(0,N272))</f>
        <v>0</v>
      </c>
      <c r="P272" s="21" t="n">
        <f aca="false">MIN(ROUND(C272*(1+C$15),2),I272+MAX(0,N272-O272+H272))</f>
        <v>0</v>
      </c>
      <c r="Q272" s="21" t="n">
        <f aca="false">MIN(ROUND(D272*(1+D$15),2),J272+MAX(0,N272-O272+H272-P272+I272))</f>
        <v>0</v>
      </c>
      <c r="R272" s="21" t="n">
        <f aca="false">MIN(ROUND(E272*(1+E$15),2),K272+MAX(0,N272-O272+H272-P272+I272-Q272+J272))</f>
        <v>0</v>
      </c>
      <c r="S272" s="21" t="n">
        <f aca="false">MIN(ROUND(F272*(1+F$15),2),L272+MAX(0,N272-O272+H272-P272+I272-Q272+J272-R272+K272))</f>
        <v>0</v>
      </c>
      <c r="T272" s="21" t="n">
        <f aca="false">MIN(ROUND(G272*(1+G$15),2),M272+MAX(0,N272-O272+H272-P272+I272-Q272+J272-R272+K272-S272+L272))</f>
        <v>0</v>
      </c>
      <c r="U272" s="21" t="n">
        <f aca="false">SUM(B272:G272)</f>
        <v>0</v>
      </c>
      <c r="V272" s="21" t="n">
        <f aca="false">SUM(O272:T272)</f>
        <v>0</v>
      </c>
      <c r="X272" s="25" t="n">
        <f aca="false">X271+1</f>
        <v>246</v>
      </c>
      <c r="Y272" s="21" t="n">
        <f aca="false">MAX(0,ROUND(Y271*(1+Y$15),2)-AL271)</f>
        <v>0</v>
      </c>
      <c r="Z272" s="21" t="n">
        <f aca="false">MAX(0,ROUND(Z271*(1+Z$15),2)-AM271)</f>
        <v>0</v>
      </c>
      <c r="AA272" s="21" t="n">
        <f aca="false">MAX(0,ROUND(AA271*(1+AA$15),2)-AN271)</f>
        <v>0</v>
      </c>
      <c r="AB272" s="21" t="n">
        <f aca="false">MAX(0,ROUND(AB271*(1+AB$15),2)-AO271)</f>
        <v>0</v>
      </c>
      <c r="AC272" s="21" t="n">
        <f aca="false">MAX(0,ROUND(AC271*(1+AC$15),2)-AP271)</f>
        <v>0</v>
      </c>
      <c r="AD272" s="21" t="n">
        <f aca="false">MAX(0,ROUND(AD271*(1+AD$15),2)-AQ271)</f>
        <v>0</v>
      </c>
      <c r="AE272" s="21" t="n">
        <f aca="false">MIN(Y$16,ROUND(Y272*(1+Y$15),2))</f>
        <v>0</v>
      </c>
      <c r="AF272" s="21" t="n">
        <f aca="false">MIN(Z$16,ROUND(Z272*(1+Z$15),2))</f>
        <v>0</v>
      </c>
      <c r="AG272" s="21" t="n">
        <f aca="false">MIN(AA$16,ROUND(AA272*(1+AA$15),2))</f>
        <v>0</v>
      </c>
      <c r="AH272" s="21" t="n">
        <f aca="false">MIN(AB$16,ROUND(AB272*(1+AB$15),2))</f>
        <v>0</v>
      </c>
      <c r="AI272" s="21" t="n">
        <f aca="false">MIN(AC$16,ROUND(AC272*(1+AC$15),2))</f>
        <v>0</v>
      </c>
      <c r="AJ272" s="21" t="n">
        <f aca="false">MIN(AD$16,ROUND(AD272*(1+AD$15),2))</f>
        <v>0</v>
      </c>
      <c r="AK272" s="21" t="n">
        <f aca="false">Y$20-SUM(AE272:AJ272)</f>
        <v>1170</v>
      </c>
      <c r="AL272" s="21" t="n">
        <f aca="false">MIN(ROUND(Y272*(1+Y$15),2),AE272+MAX(0,AK272))</f>
        <v>0</v>
      </c>
      <c r="AM272" s="21" t="n">
        <f aca="false">MIN(ROUND(Z272*(1+Z$15),2),AF272+MAX(0,AK272-AL272+AE272))</f>
        <v>0</v>
      </c>
      <c r="AN272" s="21" t="n">
        <f aca="false">MIN(ROUND(AA272*(1+AA$15),2),AG272+MAX(0,AK272-AL272+AE272-AM272+AF272))</f>
        <v>0</v>
      </c>
      <c r="AO272" s="21" t="n">
        <f aca="false">MIN(ROUND(AB272*(1+AB$15),2),AH272+MAX(0,AK272-AL272+AE272-AM272+AF272-AN272+AG272))</f>
        <v>0</v>
      </c>
      <c r="AP272" s="21" t="n">
        <f aca="false">MIN(ROUND(AC272*(1+AC$15),2),AI272+MAX(0,AK272-AL272+AE272-AM272+AF272-AN272+AG272-AO272+AH272))</f>
        <v>0</v>
      </c>
      <c r="AQ272" s="21" t="n">
        <f aca="false">MIN(ROUND(AD272*(1+AD$15),2),AJ272+MAX(0,AK272-AL272+AE272-AM272+AF272-AN272+AG272-AO272+AH272-AP272+AI272))</f>
        <v>0</v>
      </c>
      <c r="AR272" s="21" t="n">
        <f aca="false">SUM(Y272:AD272)</f>
        <v>0</v>
      </c>
      <c r="AS272" s="21" t="n">
        <f aca="false">SUM(AL272:AQ272)</f>
        <v>0</v>
      </c>
    </row>
    <row r="273" customFormat="false" ht="15" hidden="false" customHeight="false" outlineLevel="0" collapsed="false">
      <c r="A273" s="25" t="n">
        <f aca="false">A272+1</f>
        <v>247</v>
      </c>
      <c r="B273" s="21" t="n">
        <f aca="false">MAX(0,ROUND(B272*(1+B$15),2)-O272)</f>
        <v>0</v>
      </c>
      <c r="C273" s="21" t="n">
        <f aca="false">MAX(0,ROUND(C272*(1+C$15),2)-P272)</f>
        <v>0</v>
      </c>
      <c r="D273" s="21" t="n">
        <f aca="false">MAX(0,ROUND(D272*(1+D$15),2)-Q272)</f>
        <v>0</v>
      </c>
      <c r="E273" s="21" t="n">
        <f aca="false">MAX(0,ROUND(E272*(1+E$15),2)-R272)</f>
        <v>0</v>
      </c>
      <c r="F273" s="21" t="n">
        <f aca="false">MAX(0,ROUND(F272*(1+F$15),2)-S272)</f>
        <v>0</v>
      </c>
      <c r="G273" s="21" t="n">
        <f aca="false">MAX(0,ROUND(G272*(1+G$15),2)-T272)</f>
        <v>0</v>
      </c>
      <c r="H273" s="21" t="n">
        <f aca="false">MIN(B$16,ROUND(B273*(1+B$15),2))</f>
        <v>0</v>
      </c>
      <c r="I273" s="21" t="n">
        <f aca="false">MIN(C$16,ROUND(C273*(1+C$15),2))</f>
        <v>0</v>
      </c>
      <c r="J273" s="21" t="n">
        <f aca="false">MIN(D$16,ROUND(D273*(1+D$15),2))</f>
        <v>0</v>
      </c>
      <c r="K273" s="21" t="n">
        <f aca="false">MIN(E$16,ROUND(E273*(1+E$15),2))</f>
        <v>0</v>
      </c>
      <c r="L273" s="21" t="n">
        <f aca="false">MIN(F$16,ROUND(F273*(1+F$15),2))</f>
        <v>0</v>
      </c>
      <c r="M273" s="21" t="n">
        <f aca="false">MIN(G$16,ROUND(G273*(1+G$15),2))</f>
        <v>0</v>
      </c>
      <c r="N273" s="21" t="n">
        <f aca="false">B$20-SUM(H273:M273)</f>
        <v>1170</v>
      </c>
      <c r="O273" s="21" t="n">
        <f aca="false">MIN(ROUND(B273*(1+B$15),2),H273+MAX(0,N273))</f>
        <v>0</v>
      </c>
      <c r="P273" s="21" t="n">
        <f aca="false">MIN(ROUND(C273*(1+C$15),2),I273+MAX(0,N273-O273+H273))</f>
        <v>0</v>
      </c>
      <c r="Q273" s="21" t="n">
        <f aca="false">MIN(ROUND(D273*(1+D$15),2),J273+MAX(0,N273-O273+H273-P273+I273))</f>
        <v>0</v>
      </c>
      <c r="R273" s="21" t="n">
        <f aca="false">MIN(ROUND(E273*(1+E$15),2),K273+MAX(0,N273-O273+H273-P273+I273-Q273+J273))</f>
        <v>0</v>
      </c>
      <c r="S273" s="21" t="n">
        <f aca="false">MIN(ROUND(F273*(1+F$15),2),L273+MAX(0,N273-O273+H273-P273+I273-Q273+J273-R273+K273))</f>
        <v>0</v>
      </c>
      <c r="T273" s="21" t="n">
        <f aca="false">MIN(ROUND(G273*(1+G$15),2),M273+MAX(0,N273-O273+H273-P273+I273-Q273+J273-R273+K273-S273+L273))</f>
        <v>0</v>
      </c>
      <c r="U273" s="21" t="n">
        <f aca="false">SUM(B273:G273)</f>
        <v>0</v>
      </c>
      <c r="V273" s="21" t="n">
        <f aca="false">SUM(O273:T273)</f>
        <v>0</v>
      </c>
      <c r="X273" s="25" t="n">
        <f aca="false">X272+1</f>
        <v>247</v>
      </c>
      <c r="Y273" s="21" t="n">
        <f aca="false">MAX(0,ROUND(Y272*(1+Y$15),2)-AL272)</f>
        <v>0</v>
      </c>
      <c r="Z273" s="21" t="n">
        <f aca="false">MAX(0,ROUND(Z272*(1+Z$15),2)-AM272)</f>
        <v>0</v>
      </c>
      <c r="AA273" s="21" t="n">
        <f aca="false">MAX(0,ROUND(AA272*(1+AA$15),2)-AN272)</f>
        <v>0</v>
      </c>
      <c r="AB273" s="21" t="n">
        <f aca="false">MAX(0,ROUND(AB272*(1+AB$15),2)-AO272)</f>
        <v>0</v>
      </c>
      <c r="AC273" s="21" t="n">
        <f aca="false">MAX(0,ROUND(AC272*(1+AC$15),2)-AP272)</f>
        <v>0</v>
      </c>
      <c r="AD273" s="21" t="n">
        <f aca="false">MAX(0,ROUND(AD272*(1+AD$15),2)-AQ272)</f>
        <v>0</v>
      </c>
      <c r="AE273" s="21" t="n">
        <f aca="false">MIN(Y$16,ROUND(Y273*(1+Y$15),2))</f>
        <v>0</v>
      </c>
      <c r="AF273" s="21" t="n">
        <f aca="false">MIN(Z$16,ROUND(Z273*(1+Z$15),2))</f>
        <v>0</v>
      </c>
      <c r="AG273" s="21" t="n">
        <f aca="false">MIN(AA$16,ROUND(AA273*(1+AA$15),2))</f>
        <v>0</v>
      </c>
      <c r="AH273" s="21" t="n">
        <f aca="false">MIN(AB$16,ROUND(AB273*(1+AB$15),2))</f>
        <v>0</v>
      </c>
      <c r="AI273" s="21" t="n">
        <f aca="false">MIN(AC$16,ROUND(AC273*(1+AC$15),2))</f>
        <v>0</v>
      </c>
      <c r="AJ273" s="21" t="n">
        <f aca="false">MIN(AD$16,ROUND(AD273*(1+AD$15),2))</f>
        <v>0</v>
      </c>
      <c r="AK273" s="21" t="n">
        <f aca="false">Y$20-SUM(AE273:AJ273)</f>
        <v>1170</v>
      </c>
      <c r="AL273" s="21" t="n">
        <f aca="false">MIN(ROUND(Y273*(1+Y$15),2),AE273+MAX(0,AK273))</f>
        <v>0</v>
      </c>
      <c r="AM273" s="21" t="n">
        <f aca="false">MIN(ROUND(Z273*(1+Z$15),2),AF273+MAX(0,AK273-AL273+AE273))</f>
        <v>0</v>
      </c>
      <c r="AN273" s="21" t="n">
        <f aca="false">MIN(ROUND(AA273*(1+AA$15),2),AG273+MAX(0,AK273-AL273+AE273-AM273+AF273))</f>
        <v>0</v>
      </c>
      <c r="AO273" s="21" t="n">
        <f aca="false">MIN(ROUND(AB273*(1+AB$15),2),AH273+MAX(0,AK273-AL273+AE273-AM273+AF273-AN273+AG273))</f>
        <v>0</v>
      </c>
      <c r="AP273" s="21" t="n">
        <f aca="false">MIN(ROUND(AC273*(1+AC$15),2),AI273+MAX(0,AK273-AL273+AE273-AM273+AF273-AN273+AG273-AO273+AH273))</f>
        <v>0</v>
      </c>
      <c r="AQ273" s="21" t="n">
        <f aca="false">MIN(ROUND(AD273*(1+AD$15),2),AJ273+MAX(0,AK273-AL273+AE273-AM273+AF273-AN273+AG273-AO273+AH273-AP273+AI273))</f>
        <v>0</v>
      </c>
      <c r="AR273" s="21" t="n">
        <f aca="false">SUM(Y273:AD273)</f>
        <v>0</v>
      </c>
      <c r="AS273" s="21" t="n">
        <f aca="false">SUM(AL273:AQ273)</f>
        <v>0</v>
      </c>
    </row>
    <row r="274" customFormat="false" ht="15" hidden="false" customHeight="false" outlineLevel="0" collapsed="false">
      <c r="A274" s="25" t="n">
        <f aca="false">A273+1</f>
        <v>248</v>
      </c>
      <c r="B274" s="21" t="n">
        <f aca="false">MAX(0,ROUND(B273*(1+B$15),2)-O273)</f>
        <v>0</v>
      </c>
      <c r="C274" s="21" t="n">
        <f aca="false">MAX(0,ROUND(C273*(1+C$15),2)-P273)</f>
        <v>0</v>
      </c>
      <c r="D274" s="21" t="n">
        <f aca="false">MAX(0,ROUND(D273*(1+D$15),2)-Q273)</f>
        <v>0</v>
      </c>
      <c r="E274" s="21" t="n">
        <f aca="false">MAX(0,ROUND(E273*(1+E$15),2)-R273)</f>
        <v>0</v>
      </c>
      <c r="F274" s="21" t="n">
        <f aca="false">MAX(0,ROUND(F273*(1+F$15),2)-S273)</f>
        <v>0</v>
      </c>
      <c r="G274" s="21" t="n">
        <f aca="false">MAX(0,ROUND(G273*(1+G$15),2)-T273)</f>
        <v>0</v>
      </c>
      <c r="H274" s="21" t="n">
        <f aca="false">MIN(B$16,ROUND(B274*(1+B$15),2))</f>
        <v>0</v>
      </c>
      <c r="I274" s="21" t="n">
        <f aca="false">MIN(C$16,ROUND(C274*(1+C$15),2))</f>
        <v>0</v>
      </c>
      <c r="J274" s="21" t="n">
        <f aca="false">MIN(D$16,ROUND(D274*(1+D$15),2))</f>
        <v>0</v>
      </c>
      <c r="K274" s="21" t="n">
        <f aca="false">MIN(E$16,ROUND(E274*(1+E$15),2))</f>
        <v>0</v>
      </c>
      <c r="L274" s="21" t="n">
        <f aca="false">MIN(F$16,ROUND(F274*(1+F$15),2))</f>
        <v>0</v>
      </c>
      <c r="M274" s="21" t="n">
        <f aca="false">MIN(G$16,ROUND(G274*(1+G$15),2))</f>
        <v>0</v>
      </c>
      <c r="N274" s="21" t="n">
        <f aca="false">B$20-SUM(H274:M274)</f>
        <v>1170</v>
      </c>
      <c r="O274" s="21" t="n">
        <f aca="false">MIN(ROUND(B274*(1+B$15),2),H274+MAX(0,N274))</f>
        <v>0</v>
      </c>
      <c r="P274" s="21" t="n">
        <f aca="false">MIN(ROUND(C274*(1+C$15),2),I274+MAX(0,N274-O274+H274))</f>
        <v>0</v>
      </c>
      <c r="Q274" s="21" t="n">
        <f aca="false">MIN(ROUND(D274*(1+D$15),2),J274+MAX(0,N274-O274+H274-P274+I274))</f>
        <v>0</v>
      </c>
      <c r="R274" s="21" t="n">
        <f aca="false">MIN(ROUND(E274*(1+E$15),2),K274+MAX(0,N274-O274+H274-P274+I274-Q274+J274))</f>
        <v>0</v>
      </c>
      <c r="S274" s="21" t="n">
        <f aca="false">MIN(ROUND(F274*(1+F$15),2),L274+MAX(0,N274-O274+H274-P274+I274-Q274+J274-R274+K274))</f>
        <v>0</v>
      </c>
      <c r="T274" s="21" t="n">
        <f aca="false">MIN(ROUND(G274*(1+G$15),2),M274+MAX(0,N274-O274+H274-P274+I274-Q274+J274-R274+K274-S274+L274))</f>
        <v>0</v>
      </c>
      <c r="U274" s="21" t="n">
        <f aca="false">SUM(B274:G274)</f>
        <v>0</v>
      </c>
      <c r="V274" s="21" t="n">
        <f aca="false">SUM(O274:T274)</f>
        <v>0</v>
      </c>
      <c r="X274" s="25" t="n">
        <f aca="false">X273+1</f>
        <v>248</v>
      </c>
      <c r="Y274" s="21" t="n">
        <f aca="false">MAX(0,ROUND(Y273*(1+Y$15),2)-AL273)</f>
        <v>0</v>
      </c>
      <c r="Z274" s="21" t="n">
        <f aca="false">MAX(0,ROUND(Z273*(1+Z$15),2)-AM273)</f>
        <v>0</v>
      </c>
      <c r="AA274" s="21" t="n">
        <f aca="false">MAX(0,ROUND(AA273*(1+AA$15),2)-AN273)</f>
        <v>0</v>
      </c>
      <c r="AB274" s="21" t="n">
        <f aca="false">MAX(0,ROUND(AB273*(1+AB$15),2)-AO273)</f>
        <v>0</v>
      </c>
      <c r="AC274" s="21" t="n">
        <f aca="false">MAX(0,ROUND(AC273*(1+AC$15),2)-AP273)</f>
        <v>0</v>
      </c>
      <c r="AD274" s="21" t="n">
        <f aca="false">MAX(0,ROUND(AD273*(1+AD$15),2)-AQ273)</f>
        <v>0</v>
      </c>
      <c r="AE274" s="21" t="n">
        <f aca="false">MIN(Y$16,ROUND(Y274*(1+Y$15),2))</f>
        <v>0</v>
      </c>
      <c r="AF274" s="21" t="n">
        <f aca="false">MIN(Z$16,ROUND(Z274*(1+Z$15),2))</f>
        <v>0</v>
      </c>
      <c r="AG274" s="21" t="n">
        <f aca="false">MIN(AA$16,ROUND(AA274*(1+AA$15),2))</f>
        <v>0</v>
      </c>
      <c r="AH274" s="21" t="n">
        <f aca="false">MIN(AB$16,ROUND(AB274*(1+AB$15),2))</f>
        <v>0</v>
      </c>
      <c r="AI274" s="21" t="n">
        <f aca="false">MIN(AC$16,ROUND(AC274*(1+AC$15),2))</f>
        <v>0</v>
      </c>
      <c r="AJ274" s="21" t="n">
        <f aca="false">MIN(AD$16,ROUND(AD274*(1+AD$15),2))</f>
        <v>0</v>
      </c>
      <c r="AK274" s="21" t="n">
        <f aca="false">Y$20-SUM(AE274:AJ274)</f>
        <v>1170</v>
      </c>
      <c r="AL274" s="21" t="n">
        <f aca="false">MIN(ROUND(Y274*(1+Y$15),2),AE274+MAX(0,AK274))</f>
        <v>0</v>
      </c>
      <c r="AM274" s="21" t="n">
        <f aca="false">MIN(ROUND(Z274*(1+Z$15),2),AF274+MAX(0,AK274-AL274+AE274))</f>
        <v>0</v>
      </c>
      <c r="AN274" s="21" t="n">
        <f aca="false">MIN(ROUND(AA274*(1+AA$15),2),AG274+MAX(0,AK274-AL274+AE274-AM274+AF274))</f>
        <v>0</v>
      </c>
      <c r="AO274" s="21" t="n">
        <f aca="false">MIN(ROUND(AB274*(1+AB$15),2),AH274+MAX(0,AK274-AL274+AE274-AM274+AF274-AN274+AG274))</f>
        <v>0</v>
      </c>
      <c r="AP274" s="21" t="n">
        <f aca="false">MIN(ROUND(AC274*(1+AC$15),2),AI274+MAX(0,AK274-AL274+AE274-AM274+AF274-AN274+AG274-AO274+AH274))</f>
        <v>0</v>
      </c>
      <c r="AQ274" s="21" t="n">
        <f aca="false">MIN(ROUND(AD274*(1+AD$15),2),AJ274+MAX(0,AK274-AL274+AE274-AM274+AF274-AN274+AG274-AO274+AH274-AP274+AI274))</f>
        <v>0</v>
      </c>
      <c r="AR274" s="21" t="n">
        <f aca="false">SUM(Y274:AD274)</f>
        <v>0</v>
      </c>
      <c r="AS274" s="21" t="n">
        <f aca="false">SUM(AL274:AQ274)</f>
        <v>0</v>
      </c>
    </row>
    <row r="275" customFormat="false" ht="15" hidden="false" customHeight="false" outlineLevel="0" collapsed="false">
      <c r="A275" s="25" t="n">
        <f aca="false">A274+1</f>
        <v>249</v>
      </c>
      <c r="B275" s="21" t="n">
        <f aca="false">MAX(0,ROUND(B274*(1+B$15),2)-O274)</f>
        <v>0</v>
      </c>
      <c r="C275" s="21" t="n">
        <f aca="false">MAX(0,ROUND(C274*(1+C$15),2)-P274)</f>
        <v>0</v>
      </c>
      <c r="D275" s="21" t="n">
        <f aca="false">MAX(0,ROUND(D274*(1+D$15),2)-Q274)</f>
        <v>0</v>
      </c>
      <c r="E275" s="21" t="n">
        <f aca="false">MAX(0,ROUND(E274*(1+E$15),2)-R274)</f>
        <v>0</v>
      </c>
      <c r="F275" s="21" t="n">
        <f aca="false">MAX(0,ROUND(F274*(1+F$15),2)-S274)</f>
        <v>0</v>
      </c>
      <c r="G275" s="21" t="n">
        <f aca="false">MAX(0,ROUND(G274*(1+G$15),2)-T274)</f>
        <v>0</v>
      </c>
      <c r="H275" s="21" t="n">
        <f aca="false">MIN(B$16,ROUND(B275*(1+B$15),2))</f>
        <v>0</v>
      </c>
      <c r="I275" s="21" t="n">
        <f aca="false">MIN(C$16,ROUND(C275*(1+C$15),2))</f>
        <v>0</v>
      </c>
      <c r="J275" s="21" t="n">
        <f aca="false">MIN(D$16,ROUND(D275*(1+D$15),2))</f>
        <v>0</v>
      </c>
      <c r="K275" s="21" t="n">
        <f aca="false">MIN(E$16,ROUND(E275*(1+E$15),2))</f>
        <v>0</v>
      </c>
      <c r="L275" s="21" t="n">
        <f aca="false">MIN(F$16,ROUND(F275*(1+F$15),2))</f>
        <v>0</v>
      </c>
      <c r="M275" s="21" t="n">
        <f aca="false">MIN(G$16,ROUND(G275*(1+G$15),2))</f>
        <v>0</v>
      </c>
      <c r="N275" s="21" t="n">
        <f aca="false">B$20-SUM(H275:M275)</f>
        <v>1170</v>
      </c>
      <c r="O275" s="21" t="n">
        <f aca="false">MIN(ROUND(B275*(1+B$15),2),H275+MAX(0,N275))</f>
        <v>0</v>
      </c>
      <c r="P275" s="21" t="n">
        <f aca="false">MIN(ROUND(C275*(1+C$15),2),I275+MAX(0,N275-O275+H275))</f>
        <v>0</v>
      </c>
      <c r="Q275" s="21" t="n">
        <f aca="false">MIN(ROUND(D275*(1+D$15),2),J275+MAX(0,N275-O275+H275-P275+I275))</f>
        <v>0</v>
      </c>
      <c r="R275" s="21" t="n">
        <f aca="false">MIN(ROUND(E275*(1+E$15),2),K275+MAX(0,N275-O275+H275-P275+I275-Q275+J275))</f>
        <v>0</v>
      </c>
      <c r="S275" s="21" t="n">
        <f aca="false">MIN(ROUND(F275*(1+F$15),2),L275+MAX(0,N275-O275+H275-P275+I275-Q275+J275-R275+K275))</f>
        <v>0</v>
      </c>
      <c r="T275" s="21" t="n">
        <f aca="false">MIN(ROUND(G275*(1+G$15),2),M275+MAX(0,N275-O275+H275-P275+I275-Q275+J275-R275+K275-S275+L275))</f>
        <v>0</v>
      </c>
      <c r="U275" s="21" t="n">
        <f aca="false">SUM(B275:G275)</f>
        <v>0</v>
      </c>
      <c r="V275" s="21" t="n">
        <f aca="false">SUM(O275:T275)</f>
        <v>0</v>
      </c>
      <c r="X275" s="25" t="n">
        <f aca="false">X274+1</f>
        <v>249</v>
      </c>
      <c r="Y275" s="21" t="n">
        <f aca="false">MAX(0,ROUND(Y274*(1+Y$15),2)-AL274)</f>
        <v>0</v>
      </c>
      <c r="Z275" s="21" t="n">
        <f aca="false">MAX(0,ROUND(Z274*(1+Z$15),2)-AM274)</f>
        <v>0</v>
      </c>
      <c r="AA275" s="21" t="n">
        <f aca="false">MAX(0,ROUND(AA274*(1+AA$15),2)-AN274)</f>
        <v>0</v>
      </c>
      <c r="AB275" s="21" t="n">
        <f aca="false">MAX(0,ROUND(AB274*(1+AB$15),2)-AO274)</f>
        <v>0</v>
      </c>
      <c r="AC275" s="21" t="n">
        <f aca="false">MAX(0,ROUND(AC274*(1+AC$15),2)-AP274)</f>
        <v>0</v>
      </c>
      <c r="AD275" s="21" t="n">
        <f aca="false">MAX(0,ROUND(AD274*(1+AD$15),2)-AQ274)</f>
        <v>0</v>
      </c>
      <c r="AE275" s="21" t="n">
        <f aca="false">MIN(Y$16,ROUND(Y275*(1+Y$15),2))</f>
        <v>0</v>
      </c>
      <c r="AF275" s="21" t="n">
        <f aca="false">MIN(Z$16,ROUND(Z275*(1+Z$15),2))</f>
        <v>0</v>
      </c>
      <c r="AG275" s="21" t="n">
        <f aca="false">MIN(AA$16,ROUND(AA275*(1+AA$15),2))</f>
        <v>0</v>
      </c>
      <c r="AH275" s="21" t="n">
        <f aca="false">MIN(AB$16,ROUND(AB275*(1+AB$15),2))</f>
        <v>0</v>
      </c>
      <c r="AI275" s="21" t="n">
        <f aca="false">MIN(AC$16,ROUND(AC275*(1+AC$15),2))</f>
        <v>0</v>
      </c>
      <c r="AJ275" s="21" t="n">
        <f aca="false">MIN(AD$16,ROUND(AD275*(1+AD$15),2))</f>
        <v>0</v>
      </c>
      <c r="AK275" s="21" t="n">
        <f aca="false">Y$20-SUM(AE275:AJ275)</f>
        <v>1170</v>
      </c>
      <c r="AL275" s="21" t="n">
        <f aca="false">MIN(ROUND(Y275*(1+Y$15),2),AE275+MAX(0,AK275))</f>
        <v>0</v>
      </c>
      <c r="AM275" s="21" t="n">
        <f aca="false">MIN(ROUND(Z275*(1+Z$15),2),AF275+MAX(0,AK275-AL275+AE275))</f>
        <v>0</v>
      </c>
      <c r="AN275" s="21" t="n">
        <f aca="false">MIN(ROUND(AA275*(1+AA$15),2),AG275+MAX(0,AK275-AL275+AE275-AM275+AF275))</f>
        <v>0</v>
      </c>
      <c r="AO275" s="21" t="n">
        <f aca="false">MIN(ROUND(AB275*(1+AB$15),2),AH275+MAX(0,AK275-AL275+AE275-AM275+AF275-AN275+AG275))</f>
        <v>0</v>
      </c>
      <c r="AP275" s="21" t="n">
        <f aca="false">MIN(ROUND(AC275*(1+AC$15),2),AI275+MAX(0,AK275-AL275+AE275-AM275+AF275-AN275+AG275-AO275+AH275))</f>
        <v>0</v>
      </c>
      <c r="AQ275" s="21" t="n">
        <f aca="false">MIN(ROUND(AD275*(1+AD$15),2),AJ275+MAX(0,AK275-AL275+AE275-AM275+AF275-AN275+AG275-AO275+AH275-AP275+AI275))</f>
        <v>0</v>
      </c>
      <c r="AR275" s="21" t="n">
        <f aca="false">SUM(Y275:AD275)</f>
        <v>0</v>
      </c>
      <c r="AS275" s="21" t="n">
        <f aca="false">SUM(AL275:AQ275)</f>
        <v>0</v>
      </c>
    </row>
    <row r="276" customFormat="false" ht="15" hidden="false" customHeight="false" outlineLevel="0" collapsed="false">
      <c r="A276" s="25" t="n">
        <f aca="false">A275+1</f>
        <v>250</v>
      </c>
      <c r="B276" s="21" t="n">
        <f aca="false">MAX(0,ROUND(B275*(1+B$15),2)-O275)</f>
        <v>0</v>
      </c>
      <c r="C276" s="21" t="n">
        <f aca="false">MAX(0,ROUND(C275*(1+C$15),2)-P275)</f>
        <v>0</v>
      </c>
      <c r="D276" s="21" t="n">
        <f aca="false">MAX(0,ROUND(D275*(1+D$15),2)-Q275)</f>
        <v>0</v>
      </c>
      <c r="E276" s="21" t="n">
        <f aca="false">MAX(0,ROUND(E275*(1+E$15),2)-R275)</f>
        <v>0</v>
      </c>
      <c r="F276" s="21" t="n">
        <f aca="false">MAX(0,ROUND(F275*(1+F$15),2)-S275)</f>
        <v>0</v>
      </c>
      <c r="G276" s="21" t="n">
        <f aca="false">MAX(0,ROUND(G275*(1+G$15),2)-T275)</f>
        <v>0</v>
      </c>
      <c r="H276" s="21" t="n">
        <f aca="false">MIN(B$16,ROUND(B276*(1+B$15),2))</f>
        <v>0</v>
      </c>
      <c r="I276" s="21" t="n">
        <f aca="false">MIN(C$16,ROUND(C276*(1+C$15),2))</f>
        <v>0</v>
      </c>
      <c r="J276" s="21" t="n">
        <f aca="false">MIN(D$16,ROUND(D276*(1+D$15),2))</f>
        <v>0</v>
      </c>
      <c r="K276" s="21" t="n">
        <f aca="false">MIN(E$16,ROUND(E276*(1+E$15),2))</f>
        <v>0</v>
      </c>
      <c r="L276" s="21" t="n">
        <f aca="false">MIN(F$16,ROUND(F276*(1+F$15),2))</f>
        <v>0</v>
      </c>
      <c r="M276" s="21" t="n">
        <f aca="false">MIN(G$16,ROUND(G276*(1+G$15),2))</f>
        <v>0</v>
      </c>
      <c r="N276" s="21" t="n">
        <f aca="false">B$20-SUM(H276:M276)</f>
        <v>1170</v>
      </c>
      <c r="O276" s="21" t="n">
        <f aca="false">MIN(ROUND(B276*(1+B$15),2),H276+MAX(0,N276))</f>
        <v>0</v>
      </c>
      <c r="P276" s="21" t="n">
        <f aca="false">MIN(ROUND(C276*(1+C$15),2),I276+MAX(0,N276-O276+H276))</f>
        <v>0</v>
      </c>
      <c r="Q276" s="21" t="n">
        <f aca="false">MIN(ROUND(D276*(1+D$15),2),J276+MAX(0,N276-O276+H276-P276+I276))</f>
        <v>0</v>
      </c>
      <c r="R276" s="21" t="n">
        <f aca="false">MIN(ROUND(E276*(1+E$15),2),K276+MAX(0,N276-O276+H276-P276+I276-Q276+J276))</f>
        <v>0</v>
      </c>
      <c r="S276" s="21" t="n">
        <f aca="false">MIN(ROUND(F276*(1+F$15),2),L276+MAX(0,N276-O276+H276-P276+I276-Q276+J276-R276+K276))</f>
        <v>0</v>
      </c>
      <c r="T276" s="21" t="n">
        <f aca="false">MIN(ROUND(G276*(1+G$15),2),M276+MAX(0,N276-O276+H276-P276+I276-Q276+J276-R276+K276-S276+L276))</f>
        <v>0</v>
      </c>
      <c r="U276" s="21" t="n">
        <f aca="false">SUM(B276:G276)</f>
        <v>0</v>
      </c>
      <c r="V276" s="21" t="n">
        <f aca="false">SUM(O276:T276)</f>
        <v>0</v>
      </c>
      <c r="X276" s="25" t="n">
        <f aca="false">X275+1</f>
        <v>250</v>
      </c>
      <c r="Y276" s="21" t="n">
        <f aca="false">MAX(0,ROUND(Y275*(1+Y$15),2)-AL275)</f>
        <v>0</v>
      </c>
      <c r="Z276" s="21" t="n">
        <f aca="false">MAX(0,ROUND(Z275*(1+Z$15),2)-AM275)</f>
        <v>0</v>
      </c>
      <c r="AA276" s="21" t="n">
        <f aca="false">MAX(0,ROUND(AA275*(1+AA$15),2)-AN275)</f>
        <v>0</v>
      </c>
      <c r="AB276" s="21" t="n">
        <f aca="false">MAX(0,ROUND(AB275*(1+AB$15),2)-AO275)</f>
        <v>0</v>
      </c>
      <c r="AC276" s="21" t="n">
        <f aca="false">MAX(0,ROUND(AC275*(1+AC$15),2)-AP275)</f>
        <v>0</v>
      </c>
      <c r="AD276" s="21" t="n">
        <f aca="false">MAX(0,ROUND(AD275*(1+AD$15),2)-AQ275)</f>
        <v>0</v>
      </c>
      <c r="AE276" s="21" t="n">
        <f aca="false">MIN(Y$16,ROUND(Y276*(1+Y$15),2))</f>
        <v>0</v>
      </c>
      <c r="AF276" s="21" t="n">
        <f aca="false">MIN(Z$16,ROUND(Z276*(1+Z$15),2))</f>
        <v>0</v>
      </c>
      <c r="AG276" s="21" t="n">
        <f aca="false">MIN(AA$16,ROUND(AA276*(1+AA$15),2))</f>
        <v>0</v>
      </c>
      <c r="AH276" s="21" t="n">
        <f aca="false">MIN(AB$16,ROUND(AB276*(1+AB$15),2))</f>
        <v>0</v>
      </c>
      <c r="AI276" s="21" t="n">
        <f aca="false">MIN(AC$16,ROUND(AC276*(1+AC$15),2))</f>
        <v>0</v>
      </c>
      <c r="AJ276" s="21" t="n">
        <f aca="false">MIN(AD$16,ROUND(AD276*(1+AD$15),2))</f>
        <v>0</v>
      </c>
      <c r="AK276" s="21" t="n">
        <f aca="false">Y$20-SUM(AE276:AJ276)</f>
        <v>1170</v>
      </c>
      <c r="AL276" s="21" t="n">
        <f aca="false">MIN(ROUND(Y276*(1+Y$15),2),AE276+MAX(0,AK276))</f>
        <v>0</v>
      </c>
      <c r="AM276" s="21" t="n">
        <f aca="false">MIN(ROUND(Z276*(1+Z$15),2),AF276+MAX(0,AK276-AL276+AE276))</f>
        <v>0</v>
      </c>
      <c r="AN276" s="21" t="n">
        <f aca="false">MIN(ROUND(AA276*(1+AA$15),2),AG276+MAX(0,AK276-AL276+AE276-AM276+AF276))</f>
        <v>0</v>
      </c>
      <c r="AO276" s="21" t="n">
        <f aca="false">MIN(ROUND(AB276*(1+AB$15),2),AH276+MAX(0,AK276-AL276+AE276-AM276+AF276-AN276+AG276))</f>
        <v>0</v>
      </c>
      <c r="AP276" s="21" t="n">
        <f aca="false">MIN(ROUND(AC276*(1+AC$15),2),AI276+MAX(0,AK276-AL276+AE276-AM276+AF276-AN276+AG276-AO276+AH276))</f>
        <v>0</v>
      </c>
      <c r="AQ276" s="21" t="n">
        <f aca="false">MIN(ROUND(AD276*(1+AD$15),2),AJ276+MAX(0,AK276-AL276+AE276-AM276+AF276-AN276+AG276-AO276+AH276-AP276+AI276))</f>
        <v>0</v>
      </c>
      <c r="AR276" s="21" t="n">
        <f aca="false">SUM(Y276:AD276)</f>
        <v>0</v>
      </c>
      <c r="AS276" s="21" t="n">
        <f aca="false">SUM(AL276:AQ276)</f>
        <v>0</v>
      </c>
    </row>
    <row r="277" customFormat="false" ht="15" hidden="false" customHeight="false" outlineLevel="0" collapsed="false">
      <c r="A277" s="25" t="n">
        <f aca="false">A276+1</f>
        <v>251</v>
      </c>
      <c r="B277" s="21" t="n">
        <f aca="false">MAX(0,ROUND(B276*(1+B$15),2)-O276)</f>
        <v>0</v>
      </c>
      <c r="C277" s="21" t="n">
        <f aca="false">MAX(0,ROUND(C276*(1+C$15),2)-P276)</f>
        <v>0</v>
      </c>
      <c r="D277" s="21" t="n">
        <f aca="false">MAX(0,ROUND(D276*(1+D$15),2)-Q276)</f>
        <v>0</v>
      </c>
      <c r="E277" s="21" t="n">
        <f aca="false">MAX(0,ROUND(E276*(1+E$15),2)-R276)</f>
        <v>0</v>
      </c>
      <c r="F277" s="21" t="n">
        <f aca="false">MAX(0,ROUND(F276*(1+F$15),2)-S276)</f>
        <v>0</v>
      </c>
      <c r="G277" s="21" t="n">
        <f aca="false">MAX(0,ROUND(G276*(1+G$15),2)-T276)</f>
        <v>0</v>
      </c>
      <c r="H277" s="21" t="n">
        <f aca="false">MIN(B$16,ROUND(B277*(1+B$15),2))</f>
        <v>0</v>
      </c>
      <c r="I277" s="21" t="n">
        <f aca="false">MIN(C$16,ROUND(C277*(1+C$15),2))</f>
        <v>0</v>
      </c>
      <c r="J277" s="21" t="n">
        <f aca="false">MIN(D$16,ROUND(D277*(1+D$15),2))</f>
        <v>0</v>
      </c>
      <c r="K277" s="21" t="n">
        <f aca="false">MIN(E$16,ROUND(E277*(1+E$15),2))</f>
        <v>0</v>
      </c>
      <c r="L277" s="21" t="n">
        <f aca="false">MIN(F$16,ROUND(F277*(1+F$15),2))</f>
        <v>0</v>
      </c>
      <c r="M277" s="21" t="n">
        <f aca="false">MIN(G$16,ROUND(G277*(1+G$15),2))</f>
        <v>0</v>
      </c>
      <c r="N277" s="21" t="n">
        <f aca="false">B$20-SUM(H277:M277)</f>
        <v>1170</v>
      </c>
      <c r="O277" s="21" t="n">
        <f aca="false">MIN(ROUND(B277*(1+B$15),2),H277+MAX(0,N277))</f>
        <v>0</v>
      </c>
      <c r="P277" s="21" t="n">
        <f aca="false">MIN(ROUND(C277*(1+C$15),2),I277+MAX(0,N277-O277+H277))</f>
        <v>0</v>
      </c>
      <c r="Q277" s="21" t="n">
        <f aca="false">MIN(ROUND(D277*(1+D$15),2),J277+MAX(0,N277-O277+H277-P277+I277))</f>
        <v>0</v>
      </c>
      <c r="R277" s="21" t="n">
        <f aca="false">MIN(ROUND(E277*(1+E$15),2),K277+MAX(0,N277-O277+H277-P277+I277-Q277+J277))</f>
        <v>0</v>
      </c>
      <c r="S277" s="21" t="n">
        <f aca="false">MIN(ROUND(F277*(1+F$15),2),L277+MAX(0,N277-O277+H277-P277+I277-Q277+J277-R277+K277))</f>
        <v>0</v>
      </c>
      <c r="T277" s="21" t="n">
        <f aca="false">MIN(ROUND(G277*(1+G$15),2),M277+MAX(0,N277-O277+H277-P277+I277-Q277+J277-R277+K277-S277+L277))</f>
        <v>0</v>
      </c>
      <c r="U277" s="21" t="n">
        <f aca="false">SUM(B277:G277)</f>
        <v>0</v>
      </c>
      <c r="V277" s="21" t="n">
        <f aca="false">SUM(O277:T277)</f>
        <v>0</v>
      </c>
      <c r="X277" s="25" t="n">
        <f aca="false">X276+1</f>
        <v>251</v>
      </c>
      <c r="Y277" s="21" t="n">
        <f aca="false">MAX(0,ROUND(Y276*(1+Y$15),2)-AL276)</f>
        <v>0</v>
      </c>
      <c r="Z277" s="21" t="n">
        <f aca="false">MAX(0,ROUND(Z276*(1+Z$15),2)-AM276)</f>
        <v>0</v>
      </c>
      <c r="AA277" s="21" t="n">
        <f aca="false">MAX(0,ROUND(AA276*(1+AA$15),2)-AN276)</f>
        <v>0</v>
      </c>
      <c r="AB277" s="21" t="n">
        <f aca="false">MAX(0,ROUND(AB276*(1+AB$15),2)-AO276)</f>
        <v>0</v>
      </c>
      <c r="AC277" s="21" t="n">
        <f aca="false">MAX(0,ROUND(AC276*(1+AC$15),2)-AP276)</f>
        <v>0</v>
      </c>
      <c r="AD277" s="21" t="n">
        <f aca="false">MAX(0,ROUND(AD276*(1+AD$15),2)-AQ276)</f>
        <v>0</v>
      </c>
      <c r="AE277" s="21" t="n">
        <f aca="false">MIN(Y$16,ROUND(Y277*(1+Y$15),2))</f>
        <v>0</v>
      </c>
      <c r="AF277" s="21" t="n">
        <f aca="false">MIN(Z$16,ROUND(Z277*(1+Z$15),2))</f>
        <v>0</v>
      </c>
      <c r="AG277" s="21" t="n">
        <f aca="false">MIN(AA$16,ROUND(AA277*(1+AA$15),2))</f>
        <v>0</v>
      </c>
      <c r="AH277" s="21" t="n">
        <f aca="false">MIN(AB$16,ROUND(AB277*(1+AB$15),2))</f>
        <v>0</v>
      </c>
      <c r="AI277" s="21" t="n">
        <f aca="false">MIN(AC$16,ROUND(AC277*(1+AC$15),2))</f>
        <v>0</v>
      </c>
      <c r="AJ277" s="21" t="n">
        <f aca="false">MIN(AD$16,ROUND(AD277*(1+AD$15),2))</f>
        <v>0</v>
      </c>
      <c r="AK277" s="21" t="n">
        <f aca="false">Y$20-SUM(AE277:AJ277)</f>
        <v>1170</v>
      </c>
      <c r="AL277" s="21" t="n">
        <f aca="false">MIN(ROUND(Y277*(1+Y$15),2),AE277+MAX(0,AK277))</f>
        <v>0</v>
      </c>
      <c r="AM277" s="21" t="n">
        <f aca="false">MIN(ROUND(Z277*(1+Z$15),2),AF277+MAX(0,AK277-AL277+AE277))</f>
        <v>0</v>
      </c>
      <c r="AN277" s="21" t="n">
        <f aca="false">MIN(ROUND(AA277*(1+AA$15),2),AG277+MAX(0,AK277-AL277+AE277-AM277+AF277))</f>
        <v>0</v>
      </c>
      <c r="AO277" s="21" t="n">
        <f aca="false">MIN(ROUND(AB277*(1+AB$15),2),AH277+MAX(0,AK277-AL277+AE277-AM277+AF277-AN277+AG277))</f>
        <v>0</v>
      </c>
      <c r="AP277" s="21" t="n">
        <f aca="false">MIN(ROUND(AC277*(1+AC$15),2),AI277+MAX(0,AK277-AL277+AE277-AM277+AF277-AN277+AG277-AO277+AH277))</f>
        <v>0</v>
      </c>
      <c r="AQ277" s="21" t="n">
        <f aca="false">MIN(ROUND(AD277*(1+AD$15),2),AJ277+MAX(0,AK277-AL277+AE277-AM277+AF277-AN277+AG277-AO277+AH277-AP277+AI277))</f>
        <v>0</v>
      </c>
      <c r="AR277" s="21" t="n">
        <f aca="false">SUM(Y277:AD277)</f>
        <v>0</v>
      </c>
      <c r="AS277" s="21" t="n">
        <f aca="false">SUM(AL277:AQ277)</f>
        <v>0</v>
      </c>
    </row>
    <row r="278" customFormat="false" ht="15" hidden="false" customHeight="false" outlineLevel="0" collapsed="false">
      <c r="A278" s="25" t="n">
        <f aca="false">A277+1</f>
        <v>252</v>
      </c>
      <c r="B278" s="21" t="n">
        <f aca="false">MAX(0,ROUND(B277*(1+B$15),2)-O277)</f>
        <v>0</v>
      </c>
      <c r="C278" s="21" t="n">
        <f aca="false">MAX(0,ROUND(C277*(1+C$15),2)-P277)</f>
        <v>0</v>
      </c>
      <c r="D278" s="21" t="n">
        <f aca="false">MAX(0,ROUND(D277*(1+D$15),2)-Q277)</f>
        <v>0</v>
      </c>
      <c r="E278" s="21" t="n">
        <f aca="false">MAX(0,ROUND(E277*(1+E$15),2)-R277)</f>
        <v>0</v>
      </c>
      <c r="F278" s="21" t="n">
        <f aca="false">MAX(0,ROUND(F277*(1+F$15),2)-S277)</f>
        <v>0</v>
      </c>
      <c r="G278" s="21" t="n">
        <f aca="false">MAX(0,ROUND(G277*(1+G$15),2)-T277)</f>
        <v>0</v>
      </c>
      <c r="H278" s="21" t="n">
        <f aca="false">MIN(B$16,ROUND(B278*(1+B$15),2))</f>
        <v>0</v>
      </c>
      <c r="I278" s="21" t="n">
        <f aca="false">MIN(C$16,ROUND(C278*(1+C$15),2))</f>
        <v>0</v>
      </c>
      <c r="J278" s="21" t="n">
        <f aca="false">MIN(D$16,ROUND(D278*(1+D$15),2))</f>
        <v>0</v>
      </c>
      <c r="K278" s="21" t="n">
        <f aca="false">MIN(E$16,ROUND(E278*(1+E$15),2))</f>
        <v>0</v>
      </c>
      <c r="L278" s="21" t="n">
        <f aca="false">MIN(F$16,ROUND(F278*(1+F$15),2))</f>
        <v>0</v>
      </c>
      <c r="M278" s="21" t="n">
        <f aca="false">MIN(G$16,ROUND(G278*(1+G$15),2))</f>
        <v>0</v>
      </c>
      <c r="N278" s="21" t="n">
        <f aca="false">B$20-SUM(H278:M278)</f>
        <v>1170</v>
      </c>
      <c r="O278" s="21" t="n">
        <f aca="false">MIN(ROUND(B278*(1+B$15),2),H278+MAX(0,N278))</f>
        <v>0</v>
      </c>
      <c r="P278" s="21" t="n">
        <f aca="false">MIN(ROUND(C278*(1+C$15),2),I278+MAX(0,N278-O278+H278))</f>
        <v>0</v>
      </c>
      <c r="Q278" s="21" t="n">
        <f aca="false">MIN(ROUND(D278*(1+D$15),2),J278+MAX(0,N278-O278+H278-P278+I278))</f>
        <v>0</v>
      </c>
      <c r="R278" s="21" t="n">
        <f aca="false">MIN(ROUND(E278*(1+E$15),2),K278+MAX(0,N278-O278+H278-P278+I278-Q278+J278))</f>
        <v>0</v>
      </c>
      <c r="S278" s="21" t="n">
        <f aca="false">MIN(ROUND(F278*(1+F$15),2),L278+MAX(0,N278-O278+H278-P278+I278-Q278+J278-R278+K278))</f>
        <v>0</v>
      </c>
      <c r="T278" s="21" t="n">
        <f aca="false">MIN(ROUND(G278*(1+G$15),2),M278+MAX(0,N278-O278+H278-P278+I278-Q278+J278-R278+K278-S278+L278))</f>
        <v>0</v>
      </c>
      <c r="U278" s="21" t="n">
        <f aca="false">SUM(B278:G278)</f>
        <v>0</v>
      </c>
      <c r="V278" s="21" t="n">
        <f aca="false">SUM(O278:T278)</f>
        <v>0</v>
      </c>
      <c r="X278" s="25" t="n">
        <f aca="false">X277+1</f>
        <v>252</v>
      </c>
      <c r="Y278" s="21" t="n">
        <f aca="false">MAX(0,ROUND(Y277*(1+Y$15),2)-AL277)</f>
        <v>0</v>
      </c>
      <c r="Z278" s="21" t="n">
        <f aca="false">MAX(0,ROUND(Z277*(1+Z$15),2)-AM277)</f>
        <v>0</v>
      </c>
      <c r="AA278" s="21" t="n">
        <f aca="false">MAX(0,ROUND(AA277*(1+AA$15),2)-AN277)</f>
        <v>0</v>
      </c>
      <c r="AB278" s="21" t="n">
        <f aca="false">MAX(0,ROUND(AB277*(1+AB$15),2)-AO277)</f>
        <v>0</v>
      </c>
      <c r="AC278" s="21" t="n">
        <f aca="false">MAX(0,ROUND(AC277*(1+AC$15),2)-AP277)</f>
        <v>0</v>
      </c>
      <c r="AD278" s="21" t="n">
        <f aca="false">MAX(0,ROUND(AD277*(1+AD$15),2)-AQ277)</f>
        <v>0</v>
      </c>
      <c r="AE278" s="21" t="n">
        <f aca="false">MIN(Y$16,ROUND(Y278*(1+Y$15),2))</f>
        <v>0</v>
      </c>
      <c r="AF278" s="21" t="n">
        <f aca="false">MIN(Z$16,ROUND(Z278*(1+Z$15),2))</f>
        <v>0</v>
      </c>
      <c r="AG278" s="21" t="n">
        <f aca="false">MIN(AA$16,ROUND(AA278*(1+AA$15),2))</f>
        <v>0</v>
      </c>
      <c r="AH278" s="21" t="n">
        <f aca="false">MIN(AB$16,ROUND(AB278*(1+AB$15),2))</f>
        <v>0</v>
      </c>
      <c r="AI278" s="21" t="n">
        <f aca="false">MIN(AC$16,ROUND(AC278*(1+AC$15),2))</f>
        <v>0</v>
      </c>
      <c r="AJ278" s="21" t="n">
        <f aca="false">MIN(AD$16,ROUND(AD278*(1+AD$15),2))</f>
        <v>0</v>
      </c>
      <c r="AK278" s="21" t="n">
        <f aca="false">Y$20-SUM(AE278:AJ278)</f>
        <v>1170</v>
      </c>
      <c r="AL278" s="21" t="n">
        <f aca="false">MIN(ROUND(Y278*(1+Y$15),2),AE278+MAX(0,AK278))</f>
        <v>0</v>
      </c>
      <c r="AM278" s="21" t="n">
        <f aca="false">MIN(ROUND(Z278*(1+Z$15),2),AF278+MAX(0,AK278-AL278+AE278))</f>
        <v>0</v>
      </c>
      <c r="AN278" s="21" t="n">
        <f aca="false">MIN(ROUND(AA278*(1+AA$15),2),AG278+MAX(0,AK278-AL278+AE278-AM278+AF278))</f>
        <v>0</v>
      </c>
      <c r="AO278" s="21" t="n">
        <f aca="false">MIN(ROUND(AB278*(1+AB$15),2),AH278+MAX(0,AK278-AL278+AE278-AM278+AF278-AN278+AG278))</f>
        <v>0</v>
      </c>
      <c r="AP278" s="21" t="n">
        <f aca="false">MIN(ROUND(AC278*(1+AC$15),2),AI278+MAX(0,AK278-AL278+AE278-AM278+AF278-AN278+AG278-AO278+AH278))</f>
        <v>0</v>
      </c>
      <c r="AQ278" s="21" t="n">
        <f aca="false">MIN(ROUND(AD278*(1+AD$15),2),AJ278+MAX(0,AK278-AL278+AE278-AM278+AF278-AN278+AG278-AO278+AH278-AP278+AI278))</f>
        <v>0</v>
      </c>
      <c r="AR278" s="21" t="n">
        <f aca="false">SUM(Y278:AD278)</f>
        <v>0</v>
      </c>
      <c r="AS278" s="21" t="n">
        <f aca="false">SUM(AL278:AQ278)</f>
        <v>0</v>
      </c>
    </row>
    <row r="279" customFormat="false" ht="15" hidden="false" customHeight="false" outlineLevel="0" collapsed="false">
      <c r="A279" s="25" t="n">
        <f aca="false">A278+1</f>
        <v>253</v>
      </c>
      <c r="B279" s="21" t="n">
        <f aca="false">MAX(0,ROUND(B278*(1+B$15),2)-O278)</f>
        <v>0</v>
      </c>
      <c r="C279" s="21" t="n">
        <f aca="false">MAX(0,ROUND(C278*(1+C$15),2)-P278)</f>
        <v>0</v>
      </c>
      <c r="D279" s="21" t="n">
        <f aca="false">MAX(0,ROUND(D278*(1+D$15),2)-Q278)</f>
        <v>0</v>
      </c>
      <c r="E279" s="21" t="n">
        <f aca="false">MAX(0,ROUND(E278*(1+E$15),2)-R278)</f>
        <v>0</v>
      </c>
      <c r="F279" s="21" t="n">
        <f aca="false">MAX(0,ROUND(F278*(1+F$15),2)-S278)</f>
        <v>0</v>
      </c>
      <c r="G279" s="21" t="n">
        <f aca="false">MAX(0,ROUND(G278*(1+G$15),2)-T278)</f>
        <v>0</v>
      </c>
      <c r="H279" s="21" t="n">
        <f aca="false">MIN(B$16,ROUND(B279*(1+B$15),2))</f>
        <v>0</v>
      </c>
      <c r="I279" s="21" t="n">
        <f aca="false">MIN(C$16,ROUND(C279*(1+C$15),2))</f>
        <v>0</v>
      </c>
      <c r="J279" s="21" t="n">
        <f aca="false">MIN(D$16,ROUND(D279*(1+D$15),2))</f>
        <v>0</v>
      </c>
      <c r="K279" s="21" t="n">
        <f aca="false">MIN(E$16,ROUND(E279*(1+E$15),2))</f>
        <v>0</v>
      </c>
      <c r="L279" s="21" t="n">
        <f aca="false">MIN(F$16,ROUND(F279*(1+F$15),2))</f>
        <v>0</v>
      </c>
      <c r="M279" s="21" t="n">
        <f aca="false">MIN(G$16,ROUND(G279*(1+G$15),2))</f>
        <v>0</v>
      </c>
      <c r="N279" s="21" t="n">
        <f aca="false">B$20-SUM(H279:M279)</f>
        <v>1170</v>
      </c>
      <c r="O279" s="21" t="n">
        <f aca="false">MIN(ROUND(B279*(1+B$15),2),H279+MAX(0,N279))</f>
        <v>0</v>
      </c>
      <c r="P279" s="21" t="n">
        <f aca="false">MIN(ROUND(C279*(1+C$15),2),I279+MAX(0,N279-O279+H279))</f>
        <v>0</v>
      </c>
      <c r="Q279" s="21" t="n">
        <f aca="false">MIN(ROUND(D279*(1+D$15),2),J279+MAX(0,N279-O279+H279-P279+I279))</f>
        <v>0</v>
      </c>
      <c r="R279" s="21" t="n">
        <f aca="false">MIN(ROUND(E279*(1+E$15),2),K279+MAX(0,N279-O279+H279-P279+I279-Q279+J279))</f>
        <v>0</v>
      </c>
      <c r="S279" s="21" t="n">
        <f aca="false">MIN(ROUND(F279*(1+F$15),2),L279+MAX(0,N279-O279+H279-P279+I279-Q279+J279-R279+K279))</f>
        <v>0</v>
      </c>
      <c r="T279" s="21" t="n">
        <f aca="false">MIN(ROUND(G279*(1+G$15),2),M279+MAX(0,N279-O279+H279-P279+I279-Q279+J279-R279+K279-S279+L279))</f>
        <v>0</v>
      </c>
      <c r="U279" s="21" t="n">
        <f aca="false">SUM(B279:G279)</f>
        <v>0</v>
      </c>
      <c r="V279" s="21" t="n">
        <f aca="false">SUM(O279:T279)</f>
        <v>0</v>
      </c>
      <c r="X279" s="25" t="n">
        <f aca="false">X278+1</f>
        <v>253</v>
      </c>
      <c r="Y279" s="21" t="n">
        <f aca="false">MAX(0,ROUND(Y278*(1+Y$15),2)-AL278)</f>
        <v>0</v>
      </c>
      <c r="Z279" s="21" t="n">
        <f aca="false">MAX(0,ROUND(Z278*(1+Z$15),2)-AM278)</f>
        <v>0</v>
      </c>
      <c r="AA279" s="21" t="n">
        <f aca="false">MAX(0,ROUND(AA278*(1+AA$15),2)-AN278)</f>
        <v>0</v>
      </c>
      <c r="AB279" s="21" t="n">
        <f aca="false">MAX(0,ROUND(AB278*(1+AB$15),2)-AO278)</f>
        <v>0</v>
      </c>
      <c r="AC279" s="21" t="n">
        <f aca="false">MAX(0,ROUND(AC278*(1+AC$15),2)-AP278)</f>
        <v>0</v>
      </c>
      <c r="AD279" s="21" t="n">
        <f aca="false">MAX(0,ROUND(AD278*(1+AD$15),2)-AQ278)</f>
        <v>0</v>
      </c>
      <c r="AE279" s="21" t="n">
        <f aca="false">MIN(Y$16,ROUND(Y279*(1+Y$15),2))</f>
        <v>0</v>
      </c>
      <c r="AF279" s="21" t="n">
        <f aca="false">MIN(Z$16,ROUND(Z279*(1+Z$15),2))</f>
        <v>0</v>
      </c>
      <c r="AG279" s="21" t="n">
        <f aca="false">MIN(AA$16,ROUND(AA279*(1+AA$15),2))</f>
        <v>0</v>
      </c>
      <c r="AH279" s="21" t="n">
        <f aca="false">MIN(AB$16,ROUND(AB279*(1+AB$15),2))</f>
        <v>0</v>
      </c>
      <c r="AI279" s="21" t="n">
        <f aca="false">MIN(AC$16,ROUND(AC279*(1+AC$15),2))</f>
        <v>0</v>
      </c>
      <c r="AJ279" s="21" t="n">
        <f aca="false">MIN(AD$16,ROUND(AD279*(1+AD$15),2))</f>
        <v>0</v>
      </c>
      <c r="AK279" s="21" t="n">
        <f aca="false">Y$20-SUM(AE279:AJ279)</f>
        <v>1170</v>
      </c>
      <c r="AL279" s="21" t="n">
        <f aca="false">MIN(ROUND(Y279*(1+Y$15),2),AE279+MAX(0,AK279))</f>
        <v>0</v>
      </c>
      <c r="AM279" s="21" t="n">
        <f aca="false">MIN(ROUND(Z279*(1+Z$15),2),AF279+MAX(0,AK279-AL279+AE279))</f>
        <v>0</v>
      </c>
      <c r="AN279" s="21" t="n">
        <f aca="false">MIN(ROUND(AA279*(1+AA$15),2),AG279+MAX(0,AK279-AL279+AE279-AM279+AF279))</f>
        <v>0</v>
      </c>
      <c r="AO279" s="21" t="n">
        <f aca="false">MIN(ROUND(AB279*(1+AB$15),2),AH279+MAX(0,AK279-AL279+AE279-AM279+AF279-AN279+AG279))</f>
        <v>0</v>
      </c>
      <c r="AP279" s="21" t="n">
        <f aca="false">MIN(ROUND(AC279*(1+AC$15),2),AI279+MAX(0,AK279-AL279+AE279-AM279+AF279-AN279+AG279-AO279+AH279))</f>
        <v>0</v>
      </c>
      <c r="AQ279" s="21" t="n">
        <f aca="false">MIN(ROUND(AD279*(1+AD$15),2),AJ279+MAX(0,AK279-AL279+AE279-AM279+AF279-AN279+AG279-AO279+AH279-AP279+AI279))</f>
        <v>0</v>
      </c>
      <c r="AR279" s="21" t="n">
        <f aca="false">SUM(Y279:AD279)</f>
        <v>0</v>
      </c>
      <c r="AS279" s="21" t="n">
        <f aca="false">SUM(AL279:AQ279)</f>
        <v>0</v>
      </c>
    </row>
    <row r="280" customFormat="false" ht="15" hidden="false" customHeight="false" outlineLevel="0" collapsed="false">
      <c r="A280" s="25" t="n">
        <f aca="false">A279+1</f>
        <v>254</v>
      </c>
      <c r="B280" s="21" t="n">
        <f aca="false">MAX(0,ROUND(B279*(1+B$15),2)-O279)</f>
        <v>0</v>
      </c>
      <c r="C280" s="21" t="n">
        <f aca="false">MAX(0,ROUND(C279*(1+C$15),2)-P279)</f>
        <v>0</v>
      </c>
      <c r="D280" s="21" t="n">
        <f aca="false">MAX(0,ROUND(D279*(1+D$15),2)-Q279)</f>
        <v>0</v>
      </c>
      <c r="E280" s="21" t="n">
        <f aca="false">MAX(0,ROUND(E279*(1+E$15),2)-R279)</f>
        <v>0</v>
      </c>
      <c r="F280" s="21" t="n">
        <f aca="false">MAX(0,ROUND(F279*(1+F$15),2)-S279)</f>
        <v>0</v>
      </c>
      <c r="G280" s="21" t="n">
        <f aca="false">MAX(0,ROUND(G279*(1+G$15),2)-T279)</f>
        <v>0</v>
      </c>
      <c r="H280" s="21" t="n">
        <f aca="false">MIN(B$16,ROUND(B280*(1+B$15),2))</f>
        <v>0</v>
      </c>
      <c r="I280" s="21" t="n">
        <f aca="false">MIN(C$16,ROUND(C280*(1+C$15),2))</f>
        <v>0</v>
      </c>
      <c r="J280" s="21" t="n">
        <f aca="false">MIN(D$16,ROUND(D280*(1+D$15),2))</f>
        <v>0</v>
      </c>
      <c r="K280" s="21" t="n">
        <f aca="false">MIN(E$16,ROUND(E280*(1+E$15),2))</f>
        <v>0</v>
      </c>
      <c r="L280" s="21" t="n">
        <f aca="false">MIN(F$16,ROUND(F280*(1+F$15),2))</f>
        <v>0</v>
      </c>
      <c r="M280" s="21" t="n">
        <f aca="false">MIN(G$16,ROUND(G280*(1+G$15),2))</f>
        <v>0</v>
      </c>
      <c r="N280" s="21" t="n">
        <f aca="false">B$20-SUM(H280:M280)</f>
        <v>1170</v>
      </c>
      <c r="O280" s="21" t="n">
        <f aca="false">MIN(ROUND(B280*(1+B$15),2),H280+MAX(0,N280))</f>
        <v>0</v>
      </c>
      <c r="P280" s="21" t="n">
        <f aca="false">MIN(ROUND(C280*(1+C$15),2),I280+MAX(0,N280-O280+H280))</f>
        <v>0</v>
      </c>
      <c r="Q280" s="21" t="n">
        <f aca="false">MIN(ROUND(D280*(1+D$15),2),J280+MAX(0,N280-O280+H280-P280+I280))</f>
        <v>0</v>
      </c>
      <c r="R280" s="21" t="n">
        <f aca="false">MIN(ROUND(E280*(1+E$15),2),K280+MAX(0,N280-O280+H280-P280+I280-Q280+J280))</f>
        <v>0</v>
      </c>
      <c r="S280" s="21" t="n">
        <f aca="false">MIN(ROUND(F280*(1+F$15),2),L280+MAX(0,N280-O280+H280-P280+I280-Q280+J280-R280+K280))</f>
        <v>0</v>
      </c>
      <c r="T280" s="21" t="n">
        <f aca="false">MIN(ROUND(G280*(1+G$15),2),M280+MAX(0,N280-O280+H280-P280+I280-Q280+J280-R280+K280-S280+L280))</f>
        <v>0</v>
      </c>
      <c r="U280" s="21" t="n">
        <f aca="false">SUM(B280:G280)</f>
        <v>0</v>
      </c>
      <c r="V280" s="21" t="n">
        <f aca="false">SUM(O280:T280)</f>
        <v>0</v>
      </c>
      <c r="X280" s="25" t="n">
        <f aca="false">X279+1</f>
        <v>254</v>
      </c>
      <c r="Y280" s="21" t="n">
        <f aca="false">MAX(0,ROUND(Y279*(1+Y$15),2)-AL279)</f>
        <v>0</v>
      </c>
      <c r="Z280" s="21" t="n">
        <f aca="false">MAX(0,ROUND(Z279*(1+Z$15),2)-AM279)</f>
        <v>0</v>
      </c>
      <c r="AA280" s="21" t="n">
        <f aca="false">MAX(0,ROUND(AA279*(1+AA$15),2)-AN279)</f>
        <v>0</v>
      </c>
      <c r="AB280" s="21" t="n">
        <f aca="false">MAX(0,ROUND(AB279*(1+AB$15),2)-AO279)</f>
        <v>0</v>
      </c>
      <c r="AC280" s="21" t="n">
        <f aca="false">MAX(0,ROUND(AC279*(1+AC$15),2)-AP279)</f>
        <v>0</v>
      </c>
      <c r="AD280" s="21" t="n">
        <f aca="false">MAX(0,ROUND(AD279*(1+AD$15),2)-AQ279)</f>
        <v>0</v>
      </c>
      <c r="AE280" s="21" t="n">
        <f aca="false">MIN(Y$16,ROUND(Y280*(1+Y$15),2))</f>
        <v>0</v>
      </c>
      <c r="AF280" s="21" t="n">
        <f aca="false">MIN(Z$16,ROUND(Z280*(1+Z$15),2))</f>
        <v>0</v>
      </c>
      <c r="AG280" s="21" t="n">
        <f aca="false">MIN(AA$16,ROUND(AA280*(1+AA$15),2))</f>
        <v>0</v>
      </c>
      <c r="AH280" s="21" t="n">
        <f aca="false">MIN(AB$16,ROUND(AB280*(1+AB$15),2))</f>
        <v>0</v>
      </c>
      <c r="AI280" s="21" t="n">
        <f aca="false">MIN(AC$16,ROUND(AC280*(1+AC$15),2))</f>
        <v>0</v>
      </c>
      <c r="AJ280" s="21" t="n">
        <f aca="false">MIN(AD$16,ROUND(AD280*(1+AD$15),2))</f>
        <v>0</v>
      </c>
      <c r="AK280" s="21" t="n">
        <f aca="false">Y$20-SUM(AE280:AJ280)</f>
        <v>1170</v>
      </c>
      <c r="AL280" s="21" t="n">
        <f aca="false">MIN(ROUND(Y280*(1+Y$15),2),AE280+MAX(0,AK280))</f>
        <v>0</v>
      </c>
      <c r="AM280" s="21" t="n">
        <f aca="false">MIN(ROUND(Z280*(1+Z$15),2),AF280+MAX(0,AK280-AL280+AE280))</f>
        <v>0</v>
      </c>
      <c r="AN280" s="21" t="n">
        <f aca="false">MIN(ROUND(AA280*(1+AA$15),2),AG280+MAX(0,AK280-AL280+AE280-AM280+AF280))</f>
        <v>0</v>
      </c>
      <c r="AO280" s="21" t="n">
        <f aca="false">MIN(ROUND(AB280*(1+AB$15),2),AH280+MAX(0,AK280-AL280+AE280-AM280+AF280-AN280+AG280))</f>
        <v>0</v>
      </c>
      <c r="AP280" s="21" t="n">
        <f aca="false">MIN(ROUND(AC280*(1+AC$15),2),AI280+MAX(0,AK280-AL280+AE280-AM280+AF280-AN280+AG280-AO280+AH280))</f>
        <v>0</v>
      </c>
      <c r="AQ280" s="21" t="n">
        <f aca="false">MIN(ROUND(AD280*(1+AD$15),2),AJ280+MAX(0,AK280-AL280+AE280-AM280+AF280-AN280+AG280-AO280+AH280-AP280+AI280))</f>
        <v>0</v>
      </c>
      <c r="AR280" s="21" t="n">
        <f aca="false">SUM(Y280:AD280)</f>
        <v>0</v>
      </c>
      <c r="AS280" s="21" t="n">
        <f aca="false">SUM(AL280:AQ280)</f>
        <v>0</v>
      </c>
    </row>
    <row r="281" customFormat="false" ht="15" hidden="false" customHeight="false" outlineLevel="0" collapsed="false">
      <c r="A281" s="25" t="n">
        <f aca="false">A280+1</f>
        <v>255</v>
      </c>
      <c r="B281" s="21" t="n">
        <f aca="false">MAX(0,ROUND(B280*(1+B$15),2)-O280)</f>
        <v>0</v>
      </c>
      <c r="C281" s="21" t="n">
        <f aca="false">MAX(0,ROUND(C280*(1+C$15),2)-P280)</f>
        <v>0</v>
      </c>
      <c r="D281" s="21" t="n">
        <f aca="false">MAX(0,ROUND(D280*(1+D$15),2)-Q280)</f>
        <v>0</v>
      </c>
      <c r="E281" s="21" t="n">
        <f aca="false">MAX(0,ROUND(E280*(1+E$15),2)-R280)</f>
        <v>0</v>
      </c>
      <c r="F281" s="21" t="n">
        <f aca="false">MAX(0,ROUND(F280*(1+F$15),2)-S280)</f>
        <v>0</v>
      </c>
      <c r="G281" s="21" t="n">
        <f aca="false">MAX(0,ROUND(G280*(1+G$15),2)-T280)</f>
        <v>0</v>
      </c>
      <c r="H281" s="21" t="n">
        <f aca="false">MIN(B$16,ROUND(B281*(1+B$15),2))</f>
        <v>0</v>
      </c>
      <c r="I281" s="21" t="n">
        <f aca="false">MIN(C$16,ROUND(C281*(1+C$15),2))</f>
        <v>0</v>
      </c>
      <c r="J281" s="21" t="n">
        <f aca="false">MIN(D$16,ROUND(D281*(1+D$15),2))</f>
        <v>0</v>
      </c>
      <c r="K281" s="21" t="n">
        <f aca="false">MIN(E$16,ROUND(E281*(1+E$15),2))</f>
        <v>0</v>
      </c>
      <c r="L281" s="21" t="n">
        <f aca="false">MIN(F$16,ROUND(F281*(1+F$15),2))</f>
        <v>0</v>
      </c>
      <c r="M281" s="21" t="n">
        <f aca="false">MIN(G$16,ROUND(G281*(1+G$15),2))</f>
        <v>0</v>
      </c>
      <c r="N281" s="21" t="n">
        <f aca="false">B$20-SUM(H281:M281)</f>
        <v>1170</v>
      </c>
      <c r="O281" s="21" t="n">
        <f aca="false">MIN(ROUND(B281*(1+B$15),2),H281+MAX(0,N281))</f>
        <v>0</v>
      </c>
      <c r="P281" s="21" t="n">
        <f aca="false">MIN(ROUND(C281*(1+C$15),2),I281+MAX(0,N281-O281+H281))</f>
        <v>0</v>
      </c>
      <c r="Q281" s="21" t="n">
        <f aca="false">MIN(ROUND(D281*(1+D$15),2),J281+MAX(0,N281-O281+H281-P281+I281))</f>
        <v>0</v>
      </c>
      <c r="R281" s="21" t="n">
        <f aca="false">MIN(ROUND(E281*(1+E$15),2),K281+MAX(0,N281-O281+H281-P281+I281-Q281+J281))</f>
        <v>0</v>
      </c>
      <c r="S281" s="21" t="n">
        <f aca="false">MIN(ROUND(F281*(1+F$15),2),L281+MAX(0,N281-O281+H281-P281+I281-Q281+J281-R281+K281))</f>
        <v>0</v>
      </c>
      <c r="T281" s="21" t="n">
        <f aca="false">MIN(ROUND(G281*(1+G$15),2),M281+MAX(0,N281-O281+H281-P281+I281-Q281+J281-R281+K281-S281+L281))</f>
        <v>0</v>
      </c>
      <c r="U281" s="21" t="n">
        <f aca="false">SUM(B281:G281)</f>
        <v>0</v>
      </c>
      <c r="V281" s="21" t="n">
        <f aca="false">SUM(O281:T281)</f>
        <v>0</v>
      </c>
      <c r="X281" s="25" t="n">
        <f aca="false">X280+1</f>
        <v>255</v>
      </c>
      <c r="Y281" s="21" t="n">
        <f aca="false">MAX(0,ROUND(Y280*(1+Y$15),2)-AL280)</f>
        <v>0</v>
      </c>
      <c r="Z281" s="21" t="n">
        <f aca="false">MAX(0,ROUND(Z280*(1+Z$15),2)-AM280)</f>
        <v>0</v>
      </c>
      <c r="AA281" s="21" t="n">
        <f aca="false">MAX(0,ROUND(AA280*(1+AA$15),2)-AN280)</f>
        <v>0</v>
      </c>
      <c r="AB281" s="21" t="n">
        <f aca="false">MAX(0,ROUND(AB280*(1+AB$15),2)-AO280)</f>
        <v>0</v>
      </c>
      <c r="AC281" s="21" t="n">
        <f aca="false">MAX(0,ROUND(AC280*(1+AC$15),2)-AP280)</f>
        <v>0</v>
      </c>
      <c r="AD281" s="21" t="n">
        <f aca="false">MAX(0,ROUND(AD280*(1+AD$15),2)-AQ280)</f>
        <v>0</v>
      </c>
      <c r="AE281" s="21" t="n">
        <f aca="false">MIN(Y$16,ROUND(Y281*(1+Y$15),2))</f>
        <v>0</v>
      </c>
      <c r="AF281" s="21" t="n">
        <f aca="false">MIN(Z$16,ROUND(Z281*(1+Z$15),2))</f>
        <v>0</v>
      </c>
      <c r="AG281" s="21" t="n">
        <f aca="false">MIN(AA$16,ROUND(AA281*(1+AA$15),2))</f>
        <v>0</v>
      </c>
      <c r="AH281" s="21" t="n">
        <f aca="false">MIN(AB$16,ROUND(AB281*(1+AB$15),2))</f>
        <v>0</v>
      </c>
      <c r="AI281" s="21" t="n">
        <f aca="false">MIN(AC$16,ROUND(AC281*(1+AC$15),2))</f>
        <v>0</v>
      </c>
      <c r="AJ281" s="21" t="n">
        <f aca="false">MIN(AD$16,ROUND(AD281*(1+AD$15),2))</f>
        <v>0</v>
      </c>
      <c r="AK281" s="21" t="n">
        <f aca="false">Y$20-SUM(AE281:AJ281)</f>
        <v>1170</v>
      </c>
      <c r="AL281" s="21" t="n">
        <f aca="false">MIN(ROUND(Y281*(1+Y$15),2),AE281+MAX(0,AK281))</f>
        <v>0</v>
      </c>
      <c r="AM281" s="21" t="n">
        <f aca="false">MIN(ROUND(Z281*(1+Z$15),2),AF281+MAX(0,AK281-AL281+AE281))</f>
        <v>0</v>
      </c>
      <c r="AN281" s="21" t="n">
        <f aca="false">MIN(ROUND(AA281*(1+AA$15),2),AG281+MAX(0,AK281-AL281+AE281-AM281+AF281))</f>
        <v>0</v>
      </c>
      <c r="AO281" s="21" t="n">
        <f aca="false">MIN(ROUND(AB281*(1+AB$15),2),AH281+MAX(0,AK281-AL281+AE281-AM281+AF281-AN281+AG281))</f>
        <v>0</v>
      </c>
      <c r="AP281" s="21" t="n">
        <f aca="false">MIN(ROUND(AC281*(1+AC$15),2),AI281+MAX(0,AK281-AL281+AE281-AM281+AF281-AN281+AG281-AO281+AH281))</f>
        <v>0</v>
      </c>
      <c r="AQ281" s="21" t="n">
        <f aca="false">MIN(ROUND(AD281*(1+AD$15),2),AJ281+MAX(0,AK281-AL281+AE281-AM281+AF281-AN281+AG281-AO281+AH281-AP281+AI281))</f>
        <v>0</v>
      </c>
      <c r="AR281" s="21" t="n">
        <f aca="false">SUM(Y281:AD281)</f>
        <v>0</v>
      </c>
      <c r="AS281" s="21" t="n">
        <f aca="false">SUM(AL281:AQ281)</f>
        <v>0</v>
      </c>
    </row>
    <row r="282" customFormat="false" ht="15" hidden="false" customHeight="false" outlineLevel="0" collapsed="false">
      <c r="A282" s="25" t="n">
        <f aca="false">A281+1</f>
        <v>256</v>
      </c>
      <c r="B282" s="21" t="n">
        <f aca="false">MAX(0,ROUND(B281*(1+B$15),2)-O281)</f>
        <v>0</v>
      </c>
      <c r="C282" s="21" t="n">
        <f aca="false">MAX(0,ROUND(C281*(1+C$15),2)-P281)</f>
        <v>0</v>
      </c>
      <c r="D282" s="21" t="n">
        <f aca="false">MAX(0,ROUND(D281*(1+D$15),2)-Q281)</f>
        <v>0</v>
      </c>
      <c r="E282" s="21" t="n">
        <f aca="false">MAX(0,ROUND(E281*(1+E$15),2)-R281)</f>
        <v>0</v>
      </c>
      <c r="F282" s="21" t="n">
        <f aca="false">MAX(0,ROUND(F281*(1+F$15),2)-S281)</f>
        <v>0</v>
      </c>
      <c r="G282" s="21" t="n">
        <f aca="false">MAX(0,ROUND(G281*(1+G$15),2)-T281)</f>
        <v>0</v>
      </c>
      <c r="H282" s="21" t="n">
        <f aca="false">MIN(B$16,ROUND(B282*(1+B$15),2))</f>
        <v>0</v>
      </c>
      <c r="I282" s="21" t="n">
        <f aca="false">MIN(C$16,ROUND(C282*(1+C$15),2))</f>
        <v>0</v>
      </c>
      <c r="J282" s="21" t="n">
        <f aca="false">MIN(D$16,ROUND(D282*(1+D$15),2))</f>
        <v>0</v>
      </c>
      <c r="K282" s="21" t="n">
        <f aca="false">MIN(E$16,ROUND(E282*(1+E$15),2))</f>
        <v>0</v>
      </c>
      <c r="L282" s="21" t="n">
        <f aca="false">MIN(F$16,ROUND(F282*(1+F$15),2))</f>
        <v>0</v>
      </c>
      <c r="M282" s="21" t="n">
        <f aca="false">MIN(G$16,ROUND(G282*(1+G$15),2))</f>
        <v>0</v>
      </c>
      <c r="N282" s="21" t="n">
        <f aca="false">B$20-SUM(H282:M282)</f>
        <v>1170</v>
      </c>
      <c r="O282" s="21" t="n">
        <f aca="false">MIN(ROUND(B282*(1+B$15),2),H282+MAX(0,N282))</f>
        <v>0</v>
      </c>
      <c r="P282" s="21" t="n">
        <f aca="false">MIN(ROUND(C282*(1+C$15),2),I282+MAX(0,N282-O282+H282))</f>
        <v>0</v>
      </c>
      <c r="Q282" s="21" t="n">
        <f aca="false">MIN(ROUND(D282*(1+D$15),2),J282+MAX(0,N282-O282+H282-P282+I282))</f>
        <v>0</v>
      </c>
      <c r="R282" s="21" t="n">
        <f aca="false">MIN(ROUND(E282*(1+E$15),2),K282+MAX(0,N282-O282+H282-P282+I282-Q282+J282))</f>
        <v>0</v>
      </c>
      <c r="S282" s="21" t="n">
        <f aca="false">MIN(ROUND(F282*(1+F$15),2),L282+MAX(0,N282-O282+H282-P282+I282-Q282+J282-R282+K282))</f>
        <v>0</v>
      </c>
      <c r="T282" s="21" t="n">
        <f aca="false">MIN(ROUND(G282*(1+G$15),2),M282+MAX(0,N282-O282+H282-P282+I282-Q282+J282-R282+K282-S282+L282))</f>
        <v>0</v>
      </c>
      <c r="U282" s="21" t="n">
        <f aca="false">SUM(B282:G282)</f>
        <v>0</v>
      </c>
      <c r="V282" s="21" t="n">
        <f aca="false">SUM(O282:T282)</f>
        <v>0</v>
      </c>
      <c r="X282" s="25" t="n">
        <f aca="false">X281+1</f>
        <v>256</v>
      </c>
      <c r="Y282" s="21" t="n">
        <f aca="false">MAX(0,ROUND(Y281*(1+Y$15),2)-AL281)</f>
        <v>0</v>
      </c>
      <c r="Z282" s="21" t="n">
        <f aca="false">MAX(0,ROUND(Z281*(1+Z$15),2)-AM281)</f>
        <v>0</v>
      </c>
      <c r="AA282" s="21" t="n">
        <f aca="false">MAX(0,ROUND(AA281*(1+AA$15),2)-AN281)</f>
        <v>0</v>
      </c>
      <c r="AB282" s="21" t="n">
        <f aca="false">MAX(0,ROUND(AB281*(1+AB$15),2)-AO281)</f>
        <v>0</v>
      </c>
      <c r="AC282" s="21" t="n">
        <f aca="false">MAX(0,ROUND(AC281*(1+AC$15),2)-AP281)</f>
        <v>0</v>
      </c>
      <c r="AD282" s="21" t="n">
        <f aca="false">MAX(0,ROUND(AD281*(1+AD$15),2)-AQ281)</f>
        <v>0</v>
      </c>
      <c r="AE282" s="21" t="n">
        <f aca="false">MIN(Y$16,ROUND(Y282*(1+Y$15),2))</f>
        <v>0</v>
      </c>
      <c r="AF282" s="21" t="n">
        <f aca="false">MIN(Z$16,ROUND(Z282*(1+Z$15),2))</f>
        <v>0</v>
      </c>
      <c r="AG282" s="21" t="n">
        <f aca="false">MIN(AA$16,ROUND(AA282*(1+AA$15),2))</f>
        <v>0</v>
      </c>
      <c r="AH282" s="21" t="n">
        <f aca="false">MIN(AB$16,ROUND(AB282*(1+AB$15),2))</f>
        <v>0</v>
      </c>
      <c r="AI282" s="21" t="n">
        <f aca="false">MIN(AC$16,ROUND(AC282*(1+AC$15),2))</f>
        <v>0</v>
      </c>
      <c r="AJ282" s="21" t="n">
        <f aca="false">MIN(AD$16,ROUND(AD282*(1+AD$15),2))</f>
        <v>0</v>
      </c>
      <c r="AK282" s="21" t="n">
        <f aca="false">Y$20-SUM(AE282:AJ282)</f>
        <v>1170</v>
      </c>
      <c r="AL282" s="21" t="n">
        <f aca="false">MIN(ROUND(Y282*(1+Y$15),2),AE282+MAX(0,AK282))</f>
        <v>0</v>
      </c>
      <c r="AM282" s="21" t="n">
        <f aca="false">MIN(ROUND(Z282*(1+Z$15),2),AF282+MAX(0,AK282-AL282+AE282))</f>
        <v>0</v>
      </c>
      <c r="AN282" s="21" t="n">
        <f aca="false">MIN(ROUND(AA282*(1+AA$15),2),AG282+MAX(0,AK282-AL282+AE282-AM282+AF282))</f>
        <v>0</v>
      </c>
      <c r="AO282" s="21" t="n">
        <f aca="false">MIN(ROUND(AB282*(1+AB$15),2),AH282+MAX(0,AK282-AL282+AE282-AM282+AF282-AN282+AG282))</f>
        <v>0</v>
      </c>
      <c r="AP282" s="21" t="n">
        <f aca="false">MIN(ROUND(AC282*(1+AC$15),2),AI282+MAX(0,AK282-AL282+AE282-AM282+AF282-AN282+AG282-AO282+AH282))</f>
        <v>0</v>
      </c>
      <c r="AQ282" s="21" t="n">
        <f aca="false">MIN(ROUND(AD282*(1+AD$15),2),AJ282+MAX(0,AK282-AL282+AE282-AM282+AF282-AN282+AG282-AO282+AH282-AP282+AI282))</f>
        <v>0</v>
      </c>
      <c r="AR282" s="21" t="n">
        <f aca="false">SUM(Y282:AD282)</f>
        <v>0</v>
      </c>
      <c r="AS282" s="21" t="n">
        <f aca="false">SUM(AL282:AQ282)</f>
        <v>0</v>
      </c>
    </row>
    <row r="283" customFormat="false" ht="15" hidden="false" customHeight="false" outlineLevel="0" collapsed="false">
      <c r="A283" s="25" t="n">
        <f aca="false">A282+1</f>
        <v>257</v>
      </c>
      <c r="B283" s="21" t="n">
        <f aca="false">MAX(0,ROUND(B282*(1+B$15),2)-O282)</f>
        <v>0</v>
      </c>
      <c r="C283" s="21" t="n">
        <f aca="false">MAX(0,ROUND(C282*(1+C$15),2)-P282)</f>
        <v>0</v>
      </c>
      <c r="D283" s="21" t="n">
        <f aca="false">MAX(0,ROUND(D282*(1+D$15),2)-Q282)</f>
        <v>0</v>
      </c>
      <c r="E283" s="21" t="n">
        <f aca="false">MAX(0,ROUND(E282*(1+E$15),2)-R282)</f>
        <v>0</v>
      </c>
      <c r="F283" s="21" t="n">
        <f aca="false">MAX(0,ROUND(F282*(1+F$15),2)-S282)</f>
        <v>0</v>
      </c>
      <c r="G283" s="21" t="n">
        <f aca="false">MAX(0,ROUND(G282*(1+G$15),2)-T282)</f>
        <v>0</v>
      </c>
      <c r="H283" s="21" t="n">
        <f aca="false">MIN(B$16,ROUND(B283*(1+B$15),2))</f>
        <v>0</v>
      </c>
      <c r="I283" s="21" t="n">
        <f aca="false">MIN(C$16,ROUND(C283*(1+C$15),2))</f>
        <v>0</v>
      </c>
      <c r="J283" s="21" t="n">
        <f aca="false">MIN(D$16,ROUND(D283*(1+D$15),2))</f>
        <v>0</v>
      </c>
      <c r="K283" s="21" t="n">
        <f aca="false">MIN(E$16,ROUND(E283*(1+E$15),2))</f>
        <v>0</v>
      </c>
      <c r="L283" s="21" t="n">
        <f aca="false">MIN(F$16,ROUND(F283*(1+F$15),2))</f>
        <v>0</v>
      </c>
      <c r="M283" s="21" t="n">
        <f aca="false">MIN(G$16,ROUND(G283*(1+G$15),2))</f>
        <v>0</v>
      </c>
      <c r="N283" s="21" t="n">
        <f aca="false">B$20-SUM(H283:M283)</f>
        <v>1170</v>
      </c>
      <c r="O283" s="21" t="n">
        <f aca="false">MIN(ROUND(B283*(1+B$15),2),H283+MAX(0,N283))</f>
        <v>0</v>
      </c>
      <c r="P283" s="21" t="n">
        <f aca="false">MIN(ROUND(C283*(1+C$15),2),I283+MAX(0,N283-O283+H283))</f>
        <v>0</v>
      </c>
      <c r="Q283" s="21" t="n">
        <f aca="false">MIN(ROUND(D283*(1+D$15),2),J283+MAX(0,N283-O283+H283-P283+I283))</f>
        <v>0</v>
      </c>
      <c r="R283" s="21" t="n">
        <f aca="false">MIN(ROUND(E283*(1+E$15),2),K283+MAX(0,N283-O283+H283-P283+I283-Q283+J283))</f>
        <v>0</v>
      </c>
      <c r="S283" s="21" t="n">
        <f aca="false">MIN(ROUND(F283*(1+F$15),2),L283+MAX(0,N283-O283+H283-P283+I283-Q283+J283-R283+K283))</f>
        <v>0</v>
      </c>
      <c r="T283" s="21" t="n">
        <f aca="false">MIN(ROUND(G283*(1+G$15),2),M283+MAX(0,N283-O283+H283-P283+I283-Q283+J283-R283+K283-S283+L283))</f>
        <v>0</v>
      </c>
      <c r="U283" s="21" t="n">
        <f aca="false">SUM(B283:G283)</f>
        <v>0</v>
      </c>
      <c r="V283" s="21" t="n">
        <f aca="false">SUM(O283:T283)</f>
        <v>0</v>
      </c>
      <c r="X283" s="25" t="n">
        <f aca="false">X282+1</f>
        <v>257</v>
      </c>
      <c r="Y283" s="21" t="n">
        <f aca="false">MAX(0,ROUND(Y282*(1+Y$15),2)-AL282)</f>
        <v>0</v>
      </c>
      <c r="Z283" s="21" t="n">
        <f aca="false">MAX(0,ROUND(Z282*(1+Z$15),2)-AM282)</f>
        <v>0</v>
      </c>
      <c r="AA283" s="21" t="n">
        <f aca="false">MAX(0,ROUND(AA282*(1+AA$15),2)-AN282)</f>
        <v>0</v>
      </c>
      <c r="AB283" s="21" t="n">
        <f aca="false">MAX(0,ROUND(AB282*(1+AB$15),2)-AO282)</f>
        <v>0</v>
      </c>
      <c r="AC283" s="21" t="n">
        <f aca="false">MAX(0,ROUND(AC282*(1+AC$15),2)-AP282)</f>
        <v>0</v>
      </c>
      <c r="AD283" s="21" t="n">
        <f aca="false">MAX(0,ROUND(AD282*(1+AD$15),2)-AQ282)</f>
        <v>0</v>
      </c>
      <c r="AE283" s="21" t="n">
        <f aca="false">MIN(Y$16,ROUND(Y283*(1+Y$15),2))</f>
        <v>0</v>
      </c>
      <c r="AF283" s="21" t="n">
        <f aca="false">MIN(Z$16,ROUND(Z283*(1+Z$15),2))</f>
        <v>0</v>
      </c>
      <c r="AG283" s="21" t="n">
        <f aca="false">MIN(AA$16,ROUND(AA283*(1+AA$15),2))</f>
        <v>0</v>
      </c>
      <c r="AH283" s="21" t="n">
        <f aca="false">MIN(AB$16,ROUND(AB283*(1+AB$15),2))</f>
        <v>0</v>
      </c>
      <c r="AI283" s="21" t="n">
        <f aca="false">MIN(AC$16,ROUND(AC283*(1+AC$15),2))</f>
        <v>0</v>
      </c>
      <c r="AJ283" s="21" t="n">
        <f aca="false">MIN(AD$16,ROUND(AD283*(1+AD$15),2))</f>
        <v>0</v>
      </c>
      <c r="AK283" s="21" t="n">
        <f aca="false">Y$20-SUM(AE283:AJ283)</f>
        <v>1170</v>
      </c>
      <c r="AL283" s="21" t="n">
        <f aca="false">MIN(ROUND(Y283*(1+Y$15),2),AE283+MAX(0,AK283))</f>
        <v>0</v>
      </c>
      <c r="AM283" s="21" t="n">
        <f aca="false">MIN(ROUND(Z283*(1+Z$15),2),AF283+MAX(0,AK283-AL283+AE283))</f>
        <v>0</v>
      </c>
      <c r="AN283" s="21" t="n">
        <f aca="false">MIN(ROUND(AA283*(1+AA$15),2),AG283+MAX(0,AK283-AL283+AE283-AM283+AF283))</f>
        <v>0</v>
      </c>
      <c r="AO283" s="21" t="n">
        <f aca="false">MIN(ROUND(AB283*(1+AB$15),2),AH283+MAX(0,AK283-AL283+AE283-AM283+AF283-AN283+AG283))</f>
        <v>0</v>
      </c>
      <c r="AP283" s="21" t="n">
        <f aca="false">MIN(ROUND(AC283*(1+AC$15),2),AI283+MAX(0,AK283-AL283+AE283-AM283+AF283-AN283+AG283-AO283+AH283))</f>
        <v>0</v>
      </c>
      <c r="AQ283" s="21" t="n">
        <f aca="false">MIN(ROUND(AD283*(1+AD$15),2),AJ283+MAX(0,AK283-AL283+AE283-AM283+AF283-AN283+AG283-AO283+AH283-AP283+AI283))</f>
        <v>0</v>
      </c>
      <c r="AR283" s="21" t="n">
        <f aca="false">SUM(Y283:AD283)</f>
        <v>0</v>
      </c>
      <c r="AS283" s="21" t="n">
        <f aca="false">SUM(AL283:AQ283)</f>
        <v>0</v>
      </c>
    </row>
    <row r="284" customFormat="false" ht="15" hidden="false" customHeight="false" outlineLevel="0" collapsed="false">
      <c r="A284" s="25" t="n">
        <f aca="false">A283+1</f>
        <v>258</v>
      </c>
      <c r="B284" s="21" t="n">
        <f aca="false">MAX(0,ROUND(B283*(1+B$15),2)-O283)</f>
        <v>0</v>
      </c>
      <c r="C284" s="21" t="n">
        <f aca="false">MAX(0,ROUND(C283*(1+C$15),2)-P283)</f>
        <v>0</v>
      </c>
      <c r="D284" s="21" t="n">
        <f aca="false">MAX(0,ROUND(D283*(1+D$15),2)-Q283)</f>
        <v>0</v>
      </c>
      <c r="E284" s="21" t="n">
        <f aca="false">MAX(0,ROUND(E283*(1+E$15),2)-R283)</f>
        <v>0</v>
      </c>
      <c r="F284" s="21" t="n">
        <f aca="false">MAX(0,ROUND(F283*(1+F$15),2)-S283)</f>
        <v>0</v>
      </c>
      <c r="G284" s="21" t="n">
        <f aca="false">MAX(0,ROUND(G283*(1+G$15),2)-T283)</f>
        <v>0</v>
      </c>
      <c r="H284" s="21" t="n">
        <f aca="false">MIN(B$16,ROUND(B284*(1+B$15),2))</f>
        <v>0</v>
      </c>
      <c r="I284" s="21" t="n">
        <f aca="false">MIN(C$16,ROUND(C284*(1+C$15),2))</f>
        <v>0</v>
      </c>
      <c r="J284" s="21" t="n">
        <f aca="false">MIN(D$16,ROUND(D284*(1+D$15),2))</f>
        <v>0</v>
      </c>
      <c r="K284" s="21" t="n">
        <f aca="false">MIN(E$16,ROUND(E284*(1+E$15),2))</f>
        <v>0</v>
      </c>
      <c r="L284" s="21" t="n">
        <f aca="false">MIN(F$16,ROUND(F284*(1+F$15),2))</f>
        <v>0</v>
      </c>
      <c r="M284" s="21" t="n">
        <f aca="false">MIN(G$16,ROUND(G284*(1+G$15),2))</f>
        <v>0</v>
      </c>
      <c r="N284" s="21" t="n">
        <f aca="false">B$20-SUM(H284:M284)</f>
        <v>1170</v>
      </c>
      <c r="O284" s="21" t="n">
        <f aca="false">MIN(ROUND(B284*(1+B$15),2),H284+MAX(0,N284))</f>
        <v>0</v>
      </c>
      <c r="P284" s="21" t="n">
        <f aca="false">MIN(ROUND(C284*(1+C$15),2),I284+MAX(0,N284-O284+H284))</f>
        <v>0</v>
      </c>
      <c r="Q284" s="21" t="n">
        <f aca="false">MIN(ROUND(D284*(1+D$15),2),J284+MAX(0,N284-O284+H284-P284+I284))</f>
        <v>0</v>
      </c>
      <c r="R284" s="21" t="n">
        <f aca="false">MIN(ROUND(E284*(1+E$15),2),K284+MAX(0,N284-O284+H284-P284+I284-Q284+J284))</f>
        <v>0</v>
      </c>
      <c r="S284" s="21" t="n">
        <f aca="false">MIN(ROUND(F284*(1+F$15),2),L284+MAX(0,N284-O284+H284-P284+I284-Q284+J284-R284+K284))</f>
        <v>0</v>
      </c>
      <c r="T284" s="21" t="n">
        <f aca="false">MIN(ROUND(G284*(1+G$15),2),M284+MAX(0,N284-O284+H284-P284+I284-Q284+J284-R284+K284-S284+L284))</f>
        <v>0</v>
      </c>
      <c r="U284" s="21" t="n">
        <f aca="false">SUM(B284:G284)</f>
        <v>0</v>
      </c>
      <c r="V284" s="21" t="n">
        <f aca="false">SUM(O284:T284)</f>
        <v>0</v>
      </c>
      <c r="X284" s="25" t="n">
        <f aca="false">X283+1</f>
        <v>258</v>
      </c>
      <c r="Y284" s="21" t="n">
        <f aca="false">MAX(0,ROUND(Y283*(1+Y$15),2)-AL283)</f>
        <v>0</v>
      </c>
      <c r="Z284" s="21" t="n">
        <f aca="false">MAX(0,ROUND(Z283*(1+Z$15),2)-AM283)</f>
        <v>0</v>
      </c>
      <c r="AA284" s="21" t="n">
        <f aca="false">MAX(0,ROUND(AA283*(1+AA$15),2)-AN283)</f>
        <v>0</v>
      </c>
      <c r="AB284" s="21" t="n">
        <f aca="false">MAX(0,ROUND(AB283*(1+AB$15),2)-AO283)</f>
        <v>0</v>
      </c>
      <c r="AC284" s="21" t="n">
        <f aca="false">MAX(0,ROUND(AC283*(1+AC$15),2)-AP283)</f>
        <v>0</v>
      </c>
      <c r="AD284" s="21" t="n">
        <f aca="false">MAX(0,ROUND(AD283*(1+AD$15),2)-AQ283)</f>
        <v>0</v>
      </c>
      <c r="AE284" s="21" t="n">
        <f aca="false">MIN(Y$16,ROUND(Y284*(1+Y$15),2))</f>
        <v>0</v>
      </c>
      <c r="AF284" s="21" t="n">
        <f aca="false">MIN(Z$16,ROUND(Z284*(1+Z$15),2))</f>
        <v>0</v>
      </c>
      <c r="AG284" s="21" t="n">
        <f aca="false">MIN(AA$16,ROUND(AA284*(1+AA$15),2))</f>
        <v>0</v>
      </c>
      <c r="AH284" s="21" t="n">
        <f aca="false">MIN(AB$16,ROUND(AB284*(1+AB$15),2))</f>
        <v>0</v>
      </c>
      <c r="AI284" s="21" t="n">
        <f aca="false">MIN(AC$16,ROUND(AC284*(1+AC$15),2))</f>
        <v>0</v>
      </c>
      <c r="AJ284" s="21" t="n">
        <f aca="false">MIN(AD$16,ROUND(AD284*(1+AD$15),2))</f>
        <v>0</v>
      </c>
      <c r="AK284" s="21" t="n">
        <f aca="false">Y$20-SUM(AE284:AJ284)</f>
        <v>1170</v>
      </c>
      <c r="AL284" s="21" t="n">
        <f aca="false">MIN(ROUND(Y284*(1+Y$15),2),AE284+MAX(0,AK284))</f>
        <v>0</v>
      </c>
      <c r="AM284" s="21" t="n">
        <f aca="false">MIN(ROUND(Z284*(1+Z$15),2),AF284+MAX(0,AK284-AL284+AE284))</f>
        <v>0</v>
      </c>
      <c r="AN284" s="21" t="n">
        <f aca="false">MIN(ROUND(AA284*(1+AA$15),2),AG284+MAX(0,AK284-AL284+AE284-AM284+AF284))</f>
        <v>0</v>
      </c>
      <c r="AO284" s="21" t="n">
        <f aca="false">MIN(ROUND(AB284*(1+AB$15),2),AH284+MAX(0,AK284-AL284+AE284-AM284+AF284-AN284+AG284))</f>
        <v>0</v>
      </c>
      <c r="AP284" s="21" t="n">
        <f aca="false">MIN(ROUND(AC284*(1+AC$15),2),AI284+MAX(0,AK284-AL284+AE284-AM284+AF284-AN284+AG284-AO284+AH284))</f>
        <v>0</v>
      </c>
      <c r="AQ284" s="21" t="n">
        <f aca="false">MIN(ROUND(AD284*(1+AD$15),2),AJ284+MAX(0,AK284-AL284+AE284-AM284+AF284-AN284+AG284-AO284+AH284-AP284+AI284))</f>
        <v>0</v>
      </c>
      <c r="AR284" s="21" t="n">
        <f aca="false">SUM(Y284:AD284)</f>
        <v>0</v>
      </c>
      <c r="AS284" s="21" t="n">
        <f aca="false">SUM(AL284:AQ284)</f>
        <v>0</v>
      </c>
    </row>
    <row r="285" customFormat="false" ht="15" hidden="false" customHeight="false" outlineLevel="0" collapsed="false">
      <c r="A285" s="25" t="n">
        <f aca="false">A284+1</f>
        <v>259</v>
      </c>
      <c r="B285" s="21" t="n">
        <f aca="false">MAX(0,ROUND(B284*(1+B$15),2)-O284)</f>
        <v>0</v>
      </c>
      <c r="C285" s="21" t="n">
        <f aca="false">MAX(0,ROUND(C284*(1+C$15),2)-P284)</f>
        <v>0</v>
      </c>
      <c r="D285" s="21" t="n">
        <f aca="false">MAX(0,ROUND(D284*(1+D$15),2)-Q284)</f>
        <v>0</v>
      </c>
      <c r="E285" s="21" t="n">
        <f aca="false">MAX(0,ROUND(E284*(1+E$15),2)-R284)</f>
        <v>0</v>
      </c>
      <c r="F285" s="21" t="n">
        <f aca="false">MAX(0,ROUND(F284*(1+F$15),2)-S284)</f>
        <v>0</v>
      </c>
      <c r="G285" s="21" t="n">
        <f aca="false">MAX(0,ROUND(G284*(1+G$15),2)-T284)</f>
        <v>0</v>
      </c>
      <c r="H285" s="21" t="n">
        <f aca="false">MIN(B$16,ROUND(B285*(1+B$15),2))</f>
        <v>0</v>
      </c>
      <c r="I285" s="21" t="n">
        <f aca="false">MIN(C$16,ROUND(C285*(1+C$15),2))</f>
        <v>0</v>
      </c>
      <c r="J285" s="21" t="n">
        <f aca="false">MIN(D$16,ROUND(D285*(1+D$15),2))</f>
        <v>0</v>
      </c>
      <c r="K285" s="21" t="n">
        <f aca="false">MIN(E$16,ROUND(E285*(1+E$15),2))</f>
        <v>0</v>
      </c>
      <c r="L285" s="21" t="n">
        <f aca="false">MIN(F$16,ROUND(F285*(1+F$15),2))</f>
        <v>0</v>
      </c>
      <c r="M285" s="21" t="n">
        <f aca="false">MIN(G$16,ROUND(G285*(1+G$15),2))</f>
        <v>0</v>
      </c>
      <c r="N285" s="21" t="n">
        <f aca="false">B$20-SUM(H285:M285)</f>
        <v>1170</v>
      </c>
      <c r="O285" s="21" t="n">
        <f aca="false">MIN(ROUND(B285*(1+B$15),2),H285+MAX(0,N285))</f>
        <v>0</v>
      </c>
      <c r="P285" s="21" t="n">
        <f aca="false">MIN(ROUND(C285*(1+C$15),2),I285+MAX(0,N285-O285+H285))</f>
        <v>0</v>
      </c>
      <c r="Q285" s="21" t="n">
        <f aca="false">MIN(ROUND(D285*(1+D$15),2),J285+MAX(0,N285-O285+H285-P285+I285))</f>
        <v>0</v>
      </c>
      <c r="R285" s="21" t="n">
        <f aca="false">MIN(ROUND(E285*(1+E$15),2),K285+MAX(0,N285-O285+H285-P285+I285-Q285+J285))</f>
        <v>0</v>
      </c>
      <c r="S285" s="21" t="n">
        <f aca="false">MIN(ROUND(F285*(1+F$15),2),L285+MAX(0,N285-O285+H285-P285+I285-Q285+J285-R285+K285))</f>
        <v>0</v>
      </c>
      <c r="T285" s="21" t="n">
        <f aca="false">MIN(ROUND(G285*(1+G$15),2),M285+MAX(0,N285-O285+H285-P285+I285-Q285+J285-R285+K285-S285+L285))</f>
        <v>0</v>
      </c>
      <c r="U285" s="21" t="n">
        <f aca="false">SUM(B285:G285)</f>
        <v>0</v>
      </c>
      <c r="V285" s="21" t="n">
        <f aca="false">SUM(O285:T285)</f>
        <v>0</v>
      </c>
      <c r="X285" s="25" t="n">
        <f aca="false">X284+1</f>
        <v>259</v>
      </c>
      <c r="Y285" s="21" t="n">
        <f aca="false">MAX(0,ROUND(Y284*(1+Y$15),2)-AL284)</f>
        <v>0</v>
      </c>
      <c r="Z285" s="21" t="n">
        <f aca="false">MAX(0,ROUND(Z284*(1+Z$15),2)-AM284)</f>
        <v>0</v>
      </c>
      <c r="AA285" s="21" t="n">
        <f aca="false">MAX(0,ROUND(AA284*(1+AA$15),2)-AN284)</f>
        <v>0</v>
      </c>
      <c r="AB285" s="21" t="n">
        <f aca="false">MAX(0,ROUND(AB284*(1+AB$15),2)-AO284)</f>
        <v>0</v>
      </c>
      <c r="AC285" s="21" t="n">
        <f aca="false">MAX(0,ROUND(AC284*(1+AC$15),2)-AP284)</f>
        <v>0</v>
      </c>
      <c r="AD285" s="21" t="n">
        <f aca="false">MAX(0,ROUND(AD284*(1+AD$15),2)-AQ284)</f>
        <v>0</v>
      </c>
      <c r="AE285" s="21" t="n">
        <f aca="false">MIN(Y$16,ROUND(Y285*(1+Y$15),2))</f>
        <v>0</v>
      </c>
      <c r="AF285" s="21" t="n">
        <f aca="false">MIN(Z$16,ROUND(Z285*(1+Z$15),2))</f>
        <v>0</v>
      </c>
      <c r="AG285" s="21" t="n">
        <f aca="false">MIN(AA$16,ROUND(AA285*(1+AA$15),2))</f>
        <v>0</v>
      </c>
      <c r="AH285" s="21" t="n">
        <f aca="false">MIN(AB$16,ROUND(AB285*(1+AB$15),2))</f>
        <v>0</v>
      </c>
      <c r="AI285" s="21" t="n">
        <f aca="false">MIN(AC$16,ROUND(AC285*(1+AC$15),2))</f>
        <v>0</v>
      </c>
      <c r="AJ285" s="21" t="n">
        <f aca="false">MIN(AD$16,ROUND(AD285*(1+AD$15),2))</f>
        <v>0</v>
      </c>
      <c r="AK285" s="21" t="n">
        <f aca="false">Y$20-SUM(AE285:AJ285)</f>
        <v>1170</v>
      </c>
      <c r="AL285" s="21" t="n">
        <f aca="false">MIN(ROUND(Y285*(1+Y$15),2),AE285+MAX(0,AK285))</f>
        <v>0</v>
      </c>
      <c r="AM285" s="21" t="n">
        <f aca="false">MIN(ROUND(Z285*(1+Z$15),2),AF285+MAX(0,AK285-AL285+AE285))</f>
        <v>0</v>
      </c>
      <c r="AN285" s="21" t="n">
        <f aca="false">MIN(ROUND(AA285*(1+AA$15),2),AG285+MAX(0,AK285-AL285+AE285-AM285+AF285))</f>
        <v>0</v>
      </c>
      <c r="AO285" s="21" t="n">
        <f aca="false">MIN(ROUND(AB285*(1+AB$15),2),AH285+MAX(0,AK285-AL285+AE285-AM285+AF285-AN285+AG285))</f>
        <v>0</v>
      </c>
      <c r="AP285" s="21" t="n">
        <f aca="false">MIN(ROUND(AC285*(1+AC$15),2),AI285+MAX(0,AK285-AL285+AE285-AM285+AF285-AN285+AG285-AO285+AH285))</f>
        <v>0</v>
      </c>
      <c r="AQ285" s="21" t="n">
        <f aca="false">MIN(ROUND(AD285*(1+AD$15),2),AJ285+MAX(0,AK285-AL285+AE285-AM285+AF285-AN285+AG285-AO285+AH285-AP285+AI285))</f>
        <v>0</v>
      </c>
      <c r="AR285" s="21" t="n">
        <f aca="false">SUM(Y285:AD285)</f>
        <v>0</v>
      </c>
      <c r="AS285" s="21" t="n">
        <f aca="false">SUM(AL285:AQ285)</f>
        <v>0</v>
      </c>
    </row>
    <row r="286" customFormat="false" ht="15" hidden="false" customHeight="false" outlineLevel="0" collapsed="false">
      <c r="A286" s="25" t="n">
        <f aca="false">A285+1</f>
        <v>260</v>
      </c>
      <c r="B286" s="21" t="n">
        <f aca="false">MAX(0,ROUND(B285*(1+B$15),2)-O285)</f>
        <v>0</v>
      </c>
      <c r="C286" s="21" t="n">
        <f aca="false">MAX(0,ROUND(C285*(1+C$15),2)-P285)</f>
        <v>0</v>
      </c>
      <c r="D286" s="21" t="n">
        <f aca="false">MAX(0,ROUND(D285*(1+D$15),2)-Q285)</f>
        <v>0</v>
      </c>
      <c r="E286" s="21" t="n">
        <f aca="false">MAX(0,ROUND(E285*(1+E$15),2)-R285)</f>
        <v>0</v>
      </c>
      <c r="F286" s="21" t="n">
        <f aca="false">MAX(0,ROUND(F285*(1+F$15),2)-S285)</f>
        <v>0</v>
      </c>
      <c r="G286" s="21" t="n">
        <f aca="false">MAX(0,ROUND(G285*(1+G$15),2)-T285)</f>
        <v>0</v>
      </c>
      <c r="H286" s="21" t="n">
        <f aca="false">MIN(B$16,ROUND(B286*(1+B$15),2))</f>
        <v>0</v>
      </c>
      <c r="I286" s="21" t="n">
        <f aca="false">MIN(C$16,ROUND(C286*(1+C$15),2))</f>
        <v>0</v>
      </c>
      <c r="J286" s="21" t="n">
        <f aca="false">MIN(D$16,ROUND(D286*(1+D$15),2))</f>
        <v>0</v>
      </c>
      <c r="K286" s="21" t="n">
        <f aca="false">MIN(E$16,ROUND(E286*(1+E$15),2))</f>
        <v>0</v>
      </c>
      <c r="L286" s="21" t="n">
        <f aca="false">MIN(F$16,ROUND(F286*(1+F$15),2))</f>
        <v>0</v>
      </c>
      <c r="M286" s="21" t="n">
        <f aca="false">MIN(G$16,ROUND(G286*(1+G$15),2))</f>
        <v>0</v>
      </c>
      <c r="N286" s="21" t="n">
        <f aca="false">B$20-SUM(H286:M286)</f>
        <v>1170</v>
      </c>
      <c r="O286" s="21" t="n">
        <f aca="false">MIN(ROUND(B286*(1+B$15),2),H286+MAX(0,N286))</f>
        <v>0</v>
      </c>
      <c r="P286" s="21" t="n">
        <f aca="false">MIN(ROUND(C286*(1+C$15),2),I286+MAX(0,N286-O286+H286))</f>
        <v>0</v>
      </c>
      <c r="Q286" s="21" t="n">
        <f aca="false">MIN(ROUND(D286*(1+D$15),2),J286+MAX(0,N286-O286+H286-P286+I286))</f>
        <v>0</v>
      </c>
      <c r="R286" s="21" t="n">
        <f aca="false">MIN(ROUND(E286*(1+E$15),2),K286+MAX(0,N286-O286+H286-P286+I286-Q286+J286))</f>
        <v>0</v>
      </c>
      <c r="S286" s="21" t="n">
        <f aca="false">MIN(ROUND(F286*(1+F$15),2),L286+MAX(0,N286-O286+H286-P286+I286-Q286+J286-R286+K286))</f>
        <v>0</v>
      </c>
      <c r="T286" s="21" t="n">
        <f aca="false">MIN(ROUND(G286*(1+G$15),2),M286+MAX(0,N286-O286+H286-P286+I286-Q286+J286-R286+K286-S286+L286))</f>
        <v>0</v>
      </c>
      <c r="U286" s="21" t="n">
        <f aca="false">SUM(B286:G286)</f>
        <v>0</v>
      </c>
      <c r="V286" s="21" t="n">
        <f aca="false">SUM(O286:T286)</f>
        <v>0</v>
      </c>
      <c r="X286" s="25" t="n">
        <f aca="false">X285+1</f>
        <v>260</v>
      </c>
      <c r="Y286" s="21" t="n">
        <f aca="false">MAX(0,ROUND(Y285*(1+Y$15),2)-AL285)</f>
        <v>0</v>
      </c>
      <c r="Z286" s="21" t="n">
        <f aca="false">MAX(0,ROUND(Z285*(1+Z$15),2)-AM285)</f>
        <v>0</v>
      </c>
      <c r="AA286" s="21" t="n">
        <f aca="false">MAX(0,ROUND(AA285*(1+AA$15),2)-AN285)</f>
        <v>0</v>
      </c>
      <c r="AB286" s="21" t="n">
        <f aca="false">MAX(0,ROUND(AB285*(1+AB$15),2)-AO285)</f>
        <v>0</v>
      </c>
      <c r="AC286" s="21" t="n">
        <f aca="false">MAX(0,ROUND(AC285*(1+AC$15),2)-AP285)</f>
        <v>0</v>
      </c>
      <c r="AD286" s="21" t="n">
        <f aca="false">MAX(0,ROUND(AD285*(1+AD$15),2)-AQ285)</f>
        <v>0</v>
      </c>
      <c r="AE286" s="21" t="n">
        <f aca="false">MIN(Y$16,ROUND(Y286*(1+Y$15),2))</f>
        <v>0</v>
      </c>
      <c r="AF286" s="21" t="n">
        <f aca="false">MIN(Z$16,ROUND(Z286*(1+Z$15),2))</f>
        <v>0</v>
      </c>
      <c r="AG286" s="21" t="n">
        <f aca="false">MIN(AA$16,ROUND(AA286*(1+AA$15),2))</f>
        <v>0</v>
      </c>
      <c r="AH286" s="21" t="n">
        <f aca="false">MIN(AB$16,ROUND(AB286*(1+AB$15),2))</f>
        <v>0</v>
      </c>
      <c r="AI286" s="21" t="n">
        <f aca="false">MIN(AC$16,ROUND(AC286*(1+AC$15),2))</f>
        <v>0</v>
      </c>
      <c r="AJ286" s="21" t="n">
        <f aca="false">MIN(AD$16,ROUND(AD286*(1+AD$15),2))</f>
        <v>0</v>
      </c>
      <c r="AK286" s="21" t="n">
        <f aca="false">Y$20-SUM(AE286:AJ286)</f>
        <v>1170</v>
      </c>
      <c r="AL286" s="21" t="n">
        <f aca="false">MIN(ROUND(Y286*(1+Y$15),2),AE286+MAX(0,AK286))</f>
        <v>0</v>
      </c>
      <c r="AM286" s="21" t="n">
        <f aca="false">MIN(ROUND(Z286*(1+Z$15),2),AF286+MAX(0,AK286-AL286+AE286))</f>
        <v>0</v>
      </c>
      <c r="AN286" s="21" t="n">
        <f aca="false">MIN(ROUND(AA286*(1+AA$15),2),AG286+MAX(0,AK286-AL286+AE286-AM286+AF286))</f>
        <v>0</v>
      </c>
      <c r="AO286" s="21" t="n">
        <f aca="false">MIN(ROUND(AB286*(1+AB$15),2),AH286+MAX(0,AK286-AL286+AE286-AM286+AF286-AN286+AG286))</f>
        <v>0</v>
      </c>
      <c r="AP286" s="21" t="n">
        <f aca="false">MIN(ROUND(AC286*(1+AC$15),2),AI286+MAX(0,AK286-AL286+AE286-AM286+AF286-AN286+AG286-AO286+AH286))</f>
        <v>0</v>
      </c>
      <c r="AQ286" s="21" t="n">
        <f aca="false">MIN(ROUND(AD286*(1+AD$15),2),AJ286+MAX(0,AK286-AL286+AE286-AM286+AF286-AN286+AG286-AO286+AH286-AP286+AI286))</f>
        <v>0</v>
      </c>
      <c r="AR286" s="21" t="n">
        <f aca="false">SUM(Y286:AD286)</f>
        <v>0</v>
      </c>
      <c r="AS286" s="21" t="n">
        <f aca="false">SUM(AL286:AQ286)</f>
        <v>0</v>
      </c>
    </row>
    <row r="287" customFormat="false" ht="15" hidden="false" customHeight="false" outlineLevel="0" collapsed="false">
      <c r="A287" s="25" t="n">
        <f aca="false">A286+1</f>
        <v>261</v>
      </c>
      <c r="B287" s="21" t="n">
        <f aca="false">MAX(0,ROUND(B286*(1+B$15),2)-O286)</f>
        <v>0</v>
      </c>
      <c r="C287" s="21" t="n">
        <f aca="false">MAX(0,ROUND(C286*(1+C$15),2)-P286)</f>
        <v>0</v>
      </c>
      <c r="D287" s="21" t="n">
        <f aca="false">MAX(0,ROUND(D286*(1+D$15),2)-Q286)</f>
        <v>0</v>
      </c>
      <c r="E287" s="21" t="n">
        <f aca="false">MAX(0,ROUND(E286*(1+E$15),2)-R286)</f>
        <v>0</v>
      </c>
      <c r="F287" s="21" t="n">
        <f aca="false">MAX(0,ROUND(F286*(1+F$15),2)-S286)</f>
        <v>0</v>
      </c>
      <c r="G287" s="21" t="n">
        <f aca="false">MAX(0,ROUND(G286*(1+G$15),2)-T286)</f>
        <v>0</v>
      </c>
      <c r="H287" s="21" t="n">
        <f aca="false">MIN(B$16,ROUND(B287*(1+B$15),2))</f>
        <v>0</v>
      </c>
      <c r="I287" s="21" t="n">
        <f aca="false">MIN(C$16,ROUND(C287*(1+C$15),2))</f>
        <v>0</v>
      </c>
      <c r="J287" s="21" t="n">
        <f aca="false">MIN(D$16,ROUND(D287*(1+D$15),2))</f>
        <v>0</v>
      </c>
      <c r="K287" s="21" t="n">
        <f aca="false">MIN(E$16,ROUND(E287*(1+E$15),2))</f>
        <v>0</v>
      </c>
      <c r="L287" s="21" t="n">
        <f aca="false">MIN(F$16,ROUND(F287*(1+F$15),2))</f>
        <v>0</v>
      </c>
      <c r="M287" s="21" t="n">
        <f aca="false">MIN(G$16,ROUND(G287*(1+G$15),2))</f>
        <v>0</v>
      </c>
      <c r="N287" s="21" t="n">
        <f aca="false">B$20-SUM(H287:M287)</f>
        <v>1170</v>
      </c>
      <c r="O287" s="21" t="n">
        <f aca="false">MIN(ROUND(B287*(1+B$15),2),H287+MAX(0,N287))</f>
        <v>0</v>
      </c>
      <c r="P287" s="21" t="n">
        <f aca="false">MIN(ROUND(C287*(1+C$15),2),I287+MAX(0,N287-O287+H287))</f>
        <v>0</v>
      </c>
      <c r="Q287" s="21" t="n">
        <f aca="false">MIN(ROUND(D287*(1+D$15),2),J287+MAX(0,N287-O287+H287-P287+I287))</f>
        <v>0</v>
      </c>
      <c r="R287" s="21" t="n">
        <f aca="false">MIN(ROUND(E287*(1+E$15),2),K287+MAX(0,N287-O287+H287-P287+I287-Q287+J287))</f>
        <v>0</v>
      </c>
      <c r="S287" s="21" t="n">
        <f aca="false">MIN(ROUND(F287*(1+F$15),2),L287+MAX(0,N287-O287+H287-P287+I287-Q287+J287-R287+K287))</f>
        <v>0</v>
      </c>
      <c r="T287" s="21" t="n">
        <f aca="false">MIN(ROUND(G287*(1+G$15),2),M287+MAX(0,N287-O287+H287-P287+I287-Q287+J287-R287+K287-S287+L287))</f>
        <v>0</v>
      </c>
      <c r="U287" s="21" t="n">
        <f aca="false">SUM(B287:G287)</f>
        <v>0</v>
      </c>
      <c r="V287" s="21" t="n">
        <f aca="false">SUM(O287:T287)</f>
        <v>0</v>
      </c>
      <c r="X287" s="25" t="n">
        <f aca="false">X286+1</f>
        <v>261</v>
      </c>
      <c r="Y287" s="21" t="n">
        <f aca="false">MAX(0,ROUND(Y286*(1+Y$15),2)-AL286)</f>
        <v>0</v>
      </c>
      <c r="Z287" s="21" t="n">
        <f aca="false">MAX(0,ROUND(Z286*(1+Z$15),2)-AM286)</f>
        <v>0</v>
      </c>
      <c r="AA287" s="21" t="n">
        <f aca="false">MAX(0,ROUND(AA286*(1+AA$15),2)-AN286)</f>
        <v>0</v>
      </c>
      <c r="AB287" s="21" t="n">
        <f aca="false">MAX(0,ROUND(AB286*(1+AB$15),2)-AO286)</f>
        <v>0</v>
      </c>
      <c r="AC287" s="21" t="n">
        <f aca="false">MAX(0,ROUND(AC286*(1+AC$15),2)-AP286)</f>
        <v>0</v>
      </c>
      <c r="AD287" s="21" t="n">
        <f aca="false">MAX(0,ROUND(AD286*(1+AD$15),2)-AQ286)</f>
        <v>0</v>
      </c>
      <c r="AE287" s="21" t="n">
        <f aca="false">MIN(Y$16,ROUND(Y287*(1+Y$15),2))</f>
        <v>0</v>
      </c>
      <c r="AF287" s="21" t="n">
        <f aca="false">MIN(Z$16,ROUND(Z287*(1+Z$15),2))</f>
        <v>0</v>
      </c>
      <c r="AG287" s="21" t="n">
        <f aca="false">MIN(AA$16,ROUND(AA287*(1+AA$15),2))</f>
        <v>0</v>
      </c>
      <c r="AH287" s="21" t="n">
        <f aca="false">MIN(AB$16,ROUND(AB287*(1+AB$15),2))</f>
        <v>0</v>
      </c>
      <c r="AI287" s="21" t="n">
        <f aca="false">MIN(AC$16,ROUND(AC287*(1+AC$15),2))</f>
        <v>0</v>
      </c>
      <c r="AJ287" s="21" t="n">
        <f aca="false">MIN(AD$16,ROUND(AD287*(1+AD$15),2))</f>
        <v>0</v>
      </c>
      <c r="AK287" s="21" t="n">
        <f aca="false">Y$20-SUM(AE287:AJ287)</f>
        <v>1170</v>
      </c>
      <c r="AL287" s="21" t="n">
        <f aca="false">MIN(ROUND(Y287*(1+Y$15),2),AE287+MAX(0,AK287))</f>
        <v>0</v>
      </c>
      <c r="AM287" s="21" t="n">
        <f aca="false">MIN(ROUND(Z287*(1+Z$15),2),AF287+MAX(0,AK287-AL287+AE287))</f>
        <v>0</v>
      </c>
      <c r="AN287" s="21" t="n">
        <f aca="false">MIN(ROUND(AA287*(1+AA$15),2),AG287+MAX(0,AK287-AL287+AE287-AM287+AF287))</f>
        <v>0</v>
      </c>
      <c r="AO287" s="21" t="n">
        <f aca="false">MIN(ROUND(AB287*(1+AB$15),2),AH287+MAX(0,AK287-AL287+AE287-AM287+AF287-AN287+AG287))</f>
        <v>0</v>
      </c>
      <c r="AP287" s="21" t="n">
        <f aca="false">MIN(ROUND(AC287*(1+AC$15),2),AI287+MAX(0,AK287-AL287+AE287-AM287+AF287-AN287+AG287-AO287+AH287))</f>
        <v>0</v>
      </c>
      <c r="AQ287" s="21" t="n">
        <f aca="false">MIN(ROUND(AD287*(1+AD$15),2),AJ287+MAX(0,AK287-AL287+AE287-AM287+AF287-AN287+AG287-AO287+AH287-AP287+AI287))</f>
        <v>0</v>
      </c>
      <c r="AR287" s="21" t="n">
        <f aca="false">SUM(Y287:AD287)</f>
        <v>0</v>
      </c>
      <c r="AS287" s="21" t="n">
        <f aca="false">SUM(AL287:AQ287)</f>
        <v>0</v>
      </c>
    </row>
    <row r="288" customFormat="false" ht="15" hidden="false" customHeight="false" outlineLevel="0" collapsed="false">
      <c r="A288" s="25" t="n">
        <f aca="false">A287+1</f>
        <v>262</v>
      </c>
      <c r="B288" s="21" t="n">
        <f aca="false">MAX(0,ROUND(B287*(1+B$15),2)-O287)</f>
        <v>0</v>
      </c>
      <c r="C288" s="21" t="n">
        <f aca="false">MAX(0,ROUND(C287*(1+C$15),2)-P287)</f>
        <v>0</v>
      </c>
      <c r="D288" s="21" t="n">
        <f aca="false">MAX(0,ROUND(D287*(1+D$15),2)-Q287)</f>
        <v>0</v>
      </c>
      <c r="E288" s="21" t="n">
        <f aca="false">MAX(0,ROUND(E287*(1+E$15),2)-R287)</f>
        <v>0</v>
      </c>
      <c r="F288" s="21" t="n">
        <f aca="false">MAX(0,ROUND(F287*(1+F$15),2)-S287)</f>
        <v>0</v>
      </c>
      <c r="G288" s="21" t="n">
        <f aca="false">MAX(0,ROUND(G287*(1+G$15),2)-T287)</f>
        <v>0</v>
      </c>
      <c r="H288" s="21" t="n">
        <f aca="false">MIN(B$16,ROUND(B288*(1+B$15),2))</f>
        <v>0</v>
      </c>
      <c r="I288" s="21" t="n">
        <f aca="false">MIN(C$16,ROUND(C288*(1+C$15),2))</f>
        <v>0</v>
      </c>
      <c r="J288" s="21" t="n">
        <f aca="false">MIN(D$16,ROUND(D288*(1+D$15),2))</f>
        <v>0</v>
      </c>
      <c r="K288" s="21" t="n">
        <f aca="false">MIN(E$16,ROUND(E288*(1+E$15),2))</f>
        <v>0</v>
      </c>
      <c r="L288" s="21" t="n">
        <f aca="false">MIN(F$16,ROUND(F288*(1+F$15),2))</f>
        <v>0</v>
      </c>
      <c r="M288" s="21" t="n">
        <f aca="false">MIN(G$16,ROUND(G288*(1+G$15),2))</f>
        <v>0</v>
      </c>
      <c r="N288" s="21" t="n">
        <f aca="false">B$20-SUM(H288:M288)</f>
        <v>1170</v>
      </c>
      <c r="O288" s="21" t="n">
        <f aca="false">MIN(ROUND(B288*(1+B$15),2),H288+MAX(0,N288))</f>
        <v>0</v>
      </c>
      <c r="P288" s="21" t="n">
        <f aca="false">MIN(ROUND(C288*(1+C$15),2),I288+MAX(0,N288-O288+H288))</f>
        <v>0</v>
      </c>
      <c r="Q288" s="21" t="n">
        <f aca="false">MIN(ROUND(D288*(1+D$15),2),J288+MAX(0,N288-O288+H288-P288+I288))</f>
        <v>0</v>
      </c>
      <c r="R288" s="21" t="n">
        <f aca="false">MIN(ROUND(E288*(1+E$15),2),K288+MAX(0,N288-O288+H288-P288+I288-Q288+J288))</f>
        <v>0</v>
      </c>
      <c r="S288" s="21" t="n">
        <f aca="false">MIN(ROUND(F288*(1+F$15),2),L288+MAX(0,N288-O288+H288-P288+I288-Q288+J288-R288+K288))</f>
        <v>0</v>
      </c>
      <c r="T288" s="21" t="n">
        <f aca="false">MIN(ROUND(G288*(1+G$15),2),M288+MAX(0,N288-O288+H288-P288+I288-Q288+J288-R288+K288-S288+L288))</f>
        <v>0</v>
      </c>
      <c r="U288" s="21" t="n">
        <f aca="false">SUM(B288:G288)</f>
        <v>0</v>
      </c>
      <c r="V288" s="21" t="n">
        <f aca="false">SUM(O288:T288)</f>
        <v>0</v>
      </c>
      <c r="X288" s="25" t="n">
        <f aca="false">X287+1</f>
        <v>262</v>
      </c>
      <c r="Y288" s="21" t="n">
        <f aca="false">MAX(0,ROUND(Y287*(1+Y$15),2)-AL287)</f>
        <v>0</v>
      </c>
      <c r="Z288" s="21" t="n">
        <f aca="false">MAX(0,ROUND(Z287*(1+Z$15),2)-AM287)</f>
        <v>0</v>
      </c>
      <c r="AA288" s="21" t="n">
        <f aca="false">MAX(0,ROUND(AA287*(1+AA$15),2)-AN287)</f>
        <v>0</v>
      </c>
      <c r="AB288" s="21" t="n">
        <f aca="false">MAX(0,ROUND(AB287*(1+AB$15),2)-AO287)</f>
        <v>0</v>
      </c>
      <c r="AC288" s="21" t="n">
        <f aca="false">MAX(0,ROUND(AC287*(1+AC$15),2)-AP287)</f>
        <v>0</v>
      </c>
      <c r="AD288" s="21" t="n">
        <f aca="false">MAX(0,ROUND(AD287*(1+AD$15),2)-AQ287)</f>
        <v>0</v>
      </c>
      <c r="AE288" s="21" t="n">
        <f aca="false">MIN(Y$16,ROUND(Y288*(1+Y$15),2))</f>
        <v>0</v>
      </c>
      <c r="AF288" s="21" t="n">
        <f aca="false">MIN(Z$16,ROUND(Z288*(1+Z$15),2))</f>
        <v>0</v>
      </c>
      <c r="AG288" s="21" t="n">
        <f aca="false">MIN(AA$16,ROUND(AA288*(1+AA$15),2))</f>
        <v>0</v>
      </c>
      <c r="AH288" s="21" t="n">
        <f aca="false">MIN(AB$16,ROUND(AB288*(1+AB$15),2))</f>
        <v>0</v>
      </c>
      <c r="AI288" s="21" t="n">
        <f aca="false">MIN(AC$16,ROUND(AC288*(1+AC$15),2))</f>
        <v>0</v>
      </c>
      <c r="AJ288" s="21" t="n">
        <f aca="false">MIN(AD$16,ROUND(AD288*(1+AD$15),2))</f>
        <v>0</v>
      </c>
      <c r="AK288" s="21" t="n">
        <f aca="false">Y$20-SUM(AE288:AJ288)</f>
        <v>1170</v>
      </c>
      <c r="AL288" s="21" t="n">
        <f aca="false">MIN(ROUND(Y288*(1+Y$15),2),AE288+MAX(0,AK288))</f>
        <v>0</v>
      </c>
      <c r="AM288" s="21" t="n">
        <f aca="false">MIN(ROUND(Z288*(1+Z$15),2),AF288+MAX(0,AK288-AL288+AE288))</f>
        <v>0</v>
      </c>
      <c r="AN288" s="21" t="n">
        <f aca="false">MIN(ROUND(AA288*(1+AA$15),2),AG288+MAX(0,AK288-AL288+AE288-AM288+AF288))</f>
        <v>0</v>
      </c>
      <c r="AO288" s="21" t="n">
        <f aca="false">MIN(ROUND(AB288*(1+AB$15),2),AH288+MAX(0,AK288-AL288+AE288-AM288+AF288-AN288+AG288))</f>
        <v>0</v>
      </c>
      <c r="AP288" s="21" t="n">
        <f aca="false">MIN(ROUND(AC288*(1+AC$15),2),AI288+MAX(0,AK288-AL288+AE288-AM288+AF288-AN288+AG288-AO288+AH288))</f>
        <v>0</v>
      </c>
      <c r="AQ288" s="21" t="n">
        <f aca="false">MIN(ROUND(AD288*(1+AD$15),2),AJ288+MAX(0,AK288-AL288+AE288-AM288+AF288-AN288+AG288-AO288+AH288-AP288+AI288))</f>
        <v>0</v>
      </c>
      <c r="AR288" s="21" t="n">
        <f aca="false">SUM(Y288:AD288)</f>
        <v>0</v>
      </c>
      <c r="AS288" s="21" t="n">
        <f aca="false">SUM(AL288:AQ288)</f>
        <v>0</v>
      </c>
    </row>
    <row r="289" customFormat="false" ht="15" hidden="false" customHeight="false" outlineLevel="0" collapsed="false">
      <c r="A289" s="25" t="n">
        <f aca="false">A288+1</f>
        <v>263</v>
      </c>
      <c r="B289" s="21" t="n">
        <f aca="false">MAX(0,ROUND(B288*(1+B$15),2)-O288)</f>
        <v>0</v>
      </c>
      <c r="C289" s="21" t="n">
        <f aca="false">MAX(0,ROUND(C288*(1+C$15),2)-P288)</f>
        <v>0</v>
      </c>
      <c r="D289" s="21" t="n">
        <f aca="false">MAX(0,ROUND(D288*(1+D$15),2)-Q288)</f>
        <v>0</v>
      </c>
      <c r="E289" s="21" t="n">
        <f aca="false">MAX(0,ROUND(E288*(1+E$15),2)-R288)</f>
        <v>0</v>
      </c>
      <c r="F289" s="21" t="n">
        <f aca="false">MAX(0,ROUND(F288*(1+F$15),2)-S288)</f>
        <v>0</v>
      </c>
      <c r="G289" s="21" t="n">
        <f aca="false">MAX(0,ROUND(G288*(1+G$15),2)-T288)</f>
        <v>0</v>
      </c>
      <c r="H289" s="21" t="n">
        <f aca="false">MIN(B$16,ROUND(B289*(1+B$15),2))</f>
        <v>0</v>
      </c>
      <c r="I289" s="21" t="n">
        <f aca="false">MIN(C$16,ROUND(C289*(1+C$15),2))</f>
        <v>0</v>
      </c>
      <c r="J289" s="21" t="n">
        <f aca="false">MIN(D$16,ROUND(D289*(1+D$15),2))</f>
        <v>0</v>
      </c>
      <c r="K289" s="21" t="n">
        <f aca="false">MIN(E$16,ROUND(E289*(1+E$15),2))</f>
        <v>0</v>
      </c>
      <c r="L289" s="21" t="n">
        <f aca="false">MIN(F$16,ROUND(F289*(1+F$15),2))</f>
        <v>0</v>
      </c>
      <c r="M289" s="21" t="n">
        <f aca="false">MIN(G$16,ROUND(G289*(1+G$15),2))</f>
        <v>0</v>
      </c>
      <c r="N289" s="21" t="n">
        <f aca="false">B$20-SUM(H289:M289)</f>
        <v>1170</v>
      </c>
      <c r="O289" s="21" t="n">
        <f aca="false">MIN(ROUND(B289*(1+B$15),2),H289+MAX(0,N289))</f>
        <v>0</v>
      </c>
      <c r="P289" s="21" t="n">
        <f aca="false">MIN(ROUND(C289*(1+C$15),2),I289+MAX(0,N289-O289+H289))</f>
        <v>0</v>
      </c>
      <c r="Q289" s="21" t="n">
        <f aca="false">MIN(ROUND(D289*(1+D$15),2),J289+MAX(0,N289-O289+H289-P289+I289))</f>
        <v>0</v>
      </c>
      <c r="R289" s="21" t="n">
        <f aca="false">MIN(ROUND(E289*(1+E$15),2),K289+MAX(0,N289-O289+H289-P289+I289-Q289+J289))</f>
        <v>0</v>
      </c>
      <c r="S289" s="21" t="n">
        <f aca="false">MIN(ROUND(F289*(1+F$15),2),L289+MAX(0,N289-O289+H289-P289+I289-Q289+J289-R289+K289))</f>
        <v>0</v>
      </c>
      <c r="T289" s="21" t="n">
        <f aca="false">MIN(ROUND(G289*(1+G$15),2),M289+MAX(0,N289-O289+H289-P289+I289-Q289+J289-R289+K289-S289+L289))</f>
        <v>0</v>
      </c>
      <c r="U289" s="21" t="n">
        <f aca="false">SUM(B289:G289)</f>
        <v>0</v>
      </c>
      <c r="V289" s="21" t="n">
        <f aca="false">SUM(O289:T289)</f>
        <v>0</v>
      </c>
      <c r="X289" s="25" t="n">
        <f aca="false">X288+1</f>
        <v>263</v>
      </c>
      <c r="Y289" s="21" t="n">
        <f aca="false">MAX(0,ROUND(Y288*(1+Y$15),2)-AL288)</f>
        <v>0</v>
      </c>
      <c r="Z289" s="21" t="n">
        <f aca="false">MAX(0,ROUND(Z288*(1+Z$15),2)-AM288)</f>
        <v>0</v>
      </c>
      <c r="AA289" s="21" t="n">
        <f aca="false">MAX(0,ROUND(AA288*(1+AA$15),2)-AN288)</f>
        <v>0</v>
      </c>
      <c r="AB289" s="21" t="n">
        <f aca="false">MAX(0,ROUND(AB288*(1+AB$15),2)-AO288)</f>
        <v>0</v>
      </c>
      <c r="AC289" s="21" t="n">
        <f aca="false">MAX(0,ROUND(AC288*(1+AC$15),2)-AP288)</f>
        <v>0</v>
      </c>
      <c r="AD289" s="21" t="n">
        <f aca="false">MAX(0,ROUND(AD288*(1+AD$15),2)-AQ288)</f>
        <v>0</v>
      </c>
      <c r="AE289" s="21" t="n">
        <f aca="false">MIN(Y$16,ROUND(Y289*(1+Y$15),2))</f>
        <v>0</v>
      </c>
      <c r="AF289" s="21" t="n">
        <f aca="false">MIN(Z$16,ROUND(Z289*(1+Z$15),2))</f>
        <v>0</v>
      </c>
      <c r="AG289" s="21" t="n">
        <f aca="false">MIN(AA$16,ROUND(AA289*(1+AA$15),2))</f>
        <v>0</v>
      </c>
      <c r="AH289" s="21" t="n">
        <f aca="false">MIN(AB$16,ROUND(AB289*(1+AB$15),2))</f>
        <v>0</v>
      </c>
      <c r="AI289" s="21" t="n">
        <f aca="false">MIN(AC$16,ROUND(AC289*(1+AC$15),2))</f>
        <v>0</v>
      </c>
      <c r="AJ289" s="21" t="n">
        <f aca="false">MIN(AD$16,ROUND(AD289*(1+AD$15),2))</f>
        <v>0</v>
      </c>
      <c r="AK289" s="21" t="n">
        <f aca="false">Y$20-SUM(AE289:AJ289)</f>
        <v>1170</v>
      </c>
      <c r="AL289" s="21" t="n">
        <f aca="false">MIN(ROUND(Y289*(1+Y$15),2),AE289+MAX(0,AK289))</f>
        <v>0</v>
      </c>
      <c r="AM289" s="21" t="n">
        <f aca="false">MIN(ROUND(Z289*(1+Z$15),2),AF289+MAX(0,AK289-AL289+AE289))</f>
        <v>0</v>
      </c>
      <c r="AN289" s="21" t="n">
        <f aca="false">MIN(ROUND(AA289*(1+AA$15),2),AG289+MAX(0,AK289-AL289+AE289-AM289+AF289))</f>
        <v>0</v>
      </c>
      <c r="AO289" s="21" t="n">
        <f aca="false">MIN(ROUND(AB289*(1+AB$15),2),AH289+MAX(0,AK289-AL289+AE289-AM289+AF289-AN289+AG289))</f>
        <v>0</v>
      </c>
      <c r="AP289" s="21" t="n">
        <f aca="false">MIN(ROUND(AC289*(1+AC$15),2),AI289+MAX(0,AK289-AL289+AE289-AM289+AF289-AN289+AG289-AO289+AH289))</f>
        <v>0</v>
      </c>
      <c r="AQ289" s="21" t="n">
        <f aca="false">MIN(ROUND(AD289*(1+AD$15),2),AJ289+MAX(0,AK289-AL289+AE289-AM289+AF289-AN289+AG289-AO289+AH289-AP289+AI289))</f>
        <v>0</v>
      </c>
      <c r="AR289" s="21" t="n">
        <f aca="false">SUM(Y289:AD289)</f>
        <v>0</v>
      </c>
      <c r="AS289" s="21" t="n">
        <f aca="false">SUM(AL289:AQ289)</f>
        <v>0</v>
      </c>
    </row>
    <row r="290" customFormat="false" ht="15" hidden="false" customHeight="false" outlineLevel="0" collapsed="false">
      <c r="A290" s="25" t="n">
        <f aca="false">A289+1</f>
        <v>264</v>
      </c>
      <c r="B290" s="21" t="n">
        <f aca="false">MAX(0,ROUND(B289*(1+B$15),2)-O289)</f>
        <v>0</v>
      </c>
      <c r="C290" s="21" t="n">
        <f aca="false">MAX(0,ROUND(C289*(1+C$15),2)-P289)</f>
        <v>0</v>
      </c>
      <c r="D290" s="21" t="n">
        <f aca="false">MAX(0,ROUND(D289*(1+D$15),2)-Q289)</f>
        <v>0</v>
      </c>
      <c r="E290" s="21" t="n">
        <f aca="false">MAX(0,ROUND(E289*(1+E$15),2)-R289)</f>
        <v>0</v>
      </c>
      <c r="F290" s="21" t="n">
        <f aca="false">MAX(0,ROUND(F289*(1+F$15),2)-S289)</f>
        <v>0</v>
      </c>
      <c r="G290" s="21" t="n">
        <f aca="false">MAX(0,ROUND(G289*(1+G$15),2)-T289)</f>
        <v>0</v>
      </c>
      <c r="H290" s="21" t="n">
        <f aca="false">MIN(B$16,ROUND(B290*(1+B$15),2))</f>
        <v>0</v>
      </c>
      <c r="I290" s="21" t="n">
        <f aca="false">MIN(C$16,ROUND(C290*(1+C$15),2))</f>
        <v>0</v>
      </c>
      <c r="J290" s="21" t="n">
        <f aca="false">MIN(D$16,ROUND(D290*(1+D$15),2))</f>
        <v>0</v>
      </c>
      <c r="K290" s="21" t="n">
        <f aca="false">MIN(E$16,ROUND(E290*(1+E$15),2))</f>
        <v>0</v>
      </c>
      <c r="L290" s="21" t="n">
        <f aca="false">MIN(F$16,ROUND(F290*(1+F$15),2))</f>
        <v>0</v>
      </c>
      <c r="M290" s="21" t="n">
        <f aca="false">MIN(G$16,ROUND(G290*(1+G$15),2))</f>
        <v>0</v>
      </c>
      <c r="N290" s="21" t="n">
        <f aca="false">B$20-SUM(H290:M290)</f>
        <v>1170</v>
      </c>
      <c r="O290" s="21" t="n">
        <f aca="false">MIN(ROUND(B290*(1+B$15),2),H290+MAX(0,N290))</f>
        <v>0</v>
      </c>
      <c r="P290" s="21" t="n">
        <f aca="false">MIN(ROUND(C290*(1+C$15),2),I290+MAX(0,N290-O290+H290))</f>
        <v>0</v>
      </c>
      <c r="Q290" s="21" t="n">
        <f aca="false">MIN(ROUND(D290*(1+D$15),2),J290+MAX(0,N290-O290+H290-P290+I290))</f>
        <v>0</v>
      </c>
      <c r="R290" s="21" t="n">
        <f aca="false">MIN(ROUND(E290*(1+E$15),2),K290+MAX(0,N290-O290+H290-P290+I290-Q290+J290))</f>
        <v>0</v>
      </c>
      <c r="S290" s="21" t="n">
        <f aca="false">MIN(ROUND(F290*(1+F$15),2),L290+MAX(0,N290-O290+H290-P290+I290-Q290+J290-R290+K290))</f>
        <v>0</v>
      </c>
      <c r="T290" s="21" t="n">
        <f aca="false">MIN(ROUND(G290*(1+G$15),2),M290+MAX(0,N290-O290+H290-P290+I290-Q290+J290-R290+K290-S290+L290))</f>
        <v>0</v>
      </c>
      <c r="U290" s="21" t="n">
        <f aca="false">SUM(B290:G290)</f>
        <v>0</v>
      </c>
      <c r="V290" s="21" t="n">
        <f aca="false">SUM(O290:T290)</f>
        <v>0</v>
      </c>
      <c r="X290" s="25" t="n">
        <f aca="false">X289+1</f>
        <v>264</v>
      </c>
      <c r="Y290" s="21" t="n">
        <f aca="false">MAX(0,ROUND(Y289*(1+Y$15),2)-AL289)</f>
        <v>0</v>
      </c>
      <c r="Z290" s="21" t="n">
        <f aca="false">MAX(0,ROUND(Z289*(1+Z$15),2)-AM289)</f>
        <v>0</v>
      </c>
      <c r="AA290" s="21" t="n">
        <f aca="false">MAX(0,ROUND(AA289*(1+AA$15),2)-AN289)</f>
        <v>0</v>
      </c>
      <c r="AB290" s="21" t="n">
        <f aca="false">MAX(0,ROUND(AB289*(1+AB$15),2)-AO289)</f>
        <v>0</v>
      </c>
      <c r="AC290" s="21" t="n">
        <f aca="false">MAX(0,ROUND(AC289*(1+AC$15),2)-AP289)</f>
        <v>0</v>
      </c>
      <c r="AD290" s="21" t="n">
        <f aca="false">MAX(0,ROUND(AD289*(1+AD$15),2)-AQ289)</f>
        <v>0</v>
      </c>
      <c r="AE290" s="21" t="n">
        <f aca="false">MIN(Y$16,ROUND(Y290*(1+Y$15),2))</f>
        <v>0</v>
      </c>
      <c r="AF290" s="21" t="n">
        <f aca="false">MIN(Z$16,ROUND(Z290*(1+Z$15),2))</f>
        <v>0</v>
      </c>
      <c r="AG290" s="21" t="n">
        <f aca="false">MIN(AA$16,ROUND(AA290*(1+AA$15),2))</f>
        <v>0</v>
      </c>
      <c r="AH290" s="21" t="n">
        <f aca="false">MIN(AB$16,ROUND(AB290*(1+AB$15),2))</f>
        <v>0</v>
      </c>
      <c r="AI290" s="21" t="n">
        <f aca="false">MIN(AC$16,ROUND(AC290*(1+AC$15),2))</f>
        <v>0</v>
      </c>
      <c r="AJ290" s="21" t="n">
        <f aca="false">MIN(AD$16,ROUND(AD290*(1+AD$15),2))</f>
        <v>0</v>
      </c>
      <c r="AK290" s="21" t="n">
        <f aca="false">Y$20-SUM(AE290:AJ290)</f>
        <v>1170</v>
      </c>
      <c r="AL290" s="21" t="n">
        <f aca="false">MIN(ROUND(Y290*(1+Y$15),2),AE290+MAX(0,AK290))</f>
        <v>0</v>
      </c>
      <c r="AM290" s="21" t="n">
        <f aca="false">MIN(ROUND(Z290*(1+Z$15),2),AF290+MAX(0,AK290-AL290+AE290))</f>
        <v>0</v>
      </c>
      <c r="AN290" s="21" t="n">
        <f aca="false">MIN(ROUND(AA290*(1+AA$15),2),AG290+MAX(0,AK290-AL290+AE290-AM290+AF290))</f>
        <v>0</v>
      </c>
      <c r="AO290" s="21" t="n">
        <f aca="false">MIN(ROUND(AB290*(1+AB$15),2),AH290+MAX(0,AK290-AL290+AE290-AM290+AF290-AN290+AG290))</f>
        <v>0</v>
      </c>
      <c r="AP290" s="21" t="n">
        <f aca="false">MIN(ROUND(AC290*(1+AC$15),2),AI290+MAX(0,AK290-AL290+AE290-AM290+AF290-AN290+AG290-AO290+AH290))</f>
        <v>0</v>
      </c>
      <c r="AQ290" s="21" t="n">
        <f aca="false">MIN(ROUND(AD290*(1+AD$15),2),AJ290+MAX(0,AK290-AL290+AE290-AM290+AF290-AN290+AG290-AO290+AH290-AP290+AI290))</f>
        <v>0</v>
      </c>
      <c r="AR290" s="21" t="n">
        <f aca="false">SUM(Y290:AD290)</f>
        <v>0</v>
      </c>
      <c r="AS290" s="21" t="n">
        <f aca="false">SUM(AL290:AQ290)</f>
        <v>0</v>
      </c>
    </row>
    <row r="291" customFormat="false" ht="15" hidden="false" customHeight="false" outlineLevel="0" collapsed="false">
      <c r="A291" s="25" t="n">
        <f aca="false">A290+1</f>
        <v>265</v>
      </c>
      <c r="B291" s="21" t="n">
        <f aca="false">MAX(0,ROUND(B290*(1+B$15),2)-O290)</f>
        <v>0</v>
      </c>
      <c r="C291" s="21" t="n">
        <f aca="false">MAX(0,ROUND(C290*(1+C$15),2)-P290)</f>
        <v>0</v>
      </c>
      <c r="D291" s="21" t="n">
        <f aca="false">MAX(0,ROUND(D290*(1+D$15),2)-Q290)</f>
        <v>0</v>
      </c>
      <c r="E291" s="21" t="n">
        <f aca="false">MAX(0,ROUND(E290*(1+E$15),2)-R290)</f>
        <v>0</v>
      </c>
      <c r="F291" s="21" t="n">
        <f aca="false">MAX(0,ROUND(F290*(1+F$15),2)-S290)</f>
        <v>0</v>
      </c>
      <c r="G291" s="21" t="n">
        <f aca="false">MAX(0,ROUND(G290*(1+G$15),2)-T290)</f>
        <v>0</v>
      </c>
      <c r="H291" s="21" t="n">
        <f aca="false">MIN(B$16,ROUND(B291*(1+B$15),2))</f>
        <v>0</v>
      </c>
      <c r="I291" s="21" t="n">
        <f aca="false">MIN(C$16,ROUND(C291*(1+C$15),2))</f>
        <v>0</v>
      </c>
      <c r="J291" s="21" t="n">
        <f aca="false">MIN(D$16,ROUND(D291*(1+D$15),2))</f>
        <v>0</v>
      </c>
      <c r="K291" s="21" t="n">
        <f aca="false">MIN(E$16,ROUND(E291*(1+E$15),2))</f>
        <v>0</v>
      </c>
      <c r="L291" s="21" t="n">
        <f aca="false">MIN(F$16,ROUND(F291*(1+F$15),2))</f>
        <v>0</v>
      </c>
      <c r="M291" s="21" t="n">
        <f aca="false">MIN(G$16,ROUND(G291*(1+G$15),2))</f>
        <v>0</v>
      </c>
      <c r="N291" s="21" t="n">
        <f aca="false">B$20-SUM(H291:M291)</f>
        <v>1170</v>
      </c>
      <c r="O291" s="21" t="n">
        <f aca="false">MIN(ROUND(B291*(1+B$15),2),H291+MAX(0,N291))</f>
        <v>0</v>
      </c>
      <c r="P291" s="21" t="n">
        <f aca="false">MIN(ROUND(C291*(1+C$15),2),I291+MAX(0,N291-O291+H291))</f>
        <v>0</v>
      </c>
      <c r="Q291" s="21" t="n">
        <f aca="false">MIN(ROUND(D291*(1+D$15),2),J291+MAX(0,N291-O291+H291-P291+I291))</f>
        <v>0</v>
      </c>
      <c r="R291" s="21" t="n">
        <f aca="false">MIN(ROUND(E291*(1+E$15),2),K291+MAX(0,N291-O291+H291-P291+I291-Q291+J291))</f>
        <v>0</v>
      </c>
      <c r="S291" s="21" t="n">
        <f aca="false">MIN(ROUND(F291*(1+F$15),2),L291+MAX(0,N291-O291+H291-P291+I291-Q291+J291-R291+K291))</f>
        <v>0</v>
      </c>
      <c r="T291" s="21" t="n">
        <f aca="false">MIN(ROUND(G291*(1+G$15),2),M291+MAX(0,N291-O291+H291-P291+I291-Q291+J291-R291+K291-S291+L291))</f>
        <v>0</v>
      </c>
      <c r="U291" s="21" t="n">
        <f aca="false">SUM(B291:G291)</f>
        <v>0</v>
      </c>
      <c r="V291" s="21" t="n">
        <f aca="false">SUM(O291:T291)</f>
        <v>0</v>
      </c>
      <c r="X291" s="25" t="n">
        <f aca="false">X290+1</f>
        <v>265</v>
      </c>
      <c r="Y291" s="21" t="n">
        <f aca="false">MAX(0,ROUND(Y290*(1+Y$15),2)-AL290)</f>
        <v>0</v>
      </c>
      <c r="Z291" s="21" t="n">
        <f aca="false">MAX(0,ROUND(Z290*(1+Z$15),2)-AM290)</f>
        <v>0</v>
      </c>
      <c r="AA291" s="21" t="n">
        <f aca="false">MAX(0,ROUND(AA290*(1+AA$15),2)-AN290)</f>
        <v>0</v>
      </c>
      <c r="AB291" s="21" t="n">
        <f aca="false">MAX(0,ROUND(AB290*(1+AB$15),2)-AO290)</f>
        <v>0</v>
      </c>
      <c r="AC291" s="21" t="n">
        <f aca="false">MAX(0,ROUND(AC290*(1+AC$15),2)-AP290)</f>
        <v>0</v>
      </c>
      <c r="AD291" s="21" t="n">
        <f aca="false">MAX(0,ROUND(AD290*(1+AD$15),2)-AQ290)</f>
        <v>0</v>
      </c>
      <c r="AE291" s="21" t="n">
        <f aca="false">MIN(Y$16,ROUND(Y291*(1+Y$15),2))</f>
        <v>0</v>
      </c>
      <c r="AF291" s="21" t="n">
        <f aca="false">MIN(Z$16,ROUND(Z291*(1+Z$15),2))</f>
        <v>0</v>
      </c>
      <c r="AG291" s="21" t="n">
        <f aca="false">MIN(AA$16,ROUND(AA291*(1+AA$15),2))</f>
        <v>0</v>
      </c>
      <c r="AH291" s="21" t="n">
        <f aca="false">MIN(AB$16,ROUND(AB291*(1+AB$15),2))</f>
        <v>0</v>
      </c>
      <c r="AI291" s="21" t="n">
        <f aca="false">MIN(AC$16,ROUND(AC291*(1+AC$15),2))</f>
        <v>0</v>
      </c>
      <c r="AJ291" s="21" t="n">
        <f aca="false">MIN(AD$16,ROUND(AD291*(1+AD$15),2))</f>
        <v>0</v>
      </c>
      <c r="AK291" s="21" t="n">
        <f aca="false">Y$20-SUM(AE291:AJ291)</f>
        <v>1170</v>
      </c>
      <c r="AL291" s="21" t="n">
        <f aca="false">MIN(ROUND(Y291*(1+Y$15),2),AE291+MAX(0,AK291))</f>
        <v>0</v>
      </c>
      <c r="AM291" s="21" t="n">
        <f aca="false">MIN(ROUND(Z291*(1+Z$15),2),AF291+MAX(0,AK291-AL291+AE291))</f>
        <v>0</v>
      </c>
      <c r="AN291" s="21" t="n">
        <f aca="false">MIN(ROUND(AA291*(1+AA$15),2),AG291+MAX(0,AK291-AL291+AE291-AM291+AF291))</f>
        <v>0</v>
      </c>
      <c r="AO291" s="21" t="n">
        <f aca="false">MIN(ROUND(AB291*(1+AB$15),2),AH291+MAX(0,AK291-AL291+AE291-AM291+AF291-AN291+AG291))</f>
        <v>0</v>
      </c>
      <c r="AP291" s="21" t="n">
        <f aca="false">MIN(ROUND(AC291*(1+AC$15),2),AI291+MAX(0,AK291-AL291+AE291-AM291+AF291-AN291+AG291-AO291+AH291))</f>
        <v>0</v>
      </c>
      <c r="AQ291" s="21" t="n">
        <f aca="false">MIN(ROUND(AD291*(1+AD$15),2),AJ291+MAX(0,AK291-AL291+AE291-AM291+AF291-AN291+AG291-AO291+AH291-AP291+AI291))</f>
        <v>0</v>
      </c>
      <c r="AR291" s="21" t="n">
        <f aca="false">SUM(Y291:AD291)</f>
        <v>0</v>
      </c>
      <c r="AS291" s="21" t="n">
        <f aca="false">SUM(AL291:AQ291)</f>
        <v>0</v>
      </c>
    </row>
    <row r="292" customFormat="false" ht="15" hidden="false" customHeight="false" outlineLevel="0" collapsed="false">
      <c r="A292" s="25" t="n">
        <f aca="false">A291+1</f>
        <v>266</v>
      </c>
      <c r="B292" s="21" t="n">
        <f aca="false">MAX(0,ROUND(B291*(1+B$15),2)-O291)</f>
        <v>0</v>
      </c>
      <c r="C292" s="21" t="n">
        <f aca="false">MAX(0,ROUND(C291*(1+C$15),2)-P291)</f>
        <v>0</v>
      </c>
      <c r="D292" s="21" t="n">
        <f aca="false">MAX(0,ROUND(D291*(1+D$15),2)-Q291)</f>
        <v>0</v>
      </c>
      <c r="E292" s="21" t="n">
        <f aca="false">MAX(0,ROUND(E291*(1+E$15),2)-R291)</f>
        <v>0</v>
      </c>
      <c r="F292" s="21" t="n">
        <f aca="false">MAX(0,ROUND(F291*(1+F$15),2)-S291)</f>
        <v>0</v>
      </c>
      <c r="G292" s="21" t="n">
        <f aca="false">MAX(0,ROUND(G291*(1+G$15),2)-T291)</f>
        <v>0</v>
      </c>
      <c r="H292" s="21" t="n">
        <f aca="false">MIN(B$16,ROUND(B292*(1+B$15),2))</f>
        <v>0</v>
      </c>
      <c r="I292" s="21" t="n">
        <f aca="false">MIN(C$16,ROUND(C292*(1+C$15),2))</f>
        <v>0</v>
      </c>
      <c r="J292" s="21" t="n">
        <f aca="false">MIN(D$16,ROUND(D292*(1+D$15),2))</f>
        <v>0</v>
      </c>
      <c r="K292" s="21" t="n">
        <f aca="false">MIN(E$16,ROUND(E292*(1+E$15),2))</f>
        <v>0</v>
      </c>
      <c r="L292" s="21" t="n">
        <f aca="false">MIN(F$16,ROUND(F292*(1+F$15),2))</f>
        <v>0</v>
      </c>
      <c r="M292" s="21" t="n">
        <f aca="false">MIN(G$16,ROUND(G292*(1+G$15),2))</f>
        <v>0</v>
      </c>
      <c r="N292" s="21" t="n">
        <f aca="false">B$20-SUM(H292:M292)</f>
        <v>1170</v>
      </c>
      <c r="O292" s="21" t="n">
        <f aca="false">MIN(ROUND(B292*(1+B$15),2),H292+MAX(0,N292))</f>
        <v>0</v>
      </c>
      <c r="P292" s="21" t="n">
        <f aca="false">MIN(ROUND(C292*(1+C$15),2),I292+MAX(0,N292-O292+H292))</f>
        <v>0</v>
      </c>
      <c r="Q292" s="21" t="n">
        <f aca="false">MIN(ROUND(D292*(1+D$15),2),J292+MAX(0,N292-O292+H292-P292+I292))</f>
        <v>0</v>
      </c>
      <c r="R292" s="21" t="n">
        <f aca="false">MIN(ROUND(E292*(1+E$15),2),K292+MAX(0,N292-O292+H292-P292+I292-Q292+J292))</f>
        <v>0</v>
      </c>
      <c r="S292" s="21" t="n">
        <f aca="false">MIN(ROUND(F292*(1+F$15),2),L292+MAX(0,N292-O292+H292-P292+I292-Q292+J292-R292+K292))</f>
        <v>0</v>
      </c>
      <c r="T292" s="21" t="n">
        <f aca="false">MIN(ROUND(G292*(1+G$15),2),M292+MAX(0,N292-O292+H292-P292+I292-Q292+J292-R292+K292-S292+L292))</f>
        <v>0</v>
      </c>
      <c r="U292" s="21" t="n">
        <f aca="false">SUM(B292:G292)</f>
        <v>0</v>
      </c>
      <c r="V292" s="21" t="n">
        <f aca="false">SUM(O292:T292)</f>
        <v>0</v>
      </c>
      <c r="X292" s="25" t="n">
        <f aca="false">X291+1</f>
        <v>266</v>
      </c>
      <c r="Y292" s="21" t="n">
        <f aca="false">MAX(0,ROUND(Y291*(1+Y$15),2)-AL291)</f>
        <v>0</v>
      </c>
      <c r="Z292" s="21" t="n">
        <f aca="false">MAX(0,ROUND(Z291*(1+Z$15),2)-AM291)</f>
        <v>0</v>
      </c>
      <c r="AA292" s="21" t="n">
        <f aca="false">MAX(0,ROUND(AA291*(1+AA$15),2)-AN291)</f>
        <v>0</v>
      </c>
      <c r="AB292" s="21" t="n">
        <f aca="false">MAX(0,ROUND(AB291*(1+AB$15),2)-AO291)</f>
        <v>0</v>
      </c>
      <c r="AC292" s="21" t="n">
        <f aca="false">MAX(0,ROUND(AC291*(1+AC$15),2)-AP291)</f>
        <v>0</v>
      </c>
      <c r="AD292" s="21" t="n">
        <f aca="false">MAX(0,ROUND(AD291*(1+AD$15),2)-AQ291)</f>
        <v>0</v>
      </c>
      <c r="AE292" s="21" t="n">
        <f aca="false">MIN(Y$16,ROUND(Y292*(1+Y$15),2))</f>
        <v>0</v>
      </c>
      <c r="AF292" s="21" t="n">
        <f aca="false">MIN(Z$16,ROUND(Z292*(1+Z$15),2))</f>
        <v>0</v>
      </c>
      <c r="AG292" s="21" t="n">
        <f aca="false">MIN(AA$16,ROUND(AA292*(1+AA$15),2))</f>
        <v>0</v>
      </c>
      <c r="AH292" s="21" t="n">
        <f aca="false">MIN(AB$16,ROUND(AB292*(1+AB$15),2))</f>
        <v>0</v>
      </c>
      <c r="AI292" s="21" t="n">
        <f aca="false">MIN(AC$16,ROUND(AC292*(1+AC$15),2))</f>
        <v>0</v>
      </c>
      <c r="AJ292" s="21" t="n">
        <f aca="false">MIN(AD$16,ROUND(AD292*(1+AD$15),2))</f>
        <v>0</v>
      </c>
      <c r="AK292" s="21" t="n">
        <f aca="false">Y$20-SUM(AE292:AJ292)</f>
        <v>1170</v>
      </c>
      <c r="AL292" s="21" t="n">
        <f aca="false">MIN(ROUND(Y292*(1+Y$15),2),AE292+MAX(0,AK292))</f>
        <v>0</v>
      </c>
      <c r="AM292" s="21" t="n">
        <f aca="false">MIN(ROUND(Z292*(1+Z$15),2),AF292+MAX(0,AK292-AL292+AE292))</f>
        <v>0</v>
      </c>
      <c r="AN292" s="21" t="n">
        <f aca="false">MIN(ROUND(AA292*(1+AA$15),2),AG292+MAX(0,AK292-AL292+AE292-AM292+AF292))</f>
        <v>0</v>
      </c>
      <c r="AO292" s="21" t="n">
        <f aca="false">MIN(ROUND(AB292*(1+AB$15),2),AH292+MAX(0,AK292-AL292+AE292-AM292+AF292-AN292+AG292))</f>
        <v>0</v>
      </c>
      <c r="AP292" s="21" t="n">
        <f aca="false">MIN(ROUND(AC292*(1+AC$15),2),AI292+MAX(0,AK292-AL292+AE292-AM292+AF292-AN292+AG292-AO292+AH292))</f>
        <v>0</v>
      </c>
      <c r="AQ292" s="21" t="n">
        <f aca="false">MIN(ROUND(AD292*(1+AD$15),2),AJ292+MAX(0,AK292-AL292+AE292-AM292+AF292-AN292+AG292-AO292+AH292-AP292+AI292))</f>
        <v>0</v>
      </c>
      <c r="AR292" s="21" t="n">
        <f aca="false">SUM(Y292:AD292)</f>
        <v>0</v>
      </c>
      <c r="AS292" s="21" t="n">
        <f aca="false">SUM(AL292:AQ292)</f>
        <v>0</v>
      </c>
    </row>
    <row r="293" customFormat="false" ht="15" hidden="false" customHeight="false" outlineLevel="0" collapsed="false">
      <c r="A293" s="25" t="n">
        <f aca="false">A292+1</f>
        <v>267</v>
      </c>
      <c r="B293" s="21" t="n">
        <f aca="false">MAX(0,ROUND(B292*(1+B$15),2)-O292)</f>
        <v>0</v>
      </c>
      <c r="C293" s="21" t="n">
        <f aca="false">MAX(0,ROUND(C292*(1+C$15),2)-P292)</f>
        <v>0</v>
      </c>
      <c r="D293" s="21" t="n">
        <f aca="false">MAX(0,ROUND(D292*(1+D$15),2)-Q292)</f>
        <v>0</v>
      </c>
      <c r="E293" s="21" t="n">
        <f aca="false">MAX(0,ROUND(E292*(1+E$15),2)-R292)</f>
        <v>0</v>
      </c>
      <c r="F293" s="21" t="n">
        <f aca="false">MAX(0,ROUND(F292*(1+F$15),2)-S292)</f>
        <v>0</v>
      </c>
      <c r="G293" s="21" t="n">
        <f aca="false">MAX(0,ROUND(G292*(1+G$15),2)-T292)</f>
        <v>0</v>
      </c>
      <c r="H293" s="21" t="n">
        <f aca="false">MIN(B$16,ROUND(B293*(1+B$15),2))</f>
        <v>0</v>
      </c>
      <c r="I293" s="21" t="n">
        <f aca="false">MIN(C$16,ROUND(C293*(1+C$15),2))</f>
        <v>0</v>
      </c>
      <c r="J293" s="21" t="n">
        <f aca="false">MIN(D$16,ROUND(D293*(1+D$15),2))</f>
        <v>0</v>
      </c>
      <c r="K293" s="21" t="n">
        <f aca="false">MIN(E$16,ROUND(E293*(1+E$15),2))</f>
        <v>0</v>
      </c>
      <c r="L293" s="21" t="n">
        <f aca="false">MIN(F$16,ROUND(F293*(1+F$15),2))</f>
        <v>0</v>
      </c>
      <c r="M293" s="21" t="n">
        <f aca="false">MIN(G$16,ROUND(G293*(1+G$15),2))</f>
        <v>0</v>
      </c>
      <c r="N293" s="21" t="n">
        <f aca="false">B$20-SUM(H293:M293)</f>
        <v>1170</v>
      </c>
      <c r="O293" s="21" t="n">
        <f aca="false">MIN(ROUND(B293*(1+B$15),2),H293+MAX(0,N293))</f>
        <v>0</v>
      </c>
      <c r="P293" s="21" t="n">
        <f aca="false">MIN(ROUND(C293*(1+C$15),2),I293+MAX(0,N293-O293+H293))</f>
        <v>0</v>
      </c>
      <c r="Q293" s="21" t="n">
        <f aca="false">MIN(ROUND(D293*(1+D$15),2),J293+MAX(0,N293-O293+H293-P293+I293))</f>
        <v>0</v>
      </c>
      <c r="R293" s="21" t="n">
        <f aca="false">MIN(ROUND(E293*(1+E$15),2),K293+MAX(0,N293-O293+H293-P293+I293-Q293+J293))</f>
        <v>0</v>
      </c>
      <c r="S293" s="21" t="n">
        <f aca="false">MIN(ROUND(F293*(1+F$15),2),L293+MAX(0,N293-O293+H293-P293+I293-Q293+J293-R293+K293))</f>
        <v>0</v>
      </c>
      <c r="T293" s="21" t="n">
        <f aca="false">MIN(ROUND(G293*(1+G$15),2),M293+MAX(0,N293-O293+H293-P293+I293-Q293+J293-R293+K293-S293+L293))</f>
        <v>0</v>
      </c>
      <c r="U293" s="21" t="n">
        <f aca="false">SUM(B293:G293)</f>
        <v>0</v>
      </c>
      <c r="V293" s="21" t="n">
        <f aca="false">SUM(O293:T293)</f>
        <v>0</v>
      </c>
      <c r="X293" s="25" t="n">
        <f aca="false">X292+1</f>
        <v>267</v>
      </c>
      <c r="Y293" s="21" t="n">
        <f aca="false">MAX(0,ROUND(Y292*(1+Y$15),2)-AL292)</f>
        <v>0</v>
      </c>
      <c r="Z293" s="21" t="n">
        <f aca="false">MAX(0,ROUND(Z292*(1+Z$15),2)-AM292)</f>
        <v>0</v>
      </c>
      <c r="AA293" s="21" t="n">
        <f aca="false">MAX(0,ROUND(AA292*(1+AA$15),2)-AN292)</f>
        <v>0</v>
      </c>
      <c r="AB293" s="21" t="n">
        <f aca="false">MAX(0,ROUND(AB292*(1+AB$15),2)-AO292)</f>
        <v>0</v>
      </c>
      <c r="AC293" s="21" t="n">
        <f aca="false">MAX(0,ROUND(AC292*(1+AC$15),2)-AP292)</f>
        <v>0</v>
      </c>
      <c r="AD293" s="21" t="n">
        <f aca="false">MAX(0,ROUND(AD292*(1+AD$15),2)-AQ292)</f>
        <v>0</v>
      </c>
      <c r="AE293" s="21" t="n">
        <f aca="false">MIN(Y$16,ROUND(Y293*(1+Y$15),2))</f>
        <v>0</v>
      </c>
      <c r="AF293" s="21" t="n">
        <f aca="false">MIN(Z$16,ROUND(Z293*(1+Z$15),2))</f>
        <v>0</v>
      </c>
      <c r="AG293" s="21" t="n">
        <f aca="false">MIN(AA$16,ROUND(AA293*(1+AA$15),2))</f>
        <v>0</v>
      </c>
      <c r="AH293" s="21" t="n">
        <f aca="false">MIN(AB$16,ROUND(AB293*(1+AB$15),2))</f>
        <v>0</v>
      </c>
      <c r="AI293" s="21" t="n">
        <f aca="false">MIN(AC$16,ROUND(AC293*(1+AC$15),2))</f>
        <v>0</v>
      </c>
      <c r="AJ293" s="21" t="n">
        <f aca="false">MIN(AD$16,ROUND(AD293*(1+AD$15),2))</f>
        <v>0</v>
      </c>
      <c r="AK293" s="21" t="n">
        <f aca="false">Y$20-SUM(AE293:AJ293)</f>
        <v>1170</v>
      </c>
      <c r="AL293" s="21" t="n">
        <f aca="false">MIN(ROUND(Y293*(1+Y$15),2),AE293+MAX(0,AK293))</f>
        <v>0</v>
      </c>
      <c r="AM293" s="21" t="n">
        <f aca="false">MIN(ROUND(Z293*(1+Z$15),2),AF293+MAX(0,AK293-AL293+AE293))</f>
        <v>0</v>
      </c>
      <c r="AN293" s="21" t="n">
        <f aca="false">MIN(ROUND(AA293*(1+AA$15),2),AG293+MAX(0,AK293-AL293+AE293-AM293+AF293))</f>
        <v>0</v>
      </c>
      <c r="AO293" s="21" t="n">
        <f aca="false">MIN(ROUND(AB293*(1+AB$15),2),AH293+MAX(0,AK293-AL293+AE293-AM293+AF293-AN293+AG293))</f>
        <v>0</v>
      </c>
      <c r="AP293" s="21" t="n">
        <f aca="false">MIN(ROUND(AC293*(1+AC$15),2),AI293+MAX(0,AK293-AL293+AE293-AM293+AF293-AN293+AG293-AO293+AH293))</f>
        <v>0</v>
      </c>
      <c r="AQ293" s="21" t="n">
        <f aca="false">MIN(ROUND(AD293*(1+AD$15),2),AJ293+MAX(0,AK293-AL293+AE293-AM293+AF293-AN293+AG293-AO293+AH293-AP293+AI293))</f>
        <v>0</v>
      </c>
      <c r="AR293" s="21" t="n">
        <f aca="false">SUM(Y293:AD293)</f>
        <v>0</v>
      </c>
      <c r="AS293" s="21" t="n">
        <f aca="false">SUM(AL293:AQ293)</f>
        <v>0</v>
      </c>
    </row>
    <row r="294" customFormat="false" ht="15" hidden="false" customHeight="false" outlineLevel="0" collapsed="false">
      <c r="A294" s="25" t="n">
        <f aca="false">A293+1</f>
        <v>268</v>
      </c>
      <c r="B294" s="21" t="n">
        <f aca="false">MAX(0,ROUND(B293*(1+B$15),2)-O293)</f>
        <v>0</v>
      </c>
      <c r="C294" s="21" t="n">
        <f aca="false">MAX(0,ROUND(C293*(1+C$15),2)-P293)</f>
        <v>0</v>
      </c>
      <c r="D294" s="21" t="n">
        <f aca="false">MAX(0,ROUND(D293*(1+D$15),2)-Q293)</f>
        <v>0</v>
      </c>
      <c r="E294" s="21" t="n">
        <f aca="false">MAX(0,ROUND(E293*(1+E$15),2)-R293)</f>
        <v>0</v>
      </c>
      <c r="F294" s="21" t="n">
        <f aca="false">MAX(0,ROUND(F293*(1+F$15),2)-S293)</f>
        <v>0</v>
      </c>
      <c r="G294" s="21" t="n">
        <f aca="false">MAX(0,ROUND(G293*(1+G$15),2)-T293)</f>
        <v>0</v>
      </c>
      <c r="H294" s="21" t="n">
        <f aca="false">MIN(B$16,ROUND(B294*(1+B$15),2))</f>
        <v>0</v>
      </c>
      <c r="I294" s="21" t="n">
        <f aca="false">MIN(C$16,ROUND(C294*(1+C$15),2))</f>
        <v>0</v>
      </c>
      <c r="J294" s="21" t="n">
        <f aca="false">MIN(D$16,ROUND(D294*(1+D$15),2))</f>
        <v>0</v>
      </c>
      <c r="K294" s="21" t="n">
        <f aca="false">MIN(E$16,ROUND(E294*(1+E$15),2))</f>
        <v>0</v>
      </c>
      <c r="L294" s="21" t="n">
        <f aca="false">MIN(F$16,ROUND(F294*(1+F$15),2))</f>
        <v>0</v>
      </c>
      <c r="M294" s="21" t="n">
        <f aca="false">MIN(G$16,ROUND(G294*(1+G$15),2))</f>
        <v>0</v>
      </c>
      <c r="N294" s="21" t="n">
        <f aca="false">B$20-SUM(H294:M294)</f>
        <v>1170</v>
      </c>
      <c r="O294" s="21" t="n">
        <f aca="false">MIN(ROUND(B294*(1+B$15),2),H294+MAX(0,N294))</f>
        <v>0</v>
      </c>
      <c r="P294" s="21" t="n">
        <f aca="false">MIN(ROUND(C294*(1+C$15),2),I294+MAX(0,N294-O294+H294))</f>
        <v>0</v>
      </c>
      <c r="Q294" s="21" t="n">
        <f aca="false">MIN(ROUND(D294*(1+D$15),2),J294+MAX(0,N294-O294+H294-P294+I294))</f>
        <v>0</v>
      </c>
      <c r="R294" s="21" t="n">
        <f aca="false">MIN(ROUND(E294*(1+E$15),2),K294+MAX(0,N294-O294+H294-P294+I294-Q294+J294))</f>
        <v>0</v>
      </c>
      <c r="S294" s="21" t="n">
        <f aca="false">MIN(ROUND(F294*(1+F$15),2),L294+MAX(0,N294-O294+H294-P294+I294-Q294+J294-R294+K294))</f>
        <v>0</v>
      </c>
      <c r="T294" s="21" t="n">
        <f aca="false">MIN(ROUND(G294*(1+G$15),2),M294+MAX(0,N294-O294+H294-P294+I294-Q294+J294-R294+K294-S294+L294))</f>
        <v>0</v>
      </c>
      <c r="U294" s="21" t="n">
        <f aca="false">SUM(B294:G294)</f>
        <v>0</v>
      </c>
      <c r="V294" s="21" t="n">
        <f aca="false">SUM(O294:T294)</f>
        <v>0</v>
      </c>
      <c r="X294" s="25" t="n">
        <f aca="false">X293+1</f>
        <v>268</v>
      </c>
      <c r="Y294" s="21" t="n">
        <f aca="false">MAX(0,ROUND(Y293*(1+Y$15),2)-AL293)</f>
        <v>0</v>
      </c>
      <c r="Z294" s="21" t="n">
        <f aca="false">MAX(0,ROUND(Z293*(1+Z$15),2)-AM293)</f>
        <v>0</v>
      </c>
      <c r="AA294" s="21" t="n">
        <f aca="false">MAX(0,ROUND(AA293*(1+AA$15),2)-AN293)</f>
        <v>0</v>
      </c>
      <c r="AB294" s="21" t="n">
        <f aca="false">MAX(0,ROUND(AB293*(1+AB$15),2)-AO293)</f>
        <v>0</v>
      </c>
      <c r="AC294" s="21" t="n">
        <f aca="false">MAX(0,ROUND(AC293*(1+AC$15),2)-AP293)</f>
        <v>0</v>
      </c>
      <c r="AD294" s="21" t="n">
        <f aca="false">MAX(0,ROUND(AD293*(1+AD$15),2)-AQ293)</f>
        <v>0</v>
      </c>
      <c r="AE294" s="21" t="n">
        <f aca="false">MIN(Y$16,ROUND(Y294*(1+Y$15),2))</f>
        <v>0</v>
      </c>
      <c r="AF294" s="21" t="n">
        <f aca="false">MIN(Z$16,ROUND(Z294*(1+Z$15),2))</f>
        <v>0</v>
      </c>
      <c r="AG294" s="21" t="n">
        <f aca="false">MIN(AA$16,ROUND(AA294*(1+AA$15),2))</f>
        <v>0</v>
      </c>
      <c r="AH294" s="21" t="n">
        <f aca="false">MIN(AB$16,ROUND(AB294*(1+AB$15),2))</f>
        <v>0</v>
      </c>
      <c r="AI294" s="21" t="n">
        <f aca="false">MIN(AC$16,ROUND(AC294*(1+AC$15),2))</f>
        <v>0</v>
      </c>
      <c r="AJ294" s="21" t="n">
        <f aca="false">MIN(AD$16,ROUND(AD294*(1+AD$15),2))</f>
        <v>0</v>
      </c>
      <c r="AK294" s="21" t="n">
        <f aca="false">Y$20-SUM(AE294:AJ294)</f>
        <v>1170</v>
      </c>
      <c r="AL294" s="21" t="n">
        <f aca="false">MIN(ROUND(Y294*(1+Y$15),2),AE294+MAX(0,AK294))</f>
        <v>0</v>
      </c>
      <c r="AM294" s="21" t="n">
        <f aca="false">MIN(ROUND(Z294*(1+Z$15),2),AF294+MAX(0,AK294-AL294+AE294))</f>
        <v>0</v>
      </c>
      <c r="AN294" s="21" t="n">
        <f aca="false">MIN(ROUND(AA294*(1+AA$15),2),AG294+MAX(0,AK294-AL294+AE294-AM294+AF294))</f>
        <v>0</v>
      </c>
      <c r="AO294" s="21" t="n">
        <f aca="false">MIN(ROUND(AB294*(1+AB$15),2),AH294+MAX(0,AK294-AL294+AE294-AM294+AF294-AN294+AG294))</f>
        <v>0</v>
      </c>
      <c r="AP294" s="21" t="n">
        <f aca="false">MIN(ROUND(AC294*(1+AC$15),2),AI294+MAX(0,AK294-AL294+AE294-AM294+AF294-AN294+AG294-AO294+AH294))</f>
        <v>0</v>
      </c>
      <c r="AQ294" s="21" t="n">
        <f aca="false">MIN(ROUND(AD294*(1+AD$15),2),AJ294+MAX(0,AK294-AL294+AE294-AM294+AF294-AN294+AG294-AO294+AH294-AP294+AI294))</f>
        <v>0</v>
      </c>
      <c r="AR294" s="21" t="n">
        <f aca="false">SUM(Y294:AD294)</f>
        <v>0</v>
      </c>
      <c r="AS294" s="21" t="n">
        <f aca="false">SUM(AL294:AQ294)</f>
        <v>0</v>
      </c>
    </row>
    <row r="295" customFormat="false" ht="15" hidden="false" customHeight="false" outlineLevel="0" collapsed="false">
      <c r="A295" s="25" t="n">
        <f aca="false">A294+1</f>
        <v>269</v>
      </c>
      <c r="B295" s="21" t="n">
        <f aca="false">MAX(0,ROUND(B294*(1+B$15),2)-O294)</f>
        <v>0</v>
      </c>
      <c r="C295" s="21" t="n">
        <f aca="false">MAX(0,ROUND(C294*(1+C$15),2)-P294)</f>
        <v>0</v>
      </c>
      <c r="D295" s="21" t="n">
        <f aca="false">MAX(0,ROUND(D294*(1+D$15),2)-Q294)</f>
        <v>0</v>
      </c>
      <c r="E295" s="21" t="n">
        <f aca="false">MAX(0,ROUND(E294*(1+E$15),2)-R294)</f>
        <v>0</v>
      </c>
      <c r="F295" s="21" t="n">
        <f aca="false">MAX(0,ROUND(F294*(1+F$15),2)-S294)</f>
        <v>0</v>
      </c>
      <c r="G295" s="21" t="n">
        <f aca="false">MAX(0,ROUND(G294*(1+G$15),2)-T294)</f>
        <v>0</v>
      </c>
      <c r="H295" s="21" t="n">
        <f aca="false">MIN(B$16,ROUND(B295*(1+B$15),2))</f>
        <v>0</v>
      </c>
      <c r="I295" s="21" t="n">
        <f aca="false">MIN(C$16,ROUND(C295*(1+C$15),2))</f>
        <v>0</v>
      </c>
      <c r="J295" s="21" t="n">
        <f aca="false">MIN(D$16,ROUND(D295*(1+D$15),2))</f>
        <v>0</v>
      </c>
      <c r="K295" s="21" t="n">
        <f aca="false">MIN(E$16,ROUND(E295*(1+E$15),2))</f>
        <v>0</v>
      </c>
      <c r="L295" s="21" t="n">
        <f aca="false">MIN(F$16,ROUND(F295*(1+F$15),2))</f>
        <v>0</v>
      </c>
      <c r="M295" s="21" t="n">
        <f aca="false">MIN(G$16,ROUND(G295*(1+G$15),2))</f>
        <v>0</v>
      </c>
      <c r="N295" s="21" t="n">
        <f aca="false">B$20-SUM(H295:M295)</f>
        <v>1170</v>
      </c>
      <c r="O295" s="21" t="n">
        <f aca="false">MIN(ROUND(B295*(1+B$15),2),H295+MAX(0,N295))</f>
        <v>0</v>
      </c>
      <c r="P295" s="21" t="n">
        <f aca="false">MIN(ROUND(C295*(1+C$15),2),I295+MAX(0,N295-O295+H295))</f>
        <v>0</v>
      </c>
      <c r="Q295" s="21" t="n">
        <f aca="false">MIN(ROUND(D295*(1+D$15),2),J295+MAX(0,N295-O295+H295-P295+I295))</f>
        <v>0</v>
      </c>
      <c r="R295" s="21" t="n">
        <f aca="false">MIN(ROUND(E295*(1+E$15),2),K295+MAX(0,N295-O295+H295-P295+I295-Q295+J295))</f>
        <v>0</v>
      </c>
      <c r="S295" s="21" t="n">
        <f aca="false">MIN(ROUND(F295*(1+F$15),2),L295+MAX(0,N295-O295+H295-P295+I295-Q295+J295-R295+K295))</f>
        <v>0</v>
      </c>
      <c r="T295" s="21" t="n">
        <f aca="false">MIN(ROUND(G295*(1+G$15),2),M295+MAX(0,N295-O295+H295-P295+I295-Q295+J295-R295+K295-S295+L295))</f>
        <v>0</v>
      </c>
      <c r="U295" s="21" t="n">
        <f aca="false">SUM(B295:G295)</f>
        <v>0</v>
      </c>
      <c r="V295" s="21" t="n">
        <f aca="false">SUM(O295:T295)</f>
        <v>0</v>
      </c>
      <c r="X295" s="25" t="n">
        <f aca="false">X294+1</f>
        <v>269</v>
      </c>
      <c r="Y295" s="21" t="n">
        <f aca="false">MAX(0,ROUND(Y294*(1+Y$15),2)-AL294)</f>
        <v>0</v>
      </c>
      <c r="Z295" s="21" t="n">
        <f aca="false">MAX(0,ROUND(Z294*(1+Z$15),2)-AM294)</f>
        <v>0</v>
      </c>
      <c r="AA295" s="21" t="n">
        <f aca="false">MAX(0,ROUND(AA294*(1+AA$15),2)-AN294)</f>
        <v>0</v>
      </c>
      <c r="AB295" s="21" t="n">
        <f aca="false">MAX(0,ROUND(AB294*(1+AB$15),2)-AO294)</f>
        <v>0</v>
      </c>
      <c r="AC295" s="21" t="n">
        <f aca="false">MAX(0,ROUND(AC294*(1+AC$15),2)-AP294)</f>
        <v>0</v>
      </c>
      <c r="AD295" s="21" t="n">
        <f aca="false">MAX(0,ROUND(AD294*(1+AD$15),2)-AQ294)</f>
        <v>0</v>
      </c>
      <c r="AE295" s="21" t="n">
        <f aca="false">MIN(Y$16,ROUND(Y295*(1+Y$15),2))</f>
        <v>0</v>
      </c>
      <c r="AF295" s="21" t="n">
        <f aca="false">MIN(Z$16,ROUND(Z295*(1+Z$15),2))</f>
        <v>0</v>
      </c>
      <c r="AG295" s="21" t="n">
        <f aca="false">MIN(AA$16,ROUND(AA295*(1+AA$15),2))</f>
        <v>0</v>
      </c>
      <c r="AH295" s="21" t="n">
        <f aca="false">MIN(AB$16,ROUND(AB295*(1+AB$15),2))</f>
        <v>0</v>
      </c>
      <c r="AI295" s="21" t="n">
        <f aca="false">MIN(AC$16,ROUND(AC295*(1+AC$15),2))</f>
        <v>0</v>
      </c>
      <c r="AJ295" s="21" t="n">
        <f aca="false">MIN(AD$16,ROUND(AD295*(1+AD$15),2))</f>
        <v>0</v>
      </c>
      <c r="AK295" s="21" t="n">
        <f aca="false">Y$20-SUM(AE295:AJ295)</f>
        <v>1170</v>
      </c>
      <c r="AL295" s="21" t="n">
        <f aca="false">MIN(ROUND(Y295*(1+Y$15),2),AE295+MAX(0,AK295))</f>
        <v>0</v>
      </c>
      <c r="AM295" s="21" t="n">
        <f aca="false">MIN(ROUND(Z295*(1+Z$15),2),AF295+MAX(0,AK295-AL295+AE295))</f>
        <v>0</v>
      </c>
      <c r="AN295" s="21" t="n">
        <f aca="false">MIN(ROUND(AA295*(1+AA$15),2),AG295+MAX(0,AK295-AL295+AE295-AM295+AF295))</f>
        <v>0</v>
      </c>
      <c r="AO295" s="21" t="n">
        <f aca="false">MIN(ROUND(AB295*(1+AB$15),2),AH295+MAX(0,AK295-AL295+AE295-AM295+AF295-AN295+AG295))</f>
        <v>0</v>
      </c>
      <c r="AP295" s="21" t="n">
        <f aca="false">MIN(ROUND(AC295*(1+AC$15),2),AI295+MAX(0,AK295-AL295+AE295-AM295+AF295-AN295+AG295-AO295+AH295))</f>
        <v>0</v>
      </c>
      <c r="AQ295" s="21" t="n">
        <f aca="false">MIN(ROUND(AD295*(1+AD$15),2),AJ295+MAX(0,AK295-AL295+AE295-AM295+AF295-AN295+AG295-AO295+AH295-AP295+AI295))</f>
        <v>0</v>
      </c>
      <c r="AR295" s="21" t="n">
        <f aca="false">SUM(Y295:AD295)</f>
        <v>0</v>
      </c>
      <c r="AS295" s="21" t="n">
        <f aca="false">SUM(AL295:AQ295)</f>
        <v>0</v>
      </c>
    </row>
    <row r="296" customFormat="false" ht="15" hidden="false" customHeight="false" outlineLevel="0" collapsed="false">
      <c r="A296" s="25" t="n">
        <f aca="false">A295+1</f>
        <v>270</v>
      </c>
      <c r="B296" s="21" t="n">
        <f aca="false">MAX(0,ROUND(B295*(1+B$15),2)-O295)</f>
        <v>0</v>
      </c>
      <c r="C296" s="21" t="n">
        <f aca="false">MAX(0,ROUND(C295*(1+C$15),2)-P295)</f>
        <v>0</v>
      </c>
      <c r="D296" s="21" t="n">
        <f aca="false">MAX(0,ROUND(D295*(1+D$15),2)-Q295)</f>
        <v>0</v>
      </c>
      <c r="E296" s="21" t="n">
        <f aca="false">MAX(0,ROUND(E295*(1+E$15),2)-R295)</f>
        <v>0</v>
      </c>
      <c r="F296" s="21" t="n">
        <f aca="false">MAX(0,ROUND(F295*(1+F$15),2)-S295)</f>
        <v>0</v>
      </c>
      <c r="G296" s="21" t="n">
        <f aca="false">MAX(0,ROUND(G295*(1+G$15),2)-T295)</f>
        <v>0</v>
      </c>
      <c r="H296" s="21" t="n">
        <f aca="false">MIN(B$16,ROUND(B296*(1+B$15),2))</f>
        <v>0</v>
      </c>
      <c r="I296" s="21" t="n">
        <f aca="false">MIN(C$16,ROUND(C296*(1+C$15),2))</f>
        <v>0</v>
      </c>
      <c r="J296" s="21" t="n">
        <f aca="false">MIN(D$16,ROUND(D296*(1+D$15),2))</f>
        <v>0</v>
      </c>
      <c r="K296" s="21" t="n">
        <f aca="false">MIN(E$16,ROUND(E296*(1+E$15),2))</f>
        <v>0</v>
      </c>
      <c r="L296" s="21" t="n">
        <f aca="false">MIN(F$16,ROUND(F296*(1+F$15),2))</f>
        <v>0</v>
      </c>
      <c r="M296" s="21" t="n">
        <f aca="false">MIN(G$16,ROUND(G296*(1+G$15),2))</f>
        <v>0</v>
      </c>
      <c r="N296" s="21" t="n">
        <f aca="false">B$20-SUM(H296:M296)</f>
        <v>1170</v>
      </c>
      <c r="O296" s="21" t="n">
        <f aca="false">MIN(ROUND(B296*(1+B$15),2),H296+MAX(0,N296))</f>
        <v>0</v>
      </c>
      <c r="P296" s="21" t="n">
        <f aca="false">MIN(ROUND(C296*(1+C$15),2),I296+MAX(0,N296-O296+H296))</f>
        <v>0</v>
      </c>
      <c r="Q296" s="21" t="n">
        <f aca="false">MIN(ROUND(D296*(1+D$15),2),J296+MAX(0,N296-O296+H296-P296+I296))</f>
        <v>0</v>
      </c>
      <c r="R296" s="21" t="n">
        <f aca="false">MIN(ROUND(E296*(1+E$15),2),K296+MAX(0,N296-O296+H296-P296+I296-Q296+J296))</f>
        <v>0</v>
      </c>
      <c r="S296" s="21" t="n">
        <f aca="false">MIN(ROUND(F296*(1+F$15),2),L296+MAX(0,N296-O296+H296-P296+I296-Q296+J296-R296+K296))</f>
        <v>0</v>
      </c>
      <c r="T296" s="21" t="n">
        <f aca="false">MIN(ROUND(G296*(1+G$15),2),M296+MAX(0,N296-O296+H296-P296+I296-Q296+J296-R296+K296-S296+L296))</f>
        <v>0</v>
      </c>
      <c r="U296" s="21" t="n">
        <f aca="false">SUM(B296:G296)</f>
        <v>0</v>
      </c>
      <c r="V296" s="21" t="n">
        <f aca="false">SUM(O296:T296)</f>
        <v>0</v>
      </c>
      <c r="X296" s="25" t="n">
        <f aca="false">X295+1</f>
        <v>270</v>
      </c>
      <c r="Y296" s="21" t="n">
        <f aca="false">MAX(0,ROUND(Y295*(1+Y$15),2)-AL295)</f>
        <v>0</v>
      </c>
      <c r="Z296" s="21" t="n">
        <f aca="false">MAX(0,ROUND(Z295*(1+Z$15),2)-AM295)</f>
        <v>0</v>
      </c>
      <c r="AA296" s="21" t="n">
        <f aca="false">MAX(0,ROUND(AA295*(1+AA$15),2)-AN295)</f>
        <v>0</v>
      </c>
      <c r="AB296" s="21" t="n">
        <f aca="false">MAX(0,ROUND(AB295*(1+AB$15),2)-AO295)</f>
        <v>0</v>
      </c>
      <c r="AC296" s="21" t="n">
        <f aca="false">MAX(0,ROUND(AC295*(1+AC$15),2)-AP295)</f>
        <v>0</v>
      </c>
      <c r="AD296" s="21" t="n">
        <f aca="false">MAX(0,ROUND(AD295*(1+AD$15),2)-AQ295)</f>
        <v>0</v>
      </c>
      <c r="AE296" s="21" t="n">
        <f aca="false">MIN(Y$16,ROUND(Y296*(1+Y$15),2))</f>
        <v>0</v>
      </c>
      <c r="AF296" s="21" t="n">
        <f aca="false">MIN(Z$16,ROUND(Z296*(1+Z$15),2))</f>
        <v>0</v>
      </c>
      <c r="AG296" s="21" t="n">
        <f aca="false">MIN(AA$16,ROUND(AA296*(1+AA$15),2))</f>
        <v>0</v>
      </c>
      <c r="AH296" s="21" t="n">
        <f aca="false">MIN(AB$16,ROUND(AB296*(1+AB$15),2))</f>
        <v>0</v>
      </c>
      <c r="AI296" s="21" t="n">
        <f aca="false">MIN(AC$16,ROUND(AC296*(1+AC$15),2))</f>
        <v>0</v>
      </c>
      <c r="AJ296" s="21" t="n">
        <f aca="false">MIN(AD$16,ROUND(AD296*(1+AD$15),2))</f>
        <v>0</v>
      </c>
      <c r="AK296" s="21" t="n">
        <f aca="false">Y$20-SUM(AE296:AJ296)</f>
        <v>1170</v>
      </c>
      <c r="AL296" s="21" t="n">
        <f aca="false">MIN(ROUND(Y296*(1+Y$15),2),AE296+MAX(0,AK296))</f>
        <v>0</v>
      </c>
      <c r="AM296" s="21" t="n">
        <f aca="false">MIN(ROUND(Z296*(1+Z$15),2),AF296+MAX(0,AK296-AL296+AE296))</f>
        <v>0</v>
      </c>
      <c r="AN296" s="21" t="n">
        <f aca="false">MIN(ROUND(AA296*(1+AA$15),2),AG296+MAX(0,AK296-AL296+AE296-AM296+AF296))</f>
        <v>0</v>
      </c>
      <c r="AO296" s="21" t="n">
        <f aca="false">MIN(ROUND(AB296*(1+AB$15),2),AH296+MAX(0,AK296-AL296+AE296-AM296+AF296-AN296+AG296))</f>
        <v>0</v>
      </c>
      <c r="AP296" s="21" t="n">
        <f aca="false">MIN(ROUND(AC296*(1+AC$15),2),AI296+MAX(0,AK296-AL296+AE296-AM296+AF296-AN296+AG296-AO296+AH296))</f>
        <v>0</v>
      </c>
      <c r="AQ296" s="21" t="n">
        <f aca="false">MIN(ROUND(AD296*(1+AD$15),2),AJ296+MAX(0,AK296-AL296+AE296-AM296+AF296-AN296+AG296-AO296+AH296-AP296+AI296))</f>
        <v>0</v>
      </c>
      <c r="AR296" s="21" t="n">
        <f aca="false">SUM(Y296:AD296)</f>
        <v>0</v>
      </c>
      <c r="AS296" s="21" t="n">
        <f aca="false">SUM(AL296:AQ296)</f>
        <v>0</v>
      </c>
    </row>
    <row r="297" customFormat="false" ht="15" hidden="false" customHeight="false" outlineLevel="0" collapsed="false">
      <c r="A297" s="25" t="n">
        <f aca="false">A296+1</f>
        <v>271</v>
      </c>
      <c r="B297" s="21" t="n">
        <f aca="false">MAX(0,ROUND(B296*(1+B$15),2)-O296)</f>
        <v>0</v>
      </c>
      <c r="C297" s="21" t="n">
        <f aca="false">MAX(0,ROUND(C296*(1+C$15),2)-P296)</f>
        <v>0</v>
      </c>
      <c r="D297" s="21" t="n">
        <f aca="false">MAX(0,ROUND(D296*(1+D$15),2)-Q296)</f>
        <v>0</v>
      </c>
      <c r="E297" s="21" t="n">
        <f aca="false">MAX(0,ROUND(E296*(1+E$15),2)-R296)</f>
        <v>0</v>
      </c>
      <c r="F297" s="21" t="n">
        <f aca="false">MAX(0,ROUND(F296*(1+F$15),2)-S296)</f>
        <v>0</v>
      </c>
      <c r="G297" s="21" t="n">
        <f aca="false">MAX(0,ROUND(G296*(1+G$15),2)-T296)</f>
        <v>0</v>
      </c>
      <c r="H297" s="21" t="n">
        <f aca="false">MIN(B$16,ROUND(B297*(1+B$15),2))</f>
        <v>0</v>
      </c>
      <c r="I297" s="21" t="n">
        <f aca="false">MIN(C$16,ROUND(C297*(1+C$15),2))</f>
        <v>0</v>
      </c>
      <c r="J297" s="21" t="n">
        <f aca="false">MIN(D$16,ROUND(D297*(1+D$15),2))</f>
        <v>0</v>
      </c>
      <c r="K297" s="21" t="n">
        <f aca="false">MIN(E$16,ROUND(E297*(1+E$15),2))</f>
        <v>0</v>
      </c>
      <c r="L297" s="21" t="n">
        <f aca="false">MIN(F$16,ROUND(F297*(1+F$15),2))</f>
        <v>0</v>
      </c>
      <c r="M297" s="21" t="n">
        <f aca="false">MIN(G$16,ROUND(G297*(1+G$15),2))</f>
        <v>0</v>
      </c>
      <c r="N297" s="21" t="n">
        <f aca="false">B$20-SUM(H297:M297)</f>
        <v>1170</v>
      </c>
      <c r="O297" s="21" t="n">
        <f aca="false">MIN(ROUND(B297*(1+B$15),2),H297+MAX(0,N297))</f>
        <v>0</v>
      </c>
      <c r="P297" s="21" t="n">
        <f aca="false">MIN(ROUND(C297*(1+C$15),2),I297+MAX(0,N297-O297+H297))</f>
        <v>0</v>
      </c>
      <c r="Q297" s="21" t="n">
        <f aca="false">MIN(ROUND(D297*(1+D$15),2),J297+MAX(0,N297-O297+H297-P297+I297))</f>
        <v>0</v>
      </c>
      <c r="R297" s="21" t="n">
        <f aca="false">MIN(ROUND(E297*(1+E$15),2),K297+MAX(0,N297-O297+H297-P297+I297-Q297+J297))</f>
        <v>0</v>
      </c>
      <c r="S297" s="21" t="n">
        <f aca="false">MIN(ROUND(F297*(1+F$15),2),L297+MAX(0,N297-O297+H297-P297+I297-Q297+J297-R297+K297))</f>
        <v>0</v>
      </c>
      <c r="T297" s="21" t="n">
        <f aca="false">MIN(ROUND(G297*(1+G$15),2),M297+MAX(0,N297-O297+H297-P297+I297-Q297+J297-R297+K297-S297+L297))</f>
        <v>0</v>
      </c>
      <c r="U297" s="21" t="n">
        <f aca="false">SUM(B297:G297)</f>
        <v>0</v>
      </c>
      <c r="V297" s="21" t="n">
        <f aca="false">SUM(O297:T297)</f>
        <v>0</v>
      </c>
      <c r="X297" s="25" t="n">
        <f aca="false">X296+1</f>
        <v>271</v>
      </c>
      <c r="Y297" s="21" t="n">
        <f aca="false">MAX(0,ROUND(Y296*(1+Y$15),2)-AL296)</f>
        <v>0</v>
      </c>
      <c r="Z297" s="21" t="n">
        <f aca="false">MAX(0,ROUND(Z296*(1+Z$15),2)-AM296)</f>
        <v>0</v>
      </c>
      <c r="AA297" s="21" t="n">
        <f aca="false">MAX(0,ROUND(AA296*(1+AA$15),2)-AN296)</f>
        <v>0</v>
      </c>
      <c r="AB297" s="21" t="n">
        <f aca="false">MAX(0,ROUND(AB296*(1+AB$15),2)-AO296)</f>
        <v>0</v>
      </c>
      <c r="AC297" s="21" t="n">
        <f aca="false">MAX(0,ROUND(AC296*(1+AC$15),2)-AP296)</f>
        <v>0</v>
      </c>
      <c r="AD297" s="21" t="n">
        <f aca="false">MAX(0,ROUND(AD296*(1+AD$15),2)-AQ296)</f>
        <v>0</v>
      </c>
      <c r="AE297" s="21" t="n">
        <f aca="false">MIN(Y$16,ROUND(Y297*(1+Y$15),2))</f>
        <v>0</v>
      </c>
      <c r="AF297" s="21" t="n">
        <f aca="false">MIN(Z$16,ROUND(Z297*(1+Z$15),2))</f>
        <v>0</v>
      </c>
      <c r="AG297" s="21" t="n">
        <f aca="false">MIN(AA$16,ROUND(AA297*(1+AA$15),2))</f>
        <v>0</v>
      </c>
      <c r="AH297" s="21" t="n">
        <f aca="false">MIN(AB$16,ROUND(AB297*(1+AB$15),2))</f>
        <v>0</v>
      </c>
      <c r="AI297" s="21" t="n">
        <f aca="false">MIN(AC$16,ROUND(AC297*(1+AC$15),2))</f>
        <v>0</v>
      </c>
      <c r="AJ297" s="21" t="n">
        <f aca="false">MIN(AD$16,ROUND(AD297*(1+AD$15),2))</f>
        <v>0</v>
      </c>
      <c r="AK297" s="21" t="n">
        <f aca="false">Y$20-SUM(AE297:AJ297)</f>
        <v>1170</v>
      </c>
      <c r="AL297" s="21" t="n">
        <f aca="false">MIN(ROUND(Y297*(1+Y$15),2),AE297+MAX(0,AK297))</f>
        <v>0</v>
      </c>
      <c r="AM297" s="21" t="n">
        <f aca="false">MIN(ROUND(Z297*(1+Z$15),2),AF297+MAX(0,AK297-AL297+AE297))</f>
        <v>0</v>
      </c>
      <c r="AN297" s="21" t="n">
        <f aca="false">MIN(ROUND(AA297*(1+AA$15),2),AG297+MAX(0,AK297-AL297+AE297-AM297+AF297))</f>
        <v>0</v>
      </c>
      <c r="AO297" s="21" t="n">
        <f aca="false">MIN(ROUND(AB297*(1+AB$15),2),AH297+MAX(0,AK297-AL297+AE297-AM297+AF297-AN297+AG297))</f>
        <v>0</v>
      </c>
      <c r="AP297" s="21" t="n">
        <f aca="false">MIN(ROUND(AC297*(1+AC$15),2),AI297+MAX(0,AK297-AL297+AE297-AM297+AF297-AN297+AG297-AO297+AH297))</f>
        <v>0</v>
      </c>
      <c r="AQ297" s="21" t="n">
        <f aca="false">MIN(ROUND(AD297*(1+AD$15),2),AJ297+MAX(0,AK297-AL297+AE297-AM297+AF297-AN297+AG297-AO297+AH297-AP297+AI297))</f>
        <v>0</v>
      </c>
      <c r="AR297" s="21" t="n">
        <f aca="false">SUM(Y297:AD297)</f>
        <v>0</v>
      </c>
      <c r="AS297" s="21" t="n">
        <f aca="false">SUM(AL297:AQ297)</f>
        <v>0</v>
      </c>
    </row>
    <row r="298" customFormat="false" ht="15" hidden="false" customHeight="false" outlineLevel="0" collapsed="false">
      <c r="A298" s="25" t="n">
        <f aca="false">A297+1</f>
        <v>272</v>
      </c>
      <c r="B298" s="21" t="n">
        <f aca="false">MAX(0,ROUND(B297*(1+B$15),2)-O297)</f>
        <v>0</v>
      </c>
      <c r="C298" s="21" t="n">
        <f aca="false">MAX(0,ROUND(C297*(1+C$15),2)-P297)</f>
        <v>0</v>
      </c>
      <c r="D298" s="21" t="n">
        <f aca="false">MAX(0,ROUND(D297*(1+D$15),2)-Q297)</f>
        <v>0</v>
      </c>
      <c r="E298" s="21" t="n">
        <f aca="false">MAX(0,ROUND(E297*(1+E$15),2)-R297)</f>
        <v>0</v>
      </c>
      <c r="F298" s="21" t="n">
        <f aca="false">MAX(0,ROUND(F297*(1+F$15),2)-S297)</f>
        <v>0</v>
      </c>
      <c r="G298" s="21" t="n">
        <f aca="false">MAX(0,ROUND(G297*(1+G$15),2)-T297)</f>
        <v>0</v>
      </c>
      <c r="H298" s="21" t="n">
        <f aca="false">MIN(B$16,ROUND(B298*(1+B$15),2))</f>
        <v>0</v>
      </c>
      <c r="I298" s="21" t="n">
        <f aca="false">MIN(C$16,ROUND(C298*(1+C$15),2))</f>
        <v>0</v>
      </c>
      <c r="J298" s="21" t="n">
        <f aca="false">MIN(D$16,ROUND(D298*(1+D$15),2))</f>
        <v>0</v>
      </c>
      <c r="K298" s="21" t="n">
        <f aca="false">MIN(E$16,ROUND(E298*(1+E$15),2))</f>
        <v>0</v>
      </c>
      <c r="L298" s="21" t="n">
        <f aca="false">MIN(F$16,ROUND(F298*(1+F$15),2))</f>
        <v>0</v>
      </c>
      <c r="M298" s="21" t="n">
        <f aca="false">MIN(G$16,ROUND(G298*(1+G$15),2))</f>
        <v>0</v>
      </c>
      <c r="N298" s="21" t="n">
        <f aca="false">B$20-SUM(H298:M298)</f>
        <v>1170</v>
      </c>
      <c r="O298" s="21" t="n">
        <f aca="false">MIN(ROUND(B298*(1+B$15),2),H298+MAX(0,N298))</f>
        <v>0</v>
      </c>
      <c r="P298" s="21" t="n">
        <f aca="false">MIN(ROUND(C298*(1+C$15),2),I298+MAX(0,N298-O298+H298))</f>
        <v>0</v>
      </c>
      <c r="Q298" s="21" t="n">
        <f aca="false">MIN(ROUND(D298*(1+D$15),2),J298+MAX(0,N298-O298+H298-P298+I298))</f>
        <v>0</v>
      </c>
      <c r="R298" s="21" t="n">
        <f aca="false">MIN(ROUND(E298*(1+E$15),2),K298+MAX(0,N298-O298+H298-P298+I298-Q298+J298))</f>
        <v>0</v>
      </c>
      <c r="S298" s="21" t="n">
        <f aca="false">MIN(ROUND(F298*(1+F$15),2),L298+MAX(0,N298-O298+H298-P298+I298-Q298+J298-R298+K298))</f>
        <v>0</v>
      </c>
      <c r="T298" s="21" t="n">
        <f aca="false">MIN(ROUND(G298*(1+G$15),2),M298+MAX(0,N298-O298+H298-P298+I298-Q298+J298-R298+K298-S298+L298))</f>
        <v>0</v>
      </c>
      <c r="U298" s="21" t="n">
        <f aca="false">SUM(B298:G298)</f>
        <v>0</v>
      </c>
      <c r="V298" s="21" t="n">
        <f aca="false">SUM(O298:T298)</f>
        <v>0</v>
      </c>
      <c r="X298" s="25" t="n">
        <f aca="false">X297+1</f>
        <v>272</v>
      </c>
      <c r="Y298" s="21" t="n">
        <f aca="false">MAX(0,ROUND(Y297*(1+Y$15),2)-AL297)</f>
        <v>0</v>
      </c>
      <c r="Z298" s="21" t="n">
        <f aca="false">MAX(0,ROUND(Z297*(1+Z$15),2)-AM297)</f>
        <v>0</v>
      </c>
      <c r="AA298" s="21" t="n">
        <f aca="false">MAX(0,ROUND(AA297*(1+AA$15),2)-AN297)</f>
        <v>0</v>
      </c>
      <c r="AB298" s="21" t="n">
        <f aca="false">MAX(0,ROUND(AB297*(1+AB$15),2)-AO297)</f>
        <v>0</v>
      </c>
      <c r="AC298" s="21" t="n">
        <f aca="false">MAX(0,ROUND(AC297*(1+AC$15),2)-AP297)</f>
        <v>0</v>
      </c>
      <c r="AD298" s="21" t="n">
        <f aca="false">MAX(0,ROUND(AD297*(1+AD$15),2)-AQ297)</f>
        <v>0</v>
      </c>
      <c r="AE298" s="21" t="n">
        <f aca="false">MIN(Y$16,ROUND(Y298*(1+Y$15),2))</f>
        <v>0</v>
      </c>
      <c r="AF298" s="21" t="n">
        <f aca="false">MIN(Z$16,ROUND(Z298*(1+Z$15),2))</f>
        <v>0</v>
      </c>
      <c r="AG298" s="21" t="n">
        <f aca="false">MIN(AA$16,ROUND(AA298*(1+AA$15),2))</f>
        <v>0</v>
      </c>
      <c r="AH298" s="21" t="n">
        <f aca="false">MIN(AB$16,ROUND(AB298*(1+AB$15),2))</f>
        <v>0</v>
      </c>
      <c r="AI298" s="21" t="n">
        <f aca="false">MIN(AC$16,ROUND(AC298*(1+AC$15),2))</f>
        <v>0</v>
      </c>
      <c r="AJ298" s="21" t="n">
        <f aca="false">MIN(AD$16,ROUND(AD298*(1+AD$15),2))</f>
        <v>0</v>
      </c>
      <c r="AK298" s="21" t="n">
        <f aca="false">Y$20-SUM(AE298:AJ298)</f>
        <v>1170</v>
      </c>
      <c r="AL298" s="21" t="n">
        <f aca="false">MIN(ROUND(Y298*(1+Y$15),2),AE298+MAX(0,AK298))</f>
        <v>0</v>
      </c>
      <c r="AM298" s="21" t="n">
        <f aca="false">MIN(ROUND(Z298*(1+Z$15),2),AF298+MAX(0,AK298-AL298+AE298))</f>
        <v>0</v>
      </c>
      <c r="AN298" s="21" t="n">
        <f aca="false">MIN(ROUND(AA298*(1+AA$15),2),AG298+MAX(0,AK298-AL298+AE298-AM298+AF298))</f>
        <v>0</v>
      </c>
      <c r="AO298" s="21" t="n">
        <f aca="false">MIN(ROUND(AB298*(1+AB$15),2),AH298+MAX(0,AK298-AL298+AE298-AM298+AF298-AN298+AG298))</f>
        <v>0</v>
      </c>
      <c r="AP298" s="21" t="n">
        <f aca="false">MIN(ROUND(AC298*(1+AC$15),2),AI298+MAX(0,AK298-AL298+AE298-AM298+AF298-AN298+AG298-AO298+AH298))</f>
        <v>0</v>
      </c>
      <c r="AQ298" s="21" t="n">
        <f aca="false">MIN(ROUND(AD298*(1+AD$15),2),AJ298+MAX(0,AK298-AL298+AE298-AM298+AF298-AN298+AG298-AO298+AH298-AP298+AI298))</f>
        <v>0</v>
      </c>
      <c r="AR298" s="21" t="n">
        <f aca="false">SUM(Y298:AD298)</f>
        <v>0</v>
      </c>
      <c r="AS298" s="21" t="n">
        <f aca="false">SUM(AL298:AQ298)</f>
        <v>0</v>
      </c>
    </row>
    <row r="299" customFormat="false" ht="15" hidden="false" customHeight="false" outlineLevel="0" collapsed="false">
      <c r="A299" s="25" t="n">
        <f aca="false">A298+1</f>
        <v>273</v>
      </c>
      <c r="B299" s="21" t="n">
        <f aca="false">MAX(0,ROUND(B298*(1+B$15),2)-O298)</f>
        <v>0</v>
      </c>
      <c r="C299" s="21" t="n">
        <f aca="false">MAX(0,ROUND(C298*(1+C$15),2)-P298)</f>
        <v>0</v>
      </c>
      <c r="D299" s="21" t="n">
        <f aca="false">MAX(0,ROUND(D298*(1+D$15),2)-Q298)</f>
        <v>0</v>
      </c>
      <c r="E299" s="21" t="n">
        <f aca="false">MAX(0,ROUND(E298*(1+E$15),2)-R298)</f>
        <v>0</v>
      </c>
      <c r="F299" s="21" t="n">
        <f aca="false">MAX(0,ROUND(F298*(1+F$15),2)-S298)</f>
        <v>0</v>
      </c>
      <c r="G299" s="21" t="n">
        <f aca="false">MAX(0,ROUND(G298*(1+G$15),2)-T298)</f>
        <v>0</v>
      </c>
      <c r="H299" s="21" t="n">
        <f aca="false">MIN(B$16,ROUND(B299*(1+B$15),2))</f>
        <v>0</v>
      </c>
      <c r="I299" s="21" t="n">
        <f aca="false">MIN(C$16,ROUND(C299*(1+C$15),2))</f>
        <v>0</v>
      </c>
      <c r="J299" s="21" t="n">
        <f aca="false">MIN(D$16,ROUND(D299*(1+D$15),2))</f>
        <v>0</v>
      </c>
      <c r="K299" s="21" t="n">
        <f aca="false">MIN(E$16,ROUND(E299*(1+E$15),2))</f>
        <v>0</v>
      </c>
      <c r="L299" s="21" t="n">
        <f aca="false">MIN(F$16,ROUND(F299*(1+F$15),2))</f>
        <v>0</v>
      </c>
      <c r="M299" s="21" t="n">
        <f aca="false">MIN(G$16,ROUND(G299*(1+G$15),2))</f>
        <v>0</v>
      </c>
      <c r="N299" s="21" t="n">
        <f aca="false">B$20-SUM(H299:M299)</f>
        <v>1170</v>
      </c>
      <c r="O299" s="21" t="n">
        <f aca="false">MIN(ROUND(B299*(1+B$15),2),H299+MAX(0,N299))</f>
        <v>0</v>
      </c>
      <c r="P299" s="21" t="n">
        <f aca="false">MIN(ROUND(C299*(1+C$15),2),I299+MAX(0,N299-O299+H299))</f>
        <v>0</v>
      </c>
      <c r="Q299" s="21" t="n">
        <f aca="false">MIN(ROUND(D299*(1+D$15),2),J299+MAX(0,N299-O299+H299-P299+I299))</f>
        <v>0</v>
      </c>
      <c r="R299" s="21" t="n">
        <f aca="false">MIN(ROUND(E299*(1+E$15),2),K299+MAX(0,N299-O299+H299-P299+I299-Q299+J299))</f>
        <v>0</v>
      </c>
      <c r="S299" s="21" t="n">
        <f aca="false">MIN(ROUND(F299*(1+F$15),2),L299+MAX(0,N299-O299+H299-P299+I299-Q299+J299-R299+K299))</f>
        <v>0</v>
      </c>
      <c r="T299" s="21" t="n">
        <f aca="false">MIN(ROUND(G299*(1+G$15),2),M299+MAX(0,N299-O299+H299-P299+I299-Q299+J299-R299+K299-S299+L299))</f>
        <v>0</v>
      </c>
      <c r="U299" s="21" t="n">
        <f aca="false">SUM(B299:G299)</f>
        <v>0</v>
      </c>
      <c r="V299" s="21" t="n">
        <f aca="false">SUM(O299:T299)</f>
        <v>0</v>
      </c>
      <c r="X299" s="25" t="n">
        <f aca="false">X298+1</f>
        <v>273</v>
      </c>
      <c r="Y299" s="21" t="n">
        <f aca="false">MAX(0,ROUND(Y298*(1+Y$15),2)-AL298)</f>
        <v>0</v>
      </c>
      <c r="Z299" s="21" t="n">
        <f aca="false">MAX(0,ROUND(Z298*(1+Z$15),2)-AM298)</f>
        <v>0</v>
      </c>
      <c r="AA299" s="21" t="n">
        <f aca="false">MAX(0,ROUND(AA298*(1+AA$15),2)-AN298)</f>
        <v>0</v>
      </c>
      <c r="AB299" s="21" t="n">
        <f aca="false">MAX(0,ROUND(AB298*(1+AB$15),2)-AO298)</f>
        <v>0</v>
      </c>
      <c r="AC299" s="21" t="n">
        <f aca="false">MAX(0,ROUND(AC298*(1+AC$15),2)-AP298)</f>
        <v>0</v>
      </c>
      <c r="AD299" s="21" t="n">
        <f aca="false">MAX(0,ROUND(AD298*(1+AD$15),2)-AQ298)</f>
        <v>0</v>
      </c>
      <c r="AE299" s="21" t="n">
        <f aca="false">MIN(Y$16,ROUND(Y299*(1+Y$15),2))</f>
        <v>0</v>
      </c>
      <c r="AF299" s="21" t="n">
        <f aca="false">MIN(Z$16,ROUND(Z299*(1+Z$15),2))</f>
        <v>0</v>
      </c>
      <c r="AG299" s="21" t="n">
        <f aca="false">MIN(AA$16,ROUND(AA299*(1+AA$15),2))</f>
        <v>0</v>
      </c>
      <c r="AH299" s="21" t="n">
        <f aca="false">MIN(AB$16,ROUND(AB299*(1+AB$15),2))</f>
        <v>0</v>
      </c>
      <c r="AI299" s="21" t="n">
        <f aca="false">MIN(AC$16,ROUND(AC299*(1+AC$15),2))</f>
        <v>0</v>
      </c>
      <c r="AJ299" s="21" t="n">
        <f aca="false">MIN(AD$16,ROUND(AD299*(1+AD$15),2))</f>
        <v>0</v>
      </c>
      <c r="AK299" s="21" t="n">
        <f aca="false">Y$20-SUM(AE299:AJ299)</f>
        <v>1170</v>
      </c>
      <c r="AL299" s="21" t="n">
        <f aca="false">MIN(ROUND(Y299*(1+Y$15),2),AE299+MAX(0,AK299))</f>
        <v>0</v>
      </c>
      <c r="AM299" s="21" t="n">
        <f aca="false">MIN(ROUND(Z299*(1+Z$15),2),AF299+MAX(0,AK299-AL299+AE299))</f>
        <v>0</v>
      </c>
      <c r="AN299" s="21" t="n">
        <f aca="false">MIN(ROUND(AA299*(1+AA$15),2),AG299+MAX(0,AK299-AL299+AE299-AM299+AF299))</f>
        <v>0</v>
      </c>
      <c r="AO299" s="21" t="n">
        <f aca="false">MIN(ROUND(AB299*(1+AB$15),2),AH299+MAX(0,AK299-AL299+AE299-AM299+AF299-AN299+AG299))</f>
        <v>0</v>
      </c>
      <c r="AP299" s="21" t="n">
        <f aca="false">MIN(ROUND(AC299*(1+AC$15),2),AI299+MAX(0,AK299-AL299+AE299-AM299+AF299-AN299+AG299-AO299+AH299))</f>
        <v>0</v>
      </c>
      <c r="AQ299" s="21" t="n">
        <f aca="false">MIN(ROUND(AD299*(1+AD$15),2),AJ299+MAX(0,AK299-AL299+AE299-AM299+AF299-AN299+AG299-AO299+AH299-AP299+AI299))</f>
        <v>0</v>
      </c>
      <c r="AR299" s="21" t="n">
        <f aca="false">SUM(Y299:AD299)</f>
        <v>0</v>
      </c>
      <c r="AS299" s="21" t="n">
        <f aca="false">SUM(AL299:AQ299)</f>
        <v>0</v>
      </c>
    </row>
    <row r="300" customFormat="false" ht="15" hidden="false" customHeight="false" outlineLevel="0" collapsed="false">
      <c r="A300" s="25" t="n">
        <f aca="false">A299+1</f>
        <v>274</v>
      </c>
      <c r="B300" s="21" t="n">
        <f aca="false">MAX(0,ROUND(B299*(1+B$15),2)-O299)</f>
        <v>0</v>
      </c>
      <c r="C300" s="21" t="n">
        <f aca="false">MAX(0,ROUND(C299*(1+C$15),2)-P299)</f>
        <v>0</v>
      </c>
      <c r="D300" s="21" t="n">
        <f aca="false">MAX(0,ROUND(D299*(1+D$15),2)-Q299)</f>
        <v>0</v>
      </c>
      <c r="E300" s="21" t="n">
        <f aca="false">MAX(0,ROUND(E299*(1+E$15),2)-R299)</f>
        <v>0</v>
      </c>
      <c r="F300" s="21" t="n">
        <f aca="false">MAX(0,ROUND(F299*(1+F$15),2)-S299)</f>
        <v>0</v>
      </c>
      <c r="G300" s="21" t="n">
        <f aca="false">MAX(0,ROUND(G299*(1+G$15),2)-T299)</f>
        <v>0</v>
      </c>
      <c r="H300" s="21" t="n">
        <f aca="false">MIN(B$16,ROUND(B300*(1+B$15),2))</f>
        <v>0</v>
      </c>
      <c r="I300" s="21" t="n">
        <f aca="false">MIN(C$16,ROUND(C300*(1+C$15),2))</f>
        <v>0</v>
      </c>
      <c r="J300" s="21" t="n">
        <f aca="false">MIN(D$16,ROUND(D300*(1+D$15),2))</f>
        <v>0</v>
      </c>
      <c r="K300" s="21" t="n">
        <f aca="false">MIN(E$16,ROUND(E300*(1+E$15),2))</f>
        <v>0</v>
      </c>
      <c r="L300" s="21" t="n">
        <f aca="false">MIN(F$16,ROUND(F300*(1+F$15),2))</f>
        <v>0</v>
      </c>
      <c r="M300" s="21" t="n">
        <f aca="false">MIN(G$16,ROUND(G300*(1+G$15),2))</f>
        <v>0</v>
      </c>
      <c r="N300" s="21" t="n">
        <f aca="false">B$20-SUM(H300:M300)</f>
        <v>1170</v>
      </c>
      <c r="O300" s="21" t="n">
        <f aca="false">MIN(ROUND(B300*(1+B$15),2),H300+MAX(0,N300))</f>
        <v>0</v>
      </c>
      <c r="P300" s="21" t="n">
        <f aca="false">MIN(ROUND(C300*(1+C$15),2),I300+MAX(0,N300-O300+H300))</f>
        <v>0</v>
      </c>
      <c r="Q300" s="21" t="n">
        <f aca="false">MIN(ROUND(D300*(1+D$15),2),J300+MAX(0,N300-O300+H300-P300+I300))</f>
        <v>0</v>
      </c>
      <c r="R300" s="21" t="n">
        <f aca="false">MIN(ROUND(E300*(1+E$15),2),K300+MAX(0,N300-O300+H300-P300+I300-Q300+J300))</f>
        <v>0</v>
      </c>
      <c r="S300" s="21" t="n">
        <f aca="false">MIN(ROUND(F300*(1+F$15),2),L300+MAX(0,N300-O300+H300-P300+I300-Q300+J300-R300+K300))</f>
        <v>0</v>
      </c>
      <c r="T300" s="21" t="n">
        <f aca="false">MIN(ROUND(G300*(1+G$15),2),M300+MAX(0,N300-O300+H300-P300+I300-Q300+J300-R300+K300-S300+L300))</f>
        <v>0</v>
      </c>
      <c r="U300" s="21" t="n">
        <f aca="false">SUM(B300:G300)</f>
        <v>0</v>
      </c>
      <c r="V300" s="21" t="n">
        <f aca="false">SUM(O300:T300)</f>
        <v>0</v>
      </c>
      <c r="X300" s="25" t="n">
        <f aca="false">X299+1</f>
        <v>274</v>
      </c>
      <c r="Y300" s="21" t="n">
        <f aca="false">MAX(0,ROUND(Y299*(1+Y$15),2)-AL299)</f>
        <v>0</v>
      </c>
      <c r="Z300" s="21" t="n">
        <f aca="false">MAX(0,ROUND(Z299*(1+Z$15),2)-AM299)</f>
        <v>0</v>
      </c>
      <c r="AA300" s="21" t="n">
        <f aca="false">MAX(0,ROUND(AA299*(1+AA$15),2)-AN299)</f>
        <v>0</v>
      </c>
      <c r="AB300" s="21" t="n">
        <f aca="false">MAX(0,ROUND(AB299*(1+AB$15),2)-AO299)</f>
        <v>0</v>
      </c>
      <c r="AC300" s="21" t="n">
        <f aca="false">MAX(0,ROUND(AC299*(1+AC$15),2)-AP299)</f>
        <v>0</v>
      </c>
      <c r="AD300" s="21" t="n">
        <f aca="false">MAX(0,ROUND(AD299*(1+AD$15),2)-AQ299)</f>
        <v>0</v>
      </c>
      <c r="AE300" s="21" t="n">
        <f aca="false">MIN(Y$16,ROUND(Y300*(1+Y$15),2))</f>
        <v>0</v>
      </c>
      <c r="AF300" s="21" t="n">
        <f aca="false">MIN(Z$16,ROUND(Z300*(1+Z$15),2))</f>
        <v>0</v>
      </c>
      <c r="AG300" s="21" t="n">
        <f aca="false">MIN(AA$16,ROUND(AA300*(1+AA$15),2))</f>
        <v>0</v>
      </c>
      <c r="AH300" s="21" t="n">
        <f aca="false">MIN(AB$16,ROUND(AB300*(1+AB$15),2))</f>
        <v>0</v>
      </c>
      <c r="AI300" s="21" t="n">
        <f aca="false">MIN(AC$16,ROUND(AC300*(1+AC$15),2))</f>
        <v>0</v>
      </c>
      <c r="AJ300" s="21" t="n">
        <f aca="false">MIN(AD$16,ROUND(AD300*(1+AD$15),2))</f>
        <v>0</v>
      </c>
      <c r="AK300" s="21" t="n">
        <f aca="false">Y$20-SUM(AE300:AJ300)</f>
        <v>1170</v>
      </c>
      <c r="AL300" s="21" t="n">
        <f aca="false">MIN(ROUND(Y300*(1+Y$15),2),AE300+MAX(0,AK300))</f>
        <v>0</v>
      </c>
      <c r="AM300" s="21" t="n">
        <f aca="false">MIN(ROUND(Z300*(1+Z$15),2),AF300+MAX(0,AK300-AL300+AE300))</f>
        <v>0</v>
      </c>
      <c r="AN300" s="21" t="n">
        <f aca="false">MIN(ROUND(AA300*(1+AA$15),2),AG300+MAX(0,AK300-AL300+AE300-AM300+AF300))</f>
        <v>0</v>
      </c>
      <c r="AO300" s="21" t="n">
        <f aca="false">MIN(ROUND(AB300*(1+AB$15),2),AH300+MAX(0,AK300-AL300+AE300-AM300+AF300-AN300+AG300))</f>
        <v>0</v>
      </c>
      <c r="AP300" s="21" t="n">
        <f aca="false">MIN(ROUND(AC300*(1+AC$15),2),AI300+MAX(0,AK300-AL300+AE300-AM300+AF300-AN300+AG300-AO300+AH300))</f>
        <v>0</v>
      </c>
      <c r="AQ300" s="21" t="n">
        <f aca="false">MIN(ROUND(AD300*(1+AD$15),2),AJ300+MAX(0,AK300-AL300+AE300-AM300+AF300-AN300+AG300-AO300+AH300-AP300+AI300))</f>
        <v>0</v>
      </c>
      <c r="AR300" s="21" t="n">
        <f aca="false">SUM(Y300:AD300)</f>
        <v>0</v>
      </c>
      <c r="AS300" s="21" t="n">
        <f aca="false">SUM(AL300:AQ300)</f>
        <v>0</v>
      </c>
    </row>
    <row r="301" customFormat="false" ht="15" hidden="false" customHeight="false" outlineLevel="0" collapsed="false">
      <c r="A301" s="25" t="n">
        <f aca="false">A300+1</f>
        <v>275</v>
      </c>
      <c r="B301" s="21" t="n">
        <f aca="false">MAX(0,ROUND(B300*(1+B$15),2)-O300)</f>
        <v>0</v>
      </c>
      <c r="C301" s="21" t="n">
        <f aca="false">MAX(0,ROUND(C300*(1+C$15),2)-P300)</f>
        <v>0</v>
      </c>
      <c r="D301" s="21" t="n">
        <f aca="false">MAX(0,ROUND(D300*(1+D$15),2)-Q300)</f>
        <v>0</v>
      </c>
      <c r="E301" s="21" t="n">
        <f aca="false">MAX(0,ROUND(E300*(1+E$15),2)-R300)</f>
        <v>0</v>
      </c>
      <c r="F301" s="21" t="n">
        <f aca="false">MAX(0,ROUND(F300*(1+F$15),2)-S300)</f>
        <v>0</v>
      </c>
      <c r="G301" s="21" t="n">
        <f aca="false">MAX(0,ROUND(G300*(1+G$15),2)-T300)</f>
        <v>0</v>
      </c>
      <c r="H301" s="21" t="n">
        <f aca="false">MIN(B$16,ROUND(B301*(1+B$15),2))</f>
        <v>0</v>
      </c>
      <c r="I301" s="21" t="n">
        <f aca="false">MIN(C$16,ROUND(C301*(1+C$15),2))</f>
        <v>0</v>
      </c>
      <c r="J301" s="21" t="n">
        <f aca="false">MIN(D$16,ROUND(D301*(1+D$15),2))</f>
        <v>0</v>
      </c>
      <c r="K301" s="21" t="n">
        <f aca="false">MIN(E$16,ROUND(E301*(1+E$15),2))</f>
        <v>0</v>
      </c>
      <c r="L301" s="21" t="n">
        <f aca="false">MIN(F$16,ROUND(F301*(1+F$15),2))</f>
        <v>0</v>
      </c>
      <c r="M301" s="21" t="n">
        <f aca="false">MIN(G$16,ROUND(G301*(1+G$15),2))</f>
        <v>0</v>
      </c>
      <c r="N301" s="21" t="n">
        <f aca="false">B$20-SUM(H301:M301)</f>
        <v>1170</v>
      </c>
      <c r="O301" s="21" t="n">
        <f aca="false">MIN(ROUND(B301*(1+B$15),2),H301+MAX(0,N301))</f>
        <v>0</v>
      </c>
      <c r="P301" s="21" t="n">
        <f aca="false">MIN(ROUND(C301*(1+C$15),2),I301+MAX(0,N301-O301+H301))</f>
        <v>0</v>
      </c>
      <c r="Q301" s="21" t="n">
        <f aca="false">MIN(ROUND(D301*(1+D$15),2),J301+MAX(0,N301-O301+H301-P301+I301))</f>
        <v>0</v>
      </c>
      <c r="R301" s="21" t="n">
        <f aca="false">MIN(ROUND(E301*(1+E$15),2),K301+MAX(0,N301-O301+H301-P301+I301-Q301+J301))</f>
        <v>0</v>
      </c>
      <c r="S301" s="21" t="n">
        <f aca="false">MIN(ROUND(F301*(1+F$15),2),L301+MAX(0,N301-O301+H301-P301+I301-Q301+J301-R301+K301))</f>
        <v>0</v>
      </c>
      <c r="T301" s="21" t="n">
        <f aca="false">MIN(ROUND(G301*(1+G$15),2),M301+MAX(0,N301-O301+H301-P301+I301-Q301+J301-R301+K301-S301+L301))</f>
        <v>0</v>
      </c>
      <c r="U301" s="21" t="n">
        <f aca="false">SUM(B301:G301)</f>
        <v>0</v>
      </c>
      <c r="V301" s="21" t="n">
        <f aca="false">SUM(O301:T301)</f>
        <v>0</v>
      </c>
      <c r="X301" s="25" t="n">
        <f aca="false">X300+1</f>
        <v>275</v>
      </c>
      <c r="Y301" s="21" t="n">
        <f aca="false">MAX(0,ROUND(Y300*(1+Y$15),2)-AL300)</f>
        <v>0</v>
      </c>
      <c r="Z301" s="21" t="n">
        <f aca="false">MAX(0,ROUND(Z300*(1+Z$15),2)-AM300)</f>
        <v>0</v>
      </c>
      <c r="AA301" s="21" t="n">
        <f aca="false">MAX(0,ROUND(AA300*(1+AA$15),2)-AN300)</f>
        <v>0</v>
      </c>
      <c r="AB301" s="21" t="n">
        <f aca="false">MAX(0,ROUND(AB300*(1+AB$15),2)-AO300)</f>
        <v>0</v>
      </c>
      <c r="AC301" s="21" t="n">
        <f aca="false">MAX(0,ROUND(AC300*(1+AC$15),2)-AP300)</f>
        <v>0</v>
      </c>
      <c r="AD301" s="21" t="n">
        <f aca="false">MAX(0,ROUND(AD300*(1+AD$15),2)-AQ300)</f>
        <v>0</v>
      </c>
      <c r="AE301" s="21" t="n">
        <f aca="false">MIN(Y$16,ROUND(Y301*(1+Y$15),2))</f>
        <v>0</v>
      </c>
      <c r="AF301" s="21" t="n">
        <f aca="false">MIN(Z$16,ROUND(Z301*(1+Z$15),2))</f>
        <v>0</v>
      </c>
      <c r="AG301" s="21" t="n">
        <f aca="false">MIN(AA$16,ROUND(AA301*(1+AA$15),2))</f>
        <v>0</v>
      </c>
      <c r="AH301" s="21" t="n">
        <f aca="false">MIN(AB$16,ROUND(AB301*(1+AB$15),2))</f>
        <v>0</v>
      </c>
      <c r="AI301" s="21" t="n">
        <f aca="false">MIN(AC$16,ROUND(AC301*(1+AC$15),2))</f>
        <v>0</v>
      </c>
      <c r="AJ301" s="21" t="n">
        <f aca="false">MIN(AD$16,ROUND(AD301*(1+AD$15),2))</f>
        <v>0</v>
      </c>
      <c r="AK301" s="21" t="n">
        <f aca="false">Y$20-SUM(AE301:AJ301)</f>
        <v>1170</v>
      </c>
      <c r="AL301" s="21" t="n">
        <f aca="false">MIN(ROUND(Y301*(1+Y$15),2),AE301+MAX(0,AK301))</f>
        <v>0</v>
      </c>
      <c r="AM301" s="21" t="n">
        <f aca="false">MIN(ROUND(Z301*(1+Z$15),2),AF301+MAX(0,AK301-AL301+AE301))</f>
        <v>0</v>
      </c>
      <c r="AN301" s="21" t="n">
        <f aca="false">MIN(ROUND(AA301*(1+AA$15),2),AG301+MAX(0,AK301-AL301+AE301-AM301+AF301))</f>
        <v>0</v>
      </c>
      <c r="AO301" s="21" t="n">
        <f aca="false">MIN(ROUND(AB301*(1+AB$15),2),AH301+MAX(0,AK301-AL301+AE301-AM301+AF301-AN301+AG301))</f>
        <v>0</v>
      </c>
      <c r="AP301" s="21" t="n">
        <f aca="false">MIN(ROUND(AC301*(1+AC$15),2),AI301+MAX(0,AK301-AL301+AE301-AM301+AF301-AN301+AG301-AO301+AH301))</f>
        <v>0</v>
      </c>
      <c r="AQ301" s="21" t="n">
        <f aca="false">MIN(ROUND(AD301*(1+AD$15),2),AJ301+MAX(0,AK301-AL301+AE301-AM301+AF301-AN301+AG301-AO301+AH301-AP301+AI301))</f>
        <v>0</v>
      </c>
      <c r="AR301" s="21" t="n">
        <f aca="false">SUM(Y301:AD301)</f>
        <v>0</v>
      </c>
      <c r="AS301" s="21" t="n">
        <f aca="false">SUM(AL301:AQ301)</f>
        <v>0</v>
      </c>
    </row>
    <row r="302" customFormat="false" ht="15" hidden="false" customHeight="false" outlineLevel="0" collapsed="false">
      <c r="A302" s="25" t="n">
        <f aca="false">A301+1</f>
        <v>276</v>
      </c>
      <c r="B302" s="21" t="n">
        <f aca="false">MAX(0,ROUND(B301*(1+B$15),2)-O301)</f>
        <v>0</v>
      </c>
      <c r="C302" s="21" t="n">
        <f aca="false">MAX(0,ROUND(C301*(1+C$15),2)-P301)</f>
        <v>0</v>
      </c>
      <c r="D302" s="21" t="n">
        <f aca="false">MAX(0,ROUND(D301*(1+D$15),2)-Q301)</f>
        <v>0</v>
      </c>
      <c r="E302" s="21" t="n">
        <f aca="false">MAX(0,ROUND(E301*(1+E$15),2)-R301)</f>
        <v>0</v>
      </c>
      <c r="F302" s="21" t="n">
        <f aca="false">MAX(0,ROUND(F301*(1+F$15),2)-S301)</f>
        <v>0</v>
      </c>
      <c r="G302" s="21" t="n">
        <f aca="false">MAX(0,ROUND(G301*(1+G$15),2)-T301)</f>
        <v>0</v>
      </c>
      <c r="H302" s="21" t="n">
        <f aca="false">MIN(B$16,ROUND(B302*(1+B$15),2))</f>
        <v>0</v>
      </c>
      <c r="I302" s="21" t="n">
        <f aca="false">MIN(C$16,ROUND(C302*(1+C$15),2))</f>
        <v>0</v>
      </c>
      <c r="J302" s="21" t="n">
        <f aca="false">MIN(D$16,ROUND(D302*(1+D$15),2))</f>
        <v>0</v>
      </c>
      <c r="K302" s="21" t="n">
        <f aca="false">MIN(E$16,ROUND(E302*(1+E$15),2))</f>
        <v>0</v>
      </c>
      <c r="L302" s="21" t="n">
        <f aca="false">MIN(F$16,ROUND(F302*(1+F$15),2))</f>
        <v>0</v>
      </c>
      <c r="M302" s="21" t="n">
        <f aca="false">MIN(G$16,ROUND(G302*(1+G$15),2))</f>
        <v>0</v>
      </c>
      <c r="N302" s="21" t="n">
        <f aca="false">B$20-SUM(H302:M302)</f>
        <v>1170</v>
      </c>
      <c r="O302" s="21" t="n">
        <f aca="false">MIN(ROUND(B302*(1+B$15),2),H302+MAX(0,N302))</f>
        <v>0</v>
      </c>
      <c r="P302" s="21" t="n">
        <f aca="false">MIN(ROUND(C302*(1+C$15),2),I302+MAX(0,N302-O302+H302))</f>
        <v>0</v>
      </c>
      <c r="Q302" s="21" t="n">
        <f aca="false">MIN(ROUND(D302*(1+D$15),2),J302+MAX(0,N302-O302+H302-P302+I302))</f>
        <v>0</v>
      </c>
      <c r="R302" s="21" t="n">
        <f aca="false">MIN(ROUND(E302*(1+E$15),2),K302+MAX(0,N302-O302+H302-P302+I302-Q302+J302))</f>
        <v>0</v>
      </c>
      <c r="S302" s="21" t="n">
        <f aca="false">MIN(ROUND(F302*(1+F$15),2),L302+MAX(0,N302-O302+H302-P302+I302-Q302+J302-R302+K302))</f>
        <v>0</v>
      </c>
      <c r="T302" s="21" t="n">
        <f aca="false">MIN(ROUND(G302*(1+G$15),2),M302+MAX(0,N302-O302+H302-P302+I302-Q302+J302-R302+K302-S302+L302))</f>
        <v>0</v>
      </c>
      <c r="U302" s="21" t="n">
        <f aca="false">SUM(B302:G302)</f>
        <v>0</v>
      </c>
      <c r="V302" s="21" t="n">
        <f aca="false">SUM(O302:T302)</f>
        <v>0</v>
      </c>
      <c r="X302" s="25" t="n">
        <f aca="false">X301+1</f>
        <v>276</v>
      </c>
      <c r="Y302" s="21" t="n">
        <f aca="false">MAX(0,ROUND(Y301*(1+Y$15),2)-AL301)</f>
        <v>0</v>
      </c>
      <c r="Z302" s="21" t="n">
        <f aca="false">MAX(0,ROUND(Z301*(1+Z$15),2)-AM301)</f>
        <v>0</v>
      </c>
      <c r="AA302" s="21" t="n">
        <f aca="false">MAX(0,ROUND(AA301*(1+AA$15),2)-AN301)</f>
        <v>0</v>
      </c>
      <c r="AB302" s="21" t="n">
        <f aca="false">MAX(0,ROUND(AB301*(1+AB$15),2)-AO301)</f>
        <v>0</v>
      </c>
      <c r="AC302" s="21" t="n">
        <f aca="false">MAX(0,ROUND(AC301*(1+AC$15),2)-AP301)</f>
        <v>0</v>
      </c>
      <c r="AD302" s="21" t="n">
        <f aca="false">MAX(0,ROUND(AD301*(1+AD$15),2)-AQ301)</f>
        <v>0</v>
      </c>
      <c r="AE302" s="21" t="n">
        <f aca="false">MIN(Y$16,ROUND(Y302*(1+Y$15),2))</f>
        <v>0</v>
      </c>
      <c r="AF302" s="21" t="n">
        <f aca="false">MIN(Z$16,ROUND(Z302*(1+Z$15),2))</f>
        <v>0</v>
      </c>
      <c r="AG302" s="21" t="n">
        <f aca="false">MIN(AA$16,ROUND(AA302*(1+AA$15),2))</f>
        <v>0</v>
      </c>
      <c r="AH302" s="21" t="n">
        <f aca="false">MIN(AB$16,ROUND(AB302*(1+AB$15),2))</f>
        <v>0</v>
      </c>
      <c r="AI302" s="21" t="n">
        <f aca="false">MIN(AC$16,ROUND(AC302*(1+AC$15),2))</f>
        <v>0</v>
      </c>
      <c r="AJ302" s="21" t="n">
        <f aca="false">MIN(AD$16,ROUND(AD302*(1+AD$15),2))</f>
        <v>0</v>
      </c>
      <c r="AK302" s="21" t="n">
        <f aca="false">Y$20-SUM(AE302:AJ302)</f>
        <v>1170</v>
      </c>
      <c r="AL302" s="21" t="n">
        <f aca="false">MIN(ROUND(Y302*(1+Y$15),2),AE302+MAX(0,AK302))</f>
        <v>0</v>
      </c>
      <c r="AM302" s="21" t="n">
        <f aca="false">MIN(ROUND(Z302*(1+Z$15),2),AF302+MAX(0,AK302-AL302+AE302))</f>
        <v>0</v>
      </c>
      <c r="AN302" s="21" t="n">
        <f aca="false">MIN(ROUND(AA302*(1+AA$15),2),AG302+MAX(0,AK302-AL302+AE302-AM302+AF302))</f>
        <v>0</v>
      </c>
      <c r="AO302" s="21" t="n">
        <f aca="false">MIN(ROUND(AB302*(1+AB$15),2),AH302+MAX(0,AK302-AL302+AE302-AM302+AF302-AN302+AG302))</f>
        <v>0</v>
      </c>
      <c r="AP302" s="21" t="n">
        <f aca="false">MIN(ROUND(AC302*(1+AC$15),2),AI302+MAX(0,AK302-AL302+AE302-AM302+AF302-AN302+AG302-AO302+AH302))</f>
        <v>0</v>
      </c>
      <c r="AQ302" s="21" t="n">
        <f aca="false">MIN(ROUND(AD302*(1+AD$15),2),AJ302+MAX(0,AK302-AL302+AE302-AM302+AF302-AN302+AG302-AO302+AH302-AP302+AI302))</f>
        <v>0</v>
      </c>
      <c r="AR302" s="21" t="n">
        <f aca="false">SUM(Y302:AD302)</f>
        <v>0</v>
      </c>
      <c r="AS302" s="21" t="n">
        <f aca="false">SUM(AL302:AQ302)</f>
        <v>0</v>
      </c>
    </row>
    <row r="303" customFormat="false" ht="15" hidden="false" customHeight="false" outlineLevel="0" collapsed="false">
      <c r="A303" s="25" t="n">
        <f aca="false">A302+1</f>
        <v>277</v>
      </c>
      <c r="B303" s="21" t="n">
        <f aca="false">MAX(0,ROUND(B302*(1+B$15),2)-O302)</f>
        <v>0</v>
      </c>
      <c r="C303" s="21" t="n">
        <f aca="false">MAX(0,ROUND(C302*(1+C$15),2)-P302)</f>
        <v>0</v>
      </c>
      <c r="D303" s="21" t="n">
        <f aca="false">MAX(0,ROUND(D302*(1+D$15),2)-Q302)</f>
        <v>0</v>
      </c>
      <c r="E303" s="21" t="n">
        <f aca="false">MAX(0,ROUND(E302*(1+E$15),2)-R302)</f>
        <v>0</v>
      </c>
      <c r="F303" s="21" t="n">
        <f aca="false">MAX(0,ROUND(F302*(1+F$15),2)-S302)</f>
        <v>0</v>
      </c>
      <c r="G303" s="21" t="n">
        <f aca="false">MAX(0,ROUND(G302*(1+G$15),2)-T302)</f>
        <v>0</v>
      </c>
      <c r="H303" s="21" t="n">
        <f aca="false">MIN(B$16,ROUND(B303*(1+B$15),2))</f>
        <v>0</v>
      </c>
      <c r="I303" s="21" t="n">
        <f aca="false">MIN(C$16,ROUND(C303*(1+C$15),2))</f>
        <v>0</v>
      </c>
      <c r="J303" s="21" t="n">
        <f aca="false">MIN(D$16,ROUND(D303*(1+D$15),2))</f>
        <v>0</v>
      </c>
      <c r="K303" s="21" t="n">
        <f aca="false">MIN(E$16,ROUND(E303*(1+E$15),2))</f>
        <v>0</v>
      </c>
      <c r="L303" s="21" t="n">
        <f aca="false">MIN(F$16,ROUND(F303*(1+F$15),2))</f>
        <v>0</v>
      </c>
      <c r="M303" s="21" t="n">
        <f aca="false">MIN(G$16,ROUND(G303*(1+G$15),2))</f>
        <v>0</v>
      </c>
      <c r="N303" s="21" t="n">
        <f aca="false">B$20-SUM(H303:M303)</f>
        <v>1170</v>
      </c>
      <c r="O303" s="21" t="n">
        <f aca="false">MIN(ROUND(B303*(1+B$15),2),H303+MAX(0,N303))</f>
        <v>0</v>
      </c>
      <c r="P303" s="21" t="n">
        <f aca="false">MIN(ROUND(C303*(1+C$15),2),I303+MAX(0,N303-O303+H303))</f>
        <v>0</v>
      </c>
      <c r="Q303" s="21" t="n">
        <f aca="false">MIN(ROUND(D303*(1+D$15),2),J303+MAX(0,N303-O303+H303-P303+I303))</f>
        <v>0</v>
      </c>
      <c r="R303" s="21" t="n">
        <f aca="false">MIN(ROUND(E303*(1+E$15),2),K303+MAX(0,N303-O303+H303-P303+I303-Q303+J303))</f>
        <v>0</v>
      </c>
      <c r="S303" s="21" t="n">
        <f aca="false">MIN(ROUND(F303*(1+F$15),2),L303+MAX(0,N303-O303+H303-P303+I303-Q303+J303-R303+K303))</f>
        <v>0</v>
      </c>
      <c r="T303" s="21" t="n">
        <f aca="false">MIN(ROUND(G303*(1+G$15),2),M303+MAX(0,N303-O303+H303-P303+I303-Q303+J303-R303+K303-S303+L303))</f>
        <v>0</v>
      </c>
      <c r="U303" s="21" t="n">
        <f aca="false">SUM(B303:G303)</f>
        <v>0</v>
      </c>
      <c r="V303" s="21" t="n">
        <f aca="false">SUM(O303:T303)</f>
        <v>0</v>
      </c>
      <c r="X303" s="25" t="n">
        <f aca="false">X302+1</f>
        <v>277</v>
      </c>
      <c r="Y303" s="21" t="n">
        <f aca="false">MAX(0,ROUND(Y302*(1+Y$15),2)-AL302)</f>
        <v>0</v>
      </c>
      <c r="Z303" s="21" t="n">
        <f aca="false">MAX(0,ROUND(Z302*(1+Z$15),2)-AM302)</f>
        <v>0</v>
      </c>
      <c r="AA303" s="21" t="n">
        <f aca="false">MAX(0,ROUND(AA302*(1+AA$15),2)-AN302)</f>
        <v>0</v>
      </c>
      <c r="AB303" s="21" t="n">
        <f aca="false">MAX(0,ROUND(AB302*(1+AB$15),2)-AO302)</f>
        <v>0</v>
      </c>
      <c r="AC303" s="21" t="n">
        <f aca="false">MAX(0,ROUND(AC302*(1+AC$15),2)-AP302)</f>
        <v>0</v>
      </c>
      <c r="AD303" s="21" t="n">
        <f aca="false">MAX(0,ROUND(AD302*(1+AD$15),2)-AQ302)</f>
        <v>0</v>
      </c>
      <c r="AE303" s="21" t="n">
        <f aca="false">MIN(Y$16,ROUND(Y303*(1+Y$15),2))</f>
        <v>0</v>
      </c>
      <c r="AF303" s="21" t="n">
        <f aca="false">MIN(Z$16,ROUND(Z303*(1+Z$15),2))</f>
        <v>0</v>
      </c>
      <c r="AG303" s="21" t="n">
        <f aca="false">MIN(AA$16,ROUND(AA303*(1+AA$15),2))</f>
        <v>0</v>
      </c>
      <c r="AH303" s="21" t="n">
        <f aca="false">MIN(AB$16,ROUND(AB303*(1+AB$15),2))</f>
        <v>0</v>
      </c>
      <c r="AI303" s="21" t="n">
        <f aca="false">MIN(AC$16,ROUND(AC303*(1+AC$15),2))</f>
        <v>0</v>
      </c>
      <c r="AJ303" s="21" t="n">
        <f aca="false">MIN(AD$16,ROUND(AD303*(1+AD$15),2))</f>
        <v>0</v>
      </c>
      <c r="AK303" s="21" t="n">
        <f aca="false">Y$20-SUM(AE303:AJ303)</f>
        <v>1170</v>
      </c>
      <c r="AL303" s="21" t="n">
        <f aca="false">MIN(ROUND(Y303*(1+Y$15),2),AE303+MAX(0,AK303))</f>
        <v>0</v>
      </c>
      <c r="AM303" s="21" t="n">
        <f aca="false">MIN(ROUND(Z303*(1+Z$15),2),AF303+MAX(0,AK303-AL303+AE303))</f>
        <v>0</v>
      </c>
      <c r="AN303" s="21" t="n">
        <f aca="false">MIN(ROUND(AA303*(1+AA$15),2),AG303+MAX(0,AK303-AL303+AE303-AM303+AF303))</f>
        <v>0</v>
      </c>
      <c r="AO303" s="21" t="n">
        <f aca="false">MIN(ROUND(AB303*(1+AB$15),2),AH303+MAX(0,AK303-AL303+AE303-AM303+AF303-AN303+AG303))</f>
        <v>0</v>
      </c>
      <c r="AP303" s="21" t="n">
        <f aca="false">MIN(ROUND(AC303*(1+AC$15),2),AI303+MAX(0,AK303-AL303+AE303-AM303+AF303-AN303+AG303-AO303+AH303))</f>
        <v>0</v>
      </c>
      <c r="AQ303" s="21" t="n">
        <f aca="false">MIN(ROUND(AD303*(1+AD$15),2),AJ303+MAX(0,AK303-AL303+AE303-AM303+AF303-AN303+AG303-AO303+AH303-AP303+AI303))</f>
        <v>0</v>
      </c>
      <c r="AR303" s="21" t="n">
        <f aca="false">SUM(Y303:AD303)</f>
        <v>0</v>
      </c>
      <c r="AS303" s="21" t="n">
        <f aca="false">SUM(AL303:AQ303)</f>
        <v>0</v>
      </c>
    </row>
    <row r="304" customFormat="false" ht="15" hidden="false" customHeight="false" outlineLevel="0" collapsed="false">
      <c r="A304" s="25" t="n">
        <f aca="false">A303+1</f>
        <v>278</v>
      </c>
      <c r="B304" s="21" t="n">
        <f aca="false">MAX(0,ROUND(B303*(1+B$15),2)-O303)</f>
        <v>0</v>
      </c>
      <c r="C304" s="21" t="n">
        <f aca="false">MAX(0,ROUND(C303*(1+C$15),2)-P303)</f>
        <v>0</v>
      </c>
      <c r="D304" s="21" t="n">
        <f aca="false">MAX(0,ROUND(D303*(1+D$15),2)-Q303)</f>
        <v>0</v>
      </c>
      <c r="E304" s="21" t="n">
        <f aca="false">MAX(0,ROUND(E303*(1+E$15),2)-R303)</f>
        <v>0</v>
      </c>
      <c r="F304" s="21" t="n">
        <f aca="false">MAX(0,ROUND(F303*(1+F$15),2)-S303)</f>
        <v>0</v>
      </c>
      <c r="G304" s="21" t="n">
        <f aca="false">MAX(0,ROUND(G303*(1+G$15),2)-T303)</f>
        <v>0</v>
      </c>
      <c r="H304" s="21" t="n">
        <f aca="false">MIN(B$16,ROUND(B304*(1+B$15),2))</f>
        <v>0</v>
      </c>
      <c r="I304" s="21" t="n">
        <f aca="false">MIN(C$16,ROUND(C304*(1+C$15),2))</f>
        <v>0</v>
      </c>
      <c r="J304" s="21" t="n">
        <f aca="false">MIN(D$16,ROUND(D304*(1+D$15),2))</f>
        <v>0</v>
      </c>
      <c r="K304" s="21" t="n">
        <f aca="false">MIN(E$16,ROUND(E304*(1+E$15),2))</f>
        <v>0</v>
      </c>
      <c r="L304" s="21" t="n">
        <f aca="false">MIN(F$16,ROUND(F304*(1+F$15),2))</f>
        <v>0</v>
      </c>
      <c r="M304" s="21" t="n">
        <f aca="false">MIN(G$16,ROUND(G304*(1+G$15),2))</f>
        <v>0</v>
      </c>
      <c r="N304" s="21" t="n">
        <f aca="false">B$20-SUM(H304:M304)</f>
        <v>1170</v>
      </c>
      <c r="O304" s="21" t="n">
        <f aca="false">MIN(ROUND(B304*(1+B$15),2),H304+MAX(0,N304))</f>
        <v>0</v>
      </c>
      <c r="P304" s="21" t="n">
        <f aca="false">MIN(ROUND(C304*(1+C$15),2),I304+MAX(0,N304-O304+H304))</f>
        <v>0</v>
      </c>
      <c r="Q304" s="21" t="n">
        <f aca="false">MIN(ROUND(D304*(1+D$15),2),J304+MAX(0,N304-O304+H304-P304+I304))</f>
        <v>0</v>
      </c>
      <c r="R304" s="21" t="n">
        <f aca="false">MIN(ROUND(E304*(1+E$15),2),K304+MAX(0,N304-O304+H304-P304+I304-Q304+J304))</f>
        <v>0</v>
      </c>
      <c r="S304" s="21" t="n">
        <f aca="false">MIN(ROUND(F304*(1+F$15),2),L304+MAX(0,N304-O304+H304-P304+I304-Q304+J304-R304+K304))</f>
        <v>0</v>
      </c>
      <c r="T304" s="21" t="n">
        <f aca="false">MIN(ROUND(G304*(1+G$15),2),M304+MAX(0,N304-O304+H304-P304+I304-Q304+J304-R304+K304-S304+L304))</f>
        <v>0</v>
      </c>
      <c r="U304" s="21" t="n">
        <f aca="false">SUM(B304:G304)</f>
        <v>0</v>
      </c>
      <c r="V304" s="21" t="n">
        <f aca="false">SUM(O304:T304)</f>
        <v>0</v>
      </c>
      <c r="X304" s="25" t="n">
        <f aca="false">X303+1</f>
        <v>278</v>
      </c>
      <c r="Y304" s="21" t="n">
        <f aca="false">MAX(0,ROUND(Y303*(1+Y$15),2)-AL303)</f>
        <v>0</v>
      </c>
      <c r="Z304" s="21" t="n">
        <f aca="false">MAX(0,ROUND(Z303*(1+Z$15),2)-AM303)</f>
        <v>0</v>
      </c>
      <c r="AA304" s="21" t="n">
        <f aca="false">MAX(0,ROUND(AA303*(1+AA$15),2)-AN303)</f>
        <v>0</v>
      </c>
      <c r="AB304" s="21" t="n">
        <f aca="false">MAX(0,ROUND(AB303*(1+AB$15),2)-AO303)</f>
        <v>0</v>
      </c>
      <c r="AC304" s="21" t="n">
        <f aca="false">MAX(0,ROUND(AC303*(1+AC$15),2)-AP303)</f>
        <v>0</v>
      </c>
      <c r="AD304" s="21" t="n">
        <f aca="false">MAX(0,ROUND(AD303*(1+AD$15),2)-AQ303)</f>
        <v>0</v>
      </c>
      <c r="AE304" s="21" t="n">
        <f aca="false">MIN(Y$16,ROUND(Y304*(1+Y$15),2))</f>
        <v>0</v>
      </c>
      <c r="AF304" s="21" t="n">
        <f aca="false">MIN(Z$16,ROUND(Z304*(1+Z$15),2))</f>
        <v>0</v>
      </c>
      <c r="AG304" s="21" t="n">
        <f aca="false">MIN(AA$16,ROUND(AA304*(1+AA$15),2))</f>
        <v>0</v>
      </c>
      <c r="AH304" s="21" t="n">
        <f aca="false">MIN(AB$16,ROUND(AB304*(1+AB$15),2))</f>
        <v>0</v>
      </c>
      <c r="AI304" s="21" t="n">
        <f aca="false">MIN(AC$16,ROUND(AC304*(1+AC$15),2))</f>
        <v>0</v>
      </c>
      <c r="AJ304" s="21" t="n">
        <f aca="false">MIN(AD$16,ROUND(AD304*(1+AD$15),2))</f>
        <v>0</v>
      </c>
      <c r="AK304" s="21" t="n">
        <f aca="false">Y$20-SUM(AE304:AJ304)</f>
        <v>1170</v>
      </c>
      <c r="AL304" s="21" t="n">
        <f aca="false">MIN(ROUND(Y304*(1+Y$15),2),AE304+MAX(0,AK304))</f>
        <v>0</v>
      </c>
      <c r="AM304" s="21" t="n">
        <f aca="false">MIN(ROUND(Z304*(1+Z$15),2),AF304+MAX(0,AK304-AL304+AE304))</f>
        <v>0</v>
      </c>
      <c r="AN304" s="21" t="n">
        <f aca="false">MIN(ROUND(AA304*(1+AA$15),2),AG304+MAX(0,AK304-AL304+AE304-AM304+AF304))</f>
        <v>0</v>
      </c>
      <c r="AO304" s="21" t="n">
        <f aca="false">MIN(ROUND(AB304*(1+AB$15),2),AH304+MAX(0,AK304-AL304+AE304-AM304+AF304-AN304+AG304))</f>
        <v>0</v>
      </c>
      <c r="AP304" s="21" t="n">
        <f aca="false">MIN(ROUND(AC304*(1+AC$15),2),AI304+MAX(0,AK304-AL304+AE304-AM304+AF304-AN304+AG304-AO304+AH304))</f>
        <v>0</v>
      </c>
      <c r="AQ304" s="21" t="n">
        <f aca="false">MIN(ROUND(AD304*(1+AD$15),2),AJ304+MAX(0,AK304-AL304+AE304-AM304+AF304-AN304+AG304-AO304+AH304-AP304+AI304))</f>
        <v>0</v>
      </c>
      <c r="AR304" s="21" t="n">
        <f aca="false">SUM(Y304:AD304)</f>
        <v>0</v>
      </c>
      <c r="AS304" s="21" t="n">
        <f aca="false">SUM(AL304:AQ304)</f>
        <v>0</v>
      </c>
    </row>
    <row r="305" customFormat="false" ht="15" hidden="false" customHeight="false" outlineLevel="0" collapsed="false">
      <c r="A305" s="25" t="n">
        <f aca="false">A304+1</f>
        <v>279</v>
      </c>
      <c r="B305" s="21" t="n">
        <f aca="false">MAX(0,ROUND(B304*(1+B$15),2)-O304)</f>
        <v>0</v>
      </c>
      <c r="C305" s="21" t="n">
        <f aca="false">MAX(0,ROUND(C304*(1+C$15),2)-P304)</f>
        <v>0</v>
      </c>
      <c r="D305" s="21" t="n">
        <f aca="false">MAX(0,ROUND(D304*(1+D$15),2)-Q304)</f>
        <v>0</v>
      </c>
      <c r="E305" s="21" t="n">
        <f aca="false">MAX(0,ROUND(E304*(1+E$15),2)-R304)</f>
        <v>0</v>
      </c>
      <c r="F305" s="21" t="n">
        <f aca="false">MAX(0,ROUND(F304*(1+F$15),2)-S304)</f>
        <v>0</v>
      </c>
      <c r="G305" s="21" t="n">
        <f aca="false">MAX(0,ROUND(G304*(1+G$15),2)-T304)</f>
        <v>0</v>
      </c>
      <c r="H305" s="21" t="n">
        <f aca="false">MIN(B$16,ROUND(B305*(1+B$15),2))</f>
        <v>0</v>
      </c>
      <c r="I305" s="21" t="n">
        <f aca="false">MIN(C$16,ROUND(C305*(1+C$15),2))</f>
        <v>0</v>
      </c>
      <c r="J305" s="21" t="n">
        <f aca="false">MIN(D$16,ROUND(D305*(1+D$15),2))</f>
        <v>0</v>
      </c>
      <c r="K305" s="21" t="n">
        <f aca="false">MIN(E$16,ROUND(E305*(1+E$15),2))</f>
        <v>0</v>
      </c>
      <c r="L305" s="21" t="n">
        <f aca="false">MIN(F$16,ROUND(F305*(1+F$15),2))</f>
        <v>0</v>
      </c>
      <c r="M305" s="21" t="n">
        <f aca="false">MIN(G$16,ROUND(G305*(1+G$15),2))</f>
        <v>0</v>
      </c>
      <c r="N305" s="21" t="n">
        <f aca="false">B$20-SUM(H305:M305)</f>
        <v>1170</v>
      </c>
      <c r="O305" s="21" t="n">
        <f aca="false">MIN(ROUND(B305*(1+B$15),2),H305+MAX(0,N305))</f>
        <v>0</v>
      </c>
      <c r="P305" s="21" t="n">
        <f aca="false">MIN(ROUND(C305*(1+C$15),2),I305+MAX(0,N305-O305+H305))</f>
        <v>0</v>
      </c>
      <c r="Q305" s="21" t="n">
        <f aca="false">MIN(ROUND(D305*(1+D$15),2),J305+MAX(0,N305-O305+H305-P305+I305))</f>
        <v>0</v>
      </c>
      <c r="R305" s="21" t="n">
        <f aca="false">MIN(ROUND(E305*(1+E$15),2),K305+MAX(0,N305-O305+H305-P305+I305-Q305+J305))</f>
        <v>0</v>
      </c>
      <c r="S305" s="21" t="n">
        <f aca="false">MIN(ROUND(F305*(1+F$15),2),L305+MAX(0,N305-O305+H305-P305+I305-Q305+J305-R305+K305))</f>
        <v>0</v>
      </c>
      <c r="T305" s="21" t="n">
        <f aca="false">MIN(ROUND(G305*(1+G$15),2),M305+MAX(0,N305-O305+H305-P305+I305-Q305+J305-R305+K305-S305+L305))</f>
        <v>0</v>
      </c>
      <c r="U305" s="21" t="n">
        <f aca="false">SUM(B305:G305)</f>
        <v>0</v>
      </c>
      <c r="V305" s="21" t="n">
        <f aca="false">SUM(O305:T305)</f>
        <v>0</v>
      </c>
      <c r="X305" s="25" t="n">
        <f aca="false">X304+1</f>
        <v>279</v>
      </c>
      <c r="Y305" s="21" t="n">
        <f aca="false">MAX(0,ROUND(Y304*(1+Y$15),2)-AL304)</f>
        <v>0</v>
      </c>
      <c r="Z305" s="21" t="n">
        <f aca="false">MAX(0,ROUND(Z304*(1+Z$15),2)-AM304)</f>
        <v>0</v>
      </c>
      <c r="AA305" s="21" t="n">
        <f aca="false">MAX(0,ROUND(AA304*(1+AA$15),2)-AN304)</f>
        <v>0</v>
      </c>
      <c r="AB305" s="21" t="n">
        <f aca="false">MAX(0,ROUND(AB304*(1+AB$15),2)-AO304)</f>
        <v>0</v>
      </c>
      <c r="AC305" s="21" t="n">
        <f aca="false">MAX(0,ROUND(AC304*(1+AC$15),2)-AP304)</f>
        <v>0</v>
      </c>
      <c r="AD305" s="21" t="n">
        <f aca="false">MAX(0,ROUND(AD304*(1+AD$15),2)-AQ304)</f>
        <v>0</v>
      </c>
      <c r="AE305" s="21" t="n">
        <f aca="false">MIN(Y$16,ROUND(Y305*(1+Y$15),2))</f>
        <v>0</v>
      </c>
      <c r="AF305" s="21" t="n">
        <f aca="false">MIN(Z$16,ROUND(Z305*(1+Z$15),2))</f>
        <v>0</v>
      </c>
      <c r="AG305" s="21" t="n">
        <f aca="false">MIN(AA$16,ROUND(AA305*(1+AA$15),2))</f>
        <v>0</v>
      </c>
      <c r="AH305" s="21" t="n">
        <f aca="false">MIN(AB$16,ROUND(AB305*(1+AB$15),2))</f>
        <v>0</v>
      </c>
      <c r="AI305" s="21" t="n">
        <f aca="false">MIN(AC$16,ROUND(AC305*(1+AC$15),2))</f>
        <v>0</v>
      </c>
      <c r="AJ305" s="21" t="n">
        <f aca="false">MIN(AD$16,ROUND(AD305*(1+AD$15),2))</f>
        <v>0</v>
      </c>
      <c r="AK305" s="21" t="n">
        <f aca="false">Y$20-SUM(AE305:AJ305)</f>
        <v>1170</v>
      </c>
      <c r="AL305" s="21" t="n">
        <f aca="false">MIN(ROUND(Y305*(1+Y$15),2),AE305+MAX(0,AK305))</f>
        <v>0</v>
      </c>
      <c r="AM305" s="21" t="n">
        <f aca="false">MIN(ROUND(Z305*(1+Z$15),2),AF305+MAX(0,AK305-AL305+AE305))</f>
        <v>0</v>
      </c>
      <c r="AN305" s="21" t="n">
        <f aca="false">MIN(ROUND(AA305*(1+AA$15),2),AG305+MAX(0,AK305-AL305+AE305-AM305+AF305))</f>
        <v>0</v>
      </c>
      <c r="AO305" s="21" t="n">
        <f aca="false">MIN(ROUND(AB305*(1+AB$15),2),AH305+MAX(0,AK305-AL305+AE305-AM305+AF305-AN305+AG305))</f>
        <v>0</v>
      </c>
      <c r="AP305" s="21" t="n">
        <f aca="false">MIN(ROUND(AC305*(1+AC$15),2),AI305+MAX(0,AK305-AL305+AE305-AM305+AF305-AN305+AG305-AO305+AH305))</f>
        <v>0</v>
      </c>
      <c r="AQ305" s="21" t="n">
        <f aca="false">MIN(ROUND(AD305*(1+AD$15),2),AJ305+MAX(0,AK305-AL305+AE305-AM305+AF305-AN305+AG305-AO305+AH305-AP305+AI305))</f>
        <v>0</v>
      </c>
      <c r="AR305" s="21" t="n">
        <f aca="false">SUM(Y305:AD305)</f>
        <v>0</v>
      </c>
      <c r="AS305" s="21" t="n">
        <f aca="false">SUM(AL305:AQ305)</f>
        <v>0</v>
      </c>
    </row>
    <row r="306" customFormat="false" ht="15" hidden="false" customHeight="false" outlineLevel="0" collapsed="false">
      <c r="A306" s="25" t="n">
        <f aca="false">A305+1</f>
        <v>280</v>
      </c>
      <c r="B306" s="21" t="n">
        <f aca="false">MAX(0,ROUND(B305*(1+B$15),2)-O305)</f>
        <v>0</v>
      </c>
      <c r="C306" s="21" t="n">
        <f aca="false">MAX(0,ROUND(C305*(1+C$15),2)-P305)</f>
        <v>0</v>
      </c>
      <c r="D306" s="21" t="n">
        <f aca="false">MAX(0,ROUND(D305*(1+D$15),2)-Q305)</f>
        <v>0</v>
      </c>
      <c r="E306" s="21" t="n">
        <f aca="false">MAX(0,ROUND(E305*(1+E$15),2)-R305)</f>
        <v>0</v>
      </c>
      <c r="F306" s="21" t="n">
        <f aca="false">MAX(0,ROUND(F305*(1+F$15),2)-S305)</f>
        <v>0</v>
      </c>
      <c r="G306" s="21" t="n">
        <f aca="false">MAX(0,ROUND(G305*(1+G$15),2)-T305)</f>
        <v>0</v>
      </c>
      <c r="H306" s="21" t="n">
        <f aca="false">MIN(B$16,ROUND(B306*(1+B$15),2))</f>
        <v>0</v>
      </c>
      <c r="I306" s="21" t="n">
        <f aca="false">MIN(C$16,ROUND(C306*(1+C$15),2))</f>
        <v>0</v>
      </c>
      <c r="J306" s="21" t="n">
        <f aca="false">MIN(D$16,ROUND(D306*(1+D$15),2))</f>
        <v>0</v>
      </c>
      <c r="K306" s="21" t="n">
        <f aca="false">MIN(E$16,ROUND(E306*(1+E$15),2))</f>
        <v>0</v>
      </c>
      <c r="L306" s="21" t="n">
        <f aca="false">MIN(F$16,ROUND(F306*(1+F$15),2))</f>
        <v>0</v>
      </c>
      <c r="M306" s="21" t="n">
        <f aca="false">MIN(G$16,ROUND(G306*(1+G$15),2))</f>
        <v>0</v>
      </c>
      <c r="N306" s="21" t="n">
        <f aca="false">B$20-SUM(H306:M306)</f>
        <v>1170</v>
      </c>
      <c r="O306" s="21" t="n">
        <f aca="false">MIN(ROUND(B306*(1+B$15),2),H306+MAX(0,N306))</f>
        <v>0</v>
      </c>
      <c r="P306" s="21" t="n">
        <f aca="false">MIN(ROUND(C306*(1+C$15),2),I306+MAX(0,N306-O306+H306))</f>
        <v>0</v>
      </c>
      <c r="Q306" s="21" t="n">
        <f aca="false">MIN(ROUND(D306*(1+D$15),2),J306+MAX(0,N306-O306+H306-P306+I306))</f>
        <v>0</v>
      </c>
      <c r="R306" s="21" t="n">
        <f aca="false">MIN(ROUND(E306*(1+E$15),2),K306+MAX(0,N306-O306+H306-P306+I306-Q306+J306))</f>
        <v>0</v>
      </c>
      <c r="S306" s="21" t="n">
        <f aca="false">MIN(ROUND(F306*(1+F$15),2),L306+MAX(0,N306-O306+H306-P306+I306-Q306+J306-R306+K306))</f>
        <v>0</v>
      </c>
      <c r="T306" s="21" t="n">
        <f aca="false">MIN(ROUND(G306*(1+G$15),2),M306+MAX(0,N306-O306+H306-P306+I306-Q306+J306-R306+K306-S306+L306))</f>
        <v>0</v>
      </c>
      <c r="U306" s="21" t="n">
        <f aca="false">SUM(B306:G306)</f>
        <v>0</v>
      </c>
      <c r="V306" s="21" t="n">
        <f aca="false">SUM(O306:T306)</f>
        <v>0</v>
      </c>
      <c r="X306" s="25" t="n">
        <f aca="false">X305+1</f>
        <v>280</v>
      </c>
      <c r="Y306" s="21" t="n">
        <f aca="false">MAX(0,ROUND(Y305*(1+Y$15),2)-AL305)</f>
        <v>0</v>
      </c>
      <c r="Z306" s="21" t="n">
        <f aca="false">MAX(0,ROUND(Z305*(1+Z$15),2)-AM305)</f>
        <v>0</v>
      </c>
      <c r="AA306" s="21" t="n">
        <f aca="false">MAX(0,ROUND(AA305*(1+AA$15),2)-AN305)</f>
        <v>0</v>
      </c>
      <c r="AB306" s="21" t="n">
        <f aca="false">MAX(0,ROUND(AB305*(1+AB$15),2)-AO305)</f>
        <v>0</v>
      </c>
      <c r="AC306" s="21" t="n">
        <f aca="false">MAX(0,ROUND(AC305*(1+AC$15),2)-AP305)</f>
        <v>0</v>
      </c>
      <c r="AD306" s="21" t="n">
        <f aca="false">MAX(0,ROUND(AD305*(1+AD$15),2)-AQ305)</f>
        <v>0</v>
      </c>
      <c r="AE306" s="21" t="n">
        <f aca="false">MIN(Y$16,ROUND(Y306*(1+Y$15),2))</f>
        <v>0</v>
      </c>
      <c r="AF306" s="21" t="n">
        <f aca="false">MIN(Z$16,ROUND(Z306*(1+Z$15),2))</f>
        <v>0</v>
      </c>
      <c r="AG306" s="21" t="n">
        <f aca="false">MIN(AA$16,ROUND(AA306*(1+AA$15),2))</f>
        <v>0</v>
      </c>
      <c r="AH306" s="21" t="n">
        <f aca="false">MIN(AB$16,ROUND(AB306*(1+AB$15),2))</f>
        <v>0</v>
      </c>
      <c r="AI306" s="21" t="n">
        <f aca="false">MIN(AC$16,ROUND(AC306*(1+AC$15),2))</f>
        <v>0</v>
      </c>
      <c r="AJ306" s="21" t="n">
        <f aca="false">MIN(AD$16,ROUND(AD306*(1+AD$15),2))</f>
        <v>0</v>
      </c>
      <c r="AK306" s="21" t="n">
        <f aca="false">Y$20-SUM(AE306:AJ306)</f>
        <v>1170</v>
      </c>
      <c r="AL306" s="21" t="n">
        <f aca="false">MIN(ROUND(Y306*(1+Y$15),2),AE306+MAX(0,AK306))</f>
        <v>0</v>
      </c>
      <c r="AM306" s="21" t="n">
        <f aca="false">MIN(ROUND(Z306*(1+Z$15),2),AF306+MAX(0,AK306-AL306+AE306))</f>
        <v>0</v>
      </c>
      <c r="AN306" s="21" t="n">
        <f aca="false">MIN(ROUND(AA306*(1+AA$15),2),AG306+MAX(0,AK306-AL306+AE306-AM306+AF306))</f>
        <v>0</v>
      </c>
      <c r="AO306" s="21" t="n">
        <f aca="false">MIN(ROUND(AB306*(1+AB$15),2),AH306+MAX(0,AK306-AL306+AE306-AM306+AF306-AN306+AG306))</f>
        <v>0</v>
      </c>
      <c r="AP306" s="21" t="n">
        <f aca="false">MIN(ROUND(AC306*(1+AC$15),2),AI306+MAX(0,AK306-AL306+AE306-AM306+AF306-AN306+AG306-AO306+AH306))</f>
        <v>0</v>
      </c>
      <c r="AQ306" s="21" t="n">
        <f aca="false">MIN(ROUND(AD306*(1+AD$15),2),AJ306+MAX(0,AK306-AL306+AE306-AM306+AF306-AN306+AG306-AO306+AH306-AP306+AI306))</f>
        <v>0</v>
      </c>
      <c r="AR306" s="21" t="n">
        <f aca="false">SUM(Y306:AD306)</f>
        <v>0</v>
      </c>
      <c r="AS306" s="21" t="n">
        <f aca="false">SUM(AL306:AQ306)</f>
        <v>0</v>
      </c>
    </row>
    <row r="307" customFormat="false" ht="15" hidden="false" customHeight="false" outlineLevel="0" collapsed="false">
      <c r="A307" s="25" t="n">
        <f aca="false">A306+1</f>
        <v>281</v>
      </c>
      <c r="B307" s="21" t="n">
        <f aca="false">MAX(0,ROUND(B306*(1+B$15),2)-O306)</f>
        <v>0</v>
      </c>
      <c r="C307" s="21" t="n">
        <f aca="false">MAX(0,ROUND(C306*(1+C$15),2)-P306)</f>
        <v>0</v>
      </c>
      <c r="D307" s="21" t="n">
        <f aca="false">MAX(0,ROUND(D306*(1+D$15),2)-Q306)</f>
        <v>0</v>
      </c>
      <c r="E307" s="21" t="n">
        <f aca="false">MAX(0,ROUND(E306*(1+E$15),2)-R306)</f>
        <v>0</v>
      </c>
      <c r="F307" s="21" t="n">
        <f aca="false">MAX(0,ROUND(F306*(1+F$15),2)-S306)</f>
        <v>0</v>
      </c>
      <c r="G307" s="21" t="n">
        <f aca="false">MAX(0,ROUND(G306*(1+G$15),2)-T306)</f>
        <v>0</v>
      </c>
      <c r="H307" s="21" t="n">
        <f aca="false">MIN(B$16,ROUND(B307*(1+B$15),2))</f>
        <v>0</v>
      </c>
      <c r="I307" s="21" t="n">
        <f aca="false">MIN(C$16,ROUND(C307*(1+C$15),2))</f>
        <v>0</v>
      </c>
      <c r="J307" s="21" t="n">
        <f aca="false">MIN(D$16,ROUND(D307*(1+D$15),2))</f>
        <v>0</v>
      </c>
      <c r="K307" s="21" t="n">
        <f aca="false">MIN(E$16,ROUND(E307*(1+E$15),2))</f>
        <v>0</v>
      </c>
      <c r="L307" s="21" t="n">
        <f aca="false">MIN(F$16,ROUND(F307*(1+F$15),2))</f>
        <v>0</v>
      </c>
      <c r="M307" s="21" t="n">
        <f aca="false">MIN(G$16,ROUND(G307*(1+G$15),2))</f>
        <v>0</v>
      </c>
      <c r="N307" s="21" t="n">
        <f aca="false">B$20-SUM(H307:M307)</f>
        <v>1170</v>
      </c>
      <c r="O307" s="21" t="n">
        <f aca="false">MIN(ROUND(B307*(1+B$15),2),H307+MAX(0,N307))</f>
        <v>0</v>
      </c>
      <c r="P307" s="21" t="n">
        <f aca="false">MIN(ROUND(C307*(1+C$15),2),I307+MAX(0,N307-O307+H307))</f>
        <v>0</v>
      </c>
      <c r="Q307" s="21" t="n">
        <f aca="false">MIN(ROUND(D307*(1+D$15),2),J307+MAX(0,N307-O307+H307-P307+I307))</f>
        <v>0</v>
      </c>
      <c r="R307" s="21" t="n">
        <f aca="false">MIN(ROUND(E307*(1+E$15),2),K307+MAX(0,N307-O307+H307-P307+I307-Q307+J307))</f>
        <v>0</v>
      </c>
      <c r="S307" s="21" t="n">
        <f aca="false">MIN(ROUND(F307*(1+F$15),2),L307+MAX(0,N307-O307+H307-P307+I307-Q307+J307-R307+K307))</f>
        <v>0</v>
      </c>
      <c r="T307" s="21" t="n">
        <f aca="false">MIN(ROUND(G307*(1+G$15),2),M307+MAX(0,N307-O307+H307-P307+I307-Q307+J307-R307+K307-S307+L307))</f>
        <v>0</v>
      </c>
      <c r="U307" s="21" t="n">
        <f aca="false">SUM(B307:G307)</f>
        <v>0</v>
      </c>
      <c r="V307" s="21" t="n">
        <f aca="false">SUM(O307:T307)</f>
        <v>0</v>
      </c>
      <c r="X307" s="25" t="n">
        <f aca="false">X306+1</f>
        <v>281</v>
      </c>
      <c r="Y307" s="21" t="n">
        <f aca="false">MAX(0,ROUND(Y306*(1+Y$15),2)-AL306)</f>
        <v>0</v>
      </c>
      <c r="Z307" s="21" t="n">
        <f aca="false">MAX(0,ROUND(Z306*(1+Z$15),2)-AM306)</f>
        <v>0</v>
      </c>
      <c r="AA307" s="21" t="n">
        <f aca="false">MAX(0,ROUND(AA306*(1+AA$15),2)-AN306)</f>
        <v>0</v>
      </c>
      <c r="AB307" s="21" t="n">
        <f aca="false">MAX(0,ROUND(AB306*(1+AB$15),2)-AO306)</f>
        <v>0</v>
      </c>
      <c r="AC307" s="21" t="n">
        <f aca="false">MAX(0,ROUND(AC306*(1+AC$15),2)-AP306)</f>
        <v>0</v>
      </c>
      <c r="AD307" s="21" t="n">
        <f aca="false">MAX(0,ROUND(AD306*(1+AD$15),2)-AQ306)</f>
        <v>0</v>
      </c>
      <c r="AE307" s="21" t="n">
        <f aca="false">MIN(Y$16,ROUND(Y307*(1+Y$15),2))</f>
        <v>0</v>
      </c>
      <c r="AF307" s="21" t="n">
        <f aca="false">MIN(Z$16,ROUND(Z307*(1+Z$15),2))</f>
        <v>0</v>
      </c>
      <c r="AG307" s="21" t="n">
        <f aca="false">MIN(AA$16,ROUND(AA307*(1+AA$15),2))</f>
        <v>0</v>
      </c>
      <c r="AH307" s="21" t="n">
        <f aca="false">MIN(AB$16,ROUND(AB307*(1+AB$15),2))</f>
        <v>0</v>
      </c>
      <c r="AI307" s="21" t="n">
        <f aca="false">MIN(AC$16,ROUND(AC307*(1+AC$15),2))</f>
        <v>0</v>
      </c>
      <c r="AJ307" s="21" t="n">
        <f aca="false">MIN(AD$16,ROUND(AD307*(1+AD$15),2))</f>
        <v>0</v>
      </c>
      <c r="AK307" s="21" t="n">
        <f aca="false">Y$20-SUM(AE307:AJ307)</f>
        <v>1170</v>
      </c>
      <c r="AL307" s="21" t="n">
        <f aca="false">MIN(ROUND(Y307*(1+Y$15),2),AE307+MAX(0,AK307))</f>
        <v>0</v>
      </c>
      <c r="AM307" s="21" t="n">
        <f aca="false">MIN(ROUND(Z307*(1+Z$15),2),AF307+MAX(0,AK307-AL307+AE307))</f>
        <v>0</v>
      </c>
      <c r="AN307" s="21" t="n">
        <f aca="false">MIN(ROUND(AA307*(1+AA$15),2),AG307+MAX(0,AK307-AL307+AE307-AM307+AF307))</f>
        <v>0</v>
      </c>
      <c r="AO307" s="21" t="n">
        <f aca="false">MIN(ROUND(AB307*(1+AB$15),2),AH307+MAX(0,AK307-AL307+AE307-AM307+AF307-AN307+AG307))</f>
        <v>0</v>
      </c>
      <c r="AP307" s="21" t="n">
        <f aca="false">MIN(ROUND(AC307*(1+AC$15),2),AI307+MAX(0,AK307-AL307+AE307-AM307+AF307-AN307+AG307-AO307+AH307))</f>
        <v>0</v>
      </c>
      <c r="AQ307" s="21" t="n">
        <f aca="false">MIN(ROUND(AD307*(1+AD$15),2),AJ307+MAX(0,AK307-AL307+AE307-AM307+AF307-AN307+AG307-AO307+AH307-AP307+AI307))</f>
        <v>0</v>
      </c>
      <c r="AR307" s="21" t="n">
        <f aca="false">SUM(Y307:AD307)</f>
        <v>0</v>
      </c>
      <c r="AS307" s="21" t="n">
        <f aca="false">SUM(AL307:AQ307)</f>
        <v>0</v>
      </c>
    </row>
    <row r="308" customFormat="false" ht="15" hidden="false" customHeight="false" outlineLevel="0" collapsed="false">
      <c r="A308" s="25" t="n">
        <f aca="false">A307+1</f>
        <v>282</v>
      </c>
      <c r="B308" s="21" t="n">
        <f aca="false">MAX(0,ROUND(B307*(1+B$15),2)-O307)</f>
        <v>0</v>
      </c>
      <c r="C308" s="21" t="n">
        <f aca="false">MAX(0,ROUND(C307*(1+C$15),2)-P307)</f>
        <v>0</v>
      </c>
      <c r="D308" s="21" t="n">
        <f aca="false">MAX(0,ROUND(D307*(1+D$15),2)-Q307)</f>
        <v>0</v>
      </c>
      <c r="E308" s="21" t="n">
        <f aca="false">MAX(0,ROUND(E307*(1+E$15),2)-R307)</f>
        <v>0</v>
      </c>
      <c r="F308" s="21" t="n">
        <f aca="false">MAX(0,ROUND(F307*(1+F$15),2)-S307)</f>
        <v>0</v>
      </c>
      <c r="G308" s="21" t="n">
        <f aca="false">MAX(0,ROUND(G307*(1+G$15),2)-T307)</f>
        <v>0</v>
      </c>
      <c r="H308" s="21" t="n">
        <f aca="false">MIN(B$16,ROUND(B308*(1+B$15),2))</f>
        <v>0</v>
      </c>
      <c r="I308" s="21" t="n">
        <f aca="false">MIN(C$16,ROUND(C308*(1+C$15),2))</f>
        <v>0</v>
      </c>
      <c r="J308" s="21" t="n">
        <f aca="false">MIN(D$16,ROUND(D308*(1+D$15),2))</f>
        <v>0</v>
      </c>
      <c r="K308" s="21" t="n">
        <f aca="false">MIN(E$16,ROUND(E308*(1+E$15),2))</f>
        <v>0</v>
      </c>
      <c r="L308" s="21" t="n">
        <f aca="false">MIN(F$16,ROUND(F308*(1+F$15),2))</f>
        <v>0</v>
      </c>
      <c r="M308" s="21" t="n">
        <f aca="false">MIN(G$16,ROUND(G308*(1+G$15),2))</f>
        <v>0</v>
      </c>
      <c r="N308" s="21" t="n">
        <f aca="false">B$20-SUM(H308:M308)</f>
        <v>1170</v>
      </c>
      <c r="O308" s="21" t="n">
        <f aca="false">MIN(ROUND(B308*(1+B$15),2),H308+MAX(0,N308))</f>
        <v>0</v>
      </c>
      <c r="P308" s="21" t="n">
        <f aca="false">MIN(ROUND(C308*(1+C$15),2),I308+MAX(0,N308-O308+H308))</f>
        <v>0</v>
      </c>
      <c r="Q308" s="21" t="n">
        <f aca="false">MIN(ROUND(D308*(1+D$15),2),J308+MAX(0,N308-O308+H308-P308+I308))</f>
        <v>0</v>
      </c>
      <c r="R308" s="21" t="n">
        <f aca="false">MIN(ROUND(E308*(1+E$15),2),K308+MAX(0,N308-O308+H308-P308+I308-Q308+J308))</f>
        <v>0</v>
      </c>
      <c r="S308" s="21" t="n">
        <f aca="false">MIN(ROUND(F308*(1+F$15),2),L308+MAX(0,N308-O308+H308-P308+I308-Q308+J308-R308+K308))</f>
        <v>0</v>
      </c>
      <c r="T308" s="21" t="n">
        <f aca="false">MIN(ROUND(G308*(1+G$15),2),M308+MAX(0,N308-O308+H308-P308+I308-Q308+J308-R308+K308-S308+L308))</f>
        <v>0</v>
      </c>
      <c r="U308" s="21" t="n">
        <f aca="false">SUM(B308:G308)</f>
        <v>0</v>
      </c>
      <c r="V308" s="21" t="n">
        <f aca="false">SUM(O308:T308)</f>
        <v>0</v>
      </c>
      <c r="X308" s="25" t="n">
        <f aca="false">X307+1</f>
        <v>282</v>
      </c>
      <c r="Y308" s="21" t="n">
        <f aca="false">MAX(0,ROUND(Y307*(1+Y$15),2)-AL307)</f>
        <v>0</v>
      </c>
      <c r="Z308" s="21" t="n">
        <f aca="false">MAX(0,ROUND(Z307*(1+Z$15),2)-AM307)</f>
        <v>0</v>
      </c>
      <c r="AA308" s="21" t="n">
        <f aca="false">MAX(0,ROUND(AA307*(1+AA$15),2)-AN307)</f>
        <v>0</v>
      </c>
      <c r="AB308" s="21" t="n">
        <f aca="false">MAX(0,ROUND(AB307*(1+AB$15),2)-AO307)</f>
        <v>0</v>
      </c>
      <c r="AC308" s="21" t="n">
        <f aca="false">MAX(0,ROUND(AC307*(1+AC$15),2)-AP307)</f>
        <v>0</v>
      </c>
      <c r="AD308" s="21" t="n">
        <f aca="false">MAX(0,ROUND(AD307*(1+AD$15),2)-AQ307)</f>
        <v>0</v>
      </c>
      <c r="AE308" s="21" t="n">
        <f aca="false">MIN(Y$16,ROUND(Y308*(1+Y$15),2))</f>
        <v>0</v>
      </c>
      <c r="AF308" s="21" t="n">
        <f aca="false">MIN(Z$16,ROUND(Z308*(1+Z$15),2))</f>
        <v>0</v>
      </c>
      <c r="AG308" s="21" t="n">
        <f aca="false">MIN(AA$16,ROUND(AA308*(1+AA$15),2))</f>
        <v>0</v>
      </c>
      <c r="AH308" s="21" t="n">
        <f aca="false">MIN(AB$16,ROUND(AB308*(1+AB$15),2))</f>
        <v>0</v>
      </c>
      <c r="AI308" s="21" t="n">
        <f aca="false">MIN(AC$16,ROUND(AC308*(1+AC$15),2))</f>
        <v>0</v>
      </c>
      <c r="AJ308" s="21" t="n">
        <f aca="false">MIN(AD$16,ROUND(AD308*(1+AD$15),2))</f>
        <v>0</v>
      </c>
      <c r="AK308" s="21" t="n">
        <f aca="false">Y$20-SUM(AE308:AJ308)</f>
        <v>1170</v>
      </c>
      <c r="AL308" s="21" t="n">
        <f aca="false">MIN(ROUND(Y308*(1+Y$15),2),AE308+MAX(0,AK308))</f>
        <v>0</v>
      </c>
      <c r="AM308" s="21" t="n">
        <f aca="false">MIN(ROUND(Z308*(1+Z$15),2),AF308+MAX(0,AK308-AL308+AE308))</f>
        <v>0</v>
      </c>
      <c r="AN308" s="21" t="n">
        <f aca="false">MIN(ROUND(AA308*(1+AA$15),2),AG308+MAX(0,AK308-AL308+AE308-AM308+AF308))</f>
        <v>0</v>
      </c>
      <c r="AO308" s="21" t="n">
        <f aca="false">MIN(ROUND(AB308*(1+AB$15),2),AH308+MAX(0,AK308-AL308+AE308-AM308+AF308-AN308+AG308))</f>
        <v>0</v>
      </c>
      <c r="AP308" s="21" t="n">
        <f aca="false">MIN(ROUND(AC308*(1+AC$15),2),AI308+MAX(0,AK308-AL308+AE308-AM308+AF308-AN308+AG308-AO308+AH308))</f>
        <v>0</v>
      </c>
      <c r="AQ308" s="21" t="n">
        <f aca="false">MIN(ROUND(AD308*(1+AD$15),2),AJ308+MAX(0,AK308-AL308+AE308-AM308+AF308-AN308+AG308-AO308+AH308-AP308+AI308))</f>
        <v>0</v>
      </c>
      <c r="AR308" s="21" t="n">
        <f aca="false">SUM(Y308:AD308)</f>
        <v>0</v>
      </c>
      <c r="AS308" s="21" t="n">
        <f aca="false">SUM(AL308:AQ308)</f>
        <v>0</v>
      </c>
    </row>
    <row r="309" customFormat="false" ht="15" hidden="false" customHeight="false" outlineLevel="0" collapsed="false">
      <c r="A309" s="25" t="n">
        <f aca="false">A308+1</f>
        <v>283</v>
      </c>
      <c r="B309" s="21" t="n">
        <f aca="false">MAX(0,ROUND(B308*(1+B$15),2)-O308)</f>
        <v>0</v>
      </c>
      <c r="C309" s="21" t="n">
        <f aca="false">MAX(0,ROUND(C308*(1+C$15),2)-P308)</f>
        <v>0</v>
      </c>
      <c r="D309" s="21" t="n">
        <f aca="false">MAX(0,ROUND(D308*(1+D$15),2)-Q308)</f>
        <v>0</v>
      </c>
      <c r="E309" s="21" t="n">
        <f aca="false">MAX(0,ROUND(E308*(1+E$15),2)-R308)</f>
        <v>0</v>
      </c>
      <c r="F309" s="21" t="n">
        <f aca="false">MAX(0,ROUND(F308*(1+F$15),2)-S308)</f>
        <v>0</v>
      </c>
      <c r="G309" s="21" t="n">
        <f aca="false">MAX(0,ROUND(G308*(1+G$15),2)-T308)</f>
        <v>0</v>
      </c>
      <c r="H309" s="21" t="n">
        <f aca="false">MIN(B$16,ROUND(B309*(1+B$15),2))</f>
        <v>0</v>
      </c>
      <c r="I309" s="21" t="n">
        <f aca="false">MIN(C$16,ROUND(C309*(1+C$15),2))</f>
        <v>0</v>
      </c>
      <c r="J309" s="21" t="n">
        <f aca="false">MIN(D$16,ROUND(D309*(1+D$15),2))</f>
        <v>0</v>
      </c>
      <c r="K309" s="21" t="n">
        <f aca="false">MIN(E$16,ROUND(E309*(1+E$15),2))</f>
        <v>0</v>
      </c>
      <c r="L309" s="21" t="n">
        <f aca="false">MIN(F$16,ROUND(F309*(1+F$15),2))</f>
        <v>0</v>
      </c>
      <c r="M309" s="21" t="n">
        <f aca="false">MIN(G$16,ROUND(G309*(1+G$15),2))</f>
        <v>0</v>
      </c>
      <c r="N309" s="21" t="n">
        <f aca="false">B$20-SUM(H309:M309)</f>
        <v>1170</v>
      </c>
      <c r="O309" s="21" t="n">
        <f aca="false">MIN(ROUND(B309*(1+B$15),2),H309+MAX(0,N309))</f>
        <v>0</v>
      </c>
      <c r="P309" s="21" t="n">
        <f aca="false">MIN(ROUND(C309*(1+C$15),2),I309+MAX(0,N309-O309+H309))</f>
        <v>0</v>
      </c>
      <c r="Q309" s="21" t="n">
        <f aca="false">MIN(ROUND(D309*(1+D$15),2),J309+MAX(0,N309-O309+H309-P309+I309))</f>
        <v>0</v>
      </c>
      <c r="R309" s="21" t="n">
        <f aca="false">MIN(ROUND(E309*(1+E$15),2),K309+MAX(0,N309-O309+H309-P309+I309-Q309+J309))</f>
        <v>0</v>
      </c>
      <c r="S309" s="21" t="n">
        <f aca="false">MIN(ROUND(F309*(1+F$15),2),L309+MAX(0,N309-O309+H309-P309+I309-Q309+J309-R309+K309))</f>
        <v>0</v>
      </c>
      <c r="T309" s="21" t="n">
        <f aca="false">MIN(ROUND(G309*(1+G$15),2),M309+MAX(0,N309-O309+H309-P309+I309-Q309+J309-R309+K309-S309+L309))</f>
        <v>0</v>
      </c>
      <c r="U309" s="21" t="n">
        <f aca="false">SUM(B309:G309)</f>
        <v>0</v>
      </c>
      <c r="V309" s="21" t="n">
        <f aca="false">SUM(O309:T309)</f>
        <v>0</v>
      </c>
      <c r="X309" s="25" t="n">
        <f aca="false">X308+1</f>
        <v>283</v>
      </c>
      <c r="Y309" s="21" t="n">
        <f aca="false">MAX(0,ROUND(Y308*(1+Y$15),2)-AL308)</f>
        <v>0</v>
      </c>
      <c r="Z309" s="21" t="n">
        <f aca="false">MAX(0,ROUND(Z308*(1+Z$15),2)-AM308)</f>
        <v>0</v>
      </c>
      <c r="AA309" s="21" t="n">
        <f aca="false">MAX(0,ROUND(AA308*(1+AA$15),2)-AN308)</f>
        <v>0</v>
      </c>
      <c r="AB309" s="21" t="n">
        <f aca="false">MAX(0,ROUND(AB308*(1+AB$15),2)-AO308)</f>
        <v>0</v>
      </c>
      <c r="AC309" s="21" t="n">
        <f aca="false">MAX(0,ROUND(AC308*(1+AC$15),2)-AP308)</f>
        <v>0</v>
      </c>
      <c r="AD309" s="21" t="n">
        <f aca="false">MAX(0,ROUND(AD308*(1+AD$15),2)-AQ308)</f>
        <v>0</v>
      </c>
      <c r="AE309" s="21" t="n">
        <f aca="false">MIN(Y$16,ROUND(Y309*(1+Y$15),2))</f>
        <v>0</v>
      </c>
      <c r="AF309" s="21" t="n">
        <f aca="false">MIN(Z$16,ROUND(Z309*(1+Z$15),2))</f>
        <v>0</v>
      </c>
      <c r="AG309" s="21" t="n">
        <f aca="false">MIN(AA$16,ROUND(AA309*(1+AA$15),2))</f>
        <v>0</v>
      </c>
      <c r="AH309" s="21" t="n">
        <f aca="false">MIN(AB$16,ROUND(AB309*(1+AB$15),2))</f>
        <v>0</v>
      </c>
      <c r="AI309" s="21" t="n">
        <f aca="false">MIN(AC$16,ROUND(AC309*(1+AC$15),2))</f>
        <v>0</v>
      </c>
      <c r="AJ309" s="21" t="n">
        <f aca="false">MIN(AD$16,ROUND(AD309*(1+AD$15),2))</f>
        <v>0</v>
      </c>
      <c r="AK309" s="21" t="n">
        <f aca="false">Y$20-SUM(AE309:AJ309)</f>
        <v>1170</v>
      </c>
      <c r="AL309" s="21" t="n">
        <f aca="false">MIN(ROUND(Y309*(1+Y$15),2),AE309+MAX(0,AK309))</f>
        <v>0</v>
      </c>
      <c r="AM309" s="21" t="n">
        <f aca="false">MIN(ROUND(Z309*(1+Z$15),2),AF309+MAX(0,AK309-AL309+AE309))</f>
        <v>0</v>
      </c>
      <c r="AN309" s="21" t="n">
        <f aca="false">MIN(ROUND(AA309*(1+AA$15),2),AG309+MAX(0,AK309-AL309+AE309-AM309+AF309))</f>
        <v>0</v>
      </c>
      <c r="AO309" s="21" t="n">
        <f aca="false">MIN(ROUND(AB309*(1+AB$15),2),AH309+MAX(0,AK309-AL309+AE309-AM309+AF309-AN309+AG309))</f>
        <v>0</v>
      </c>
      <c r="AP309" s="21" t="n">
        <f aca="false">MIN(ROUND(AC309*(1+AC$15),2),AI309+MAX(0,AK309-AL309+AE309-AM309+AF309-AN309+AG309-AO309+AH309))</f>
        <v>0</v>
      </c>
      <c r="AQ309" s="21" t="n">
        <f aca="false">MIN(ROUND(AD309*(1+AD$15),2),AJ309+MAX(0,AK309-AL309+AE309-AM309+AF309-AN309+AG309-AO309+AH309-AP309+AI309))</f>
        <v>0</v>
      </c>
      <c r="AR309" s="21" t="n">
        <f aca="false">SUM(Y309:AD309)</f>
        <v>0</v>
      </c>
      <c r="AS309" s="21" t="n">
        <f aca="false">SUM(AL309:AQ309)</f>
        <v>0</v>
      </c>
    </row>
    <row r="310" customFormat="false" ht="15" hidden="false" customHeight="false" outlineLevel="0" collapsed="false">
      <c r="A310" s="25" t="n">
        <f aca="false">A309+1</f>
        <v>284</v>
      </c>
      <c r="B310" s="21" t="n">
        <f aca="false">MAX(0,ROUND(B309*(1+B$15),2)-O309)</f>
        <v>0</v>
      </c>
      <c r="C310" s="21" t="n">
        <f aca="false">MAX(0,ROUND(C309*(1+C$15),2)-P309)</f>
        <v>0</v>
      </c>
      <c r="D310" s="21" t="n">
        <f aca="false">MAX(0,ROUND(D309*(1+D$15),2)-Q309)</f>
        <v>0</v>
      </c>
      <c r="E310" s="21" t="n">
        <f aca="false">MAX(0,ROUND(E309*(1+E$15),2)-R309)</f>
        <v>0</v>
      </c>
      <c r="F310" s="21" t="n">
        <f aca="false">MAX(0,ROUND(F309*(1+F$15),2)-S309)</f>
        <v>0</v>
      </c>
      <c r="G310" s="21" t="n">
        <f aca="false">MAX(0,ROUND(G309*(1+G$15),2)-T309)</f>
        <v>0</v>
      </c>
      <c r="H310" s="21" t="n">
        <f aca="false">MIN(B$16,ROUND(B310*(1+B$15),2))</f>
        <v>0</v>
      </c>
      <c r="I310" s="21" t="n">
        <f aca="false">MIN(C$16,ROUND(C310*(1+C$15),2))</f>
        <v>0</v>
      </c>
      <c r="J310" s="21" t="n">
        <f aca="false">MIN(D$16,ROUND(D310*(1+D$15),2))</f>
        <v>0</v>
      </c>
      <c r="K310" s="21" t="n">
        <f aca="false">MIN(E$16,ROUND(E310*(1+E$15),2))</f>
        <v>0</v>
      </c>
      <c r="L310" s="21" t="n">
        <f aca="false">MIN(F$16,ROUND(F310*(1+F$15),2))</f>
        <v>0</v>
      </c>
      <c r="M310" s="21" t="n">
        <f aca="false">MIN(G$16,ROUND(G310*(1+G$15),2))</f>
        <v>0</v>
      </c>
      <c r="N310" s="21" t="n">
        <f aca="false">B$20-SUM(H310:M310)</f>
        <v>1170</v>
      </c>
      <c r="O310" s="21" t="n">
        <f aca="false">MIN(ROUND(B310*(1+B$15),2),H310+MAX(0,N310))</f>
        <v>0</v>
      </c>
      <c r="P310" s="21" t="n">
        <f aca="false">MIN(ROUND(C310*(1+C$15),2),I310+MAX(0,N310-O310+H310))</f>
        <v>0</v>
      </c>
      <c r="Q310" s="21" t="n">
        <f aca="false">MIN(ROUND(D310*(1+D$15),2),J310+MAX(0,N310-O310+H310-P310+I310))</f>
        <v>0</v>
      </c>
      <c r="R310" s="21" t="n">
        <f aca="false">MIN(ROUND(E310*(1+E$15),2),K310+MAX(0,N310-O310+H310-P310+I310-Q310+J310))</f>
        <v>0</v>
      </c>
      <c r="S310" s="21" t="n">
        <f aca="false">MIN(ROUND(F310*(1+F$15),2),L310+MAX(0,N310-O310+H310-P310+I310-Q310+J310-R310+K310))</f>
        <v>0</v>
      </c>
      <c r="T310" s="21" t="n">
        <f aca="false">MIN(ROUND(G310*(1+G$15),2),M310+MAX(0,N310-O310+H310-P310+I310-Q310+J310-R310+K310-S310+L310))</f>
        <v>0</v>
      </c>
      <c r="U310" s="21" t="n">
        <f aca="false">SUM(B310:G310)</f>
        <v>0</v>
      </c>
      <c r="V310" s="21" t="n">
        <f aca="false">SUM(O310:T310)</f>
        <v>0</v>
      </c>
      <c r="X310" s="25" t="n">
        <f aca="false">X309+1</f>
        <v>284</v>
      </c>
      <c r="Y310" s="21" t="n">
        <f aca="false">MAX(0,ROUND(Y309*(1+Y$15),2)-AL309)</f>
        <v>0</v>
      </c>
      <c r="Z310" s="21" t="n">
        <f aca="false">MAX(0,ROUND(Z309*(1+Z$15),2)-AM309)</f>
        <v>0</v>
      </c>
      <c r="AA310" s="21" t="n">
        <f aca="false">MAX(0,ROUND(AA309*(1+AA$15),2)-AN309)</f>
        <v>0</v>
      </c>
      <c r="AB310" s="21" t="n">
        <f aca="false">MAX(0,ROUND(AB309*(1+AB$15),2)-AO309)</f>
        <v>0</v>
      </c>
      <c r="AC310" s="21" t="n">
        <f aca="false">MAX(0,ROUND(AC309*(1+AC$15),2)-AP309)</f>
        <v>0</v>
      </c>
      <c r="AD310" s="21" t="n">
        <f aca="false">MAX(0,ROUND(AD309*(1+AD$15),2)-AQ309)</f>
        <v>0</v>
      </c>
      <c r="AE310" s="21" t="n">
        <f aca="false">MIN(Y$16,ROUND(Y310*(1+Y$15),2))</f>
        <v>0</v>
      </c>
      <c r="AF310" s="21" t="n">
        <f aca="false">MIN(Z$16,ROUND(Z310*(1+Z$15),2))</f>
        <v>0</v>
      </c>
      <c r="AG310" s="21" t="n">
        <f aca="false">MIN(AA$16,ROUND(AA310*(1+AA$15),2))</f>
        <v>0</v>
      </c>
      <c r="AH310" s="21" t="n">
        <f aca="false">MIN(AB$16,ROUND(AB310*(1+AB$15),2))</f>
        <v>0</v>
      </c>
      <c r="AI310" s="21" t="n">
        <f aca="false">MIN(AC$16,ROUND(AC310*(1+AC$15),2))</f>
        <v>0</v>
      </c>
      <c r="AJ310" s="21" t="n">
        <f aca="false">MIN(AD$16,ROUND(AD310*(1+AD$15),2))</f>
        <v>0</v>
      </c>
      <c r="AK310" s="21" t="n">
        <f aca="false">Y$20-SUM(AE310:AJ310)</f>
        <v>1170</v>
      </c>
      <c r="AL310" s="21" t="n">
        <f aca="false">MIN(ROUND(Y310*(1+Y$15),2),AE310+MAX(0,AK310))</f>
        <v>0</v>
      </c>
      <c r="AM310" s="21" t="n">
        <f aca="false">MIN(ROUND(Z310*(1+Z$15),2),AF310+MAX(0,AK310-AL310+AE310))</f>
        <v>0</v>
      </c>
      <c r="AN310" s="21" t="n">
        <f aca="false">MIN(ROUND(AA310*(1+AA$15),2),AG310+MAX(0,AK310-AL310+AE310-AM310+AF310))</f>
        <v>0</v>
      </c>
      <c r="AO310" s="21" t="n">
        <f aca="false">MIN(ROUND(AB310*(1+AB$15),2),AH310+MAX(0,AK310-AL310+AE310-AM310+AF310-AN310+AG310))</f>
        <v>0</v>
      </c>
      <c r="AP310" s="21" t="n">
        <f aca="false">MIN(ROUND(AC310*(1+AC$15),2),AI310+MAX(0,AK310-AL310+AE310-AM310+AF310-AN310+AG310-AO310+AH310))</f>
        <v>0</v>
      </c>
      <c r="AQ310" s="21" t="n">
        <f aca="false">MIN(ROUND(AD310*(1+AD$15),2),AJ310+MAX(0,AK310-AL310+AE310-AM310+AF310-AN310+AG310-AO310+AH310-AP310+AI310))</f>
        <v>0</v>
      </c>
      <c r="AR310" s="21" t="n">
        <f aca="false">SUM(Y310:AD310)</f>
        <v>0</v>
      </c>
      <c r="AS310" s="21" t="n">
        <f aca="false">SUM(AL310:AQ310)</f>
        <v>0</v>
      </c>
    </row>
    <row r="311" customFormat="false" ht="15" hidden="false" customHeight="false" outlineLevel="0" collapsed="false">
      <c r="A311" s="25" t="n">
        <f aca="false">A310+1</f>
        <v>285</v>
      </c>
      <c r="B311" s="21" t="n">
        <f aca="false">MAX(0,ROUND(B310*(1+B$15),2)-O310)</f>
        <v>0</v>
      </c>
      <c r="C311" s="21" t="n">
        <f aca="false">MAX(0,ROUND(C310*(1+C$15),2)-P310)</f>
        <v>0</v>
      </c>
      <c r="D311" s="21" t="n">
        <f aca="false">MAX(0,ROUND(D310*(1+D$15),2)-Q310)</f>
        <v>0</v>
      </c>
      <c r="E311" s="21" t="n">
        <f aca="false">MAX(0,ROUND(E310*(1+E$15),2)-R310)</f>
        <v>0</v>
      </c>
      <c r="F311" s="21" t="n">
        <f aca="false">MAX(0,ROUND(F310*(1+F$15),2)-S310)</f>
        <v>0</v>
      </c>
      <c r="G311" s="21" t="n">
        <f aca="false">MAX(0,ROUND(G310*(1+G$15),2)-T310)</f>
        <v>0</v>
      </c>
      <c r="H311" s="21" t="n">
        <f aca="false">MIN(B$16,ROUND(B311*(1+B$15),2))</f>
        <v>0</v>
      </c>
      <c r="I311" s="21" t="n">
        <f aca="false">MIN(C$16,ROUND(C311*(1+C$15),2))</f>
        <v>0</v>
      </c>
      <c r="J311" s="21" t="n">
        <f aca="false">MIN(D$16,ROUND(D311*(1+D$15),2))</f>
        <v>0</v>
      </c>
      <c r="K311" s="21" t="n">
        <f aca="false">MIN(E$16,ROUND(E311*(1+E$15),2))</f>
        <v>0</v>
      </c>
      <c r="L311" s="21" t="n">
        <f aca="false">MIN(F$16,ROUND(F311*(1+F$15),2))</f>
        <v>0</v>
      </c>
      <c r="M311" s="21" t="n">
        <f aca="false">MIN(G$16,ROUND(G311*(1+G$15),2))</f>
        <v>0</v>
      </c>
      <c r="N311" s="21" t="n">
        <f aca="false">B$20-SUM(H311:M311)</f>
        <v>1170</v>
      </c>
      <c r="O311" s="21" t="n">
        <f aca="false">MIN(ROUND(B311*(1+B$15),2),H311+MAX(0,N311))</f>
        <v>0</v>
      </c>
      <c r="P311" s="21" t="n">
        <f aca="false">MIN(ROUND(C311*(1+C$15),2),I311+MAX(0,N311-O311+H311))</f>
        <v>0</v>
      </c>
      <c r="Q311" s="21" t="n">
        <f aca="false">MIN(ROUND(D311*(1+D$15),2),J311+MAX(0,N311-O311+H311-P311+I311))</f>
        <v>0</v>
      </c>
      <c r="R311" s="21" t="n">
        <f aca="false">MIN(ROUND(E311*(1+E$15),2),K311+MAX(0,N311-O311+H311-P311+I311-Q311+J311))</f>
        <v>0</v>
      </c>
      <c r="S311" s="21" t="n">
        <f aca="false">MIN(ROUND(F311*(1+F$15),2),L311+MAX(0,N311-O311+H311-P311+I311-Q311+J311-R311+K311))</f>
        <v>0</v>
      </c>
      <c r="T311" s="21" t="n">
        <f aca="false">MIN(ROUND(G311*(1+G$15),2),M311+MAX(0,N311-O311+H311-P311+I311-Q311+J311-R311+K311-S311+L311))</f>
        <v>0</v>
      </c>
      <c r="U311" s="21" t="n">
        <f aca="false">SUM(B311:G311)</f>
        <v>0</v>
      </c>
      <c r="V311" s="21" t="n">
        <f aca="false">SUM(O311:T311)</f>
        <v>0</v>
      </c>
      <c r="X311" s="25" t="n">
        <f aca="false">X310+1</f>
        <v>285</v>
      </c>
      <c r="Y311" s="21" t="n">
        <f aca="false">MAX(0,ROUND(Y310*(1+Y$15),2)-AL310)</f>
        <v>0</v>
      </c>
      <c r="Z311" s="21" t="n">
        <f aca="false">MAX(0,ROUND(Z310*(1+Z$15),2)-AM310)</f>
        <v>0</v>
      </c>
      <c r="AA311" s="21" t="n">
        <f aca="false">MAX(0,ROUND(AA310*(1+AA$15),2)-AN310)</f>
        <v>0</v>
      </c>
      <c r="AB311" s="21" t="n">
        <f aca="false">MAX(0,ROUND(AB310*(1+AB$15),2)-AO310)</f>
        <v>0</v>
      </c>
      <c r="AC311" s="21" t="n">
        <f aca="false">MAX(0,ROUND(AC310*(1+AC$15),2)-AP310)</f>
        <v>0</v>
      </c>
      <c r="AD311" s="21" t="n">
        <f aca="false">MAX(0,ROUND(AD310*(1+AD$15),2)-AQ310)</f>
        <v>0</v>
      </c>
      <c r="AE311" s="21" t="n">
        <f aca="false">MIN(Y$16,ROUND(Y311*(1+Y$15),2))</f>
        <v>0</v>
      </c>
      <c r="AF311" s="21" t="n">
        <f aca="false">MIN(Z$16,ROUND(Z311*(1+Z$15),2))</f>
        <v>0</v>
      </c>
      <c r="AG311" s="21" t="n">
        <f aca="false">MIN(AA$16,ROUND(AA311*(1+AA$15),2))</f>
        <v>0</v>
      </c>
      <c r="AH311" s="21" t="n">
        <f aca="false">MIN(AB$16,ROUND(AB311*(1+AB$15),2))</f>
        <v>0</v>
      </c>
      <c r="AI311" s="21" t="n">
        <f aca="false">MIN(AC$16,ROUND(AC311*(1+AC$15),2))</f>
        <v>0</v>
      </c>
      <c r="AJ311" s="21" t="n">
        <f aca="false">MIN(AD$16,ROUND(AD311*(1+AD$15),2))</f>
        <v>0</v>
      </c>
      <c r="AK311" s="21" t="n">
        <f aca="false">Y$20-SUM(AE311:AJ311)</f>
        <v>1170</v>
      </c>
      <c r="AL311" s="21" t="n">
        <f aca="false">MIN(ROUND(Y311*(1+Y$15),2),AE311+MAX(0,AK311))</f>
        <v>0</v>
      </c>
      <c r="AM311" s="21" t="n">
        <f aca="false">MIN(ROUND(Z311*(1+Z$15),2),AF311+MAX(0,AK311-AL311+AE311))</f>
        <v>0</v>
      </c>
      <c r="AN311" s="21" t="n">
        <f aca="false">MIN(ROUND(AA311*(1+AA$15),2),AG311+MAX(0,AK311-AL311+AE311-AM311+AF311))</f>
        <v>0</v>
      </c>
      <c r="AO311" s="21" t="n">
        <f aca="false">MIN(ROUND(AB311*(1+AB$15),2),AH311+MAX(0,AK311-AL311+AE311-AM311+AF311-AN311+AG311))</f>
        <v>0</v>
      </c>
      <c r="AP311" s="21" t="n">
        <f aca="false">MIN(ROUND(AC311*(1+AC$15),2),AI311+MAX(0,AK311-AL311+AE311-AM311+AF311-AN311+AG311-AO311+AH311))</f>
        <v>0</v>
      </c>
      <c r="AQ311" s="21" t="n">
        <f aca="false">MIN(ROUND(AD311*(1+AD$15),2),AJ311+MAX(0,AK311-AL311+AE311-AM311+AF311-AN311+AG311-AO311+AH311-AP311+AI311))</f>
        <v>0</v>
      </c>
      <c r="AR311" s="21" t="n">
        <f aca="false">SUM(Y311:AD311)</f>
        <v>0</v>
      </c>
      <c r="AS311" s="21" t="n">
        <f aca="false">SUM(AL311:AQ311)</f>
        <v>0</v>
      </c>
    </row>
    <row r="312" customFormat="false" ht="15" hidden="false" customHeight="false" outlineLevel="0" collapsed="false">
      <c r="A312" s="25" t="n">
        <f aca="false">A311+1</f>
        <v>286</v>
      </c>
      <c r="B312" s="21" t="n">
        <f aca="false">MAX(0,ROUND(B311*(1+B$15),2)-O311)</f>
        <v>0</v>
      </c>
      <c r="C312" s="21" t="n">
        <f aca="false">MAX(0,ROUND(C311*(1+C$15),2)-P311)</f>
        <v>0</v>
      </c>
      <c r="D312" s="21" t="n">
        <f aca="false">MAX(0,ROUND(D311*(1+D$15),2)-Q311)</f>
        <v>0</v>
      </c>
      <c r="E312" s="21" t="n">
        <f aca="false">MAX(0,ROUND(E311*(1+E$15),2)-R311)</f>
        <v>0</v>
      </c>
      <c r="F312" s="21" t="n">
        <f aca="false">MAX(0,ROUND(F311*(1+F$15),2)-S311)</f>
        <v>0</v>
      </c>
      <c r="G312" s="21" t="n">
        <f aca="false">MAX(0,ROUND(G311*(1+G$15),2)-T311)</f>
        <v>0</v>
      </c>
      <c r="H312" s="21" t="n">
        <f aca="false">MIN(B$16,ROUND(B312*(1+B$15),2))</f>
        <v>0</v>
      </c>
      <c r="I312" s="21" t="n">
        <f aca="false">MIN(C$16,ROUND(C312*(1+C$15),2))</f>
        <v>0</v>
      </c>
      <c r="J312" s="21" t="n">
        <f aca="false">MIN(D$16,ROUND(D312*(1+D$15),2))</f>
        <v>0</v>
      </c>
      <c r="K312" s="21" t="n">
        <f aca="false">MIN(E$16,ROUND(E312*(1+E$15),2))</f>
        <v>0</v>
      </c>
      <c r="L312" s="21" t="n">
        <f aca="false">MIN(F$16,ROUND(F312*(1+F$15),2))</f>
        <v>0</v>
      </c>
      <c r="M312" s="21" t="n">
        <f aca="false">MIN(G$16,ROUND(G312*(1+G$15),2))</f>
        <v>0</v>
      </c>
      <c r="N312" s="21" t="n">
        <f aca="false">B$20-SUM(H312:M312)</f>
        <v>1170</v>
      </c>
      <c r="O312" s="21" t="n">
        <f aca="false">MIN(ROUND(B312*(1+B$15),2),H312+MAX(0,N312))</f>
        <v>0</v>
      </c>
      <c r="P312" s="21" t="n">
        <f aca="false">MIN(ROUND(C312*(1+C$15),2),I312+MAX(0,N312-O312+H312))</f>
        <v>0</v>
      </c>
      <c r="Q312" s="21" t="n">
        <f aca="false">MIN(ROUND(D312*(1+D$15),2),J312+MAX(0,N312-O312+H312-P312+I312))</f>
        <v>0</v>
      </c>
      <c r="R312" s="21" t="n">
        <f aca="false">MIN(ROUND(E312*(1+E$15),2),K312+MAX(0,N312-O312+H312-P312+I312-Q312+J312))</f>
        <v>0</v>
      </c>
      <c r="S312" s="21" t="n">
        <f aca="false">MIN(ROUND(F312*(1+F$15),2),L312+MAX(0,N312-O312+H312-P312+I312-Q312+J312-R312+K312))</f>
        <v>0</v>
      </c>
      <c r="T312" s="21" t="n">
        <f aca="false">MIN(ROUND(G312*(1+G$15),2),M312+MAX(0,N312-O312+H312-P312+I312-Q312+J312-R312+K312-S312+L312))</f>
        <v>0</v>
      </c>
      <c r="U312" s="21" t="n">
        <f aca="false">SUM(B312:G312)</f>
        <v>0</v>
      </c>
      <c r="V312" s="21" t="n">
        <f aca="false">SUM(O312:T312)</f>
        <v>0</v>
      </c>
      <c r="X312" s="25" t="n">
        <f aca="false">X311+1</f>
        <v>286</v>
      </c>
      <c r="Y312" s="21" t="n">
        <f aca="false">MAX(0,ROUND(Y311*(1+Y$15),2)-AL311)</f>
        <v>0</v>
      </c>
      <c r="Z312" s="21" t="n">
        <f aca="false">MAX(0,ROUND(Z311*(1+Z$15),2)-AM311)</f>
        <v>0</v>
      </c>
      <c r="AA312" s="21" t="n">
        <f aca="false">MAX(0,ROUND(AA311*(1+AA$15),2)-AN311)</f>
        <v>0</v>
      </c>
      <c r="AB312" s="21" t="n">
        <f aca="false">MAX(0,ROUND(AB311*(1+AB$15),2)-AO311)</f>
        <v>0</v>
      </c>
      <c r="AC312" s="21" t="n">
        <f aca="false">MAX(0,ROUND(AC311*(1+AC$15),2)-AP311)</f>
        <v>0</v>
      </c>
      <c r="AD312" s="21" t="n">
        <f aca="false">MAX(0,ROUND(AD311*(1+AD$15),2)-AQ311)</f>
        <v>0</v>
      </c>
      <c r="AE312" s="21" t="n">
        <f aca="false">MIN(Y$16,ROUND(Y312*(1+Y$15),2))</f>
        <v>0</v>
      </c>
      <c r="AF312" s="21" t="n">
        <f aca="false">MIN(Z$16,ROUND(Z312*(1+Z$15),2))</f>
        <v>0</v>
      </c>
      <c r="AG312" s="21" t="n">
        <f aca="false">MIN(AA$16,ROUND(AA312*(1+AA$15),2))</f>
        <v>0</v>
      </c>
      <c r="AH312" s="21" t="n">
        <f aca="false">MIN(AB$16,ROUND(AB312*(1+AB$15),2))</f>
        <v>0</v>
      </c>
      <c r="AI312" s="21" t="n">
        <f aca="false">MIN(AC$16,ROUND(AC312*(1+AC$15),2))</f>
        <v>0</v>
      </c>
      <c r="AJ312" s="21" t="n">
        <f aca="false">MIN(AD$16,ROUND(AD312*(1+AD$15),2))</f>
        <v>0</v>
      </c>
      <c r="AK312" s="21" t="n">
        <f aca="false">Y$20-SUM(AE312:AJ312)</f>
        <v>1170</v>
      </c>
      <c r="AL312" s="21" t="n">
        <f aca="false">MIN(ROUND(Y312*(1+Y$15),2),AE312+MAX(0,AK312))</f>
        <v>0</v>
      </c>
      <c r="AM312" s="21" t="n">
        <f aca="false">MIN(ROUND(Z312*(1+Z$15),2),AF312+MAX(0,AK312-AL312+AE312))</f>
        <v>0</v>
      </c>
      <c r="AN312" s="21" t="n">
        <f aca="false">MIN(ROUND(AA312*(1+AA$15),2),AG312+MAX(0,AK312-AL312+AE312-AM312+AF312))</f>
        <v>0</v>
      </c>
      <c r="AO312" s="21" t="n">
        <f aca="false">MIN(ROUND(AB312*(1+AB$15),2),AH312+MAX(0,AK312-AL312+AE312-AM312+AF312-AN312+AG312))</f>
        <v>0</v>
      </c>
      <c r="AP312" s="21" t="n">
        <f aca="false">MIN(ROUND(AC312*(1+AC$15),2),AI312+MAX(0,AK312-AL312+AE312-AM312+AF312-AN312+AG312-AO312+AH312))</f>
        <v>0</v>
      </c>
      <c r="AQ312" s="21" t="n">
        <f aca="false">MIN(ROUND(AD312*(1+AD$15),2),AJ312+MAX(0,AK312-AL312+AE312-AM312+AF312-AN312+AG312-AO312+AH312-AP312+AI312))</f>
        <v>0</v>
      </c>
      <c r="AR312" s="21" t="n">
        <f aca="false">SUM(Y312:AD312)</f>
        <v>0</v>
      </c>
      <c r="AS312" s="21" t="n">
        <f aca="false">SUM(AL312:AQ312)</f>
        <v>0</v>
      </c>
    </row>
    <row r="313" customFormat="false" ht="15" hidden="false" customHeight="false" outlineLevel="0" collapsed="false">
      <c r="A313" s="25" t="n">
        <f aca="false">A312+1</f>
        <v>287</v>
      </c>
      <c r="B313" s="21" t="n">
        <f aca="false">MAX(0,ROUND(B312*(1+B$15),2)-O312)</f>
        <v>0</v>
      </c>
      <c r="C313" s="21" t="n">
        <f aca="false">MAX(0,ROUND(C312*(1+C$15),2)-P312)</f>
        <v>0</v>
      </c>
      <c r="D313" s="21" t="n">
        <f aca="false">MAX(0,ROUND(D312*(1+D$15),2)-Q312)</f>
        <v>0</v>
      </c>
      <c r="E313" s="21" t="n">
        <f aca="false">MAX(0,ROUND(E312*(1+E$15),2)-R312)</f>
        <v>0</v>
      </c>
      <c r="F313" s="21" t="n">
        <f aca="false">MAX(0,ROUND(F312*(1+F$15),2)-S312)</f>
        <v>0</v>
      </c>
      <c r="G313" s="21" t="n">
        <f aca="false">MAX(0,ROUND(G312*(1+G$15),2)-T312)</f>
        <v>0</v>
      </c>
      <c r="H313" s="21" t="n">
        <f aca="false">MIN(B$16,ROUND(B313*(1+B$15),2))</f>
        <v>0</v>
      </c>
      <c r="I313" s="21" t="n">
        <f aca="false">MIN(C$16,ROUND(C313*(1+C$15),2))</f>
        <v>0</v>
      </c>
      <c r="J313" s="21" t="n">
        <f aca="false">MIN(D$16,ROUND(D313*(1+D$15),2))</f>
        <v>0</v>
      </c>
      <c r="K313" s="21" t="n">
        <f aca="false">MIN(E$16,ROUND(E313*(1+E$15),2))</f>
        <v>0</v>
      </c>
      <c r="L313" s="21" t="n">
        <f aca="false">MIN(F$16,ROUND(F313*(1+F$15),2))</f>
        <v>0</v>
      </c>
      <c r="M313" s="21" t="n">
        <f aca="false">MIN(G$16,ROUND(G313*(1+G$15),2))</f>
        <v>0</v>
      </c>
      <c r="N313" s="21" t="n">
        <f aca="false">B$20-SUM(H313:M313)</f>
        <v>1170</v>
      </c>
      <c r="O313" s="21" t="n">
        <f aca="false">MIN(ROUND(B313*(1+B$15),2),H313+MAX(0,N313))</f>
        <v>0</v>
      </c>
      <c r="P313" s="21" t="n">
        <f aca="false">MIN(ROUND(C313*(1+C$15),2),I313+MAX(0,N313-O313+H313))</f>
        <v>0</v>
      </c>
      <c r="Q313" s="21" t="n">
        <f aca="false">MIN(ROUND(D313*(1+D$15),2),J313+MAX(0,N313-O313+H313-P313+I313))</f>
        <v>0</v>
      </c>
      <c r="R313" s="21" t="n">
        <f aca="false">MIN(ROUND(E313*(1+E$15),2),K313+MAX(0,N313-O313+H313-P313+I313-Q313+J313))</f>
        <v>0</v>
      </c>
      <c r="S313" s="21" t="n">
        <f aca="false">MIN(ROUND(F313*(1+F$15),2),L313+MAX(0,N313-O313+H313-P313+I313-Q313+J313-R313+K313))</f>
        <v>0</v>
      </c>
      <c r="T313" s="21" t="n">
        <f aca="false">MIN(ROUND(G313*(1+G$15),2),M313+MAX(0,N313-O313+H313-P313+I313-Q313+J313-R313+K313-S313+L313))</f>
        <v>0</v>
      </c>
      <c r="U313" s="21" t="n">
        <f aca="false">SUM(B313:G313)</f>
        <v>0</v>
      </c>
      <c r="V313" s="21" t="n">
        <f aca="false">SUM(O313:T313)</f>
        <v>0</v>
      </c>
      <c r="X313" s="25" t="n">
        <f aca="false">X312+1</f>
        <v>287</v>
      </c>
      <c r="Y313" s="21" t="n">
        <f aca="false">MAX(0,ROUND(Y312*(1+Y$15),2)-AL312)</f>
        <v>0</v>
      </c>
      <c r="Z313" s="21" t="n">
        <f aca="false">MAX(0,ROUND(Z312*(1+Z$15),2)-AM312)</f>
        <v>0</v>
      </c>
      <c r="AA313" s="21" t="n">
        <f aca="false">MAX(0,ROUND(AA312*(1+AA$15),2)-AN312)</f>
        <v>0</v>
      </c>
      <c r="AB313" s="21" t="n">
        <f aca="false">MAX(0,ROUND(AB312*(1+AB$15),2)-AO312)</f>
        <v>0</v>
      </c>
      <c r="AC313" s="21" t="n">
        <f aca="false">MAX(0,ROUND(AC312*(1+AC$15),2)-AP312)</f>
        <v>0</v>
      </c>
      <c r="AD313" s="21" t="n">
        <f aca="false">MAX(0,ROUND(AD312*(1+AD$15),2)-AQ312)</f>
        <v>0</v>
      </c>
      <c r="AE313" s="21" t="n">
        <f aca="false">MIN(Y$16,ROUND(Y313*(1+Y$15),2))</f>
        <v>0</v>
      </c>
      <c r="AF313" s="21" t="n">
        <f aca="false">MIN(Z$16,ROUND(Z313*(1+Z$15),2))</f>
        <v>0</v>
      </c>
      <c r="AG313" s="21" t="n">
        <f aca="false">MIN(AA$16,ROUND(AA313*(1+AA$15),2))</f>
        <v>0</v>
      </c>
      <c r="AH313" s="21" t="n">
        <f aca="false">MIN(AB$16,ROUND(AB313*(1+AB$15),2))</f>
        <v>0</v>
      </c>
      <c r="AI313" s="21" t="n">
        <f aca="false">MIN(AC$16,ROUND(AC313*(1+AC$15),2))</f>
        <v>0</v>
      </c>
      <c r="AJ313" s="21" t="n">
        <f aca="false">MIN(AD$16,ROUND(AD313*(1+AD$15),2))</f>
        <v>0</v>
      </c>
      <c r="AK313" s="21" t="n">
        <f aca="false">Y$20-SUM(AE313:AJ313)</f>
        <v>1170</v>
      </c>
      <c r="AL313" s="21" t="n">
        <f aca="false">MIN(ROUND(Y313*(1+Y$15),2),AE313+MAX(0,AK313))</f>
        <v>0</v>
      </c>
      <c r="AM313" s="21" t="n">
        <f aca="false">MIN(ROUND(Z313*(1+Z$15),2),AF313+MAX(0,AK313-AL313+AE313))</f>
        <v>0</v>
      </c>
      <c r="AN313" s="21" t="n">
        <f aca="false">MIN(ROUND(AA313*(1+AA$15),2),AG313+MAX(0,AK313-AL313+AE313-AM313+AF313))</f>
        <v>0</v>
      </c>
      <c r="AO313" s="21" t="n">
        <f aca="false">MIN(ROUND(AB313*(1+AB$15),2),AH313+MAX(0,AK313-AL313+AE313-AM313+AF313-AN313+AG313))</f>
        <v>0</v>
      </c>
      <c r="AP313" s="21" t="n">
        <f aca="false">MIN(ROUND(AC313*(1+AC$15),2),AI313+MAX(0,AK313-AL313+AE313-AM313+AF313-AN313+AG313-AO313+AH313))</f>
        <v>0</v>
      </c>
      <c r="AQ313" s="21" t="n">
        <f aca="false">MIN(ROUND(AD313*(1+AD$15),2),AJ313+MAX(0,AK313-AL313+AE313-AM313+AF313-AN313+AG313-AO313+AH313-AP313+AI313))</f>
        <v>0</v>
      </c>
      <c r="AR313" s="21" t="n">
        <f aca="false">SUM(Y313:AD313)</f>
        <v>0</v>
      </c>
      <c r="AS313" s="21" t="n">
        <f aca="false">SUM(AL313:AQ313)</f>
        <v>0</v>
      </c>
    </row>
    <row r="314" customFormat="false" ht="15" hidden="false" customHeight="false" outlineLevel="0" collapsed="false">
      <c r="A314" s="25" t="n">
        <f aca="false">A313+1</f>
        <v>288</v>
      </c>
      <c r="B314" s="21" t="n">
        <f aca="false">MAX(0,ROUND(B313*(1+B$15),2)-O313)</f>
        <v>0</v>
      </c>
      <c r="C314" s="21" t="n">
        <f aca="false">MAX(0,ROUND(C313*(1+C$15),2)-P313)</f>
        <v>0</v>
      </c>
      <c r="D314" s="21" t="n">
        <f aca="false">MAX(0,ROUND(D313*(1+D$15),2)-Q313)</f>
        <v>0</v>
      </c>
      <c r="E314" s="21" t="n">
        <f aca="false">MAX(0,ROUND(E313*(1+E$15),2)-R313)</f>
        <v>0</v>
      </c>
      <c r="F314" s="21" t="n">
        <f aca="false">MAX(0,ROUND(F313*(1+F$15),2)-S313)</f>
        <v>0</v>
      </c>
      <c r="G314" s="21" t="n">
        <f aca="false">MAX(0,ROUND(G313*(1+G$15),2)-T313)</f>
        <v>0</v>
      </c>
      <c r="H314" s="21" t="n">
        <f aca="false">MIN(B$16,ROUND(B314*(1+B$15),2))</f>
        <v>0</v>
      </c>
      <c r="I314" s="21" t="n">
        <f aca="false">MIN(C$16,ROUND(C314*(1+C$15),2))</f>
        <v>0</v>
      </c>
      <c r="J314" s="21" t="n">
        <f aca="false">MIN(D$16,ROUND(D314*(1+D$15),2))</f>
        <v>0</v>
      </c>
      <c r="K314" s="21" t="n">
        <f aca="false">MIN(E$16,ROUND(E314*(1+E$15),2))</f>
        <v>0</v>
      </c>
      <c r="L314" s="21" t="n">
        <f aca="false">MIN(F$16,ROUND(F314*(1+F$15),2))</f>
        <v>0</v>
      </c>
      <c r="M314" s="21" t="n">
        <f aca="false">MIN(G$16,ROUND(G314*(1+G$15),2))</f>
        <v>0</v>
      </c>
      <c r="N314" s="21" t="n">
        <f aca="false">B$20-SUM(H314:M314)</f>
        <v>1170</v>
      </c>
      <c r="O314" s="21" t="n">
        <f aca="false">MIN(ROUND(B314*(1+B$15),2),H314+MAX(0,N314))</f>
        <v>0</v>
      </c>
      <c r="P314" s="21" t="n">
        <f aca="false">MIN(ROUND(C314*(1+C$15),2),I314+MAX(0,N314-O314+H314))</f>
        <v>0</v>
      </c>
      <c r="Q314" s="21" t="n">
        <f aca="false">MIN(ROUND(D314*(1+D$15),2),J314+MAX(0,N314-O314+H314-P314+I314))</f>
        <v>0</v>
      </c>
      <c r="R314" s="21" t="n">
        <f aca="false">MIN(ROUND(E314*(1+E$15),2),K314+MAX(0,N314-O314+H314-P314+I314-Q314+J314))</f>
        <v>0</v>
      </c>
      <c r="S314" s="21" t="n">
        <f aca="false">MIN(ROUND(F314*(1+F$15),2),L314+MAX(0,N314-O314+H314-P314+I314-Q314+J314-R314+K314))</f>
        <v>0</v>
      </c>
      <c r="T314" s="21" t="n">
        <f aca="false">MIN(ROUND(G314*(1+G$15),2),M314+MAX(0,N314-O314+H314-P314+I314-Q314+J314-R314+K314-S314+L314))</f>
        <v>0</v>
      </c>
      <c r="U314" s="21" t="n">
        <f aca="false">SUM(B314:G314)</f>
        <v>0</v>
      </c>
      <c r="V314" s="21" t="n">
        <f aca="false">SUM(O314:T314)</f>
        <v>0</v>
      </c>
      <c r="X314" s="25" t="n">
        <f aca="false">X313+1</f>
        <v>288</v>
      </c>
      <c r="Y314" s="21" t="n">
        <f aca="false">MAX(0,ROUND(Y313*(1+Y$15),2)-AL313)</f>
        <v>0</v>
      </c>
      <c r="Z314" s="21" t="n">
        <f aca="false">MAX(0,ROUND(Z313*(1+Z$15),2)-AM313)</f>
        <v>0</v>
      </c>
      <c r="AA314" s="21" t="n">
        <f aca="false">MAX(0,ROUND(AA313*(1+AA$15),2)-AN313)</f>
        <v>0</v>
      </c>
      <c r="AB314" s="21" t="n">
        <f aca="false">MAX(0,ROUND(AB313*(1+AB$15),2)-AO313)</f>
        <v>0</v>
      </c>
      <c r="AC314" s="21" t="n">
        <f aca="false">MAX(0,ROUND(AC313*(1+AC$15),2)-AP313)</f>
        <v>0</v>
      </c>
      <c r="AD314" s="21" t="n">
        <f aca="false">MAX(0,ROUND(AD313*(1+AD$15),2)-AQ313)</f>
        <v>0</v>
      </c>
      <c r="AE314" s="21" t="n">
        <f aca="false">MIN(Y$16,ROUND(Y314*(1+Y$15),2))</f>
        <v>0</v>
      </c>
      <c r="AF314" s="21" t="n">
        <f aca="false">MIN(Z$16,ROUND(Z314*(1+Z$15),2))</f>
        <v>0</v>
      </c>
      <c r="AG314" s="21" t="n">
        <f aca="false">MIN(AA$16,ROUND(AA314*(1+AA$15),2))</f>
        <v>0</v>
      </c>
      <c r="AH314" s="21" t="n">
        <f aca="false">MIN(AB$16,ROUND(AB314*(1+AB$15),2))</f>
        <v>0</v>
      </c>
      <c r="AI314" s="21" t="n">
        <f aca="false">MIN(AC$16,ROUND(AC314*(1+AC$15),2))</f>
        <v>0</v>
      </c>
      <c r="AJ314" s="21" t="n">
        <f aca="false">MIN(AD$16,ROUND(AD314*(1+AD$15),2))</f>
        <v>0</v>
      </c>
      <c r="AK314" s="21" t="n">
        <f aca="false">Y$20-SUM(AE314:AJ314)</f>
        <v>1170</v>
      </c>
      <c r="AL314" s="21" t="n">
        <f aca="false">MIN(ROUND(Y314*(1+Y$15),2),AE314+MAX(0,AK314))</f>
        <v>0</v>
      </c>
      <c r="AM314" s="21" t="n">
        <f aca="false">MIN(ROUND(Z314*(1+Z$15),2),AF314+MAX(0,AK314-AL314+AE314))</f>
        <v>0</v>
      </c>
      <c r="AN314" s="21" t="n">
        <f aca="false">MIN(ROUND(AA314*(1+AA$15),2),AG314+MAX(0,AK314-AL314+AE314-AM314+AF314))</f>
        <v>0</v>
      </c>
      <c r="AO314" s="21" t="n">
        <f aca="false">MIN(ROUND(AB314*(1+AB$15),2),AH314+MAX(0,AK314-AL314+AE314-AM314+AF314-AN314+AG314))</f>
        <v>0</v>
      </c>
      <c r="AP314" s="21" t="n">
        <f aca="false">MIN(ROUND(AC314*(1+AC$15),2),AI314+MAX(0,AK314-AL314+AE314-AM314+AF314-AN314+AG314-AO314+AH314))</f>
        <v>0</v>
      </c>
      <c r="AQ314" s="21" t="n">
        <f aca="false">MIN(ROUND(AD314*(1+AD$15),2),AJ314+MAX(0,AK314-AL314+AE314-AM314+AF314-AN314+AG314-AO314+AH314-AP314+AI314))</f>
        <v>0</v>
      </c>
      <c r="AR314" s="21" t="n">
        <f aca="false">SUM(Y314:AD314)</f>
        <v>0</v>
      </c>
      <c r="AS314" s="21" t="n">
        <f aca="false">SUM(AL314:AQ314)</f>
        <v>0</v>
      </c>
    </row>
    <row r="315" customFormat="false" ht="15" hidden="false" customHeight="false" outlineLevel="0" collapsed="false">
      <c r="A315" s="25" t="n">
        <f aca="false">A314+1</f>
        <v>289</v>
      </c>
      <c r="B315" s="21" t="n">
        <f aca="false">MAX(0,ROUND(B314*(1+B$15),2)-O314)</f>
        <v>0</v>
      </c>
      <c r="C315" s="21" t="n">
        <f aca="false">MAX(0,ROUND(C314*(1+C$15),2)-P314)</f>
        <v>0</v>
      </c>
      <c r="D315" s="21" t="n">
        <f aca="false">MAX(0,ROUND(D314*(1+D$15),2)-Q314)</f>
        <v>0</v>
      </c>
      <c r="E315" s="21" t="n">
        <f aca="false">MAX(0,ROUND(E314*(1+E$15),2)-R314)</f>
        <v>0</v>
      </c>
      <c r="F315" s="21" t="n">
        <f aca="false">MAX(0,ROUND(F314*(1+F$15),2)-S314)</f>
        <v>0</v>
      </c>
      <c r="G315" s="21" t="n">
        <f aca="false">MAX(0,ROUND(G314*(1+G$15),2)-T314)</f>
        <v>0</v>
      </c>
      <c r="H315" s="21" t="n">
        <f aca="false">MIN(B$16,ROUND(B315*(1+B$15),2))</f>
        <v>0</v>
      </c>
      <c r="I315" s="21" t="n">
        <f aca="false">MIN(C$16,ROUND(C315*(1+C$15),2))</f>
        <v>0</v>
      </c>
      <c r="J315" s="21" t="n">
        <f aca="false">MIN(D$16,ROUND(D315*(1+D$15),2))</f>
        <v>0</v>
      </c>
      <c r="K315" s="21" t="n">
        <f aca="false">MIN(E$16,ROUND(E315*(1+E$15),2))</f>
        <v>0</v>
      </c>
      <c r="L315" s="21" t="n">
        <f aca="false">MIN(F$16,ROUND(F315*(1+F$15),2))</f>
        <v>0</v>
      </c>
      <c r="M315" s="21" t="n">
        <f aca="false">MIN(G$16,ROUND(G315*(1+G$15),2))</f>
        <v>0</v>
      </c>
      <c r="N315" s="21" t="n">
        <f aca="false">B$20-SUM(H315:M315)</f>
        <v>1170</v>
      </c>
      <c r="O315" s="21" t="n">
        <f aca="false">MIN(ROUND(B315*(1+B$15),2),H315+MAX(0,N315))</f>
        <v>0</v>
      </c>
      <c r="P315" s="21" t="n">
        <f aca="false">MIN(ROUND(C315*(1+C$15),2),I315+MAX(0,N315-O315+H315))</f>
        <v>0</v>
      </c>
      <c r="Q315" s="21" t="n">
        <f aca="false">MIN(ROUND(D315*(1+D$15),2),J315+MAX(0,N315-O315+H315-P315+I315))</f>
        <v>0</v>
      </c>
      <c r="R315" s="21" t="n">
        <f aca="false">MIN(ROUND(E315*(1+E$15),2),K315+MAX(0,N315-O315+H315-P315+I315-Q315+J315))</f>
        <v>0</v>
      </c>
      <c r="S315" s="21" t="n">
        <f aca="false">MIN(ROUND(F315*(1+F$15),2),L315+MAX(0,N315-O315+H315-P315+I315-Q315+J315-R315+K315))</f>
        <v>0</v>
      </c>
      <c r="T315" s="21" t="n">
        <f aca="false">MIN(ROUND(G315*(1+G$15),2),M315+MAX(0,N315-O315+H315-P315+I315-Q315+J315-R315+K315-S315+L315))</f>
        <v>0</v>
      </c>
      <c r="U315" s="21" t="n">
        <f aca="false">SUM(B315:G315)</f>
        <v>0</v>
      </c>
      <c r="V315" s="21" t="n">
        <f aca="false">SUM(O315:T315)</f>
        <v>0</v>
      </c>
      <c r="X315" s="25" t="n">
        <f aca="false">X314+1</f>
        <v>289</v>
      </c>
      <c r="Y315" s="21" t="n">
        <f aca="false">MAX(0,ROUND(Y314*(1+Y$15),2)-AL314)</f>
        <v>0</v>
      </c>
      <c r="Z315" s="21" t="n">
        <f aca="false">MAX(0,ROUND(Z314*(1+Z$15),2)-AM314)</f>
        <v>0</v>
      </c>
      <c r="AA315" s="21" t="n">
        <f aca="false">MAX(0,ROUND(AA314*(1+AA$15),2)-AN314)</f>
        <v>0</v>
      </c>
      <c r="AB315" s="21" t="n">
        <f aca="false">MAX(0,ROUND(AB314*(1+AB$15),2)-AO314)</f>
        <v>0</v>
      </c>
      <c r="AC315" s="21" t="n">
        <f aca="false">MAX(0,ROUND(AC314*(1+AC$15),2)-AP314)</f>
        <v>0</v>
      </c>
      <c r="AD315" s="21" t="n">
        <f aca="false">MAX(0,ROUND(AD314*(1+AD$15),2)-AQ314)</f>
        <v>0</v>
      </c>
      <c r="AE315" s="21" t="n">
        <f aca="false">MIN(Y$16,ROUND(Y315*(1+Y$15),2))</f>
        <v>0</v>
      </c>
      <c r="AF315" s="21" t="n">
        <f aca="false">MIN(Z$16,ROUND(Z315*(1+Z$15),2))</f>
        <v>0</v>
      </c>
      <c r="AG315" s="21" t="n">
        <f aca="false">MIN(AA$16,ROUND(AA315*(1+AA$15),2))</f>
        <v>0</v>
      </c>
      <c r="AH315" s="21" t="n">
        <f aca="false">MIN(AB$16,ROUND(AB315*(1+AB$15),2))</f>
        <v>0</v>
      </c>
      <c r="AI315" s="21" t="n">
        <f aca="false">MIN(AC$16,ROUND(AC315*(1+AC$15),2))</f>
        <v>0</v>
      </c>
      <c r="AJ315" s="21" t="n">
        <f aca="false">MIN(AD$16,ROUND(AD315*(1+AD$15),2))</f>
        <v>0</v>
      </c>
      <c r="AK315" s="21" t="n">
        <f aca="false">Y$20-SUM(AE315:AJ315)</f>
        <v>1170</v>
      </c>
      <c r="AL315" s="21" t="n">
        <f aca="false">MIN(ROUND(Y315*(1+Y$15),2),AE315+MAX(0,AK315))</f>
        <v>0</v>
      </c>
      <c r="AM315" s="21" t="n">
        <f aca="false">MIN(ROUND(Z315*(1+Z$15),2),AF315+MAX(0,AK315-AL315+AE315))</f>
        <v>0</v>
      </c>
      <c r="AN315" s="21" t="n">
        <f aca="false">MIN(ROUND(AA315*(1+AA$15),2),AG315+MAX(0,AK315-AL315+AE315-AM315+AF315))</f>
        <v>0</v>
      </c>
      <c r="AO315" s="21" t="n">
        <f aca="false">MIN(ROUND(AB315*(1+AB$15),2),AH315+MAX(0,AK315-AL315+AE315-AM315+AF315-AN315+AG315))</f>
        <v>0</v>
      </c>
      <c r="AP315" s="21" t="n">
        <f aca="false">MIN(ROUND(AC315*(1+AC$15),2),AI315+MAX(0,AK315-AL315+AE315-AM315+AF315-AN315+AG315-AO315+AH315))</f>
        <v>0</v>
      </c>
      <c r="AQ315" s="21" t="n">
        <f aca="false">MIN(ROUND(AD315*(1+AD$15),2),AJ315+MAX(0,AK315-AL315+AE315-AM315+AF315-AN315+AG315-AO315+AH315-AP315+AI315))</f>
        <v>0</v>
      </c>
      <c r="AR315" s="21" t="n">
        <f aca="false">SUM(Y315:AD315)</f>
        <v>0</v>
      </c>
      <c r="AS315" s="21" t="n">
        <f aca="false">SUM(AL315:AQ315)</f>
        <v>0</v>
      </c>
    </row>
    <row r="316" customFormat="false" ht="15" hidden="false" customHeight="false" outlineLevel="0" collapsed="false">
      <c r="A316" s="25" t="n">
        <f aca="false">A315+1</f>
        <v>290</v>
      </c>
      <c r="B316" s="21" t="n">
        <f aca="false">MAX(0,ROUND(B315*(1+B$15),2)-O315)</f>
        <v>0</v>
      </c>
      <c r="C316" s="21" t="n">
        <f aca="false">MAX(0,ROUND(C315*(1+C$15),2)-P315)</f>
        <v>0</v>
      </c>
      <c r="D316" s="21" t="n">
        <f aca="false">MAX(0,ROUND(D315*(1+D$15),2)-Q315)</f>
        <v>0</v>
      </c>
      <c r="E316" s="21" t="n">
        <f aca="false">MAX(0,ROUND(E315*(1+E$15),2)-R315)</f>
        <v>0</v>
      </c>
      <c r="F316" s="21" t="n">
        <f aca="false">MAX(0,ROUND(F315*(1+F$15),2)-S315)</f>
        <v>0</v>
      </c>
      <c r="G316" s="21" t="n">
        <f aca="false">MAX(0,ROUND(G315*(1+G$15),2)-T315)</f>
        <v>0</v>
      </c>
      <c r="H316" s="21" t="n">
        <f aca="false">MIN(B$16,ROUND(B316*(1+B$15),2))</f>
        <v>0</v>
      </c>
      <c r="I316" s="21" t="n">
        <f aca="false">MIN(C$16,ROUND(C316*(1+C$15),2))</f>
        <v>0</v>
      </c>
      <c r="J316" s="21" t="n">
        <f aca="false">MIN(D$16,ROUND(D316*(1+D$15),2))</f>
        <v>0</v>
      </c>
      <c r="K316" s="21" t="n">
        <f aca="false">MIN(E$16,ROUND(E316*(1+E$15),2))</f>
        <v>0</v>
      </c>
      <c r="L316" s="21" t="n">
        <f aca="false">MIN(F$16,ROUND(F316*(1+F$15),2))</f>
        <v>0</v>
      </c>
      <c r="M316" s="21" t="n">
        <f aca="false">MIN(G$16,ROUND(G316*(1+G$15),2))</f>
        <v>0</v>
      </c>
      <c r="N316" s="21" t="n">
        <f aca="false">B$20-SUM(H316:M316)</f>
        <v>1170</v>
      </c>
      <c r="O316" s="21" t="n">
        <f aca="false">MIN(ROUND(B316*(1+B$15),2),H316+MAX(0,N316))</f>
        <v>0</v>
      </c>
      <c r="P316" s="21" t="n">
        <f aca="false">MIN(ROUND(C316*(1+C$15),2),I316+MAX(0,N316-O316+H316))</f>
        <v>0</v>
      </c>
      <c r="Q316" s="21" t="n">
        <f aca="false">MIN(ROUND(D316*(1+D$15),2),J316+MAX(0,N316-O316+H316-P316+I316))</f>
        <v>0</v>
      </c>
      <c r="R316" s="21" t="n">
        <f aca="false">MIN(ROUND(E316*(1+E$15),2),K316+MAX(0,N316-O316+H316-P316+I316-Q316+J316))</f>
        <v>0</v>
      </c>
      <c r="S316" s="21" t="n">
        <f aca="false">MIN(ROUND(F316*(1+F$15),2),L316+MAX(0,N316-O316+H316-P316+I316-Q316+J316-R316+K316))</f>
        <v>0</v>
      </c>
      <c r="T316" s="21" t="n">
        <f aca="false">MIN(ROUND(G316*(1+G$15),2),M316+MAX(0,N316-O316+H316-P316+I316-Q316+J316-R316+K316-S316+L316))</f>
        <v>0</v>
      </c>
      <c r="U316" s="21" t="n">
        <f aca="false">SUM(B316:G316)</f>
        <v>0</v>
      </c>
      <c r="V316" s="21" t="n">
        <f aca="false">SUM(O316:T316)</f>
        <v>0</v>
      </c>
      <c r="X316" s="25" t="n">
        <f aca="false">X315+1</f>
        <v>290</v>
      </c>
      <c r="Y316" s="21" t="n">
        <f aca="false">MAX(0,ROUND(Y315*(1+Y$15),2)-AL315)</f>
        <v>0</v>
      </c>
      <c r="Z316" s="21" t="n">
        <f aca="false">MAX(0,ROUND(Z315*(1+Z$15),2)-AM315)</f>
        <v>0</v>
      </c>
      <c r="AA316" s="21" t="n">
        <f aca="false">MAX(0,ROUND(AA315*(1+AA$15),2)-AN315)</f>
        <v>0</v>
      </c>
      <c r="AB316" s="21" t="n">
        <f aca="false">MAX(0,ROUND(AB315*(1+AB$15),2)-AO315)</f>
        <v>0</v>
      </c>
      <c r="AC316" s="21" t="n">
        <f aca="false">MAX(0,ROUND(AC315*(1+AC$15),2)-AP315)</f>
        <v>0</v>
      </c>
      <c r="AD316" s="21" t="n">
        <f aca="false">MAX(0,ROUND(AD315*(1+AD$15),2)-AQ315)</f>
        <v>0</v>
      </c>
      <c r="AE316" s="21" t="n">
        <f aca="false">MIN(Y$16,ROUND(Y316*(1+Y$15),2))</f>
        <v>0</v>
      </c>
      <c r="AF316" s="21" t="n">
        <f aca="false">MIN(Z$16,ROUND(Z316*(1+Z$15),2))</f>
        <v>0</v>
      </c>
      <c r="AG316" s="21" t="n">
        <f aca="false">MIN(AA$16,ROUND(AA316*(1+AA$15),2))</f>
        <v>0</v>
      </c>
      <c r="AH316" s="21" t="n">
        <f aca="false">MIN(AB$16,ROUND(AB316*(1+AB$15),2))</f>
        <v>0</v>
      </c>
      <c r="AI316" s="21" t="n">
        <f aca="false">MIN(AC$16,ROUND(AC316*(1+AC$15),2))</f>
        <v>0</v>
      </c>
      <c r="AJ316" s="21" t="n">
        <f aca="false">MIN(AD$16,ROUND(AD316*(1+AD$15),2))</f>
        <v>0</v>
      </c>
      <c r="AK316" s="21" t="n">
        <f aca="false">Y$20-SUM(AE316:AJ316)</f>
        <v>1170</v>
      </c>
      <c r="AL316" s="21" t="n">
        <f aca="false">MIN(ROUND(Y316*(1+Y$15),2),AE316+MAX(0,AK316))</f>
        <v>0</v>
      </c>
      <c r="AM316" s="21" t="n">
        <f aca="false">MIN(ROUND(Z316*(1+Z$15),2),AF316+MAX(0,AK316-AL316+AE316))</f>
        <v>0</v>
      </c>
      <c r="AN316" s="21" t="n">
        <f aca="false">MIN(ROUND(AA316*(1+AA$15),2),AG316+MAX(0,AK316-AL316+AE316-AM316+AF316))</f>
        <v>0</v>
      </c>
      <c r="AO316" s="21" t="n">
        <f aca="false">MIN(ROUND(AB316*(1+AB$15),2),AH316+MAX(0,AK316-AL316+AE316-AM316+AF316-AN316+AG316))</f>
        <v>0</v>
      </c>
      <c r="AP316" s="21" t="n">
        <f aca="false">MIN(ROUND(AC316*(1+AC$15),2),AI316+MAX(0,AK316-AL316+AE316-AM316+AF316-AN316+AG316-AO316+AH316))</f>
        <v>0</v>
      </c>
      <c r="AQ316" s="21" t="n">
        <f aca="false">MIN(ROUND(AD316*(1+AD$15),2),AJ316+MAX(0,AK316-AL316+AE316-AM316+AF316-AN316+AG316-AO316+AH316-AP316+AI316))</f>
        <v>0</v>
      </c>
      <c r="AR316" s="21" t="n">
        <f aca="false">SUM(Y316:AD316)</f>
        <v>0</v>
      </c>
      <c r="AS316" s="21" t="n">
        <f aca="false">SUM(AL316:AQ316)</f>
        <v>0</v>
      </c>
    </row>
    <row r="317" customFormat="false" ht="15" hidden="false" customHeight="false" outlineLevel="0" collapsed="false">
      <c r="A317" s="25" t="n">
        <f aca="false">A316+1</f>
        <v>291</v>
      </c>
      <c r="B317" s="21" t="n">
        <f aca="false">MAX(0,ROUND(B316*(1+B$15),2)-O316)</f>
        <v>0</v>
      </c>
      <c r="C317" s="21" t="n">
        <f aca="false">MAX(0,ROUND(C316*(1+C$15),2)-P316)</f>
        <v>0</v>
      </c>
      <c r="D317" s="21" t="n">
        <f aca="false">MAX(0,ROUND(D316*(1+D$15),2)-Q316)</f>
        <v>0</v>
      </c>
      <c r="E317" s="21" t="n">
        <f aca="false">MAX(0,ROUND(E316*(1+E$15),2)-R316)</f>
        <v>0</v>
      </c>
      <c r="F317" s="21" t="n">
        <f aca="false">MAX(0,ROUND(F316*(1+F$15),2)-S316)</f>
        <v>0</v>
      </c>
      <c r="G317" s="21" t="n">
        <f aca="false">MAX(0,ROUND(G316*(1+G$15),2)-T316)</f>
        <v>0</v>
      </c>
      <c r="H317" s="21" t="n">
        <f aca="false">MIN(B$16,ROUND(B317*(1+B$15),2))</f>
        <v>0</v>
      </c>
      <c r="I317" s="21" t="n">
        <f aca="false">MIN(C$16,ROUND(C317*(1+C$15),2))</f>
        <v>0</v>
      </c>
      <c r="J317" s="21" t="n">
        <f aca="false">MIN(D$16,ROUND(D317*(1+D$15),2))</f>
        <v>0</v>
      </c>
      <c r="K317" s="21" t="n">
        <f aca="false">MIN(E$16,ROUND(E317*(1+E$15),2))</f>
        <v>0</v>
      </c>
      <c r="L317" s="21" t="n">
        <f aca="false">MIN(F$16,ROUND(F317*(1+F$15),2))</f>
        <v>0</v>
      </c>
      <c r="M317" s="21" t="n">
        <f aca="false">MIN(G$16,ROUND(G317*(1+G$15),2))</f>
        <v>0</v>
      </c>
      <c r="N317" s="21" t="n">
        <f aca="false">B$20-SUM(H317:M317)</f>
        <v>1170</v>
      </c>
      <c r="O317" s="21" t="n">
        <f aca="false">MIN(ROUND(B317*(1+B$15),2),H317+MAX(0,N317))</f>
        <v>0</v>
      </c>
      <c r="P317" s="21" t="n">
        <f aca="false">MIN(ROUND(C317*(1+C$15),2),I317+MAX(0,N317-O317+H317))</f>
        <v>0</v>
      </c>
      <c r="Q317" s="21" t="n">
        <f aca="false">MIN(ROUND(D317*(1+D$15),2),J317+MAX(0,N317-O317+H317-P317+I317))</f>
        <v>0</v>
      </c>
      <c r="R317" s="21" t="n">
        <f aca="false">MIN(ROUND(E317*(1+E$15),2),K317+MAX(0,N317-O317+H317-P317+I317-Q317+J317))</f>
        <v>0</v>
      </c>
      <c r="S317" s="21" t="n">
        <f aca="false">MIN(ROUND(F317*(1+F$15),2),L317+MAX(0,N317-O317+H317-P317+I317-Q317+J317-R317+K317))</f>
        <v>0</v>
      </c>
      <c r="T317" s="21" t="n">
        <f aca="false">MIN(ROUND(G317*(1+G$15),2),M317+MAX(0,N317-O317+H317-P317+I317-Q317+J317-R317+K317-S317+L317))</f>
        <v>0</v>
      </c>
      <c r="U317" s="21" t="n">
        <f aca="false">SUM(B317:G317)</f>
        <v>0</v>
      </c>
      <c r="V317" s="21" t="n">
        <f aca="false">SUM(O317:T317)</f>
        <v>0</v>
      </c>
      <c r="X317" s="25" t="n">
        <f aca="false">X316+1</f>
        <v>291</v>
      </c>
      <c r="Y317" s="21" t="n">
        <f aca="false">MAX(0,ROUND(Y316*(1+Y$15),2)-AL316)</f>
        <v>0</v>
      </c>
      <c r="Z317" s="21" t="n">
        <f aca="false">MAX(0,ROUND(Z316*(1+Z$15),2)-AM316)</f>
        <v>0</v>
      </c>
      <c r="AA317" s="21" t="n">
        <f aca="false">MAX(0,ROUND(AA316*(1+AA$15),2)-AN316)</f>
        <v>0</v>
      </c>
      <c r="AB317" s="21" t="n">
        <f aca="false">MAX(0,ROUND(AB316*(1+AB$15),2)-AO316)</f>
        <v>0</v>
      </c>
      <c r="AC317" s="21" t="n">
        <f aca="false">MAX(0,ROUND(AC316*(1+AC$15),2)-AP316)</f>
        <v>0</v>
      </c>
      <c r="AD317" s="21" t="n">
        <f aca="false">MAX(0,ROUND(AD316*(1+AD$15),2)-AQ316)</f>
        <v>0</v>
      </c>
      <c r="AE317" s="21" t="n">
        <f aca="false">MIN(Y$16,ROUND(Y317*(1+Y$15),2))</f>
        <v>0</v>
      </c>
      <c r="AF317" s="21" t="n">
        <f aca="false">MIN(Z$16,ROUND(Z317*(1+Z$15),2))</f>
        <v>0</v>
      </c>
      <c r="AG317" s="21" t="n">
        <f aca="false">MIN(AA$16,ROUND(AA317*(1+AA$15),2))</f>
        <v>0</v>
      </c>
      <c r="AH317" s="21" t="n">
        <f aca="false">MIN(AB$16,ROUND(AB317*(1+AB$15),2))</f>
        <v>0</v>
      </c>
      <c r="AI317" s="21" t="n">
        <f aca="false">MIN(AC$16,ROUND(AC317*(1+AC$15),2))</f>
        <v>0</v>
      </c>
      <c r="AJ317" s="21" t="n">
        <f aca="false">MIN(AD$16,ROUND(AD317*(1+AD$15),2))</f>
        <v>0</v>
      </c>
      <c r="AK317" s="21" t="n">
        <f aca="false">Y$20-SUM(AE317:AJ317)</f>
        <v>1170</v>
      </c>
      <c r="AL317" s="21" t="n">
        <f aca="false">MIN(ROUND(Y317*(1+Y$15),2),AE317+MAX(0,AK317))</f>
        <v>0</v>
      </c>
      <c r="AM317" s="21" t="n">
        <f aca="false">MIN(ROUND(Z317*(1+Z$15),2),AF317+MAX(0,AK317-AL317+AE317))</f>
        <v>0</v>
      </c>
      <c r="AN317" s="21" t="n">
        <f aca="false">MIN(ROUND(AA317*(1+AA$15),2),AG317+MAX(0,AK317-AL317+AE317-AM317+AF317))</f>
        <v>0</v>
      </c>
      <c r="AO317" s="21" t="n">
        <f aca="false">MIN(ROUND(AB317*(1+AB$15),2),AH317+MAX(0,AK317-AL317+AE317-AM317+AF317-AN317+AG317))</f>
        <v>0</v>
      </c>
      <c r="AP317" s="21" t="n">
        <f aca="false">MIN(ROUND(AC317*(1+AC$15),2),AI317+MAX(0,AK317-AL317+AE317-AM317+AF317-AN317+AG317-AO317+AH317))</f>
        <v>0</v>
      </c>
      <c r="AQ317" s="21" t="n">
        <f aca="false">MIN(ROUND(AD317*(1+AD$15),2),AJ317+MAX(0,AK317-AL317+AE317-AM317+AF317-AN317+AG317-AO317+AH317-AP317+AI317))</f>
        <v>0</v>
      </c>
      <c r="AR317" s="21" t="n">
        <f aca="false">SUM(Y317:AD317)</f>
        <v>0</v>
      </c>
      <c r="AS317" s="21" t="n">
        <f aca="false">SUM(AL317:AQ317)</f>
        <v>0</v>
      </c>
    </row>
    <row r="318" customFormat="false" ht="15" hidden="false" customHeight="false" outlineLevel="0" collapsed="false">
      <c r="A318" s="25" t="n">
        <f aca="false">A317+1</f>
        <v>292</v>
      </c>
      <c r="B318" s="21" t="n">
        <f aca="false">MAX(0,ROUND(B317*(1+B$15),2)-O317)</f>
        <v>0</v>
      </c>
      <c r="C318" s="21" t="n">
        <f aca="false">MAX(0,ROUND(C317*(1+C$15),2)-P317)</f>
        <v>0</v>
      </c>
      <c r="D318" s="21" t="n">
        <f aca="false">MAX(0,ROUND(D317*(1+D$15),2)-Q317)</f>
        <v>0</v>
      </c>
      <c r="E318" s="21" t="n">
        <f aca="false">MAX(0,ROUND(E317*(1+E$15),2)-R317)</f>
        <v>0</v>
      </c>
      <c r="F318" s="21" t="n">
        <f aca="false">MAX(0,ROUND(F317*(1+F$15),2)-S317)</f>
        <v>0</v>
      </c>
      <c r="G318" s="21" t="n">
        <f aca="false">MAX(0,ROUND(G317*(1+G$15),2)-T317)</f>
        <v>0</v>
      </c>
      <c r="H318" s="21" t="n">
        <f aca="false">MIN(B$16,ROUND(B318*(1+B$15),2))</f>
        <v>0</v>
      </c>
      <c r="I318" s="21" t="n">
        <f aca="false">MIN(C$16,ROUND(C318*(1+C$15),2))</f>
        <v>0</v>
      </c>
      <c r="J318" s="21" t="n">
        <f aca="false">MIN(D$16,ROUND(D318*(1+D$15),2))</f>
        <v>0</v>
      </c>
      <c r="K318" s="21" t="n">
        <f aca="false">MIN(E$16,ROUND(E318*(1+E$15),2))</f>
        <v>0</v>
      </c>
      <c r="L318" s="21" t="n">
        <f aca="false">MIN(F$16,ROUND(F318*(1+F$15),2))</f>
        <v>0</v>
      </c>
      <c r="M318" s="21" t="n">
        <f aca="false">MIN(G$16,ROUND(G318*(1+G$15),2))</f>
        <v>0</v>
      </c>
      <c r="N318" s="21" t="n">
        <f aca="false">B$20-SUM(H318:M318)</f>
        <v>1170</v>
      </c>
      <c r="O318" s="21" t="n">
        <f aca="false">MIN(ROUND(B318*(1+B$15),2),H318+MAX(0,N318))</f>
        <v>0</v>
      </c>
      <c r="P318" s="21" t="n">
        <f aca="false">MIN(ROUND(C318*(1+C$15),2),I318+MAX(0,N318-O318+H318))</f>
        <v>0</v>
      </c>
      <c r="Q318" s="21" t="n">
        <f aca="false">MIN(ROUND(D318*(1+D$15),2),J318+MAX(0,N318-O318+H318-P318+I318))</f>
        <v>0</v>
      </c>
      <c r="R318" s="21" t="n">
        <f aca="false">MIN(ROUND(E318*(1+E$15),2),K318+MAX(0,N318-O318+H318-P318+I318-Q318+J318))</f>
        <v>0</v>
      </c>
      <c r="S318" s="21" t="n">
        <f aca="false">MIN(ROUND(F318*(1+F$15),2),L318+MAX(0,N318-O318+H318-P318+I318-Q318+J318-R318+K318))</f>
        <v>0</v>
      </c>
      <c r="T318" s="21" t="n">
        <f aca="false">MIN(ROUND(G318*(1+G$15),2),M318+MAX(0,N318-O318+H318-P318+I318-Q318+J318-R318+K318-S318+L318))</f>
        <v>0</v>
      </c>
      <c r="U318" s="21" t="n">
        <f aca="false">SUM(B318:G318)</f>
        <v>0</v>
      </c>
      <c r="V318" s="21" t="n">
        <f aca="false">SUM(O318:T318)</f>
        <v>0</v>
      </c>
      <c r="X318" s="25" t="n">
        <f aca="false">X317+1</f>
        <v>292</v>
      </c>
      <c r="Y318" s="21" t="n">
        <f aca="false">MAX(0,ROUND(Y317*(1+Y$15),2)-AL317)</f>
        <v>0</v>
      </c>
      <c r="Z318" s="21" t="n">
        <f aca="false">MAX(0,ROUND(Z317*(1+Z$15),2)-AM317)</f>
        <v>0</v>
      </c>
      <c r="AA318" s="21" t="n">
        <f aca="false">MAX(0,ROUND(AA317*(1+AA$15),2)-AN317)</f>
        <v>0</v>
      </c>
      <c r="AB318" s="21" t="n">
        <f aca="false">MAX(0,ROUND(AB317*(1+AB$15),2)-AO317)</f>
        <v>0</v>
      </c>
      <c r="AC318" s="21" t="n">
        <f aca="false">MAX(0,ROUND(AC317*(1+AC$15),2)-AP317)</f>
        <v>0</v>
      </c>
      <c r="AD318" s="21" t="n">
        <f aca="false">MAX(0,ROUND(AD317*(1+AD$15),2)-AQ317)</f>
        <v>0</v>
      </c>
      <c r="AE318" s="21" t="n">
        <f aca="false">MIN(Y$16,ROUND(Y318*(1+Y$15),2))</f>
        <v>0</v>
      </c>
      <c r="AF318" s="21" t="n">
        <f aca="false">MIN(Z$16,ROUND(Z318*(1+Z$15),2))</f>
        <v>0</v>
      </c>
      <c r="AG318" s="21" t="n">
        <f aca="false">MIN(AA$16,ROUND(AA318*(1+AA$15),2))</f>
        <v>0</v>
      </c>
      <c r="AH318" s="21" t="n">
        <f aca="false">MIN(AB$16,ROUND(AB318*(1+AB$15),2))</f>
        <v>0</v>
      </c>
      <c r="AI318" s="21" t="n">
        <f aca="false">MIN(AC$16,ROUND(AC318*(1+AC$15),2))</f>
        <v>0</v>
      </c>
      <c r="AJ318" s="21" t="n">
        <f aca="false">MIN(AD$16,ROUND(AD318*(1+AD$15),2))</f>
        <v>0</v>
      </c>
      <c r="AK318" s="21" t="n">
        <f aca="false">Y$20-SUM(AE318:AJ318)</f>
        <v>1170</v>
      </c>
      <c r="AL318" s="21" t="n">
        <f aca="false">MIN(ROUND(Y318*(1+Y$15),2),AE318+MAX(0,AK318))</f>
        <v>0</v>
      </c>
      <c r="AM318" s="21" t="n">
        <f aca="false">MIN(ROUND(Z318*(1+Z$15),2),AF318+MAX(0,AK318-AL318+AE318))</f>
        <v>0</v>
      </c>
      <c r="AN318" s="21" t="n">
        <f aca="false">MIN(ROUND(AA318*(1+AA$15),2),AG318+MAX(0,AK318-AL318+AE318-AM318+AF318))</f>
        <v>0</v>
      </c>
      <c r="AO318" s="21" t="n">
        <f aca="false">MIN(ROUND(AB318*(1+AB$15),2),AH318+MAX(0,AK318-AL318+AE318-AM318+AF318-AN318+AG318))</f>
        <v>0</v>
      </c>
      <c r="AP318" s="21" t="n">
        <f aca="false">MIN(ROUND(AC318*(1+AC$15),2),AI318+MAX(0,AK318-AL318+AE318-AM318+AF318-AN318+AG318-AO318+AH318))</f>
        <v>0</v>
      </c>
      <c r="AQ318" s="21" t="n">
        <f aca="false">MIN(ROUND(AD318*(1+AD$15),2),AJ318+MAX(0,AK318-AL318+AE318-AM318+AF318-AN318+AG318-AO318+AH318-AP318+AI318))</f>
        <v>0</v>
      </c>
      <c r="AR318" s="21" t="n">
        <f aca="false">SUM(Y318:AD318)</f>
        <v>0</v>
      </c>
      <c r="AS318" s="21" t="n">
        <f aca="false">SUM(AL318:AQ318)</f>
        <v>0</v>
      </c>
    </row>
    <row r="319" customFormat="false" ht="15" hidden="false" customHeight="false" outlineLevel="0" collapsed="false">
      <c r="A319" s="25" t="n">
        <f aca="false">A318+1</f>
        <v>293</v>
      </c>
      <c r="B319" s="21" t="n">
        <f aca="false">MAX(0,ROUND(B318*(1+B$15),2)-O318)</f>
        <v>0</v>
      </c>
      <c r="C319" s="21" t="n">
        <f aca="false">MAX(0,ROUND(C318*(1+C$15),2)-P318)</f>
        <v>0</v>
      </c>
      <c r="D319" s="21" t="n">
        <f aca="false">MAX(0,ROUND(D318*(1+D$15),2)-Q318)</f>
        <v>0</v>
      </c>
      <c r="E319" s="21" t="n">
        <f aca="false">MAX(0,ROUND(E318*(1+E$15),2)-R318)</f>
        <v>0</v>
      </c>
      <c r="F319" s="21" t="n">
        <f aca="false">MAX(0,ROUND(F318*(1+F$15),2)-S318)</f>
        <v>0</v>
      </c>
      <c r="G319" s="21" t="n">
        <f aca="false">MAX(0,ROUND(G318*(1+G$15),2)-T318)</f>
        <v>0</v>
      </c>
      <c r="H319" s="21" t="n">
        <f aca="false">MIN(B$16,ROUND(B319*(1+B$15),2))</f>
        <v>0</v>
      </c>
      <c r="I319" s="21" t="n">
        <f aca="false">MIN(C$16,ROUND(C319*(1+C$15),2))</f>
        <v>0</v>
      </c>
      <c r="J319" s="21" t="n">
        <f aca="false">MIN(D$16,ROUND(D319*(1+D$15),2))</f>
        <v>0</v>
      </c>
      <c r="K319" s="21" t="n">
        <f aca="false">MIN(E$16,ROUND(E319*(1+E$15),2))</f>
        <v>0</v>
      </c>
      <c r="L319" s="21" t="n">
        <f aca="false">MIN(F$16,ROUND(F319*(1+F$15),2))</f>
        <v>0</v>
      </c>
      <c r="M319" s="21" t="n">
        <f aca="false">MIN(G$16,ROUND(G319*(1+G$15),2))</f>
        <v>0</v>
      </c>
      <c r="N319" s="21" t="n">
        <f aca="false">B$20-SUM(H319:M319)</f>
        <v>1170</v>
      </c>
      <c r="O319" s="21" t="n">
        <f aca="false">MIN(ROUND(B319*(1+B$15),2),H319+MAX(0,N319))</f>
        <v>0</v>
      </c>
      <c r="P319" s="21" t="n">
        <f aca="false">MIN(ROUND(C319*(1+C$15),2),I319+MAX(0,N319-O319+H319))</f>
        <v>0</v>
      </c>
      <c r="Q319" s="21" t="n">
        <f aca="false">MIN(ROUND(D319*(1+D$15),2),J319+MAX(0,N319-O319+H319-P319+I319))</f>
        <v>0</v>
      </c>
      <c r="R319" s="21" t="n">
        <f aca="false">MIN(ROUND(E319*(1+E$15),2),K319+MAX(0,N319-O319+H319-P319+I319-Q319+J319))</f>
        <v>0</v>
      </c>
      <c r="S319" s="21" t="n">
        <f aca="false">MIN(ROUND(F319*(1+F$15),2),L319+MAX(0,N319-O319+H319-P319+I319-Q319+J319-R319+K319))</f>
        <v>0</v>
      </c>
      <c r="T319" s="21" t="n">
        <f aca="false">MIN(ROUND(G319*(1+G$15),2),M319+MAX(0,N319-O319+H319-P319+I319-Q319+J319-R319+K319-S319+L319))</f>
        <v>0</v>
      </c>
      <c r="U319" s="21" t="n">
        <f aca="false">SUM(B319:G319)</f>
        <v>0</v>
      </c>
      <c r="V319" s="21" t="n">
        <f aca="false">SUM(O319:T319)</f>
        <v>0</v>
      </c>
      <c r="X319" s="25" t="n">
        <f aca="false">X318+1</f>
        <v>293</v>
      </c>
      <c r="Y319" s="21" t="n">
        <f aca="false">MAX(0,ROUND(Y318*(1+Y$15),2)-AL318)</f>
        <v>0</v>
      </c>
      <c r="Z319" s="21" t="n">
        <f aca="false">MAX(0,ROUND(Z318*(1+Z$15),2)-AM318)</f>
        <v>0</v>
      </c>
      <c r="AA319" s="21" t="n">
        <f aca="false">MAX(0,ROUND(AA318*(1+AA$15),2)-AN318)</f>
        <v>0</v>
      </c>
      <c r="AB319" s="21" t="n">
        <f aca="false">MAX(0,ROUND(AB318*(1+AB$15),2)-AO318)</f>
        <v>0</v>
      </c>
      <c r="AC319" s="21" t="n">
        <f aca="false">MAX(0,ROUND(AC318*(1+AC$15),2)-AP318)</f>
        <v>0</v>
      </c>
      <c r="AD319" s="21" t="n">
        <f aca="false">MAX(0,ROUND(AD318*(1+AD$15),2)-AQ318)</f>
        <v>0</v>
      </c>
      <c r="AE319" s="21" t="n">
        <f aca="false">MIN(Y$16,ROUND(Y319*(1+Y$15),2))</f>
        <v>0</v>
      </c>
      <c r="AF319" s="21" t="n">
        <f aca="false">MIN(Z$16,ROUND(Z319*(1+Z$15),2))</f>
        <v>0</v>
      </c>
      <c r="AG319" s="21" t="n">
        <f aca="false">MIN(AA$16,ROUND(AA319*(1+AA$15),2))</f>
        <v>0</v>
      </c>
      <c r="AH319" s="21" t="n">
        <f aca="false">MIN(AB$16,ROUND(AB319*(1+AB$15),2))</f>
        <v>0</v>
      </c>
      <c r="AI319" s="21" t="n">
        <f aca="false">MIN(AC$16,ROUND(AC319*(1+AC$15),2))</f>
        <v>0</v>
      </c>
      <c r="AJ319" s="21" t="n">
        <f aca="false">MIN(AD$16,ROUND(AD319*(1+AD$15),2))</f>
        <v>0</v>
      </c>
      <c r="AK319" s="21" t="n">
        <f aca="false">Y$20-SUM(AE319:AJ319)</f>
        <v>1170</v>
      </c>
      <c r="AL319" s="21" t="n">
        <f aca="false">MIN(ROUND(Y319*(1+Y$15),2),AE319+MAX(0,AK319))</f>
        <v>0</v>
      </c>
      <c r="AM319" s="21" t="n">
        <f aca="false">MIN(ROUND(Z319*(1+Z$15),2),AF319+MAX(0,AK319-AL319+AE319))</f>
        <v>0</v>
      </c>
      <c r="AN319" s="21" t="n">
        <f aca="false">MIN(ROUND(AA319*(1+AA$15),2),AG319+MAX(0,AK319-AL319+AE319-AM319+AF319))</f>
        <v>0</v>
      </c>
      <c r="AO319" s="21" t="n">
        <f aca="false">MIN(ROUND(AB319*(1+AB$15),2),AH319+MAX(0,AK319-AL319+AE319-AM319+AF319-AN319+AG319))</f>
        <v>0</v>
      </c>
      <c r="AP319" s="21" t="n">
        <f aca="false">MIN(ROUND(AC319*(1+AC$15),2),AI319+MAX(0,AK319-AL319+AE319-AM319+AF319-AN319+AG319-AO319+AH319))</f>
        <v>0</v>
      </c>
      <c r="AQ319" s="21" t="n">
        <f aca="false">MIN(ROUND(AD319*(1+AD$15),2),AJ319+MAX(0,AK319-AL319+AE319-AM319+AF319-AN319+AG319-AO319+AH319-AP319+AI319))</f>
        <v>0</v>
      </c>
      <c r="AR319" s="21" t="n">
        <f aca="false">SUM(Y319:AD319)</f>
        <v>0</v>
      </c>
      <c r="AS319" s="21" t="n">
        <f aca="false">SUM(AL319:AQ319)</f>
        <v>0</v>
      </c>
    </row>
    <row r="320" customFormat="false" ht="15" hidden="false" customHeight="false" outlineLevel="0" collapsed="false">
      <c r="A320" s="25" t="n">
        <f aca="false">A319+1</f>
        <v>294</v>
      </c>
      <c r="B320" s="21" t="n">
        <f aca="false">MAX(0,ROUND(B319*(1+B$15),2)-O319)</f>
        <v>0</v>
      </c>
      <c r="C320" s="21" t="n">
        <f aca="false">MAX(0,ROUND(C319*(1+C$15),2)-P319)</f>
        <v>0</v>
      </c>
      <c r="D320" s="21" t="n">
        <f aca="false">MAX(0,ROUND(D319*(1+D$15),2)-Q319)</f>
        <v>0</v>
      </c>
      <c r="E320" s="21" t="n">
        <f aca="false">MAX(0,ROUND(E319*(1+E$15),2)-R319)</f>
        <v>0</v>
      </c>
      <c r="F320" s="21" t="n">
        <f aca="false">MAX(0,ROUND(F319*(1+F$15),2)-S319)</f>
        <v>0</v>
      </c>
      <c r="G320" s="21" t="n">
        <f aca="false">MAX(0,ROUND(G319*(1+G$15),2)-T319)</f>
        <v>0</v>
      </c>
      <c r="H320" s="21" t="n">
        <f aca="false">MIN(B$16,ROUND(B320*(1+B$15),2))</f>
        <v>0</v>
      </c>
      <c r="I320" s="21" t="n">
        <f aca="false">MIN(C$16,ROUND(C320*(1+C$15),2))</f>
        <v>0</v>
      </c>
      <c r="J320" s="21" t="n">
        <f aca="false">MIN(D$16,ROUND(D320*(1+D$15),2))</f>
        <v>0</v>
      </c>
      <c r="K320" s="21" t="n">
        <f aca="false">MIN(E$16,ROUND(E320*(1+E$15),2))</f>
        <v>0</v>
      </c>
      <c r="L320" s="21" t="n">
        <f aca="false">MIN(F$16,ROUND(F320*(1+F$15),2))</f>
        <v>0</v>
      </c>
      <c r="M320" s="21" t="n">
        <f aca="false">MIN(G$16,ROUND(G320*(1+G$15),2))</f>
        <v>0</v>
      </c>
      <c r="N320" s="21" t="n">
        <f aca="false">B$20-SUM(H320:M320)</f>
        <v>1170</v>
      </c>
      <c r="O320" s="21" t="n">
        <f aca="false">MIN(ROUND(B320*(1+B$15),2),H320+MAX(0,N320))</f>
        <v>0</v>
      </c>
      <c r="P320" s="21" t="n">
        <f aca="false">MIN(ROUND(C320*(1+C$15),2),I320+MAX(0,N320-O320+H320))</f>
        <v>0</v>
      </c>
      <c r="Q320" s="21" t="n">
        <f aca="false">MIN(ROUND(D320*(1+D$15),2),J320+MAX(0,N320-O320+H320-P320+I320))</f>
        <v>0</v>
      </c>
      <c r="R320" s="21" t="n">
        <f aca="false">MIN(ROUND(E320*(1+E$15),2),K320+MAX(0,N320-O320+H320-P320+I320-Q320+J320))</f>
        <v>0</v>
      </c>
      <c r="S320" s="21" t="n">
        <f aca="false">MIN(ROUND(F320*(1+F$15),2),L320+MAX(0,N320-O320+H320-P320+I320-Q320+J320-R320+K320))</f>
        <v>0</v>
      </c>
      <c r="T320" s="21" t="n">
        <f aca="false">MIN(ROUND(G320*(1+G$15),2),M320+MAX(0,N320-O320+H320-P320+I320-Q320+J320-R320+K320-S320+L320))</f>
        <v>0</v>
      </c>
      <c r="U320" s="21" t="n">
        <f aca="false">SUM(B320:G320)</f>
        <v>0</v>
      </c>
      <c r="V320" s="21" t="n">
        <f aca="false">SUM(O320:T320)</f>
        <v>0</v>
      </c>
      <c r="X320" s="25" t="n">
        <f aca="false">X319+1</f>
        <v>294</v>
      </c>
      <c r="Y320" s="21" t="n">
        <f aca="false">MAX(0,ROUND(Y319*(1+Y$15),2)-AL319)</f>
        <v>0</v>
      </c>
      <c r="Z320" s="21" t="n">
        <f aca="false">MAX(0,ROUND(Z319*(1+Z$15),2)-AM319)</f>
        <v>0</v>
      </c>
      <c r="AA320" s="21" t="n">
        <f aca="false">MAX(0,ROUND(AA319*(1+AA$15),2)-AN319)</f>
        <v>0</v>
      </c>
      <c r="AB320" s="21" t="n">
        <f aca="false">MAX(0,ROUND(AB319*(1+AB$15),2)-AO319)</f>
        <v>0</v>
      </c>
      <c r="AC320" s="21" t="n">
        <f aca="false">MAX(0,ROUND(AC319*(1+AC$15),2)-AP319)</f>
        <v>0</v>
      </c>
      <c r="AD320" s="21" t="n">
        <f aca="false">MAX(0,ROUND(AD319*(1+AD$15),2)-AQ319)</f>
        <v>0</v>
      </c>
      <c r="AE320" s="21" t="n">
        <f aca="false">MIN(Y$16,ROUND(Y320*(1+Y$15),2))</f>
        <v>0</v>
      </c>
      <c r="AF320" s="21" t="n">
        <f aca="false">MIN(Z$16,ROUND(Z320*(1+Z$15),2))</f>
        <v>0</v>
      </c>
      <c r="AG320" s="21" t="n">
        <f aca="false">MIN(AA$16,ROUND(AA320*(1+AA$15),2))</f>
        <v>0</v>
      </c>
      <c r="AH320" s="21" t="n">
        <f aca="false">MIN(AB$16,ROUND(AB320*(1+AB$15),2))</f>
        <v>0</v>
      </c>
      <c r="AI320" s="21" t="n">
        <f aca="false">MIN(AC$16,ROUND(AC320*(1+AC$15),2))</f>
        <v>0</v>
      </c>
      <c r="AJ320" s="21" t="n">
        <f aca="false">MIN(AD$16,ROUND(AD320*(1+AD$15),2))</f>
        <v>0</v>
      </c>
      <c r="AK320" s="21" t="n">
        <f aca="false">Y$20-SUM(AE320:AJ320)</f>
        <v>1170</v>
      </c>
      <c r="AL320" s="21" t="n">
        <f aca="false">MIN(ROUND(Y320*(1+Y$15),2),AE320+MAX(0,AK320))</f>
        <v>0</v>
      </c>
      <c r="AM320" s="21" t="n">
        <f aca="false">MIN(ROUND(Z320*(1+Z$15),2),AF320+MAX(0,AK320-AL320+AE320))</f>
        <v>0</v>
      </c>
      <c r="AN320" s="21" t="n">
        <f aca="false">MIN(ROUND(AA320*(1+AA$15),2),AG320+MAX(0,AK320-AL320+AE320-AM320+AF320))</f>
        <v>0</v>
      </c>
      <c r="AO320" s="21" t="n">
        <f aca="false">MIN(ROUND(AB320*(1+AB$15),2),AH320+MAX(0,AK320-AL320+AE320-AM320+AF320-AN320+AG320))</f>
        <v>0</v>
      </c>
      <c r="AP320" s="21" t="n">
        <f aca="false">MIN(ROUND(AC320*(1+AC$15),2),AI320+MAX(0,AK320-AL320+AE320-AM320+AF320-AN320+AG320-AO320+AH320))</f>
        <v>0</v>
      </c>
      <c r="AQ320" s="21" t="n">
        <f aca="false">MIN(ROUND(AD320*(1+AD$15),2),AJ320+MAX(0,AK320-AL320+AE320-AM320+AF320-AN320+AG320-AO320+AH320-AP320+AI320))</f>
        <v>0</v>
      </c>
      <c r="AR320" s="21" t="n">
        <f aca="false">SUM(Y320:AD320)</f>
        <v>0</v>
      </c>
      <c r="AS320" s="21" t="n">
        <f aca="false">SUM(AL320:AQ320)</f>
        <v>0</v>
      </c>
    </row>
    <row r="321" customFormat="false" ht="15" hidden="false" customHeight="false" outlineLevel="0" collapsed="false">
      <c r="A321" s="25" t="n">
        <f aca="false">A320+1</f>
        <v>295</v>
      </c>
      <c r="B321" s="21" t="n">
        <f aca="false">MAX(0,ROUND(B320*(1+B$15),2)-O320)</f>
        <v>0</v>
      </c>
      <c r="C321" s="21" t="n">
        <f aca="false">MAX(0,ROUND(C320*(1+C$15),2)-P320)</f>
        <v>0</v>
      </c>
      <c r="D321" s="21" t="n">
        <f aca="false">MAX(0,ROUND(D320*(1+D$15),2)-Q320)</f>
        <v>0</v>
      </c>
      <c r="E321" s="21" t="n">
        <f aca="false">MAX(0,ROUND(E320*(1+E$15),2)-R320)</f>
        <v>0</v>
      </c>
      <c r="F321" s="21" t="n">
        <f aca="false">MAX(0,ROUND(F320*(1+F$15),2)-S320)</f>
        <v>0</v>
      </c>
      <c r="G321" s="21" t="n">
        <f aca="false">MAX(0,ROUND(G320*(1+G$15),2)-T320)</f>
        <v>0</v>
      </c>
      <c r="H321" s="21" t="n">
        <f aca="false">MIN(B$16,ROUND(B321*(1+B$15),2))</f>
        <v>0</v>
      </c>
      <c r="I321" s="21" t="n">
        <f aca="false">MIN(C$16,ROUND(C321*(1+C$15),2))</f>
        <v>0</v>
      </c>
      <c r="J321" s="21" t="n">
        <f aca="false">MIN(D$16,ROUND(D321*(1+D$15),2))</f>
        <v>0</v>
      </c>
      <c r="K321" s="21" t="n">
        <f aca="false">MIN(E$16,ROUND(E321*(1+E$15),2))</f>
        <v>0</v>
      </c>
      <c r="L321" s="21" t="n">
        <f aca="false">MIN(F$16,ROUND(F321*(1+F$15),2))</f>
        <v>0</v>
      </c>
      <c r="M321" s="21" t="n">
        <f aca="false">MIN(G$16,ROUND(G321*(1+G$15),2))</f>
        <v>0</v>
      </c>
      <c r="N321" s="21" t="n">
        <f aca="false">B$20-SUM(H321:M321)</f>
        <v>1170</v>
      </c>
      <c r="O321" s="21" t="n">
        <f aca="false">MIN(ROUND(B321*(1+B$15),2),H321+MAX(0,N321))</f>
        <v>0</v>
      </c>
      <c r="P321" s="21" t="n">
        <f aca="false">MIN(ROUND(C321*(1+C$15),2),I321+MAX(0,N321-O321+H321))</f>
        <v>0</v>
      </c>
      <c r="Q321" s="21" t="n">
        <f aca="false">MIN(ROUND(D321*(1+D$15),2),J321+MAX(0,N321-O321+H321-P321+I321))</f>
        <v>0</v>
      </c>
      <c r="R321" s="21" t="n">
        <f aca="false">MIN(ROUND(E321*(1+E$15),2),K321+MAX(0,N321-O321+H321-P321+I321-Q321+J321))</f>
        <v>0</v>
      </c>
      <c r="S321" s="21" t="n">
        <f aca="false">MIN(ROUND(F321*(1+F$15),2),L321+MAX(0,N321-O321+H321-P321+I321-Q321+J321-R321+K321))</f>
        <v>0</v>
      </c>
      <c r="T321" s="21" t="n">
        <f aca="false">MIN(ROUND(G321*(1+G$15),2),M321+MAX(0,N321-O321+H321-P321+I321-Q321+J321-R321+K321-S321+L321))</f>
        <v>0</v>
      </c>
      <c r="U321" s="21" t="n">
        <f aca="false">SUM(B321:G321)</f>
        <v>0</v>
      </c>
      <c r="V321" s="21" t="n">
        <f aca="false">SUM(O321:T321)</f>
        <v>0</v>
      </c>
      <c r="X321" s="25" t="n">
        <f aca="false">X320+1</f>
        <v>295</v>
      </c>
      <c r="Y321" s="21" t="n">
        <f aca="false">MAX(0,ROUND(Y320*(1+Y$15),2)-AL320)</f>
        <v>0</v>
      </c>
      <c r="Z321" s="21" t="n">
        <f aca="false">MAX(0,ROUND(Z320*(1+Z$15),2)-AM320)</f>
        <v>0</v>
      </c>
      <c r="AA321" s="21" t="n">
        <f aca="false">MAX(0,ROUND(AA320*(1+AA$15),2)-AN320)</f>
        <v>0</v>
      </c>
      <c r="AB321" s="21" t="n">
        <f aca="false">MAX(0,ROUND(AB320*(1+AB$15),2)-AO320)</f>
        <v>0</v>
      </c>
      <c r="AC321" s="21" t="n">
        <f aca="false">MAX(0,ROUND(AC320*(1+AC$15),2)-AP320)</f>
        <v>0</v>
      </c>
      <c r="AD321" s="21" t="n">
        <f aca="false">MAX(0,ROUND(AD320*(1+AD$15),2)-AQ320)</f>
        <v>0</v>
      </c>
      <c r="AE321" s="21" t="n">
        <f aca="false">MIN(Y$16,ROUND(Y321*(1+Y$15),2))</f>
        <v>0</v>
      </c>
      <c r="AF321" s="21" t="n">
        <f aca="false">MIN(Z$16,ROUND(Z321*(1+Z$15),2))</f>
        <v>0</v>
      </c>
      <c r="AG321" s="21" t="n">
        <f aca="false">MIN(AA$16,ROUND(AA321*(1+AA$15),2))</f>
        <v>0</v>
      </c>
      <c r="AH321" s="21" t="n">
        <f aca="false">MIN(AB$16,ROUND(AB321*(1+AB$15),2))</f>
        <v>0</v>
      </c>
      <c r="AI321" s="21" t="n">
        <f aca="false">MIN(AC$16,ROUND(AC321*(1+AC$15),2))</f>
        <v>0</v>
      </c>
      <c r="AJ321" s="21" t="n">
        <f aca="false">MIN(AD$16,ROUND(AD321*(1+AD$15),2))</f>
        <v>0</v>
      </c>
      <c r="AK321" s="21" t="n">
        <f aca="false">Y$20-SUM(AE321:AJ321)</f>
        <v>1170</v>
      </c>
      <c r="AL321" s="21" t="n">
        <f aca="false">MIN(ROUND(Y321*(1+Y$15),2),AE321+MAX(0,AK321))</f>
        <v>0</v>
      </c>
      <c r="AM321" s="21" t="n">
        <f aca="false">MIN(ROUND(Z321*(1+Z$15),2),AF321+MAX(0,AK321-AL321+AE321))</f>
        <v>0</v>
      </c>
      <c r="AN321" s="21" t="n">
        <f aca="false">MIN(ROUND(AA321*(1+AA$15),2),AG321+MAX(0,AK321-AL321+AE321-AM321+AF321))</f>
        <v>0</v>
      </c>
      <c r="AO321" s="21" t="n">
        <f aca="false">MIN(ROUND(AB321*(1+AB$15),2),AH321+MAX(0,AK321-AL321+AE321-AM321+AF321-AN321+AG321))</f>
        <v>0</v>
      </c>
      <c r="AP321" s="21" t="n">
        <f aca="false">MIN(ROUND(AC321*(1+AC$15),2),AI321+MAX(0,AK321-AL321+AE321-AM321+AF321-AN321+AG321-AO321+AH321))</f>
        <v>0</v>
      </c>
      <c r="AQ321" s="21" t="n">
        <f aca="false">MIN(ROUND(AD321*(1+AD$15),2),AJ321+MAX(0,AK321-AL321+AE321-AM321+AF321-AN321+AG321-AO321+AH321-AP321+AI321))</f>
        <v>0</v>
      </c>
      <c r="AR321" s="21" t="n">
        <f aca="false">SUM(Y321:AD321)</f>
        <v>0</v>
      </c>
      <c r="AS321" s="21" t="n">
        <f aca="false">SUM(AL321:AQ321)</f>
        <v>0</v>
      </c>
    </row>
    <row r="322" customFormat="false" ht="15" hidden="false" customHeight="false" outlineLevel="0" collapsed="false">
      <c r="A322" s="25" t="n">
        <f aca="false">A321+1</f>
        <v>296</v>
      </c>
      <c r="B322" s="21" t="n">
        <f aca="false">MAX(0,ROUND(B321*(1+B$15),2)-O321)</f>
        <v>0</v>
      </c>
      <c r="C322" s="21" t="n">
        <f aca="false">MAX(0,ROUND(C321*(1+C$15),2)-P321)</f>
        <v>0</v>
      </c>
      <c r="D322" s="21" t="n">
        <f aca="false">MAX(0,ROUND(D321*(1+D$15),2)-Q321)</f>
        <v>0</v>
      </c>
      <c r="E322" s="21" t="n">
        <f aca="false">MAX(0,ROUND(E321*(1+E$15),2)-R321)</f>
        <v>0</v>
      </c>
      <c r="F322" s="21" t="n">
        <f aca="false">MAX(0,ROUND(F321*(1+F$15),2)-S321)</f>
        <v>0</v>
      </c>
      <c r="G322" s="21" t="n">
        <f aca="false">MAX(0,ROUND(G321*(1+G$15),2)-T321)</f>
        <v>0</v>
      </c>
      <c r="H322" s="21" t="n">
        <f aca="false">MIN(B$16,ROUND(B322*(1+B$15),2))</f>
        <v>0</v>
      </c>
      <c r="I322" s="21" t="n">
        <f aca="false">MIN(C$16,ROUND(C322*(1+C$15),2))</f>
        <v>0</v>
      </c>
      <c r="J322" s="21" t="n">
        <f aca="false">MIN(D$16,ROUND(D322*(1+D$15),2))</f>
        <v>0</v>
      </c>
      <c r="K322" s="21" t="n">
        <f aca="false">MIN(E$16,ROUND(E322*(1+E$15),2))</f>
        <v>0</v>
      </c>
      <c r="L322" s="21" t="n">
        <f aca="false">MIN(F$16,ROUND(F322*(1+F$15),2))</f>
        <v>0</v>
      </c>
      <c r="M322" s="21" t="n">
        <f aca="false">MIN(G$16,ROUND(G322*(1+G$15),2))</f>
        <v>0</v>
      </c>
      <c r="N322" s="21" t="n">
        <f aca="false">B$20-SUM(H322:M322)</f>
        <v>1170</v>
      </c>
      <c r="O322" s="21" t="n">
        <f aca="false">MIN(ROUND(B322*(1+B$15),2),H322+MAX(0,N322))</f>
        <v>0</v>
      </c>
      <c r="P322" s="21" t="n">
        <f aca="false">MIN(ROUND(C322*(1+C$15),2),I322+MAX(0,N322-O322+H322))</f>
        <v>0</v>
      </c>
      <c r="Q322" s="21" t="n">
        <f aca="false">MIN(ROUND(D322*(1+D$15),2),J322+MAX(0,N322-O322+H322-P322+I322))</f>
        <v>0</v>
      </c>
      <c r="R322" s="21" t="n">
        <f aca="false">MIN(ROUND(E322*(1+E$15),2),K322+MAX(0,N322-O322+H322-P322+I322-Q322+J322))</f>
        <v>0</v>
      </c>
      <c r="S322" s="21" t="n">
        <f aca="false">MIN(ROUND(F322*(1+F$15),2),L322+MAX(0,N322-O322+H322-P322+I322-Q322+J322-R322+K322))</f>
        <v>0</v>
      </c>
      <c r="T322" s="21" t="n">
        <f aca="false">MIN(ROUND(G322*(1+G$15),2),M322+MAX(0,N322-O322+H322-P322+I322-Q322+J322-R322+K322-S322+L322))</f>
        <v>0</v>
      </c>
      <c r="U322" s="21" t="n">
        <f aca="false">SUM(B322:G322)</f>
        <v>0</v>
      </c>
      <c r="V322" s="21" t="n">
        <f aca="false">SUM(O322:T322)</f>
        <v>0</v>
      </c>
      <c r="X322" s="25" t="n">
        <f aca="false">X321+1</f>
        <v>296</v>
      </c>
      <c r="Y322" s="21" t="n">
        <f aca="false">MAX(0,ROUND(Y321*(1+Y$15),2)-AL321)</f>
        <v>0</v>
      </c>
      <c r="Z322" s="21" t="n">
        <f aca="false">MAX(0,ROUND(Z321*(1+Z$15),2)-AM321)</f>
        <v>0</v>
      </c>
      <c r="AA322" s="21" t="n">
        <f aca="false">MAX(0,ROUND(AA321*(1+AA$15),2)-AN321)</f>
        <v>0</v>
      </c>
      <c r="AB322" s="21" t="n">
        <f aca="false">MAX(0,ROUND(AB321*(1+AB$15),2)-AO321)</f>
        <v>0</v>
      </c>
      <c r="AC322" s="21" t="n">
        <f aca="false">MAX(0,ROUND(AC321*(1+AC$15),2)-AP321)</f>
        <v>0</v>
      </c>
      <c r="AD322" s="21" t="n">
        <f aca="false">MAX(0,ROUND(AD321*(1+AD$15),2)-AQ321)</f>
        <v>0</v>
      </c>
      <c r="AE322" s="21" t="n">
        <f aca="false">MIN(Y$16,ROUND(Y322*(1+Y$15),2))</f>
        <v>0</v>
      </c>
      <c r="AF322" s="21" t="n">
        <f aca="false">MIN(Z$16,ROUND(Z322*(1+Z$15),2))</f>
        <v>0</v>
      </c>
      <c r="AG322" s="21" t="n">
        <f aca="false">MIN(AA$16,ROUND(AA322*(1+AA$15),2))</f>
        <v>0</v>
      </c>
      <c r="AH322" s="21" t="n">
        <f aca="false">MIN(AB$16,ROUND(AB322*(1+AB$15),2))</f>
        <v>0</v>
      </c>
      <c r="AI322" s="21" t="n">
        <f aca="false">MIN(AC$16,ROUND(AC322*(1+AC$15),2))</f>
        <v>0</v>
      </c>
      <c r="AJ322" s="21" t="n">
        <f aca="false">MIN(AD$16,ROUND(AD322*(1+AD$15),2))</f>
        <v>0</v>
      </c>
      <c r="AK322" s="21" t="n">
        <f aca="false">Y$20-SUM(AE322:AJ322)</f>
        <v>1170</v>
      </c>
      <c r="AL322" s="21" t="n">
        <f aca="false">MIN(ROUND(Y322*(1+Y$15),2),AE322+MAX(0,AK322))</f>
        <v>0</v>
      </c>
      <c r="AM322" s="21" t="n">
        <f aca="false">MIN(ROUND(Z322*(1+Z$15),2),AF322+MAX(0,AK322-AL322+AE322))</f>
        <v>0</v>
      </c>
      <c r="AN322" s="21" t="n">
        <f aca="false">MIN(ROUND(AA322*(1+AA$15),2),AG322+MAX(0,AK322-AL322+AE322-AM322+AF322))</f>
        <v>0</v>
      </c>
      <c r="AO322" s="21" t="n">
        <f aca="false">MIN(ROUND(AB322*(1+AB$15),2),AH322+MAX(0,AK322-AL322+AE322-AM322+AF322-AN322+AG322))</f>
        <v>0</v>
      </c>
      <c r="AP322" s="21" t="n">
        <f aca="false">MIN(ROUND(AC322*(1+AC$15),2),AI322+MAX(0,AK322-AL322+AE322-AM322+AF322-AN322+AG322-AO322+AH322))</f>
        <v>0</v>
      </c>
      <c r="AQ322" s="21" t="n">
        <f aca="false">MIN(ROUND(AD322*(1+AD$15),2),AJ322+MAX(0,AK322-AL322+AE322-AM322+AF322-AN322+AG322-AO322+AH322-AP322+AI322))</f>
        <v>0</v>
      </c>
      <c r="AR322" s="21" t="n">
        <f aca="false">SUM(Y322:AD322)</f>
        <v>0</v>
      </c>
      <c r="AS322" s="21" t="n">
        <f aca="false">SUM(AL322:AQ322)</f>
        <v>0</v>
      </c>
    </row>
    <row r="323" customFormat="false" ht="15" hidden="false" customHeight="false" outlineLevel="0" collapsed="false">
      <c r="A323" s="25" t="n">
        <f aca="false">A322+1</f>
        <v>297</v>
      </c>
      <c r="B323" s="21" t="n">
        <f aca="false">MAX(0,ROUND(B322*(1+B$15),2)-O322)</f>
        <v>0</v>
      </c>
      <c r="C323" s="21" t="n">
        <f aca="false">MAX(0,ROUND(C322*(1+C$15),2)-P322)</f>
        <v>0</v>
      </c>
      <c r="D323" s="21" t="n">
        <f aca="false">MAX(0,ROUND(D322*(1+D$15),2)-Q322)</f>
        <v>0</v>
      </c>
      <c r="E323" s="21" t="n">
        <f aca="false">MAX(0,ROUND(E322*(1+E$15),2)-R322)</f>
        <v>0</v>
      </c>
      <c r="F323" s="21" t="n">
        <f aca="false">MAX(0,ROUND(F322*(1+F$15),2)-S322)</f>
        <v>0</v>
      </c>
      <c r="G323" s="21" t="n">
        <f aca="false">MAX(0,ROUND(G322*(1+G$15),2)-T322)</f>
        <v>0</v>
      </c>
      <c r="H323" s="21" t="n">
        <f aca="false">MIN(B$16,ROUND(B323*(1+B$15),2))</f>
        <v>0</v>
      </c>
      <c r="I323" s="21" t="n">
        <f aca="false">MIN(C$16,ROUND(C323*(1+C$15),2))</f>
        <v>0</v>
      </c>
      <c r="J323" s="21" t="n">
        <f aca="false">MIN(D$16,ROUND(D323*(1+D$15),2))</f>
        <v>0</v>
      </c>
      <c r="K323" s="21" t="n">
        <f aca="false">MIN(E$16,ROUND(E323*(1+E$15),2))</f>
        <v>0</v>
      </c>
      <c r="L323" s="21" t="n">
        <f aca="false">MIN(F$16,ROUND(F323*(1+F$15),2))</f>
        <v>0</v>
      </c>
      <c r="M323" s="21" t="n">
        <f aca="false">MIN(G$16,ROUND(G323*(1+G$15),2))</f>
        <v>0</v>
      </c>
      <c r="N323" s="21" t="n">
        <f aca="false">B$20-SUM(H323:M323)</f>
        <v>1170</v>
      </c>
      <c r="O323" s="21" t="n">
        <f aca="false">MIN(ROUND(B323*(1+B$15),2),H323+MAX(0,N323))</f>
        <v>0</v>
      </c>
      <c r="P323" s="21" t="n">
        <f aca="false">MIN(ROUND(C323*(1+C$15),2),I323+MAX(0,N323-O323+H323))</f>
        <v>0</v>
      </c>
      <c r="Q323" s="21" t="n">
        <f aca="false">MIN(ROUND(D323*(1+D$15),2),J323+MAX(0,N323-O323+H323-P323+I323))</f>
        <v>0</v>
      </c>
      <c r="R323" s="21" t="n">
        <f aca="false">MIN(ROUND(E323*(1+E$15),2),K323+MAX(0,N323-O323+H323-P323+I323-Q323+J323))</f>
        <v>0</v>
      </c>
      <c r="S323" s="21" t="n">
        <f aca="false">MIN(ROUND(F323*(1+F$15),2),L323+MAX(0,N323-O323+H323-P323+I323-Q323+J323-R323+K323))</f>
        <v>0</v>
      </c>
      <c r="T323" s="21" t="n">
        <f aca="false">MIN(ROUND(G323*(1+G$15),2),M323+MAX(0,N323-O323+H323-P323+I323-Q323+J323-R323+K323-S323+L323))</f>
        <v>0</v>
      </c>
      <c r="U323" s="21" t="n">
        <f aca="false">SUM(B323:G323)</f>
        <v>0</v>
      </c>
      <c r="V323" s="21" t="n">
        <f aca="false">SUM(O323:T323)</f>
        <v>0</v>
      </c>
      <c r="X323" s="25" t="n">
        <f aca="false">X322+1</f>
        <v>297</v>
      </c>
      <c r="Y323" s="21" t="n">
        <f aca="false">MAX(0,ROUND(Y322*(1+Y$15),2)-AL322)</f>
        <v>0</v>
      </c>
      <c r="Z323" s="21" t="n">
        <f aca="false">MAX(0,ROUND(Z322*(1+Z$15),2)-AM322)</f>
        <v>0</v>
      </c>
      <c r="AA323" s="21" t="n">
        <f aca="false">MAX(0,ROUND(AA322*(1+AA$15),2)-AN322)</f>
        <v>0</v>
      </c>
      <c r="AB323" s="21" t="n">
        <f aca="false">MAX(0,ROUND(AB322*(1+AB$15),2)-AO322)</f>
        <v>0</v>
      </c>
      <c r="AC323" s="21" t="n">
        <f aca="false">MAX(0,ROUND(AC322*(1+AC$15),2)-AP322)</f>
        <v>0</v>
      </c>
      <c r="AD323" s="21" t="n">
        <f aca="false">MAX(0,ROUND(AD322*(1+AD$15),2)-AQ322)</f>
        <v>0</v>
      </c>
      <c r="AE323" s="21" t="n">
        <f aca="false">MIN(Y$16,ROUND(Y323*(1+Y$15),2))</f>
        <v>0</v>
      </c>
      <c r="AF323" s="21" t="n">
        <f aca="false">MIN(Z$16,ROUND(Z323*(1+Z$15),2))</f>
        <v>0</v>
      </c>
      <c r="AG323" s="21" t="n">
        <f aca="false">MIN(AA$16,ROUND(AA323*(1+AA$15),2))</f>
        <v>0</v>
      </c>
      <c r="AH323" s="21" t="n">
        <f aca="false">MIN(AB$16,ROUND(AB323*(1+AB$15),2))</f>
        <v>0</v>
      </c>
      <c r="AI323" s="21" t="n">
        <f aca="false">MIN(AC$16,ROUND(AC323*(1+AC$15),2))</f>
        <v>0</v>
      </c>
      <c r="AJ323" s="21" t="n">
        <f aca="false">MIN(AD$16,ROUND(AD323*(1+AD$15),2))</f>
        <v>0</v>
      </c>
      <c r="AK323" s="21" t="n">
        <f aca="false">Y$20-SUM(AE323:AJ323)</f>
        <v>1170</v>
      </c>
      <c r="AL323" s="21" t="n">
        <f aca="false">MIN(ROUND(Y323*(1+Y$15),2),AE323+MAX(0,AK323))</f>
        <v>0</v>
      </c>
      <c r="AM323" s="21" t="n">
        <f aca="false">MIN(ROUND(Z323*(1+Z$15),2),AF323+MAX(0,AK323-AL323+AE323))</f>
        <v>0</v>
      </c>
      <c r="AN323" s="21" t="n">
        <f aca="false">MIN(ROUND(AA323*(1+AA$15),2),AG323+MAX(0,AK323-AL323+AE323-AM323+AF323))</f>
        <v>0</v>
      </c>
      <c r="AO323" s="21" t="n">
        <f aca="false">MIN(ROUND(AB323*(1+AB$15),2),AH323+MAX(0,AK323-AL323+AE323-AM323+AF323-AN323+AG323))</f>
        <v>0</v>
      </c>
      <c r="AP323" s="21" t="n">
        <f aca="false">MIN(ROUND(AC323*(1+AC$15),2),AI323+MAX(0,AK323-AL323+AE323-AM323+AF323-AN323+AG323-AO323+AH323))</f>
        <v>0</v>
      </c>
      <c r="AQ323" s="21" t="n">
        <f aca="false">MIN(ROUND(AD323*(1+AD$15),2),AJ323+MAX(0,AK323-AL323+AE323-AM323+AF323-AN323+AG323-AO323+AH323-AP323+AI323))</f>
        <v>0</v>
      </c>
      <c r="AR323" s="21" t="n">
        <f aca="false">SUM(Y323:AD323)</f>
        <v>0</v>
      </c>
      <c r="AS323" s="21" t="n">
        <f aca="false">SUM(AL323:AQ323)</f>
        <v>0</v>
      </c>
    </row>
    <row r="324" customFormat="false" ht="15" hidden="false" customHeight="false" outlineLevel="0" collapsed="false">
      <c r="A324" s="25" t="n">
        <f aca="false">A323+1</f>
        <v>298</v>
      </c>
      <c r="B324" s="21" t="n">
        <f aca="false">MAX(0,ROUND(B323*(1+B$15),2)-O323)</f>
        <v>0</v>
      </c>
      <c r="C324" s="21" t="n">
        <f aca="false">MAX(0,ROUND(C323*(1+C$15),2)-P323)</f>
        <v>0</v>
      </c>
      <c r="D324" s="21" t="n">
        <f aca="false">MAX(0,ROUND(D323*(1+D$15),2)-Q323)</f>
        <v>0</v>
      </c>
      <c r="E324" s="21" t="n">
        <f aca="false">MAX(0,ROUND(E323*(1+E$15),2)-R323)</f>
        <v>0</v>
      </c>
      <c r="F324" s="21" t="n">
        <f aca="false">MAX(0,ROUND(F323*(1+F$15),2)-S323)</f>
        <v>0</v>
      </c>
      <c r="G324" s="21" t="n">
        <f aca="false">MAX(0,ROUND(G323*(1+G$15),2)-T323)</f>
        <v>0</v>
      </c>
      <c r="H324" s="21" t="n">
        <f aca="false">MIN(B$16,ROUND(B324*(1+B$15),2))</f>
        <v>0</v>
      </c>
      <c r="I324" s="21" t="n">
        <f aca="false">MIN(C$16,ROUND(C324*(1+C$15),2))</f>
        <v>0</v>
      </c>
      <c r="J324" s="21" t="n">
        <f aca="false">MIN(D$16,ROUND(D324*(1+D$15),2))</f>
        <v>0</v>
      </c>
      <c r="K324" s="21" t="n">
        <f aca="false">MIN(E$16,ROUND(E324*(1+E$15),2))</f>
        <v>0</v>
      </c>
      <c r="L324" s="21" t="n">
        <f aca="false">MIN(F$16,ROUND(F324*(1+F$15),2))</f>
        <v>0</v>
      </c>
      <c r="M324" s="21" t="n">
        <f aca="false">MIN(G$16,ROUND(G324*(1+G$15),2))</f>
        <v>0</v>
      </c>
      <c r="N324" s="21" t="n">
        <f aca="false">B$20-SUM(H324:M324)</f>
        <v>1170</v>
      </c>
      <c r="O324" s="21" t="n">
        <f aca="false">MIN(ROUND(B324*(1+B$15),2),H324+MAX(0,N324))</f>
        <v>0</v>
      </c>
      <c r="P324" s="21" t="n">
        <f aca="false">MIN(ROUND(C324*(1+C$15),2),I324+MAX(0,N324-O324+H324))</f>
        <v>0</v>
      </c>
      <c r="Q324" s="21" t="n">
        <f aca="false">MIN(ROUND(D324*(1+D$15),2),J324+MAX(0,N324-O324+H324-P324+I324))</f>
        <v>0</v>
      </c>
      <c r="R324" s="21" t="n">
        <f aca="false">MIN(ROUND(E324*(1+E$15),2),K324+MAX(0,N324-O324+H324-P324+I324-Q324+J324))</f>
        <v>0</v>
      </c>
      <c r="S324" s="21" t="n">
        <f aca="false">MIN(ROUND(F324*(1+F$15),2),L324+MAX(0,N324-O324+H324-P324+I324-Q324+J324-R324+K324))</f>
        <v>0</v>
      </c>
      <c r="T324" s="21" t="n">
        <f aca="false">MIN(ROUND(G324*(1+G$15),2),M324+MAX(0,N324-O324+H324-P324+I324-Q324+J324-R324+K324-S324+L324))</f>
        <v>0</v>
      </c>
      <c r="U324" s="21" t="n">
        <f aca="false">SUM(B324:G324)</f>
        <v>0</v>
      </c>
      <c r="V324" s="21" t="n">
        <f aca="false">SUM(O324:T324)</f>
        <v>0</v>
      </c>
      <c r="X324" s="25" t="n">
        <f aca="false">X323+1</f>
        <v>298</v>
      </c>
      <c r="Y324" s="21" t="n">
        <f aca="false">MAX(0,ROUND(Y323*(1+Y$15),2)-AL323)</f>
        <v>0</v>
      </c>
      <c r="Z324" s="21" t="n">
        <f aca="false">MAX(0,ROUND(Z323*(1+Z$15),2)-AM323)</f>
        <v>0</v>
      </c>
      <c r="AA324" s="21" t="n">
        <f aca="false">MAX(0,ROUND(AA323*(1+AA$15),2)-AN323)</f>
        <v>0</v>
      </c>
      <c r="AB324" s="21" t="n">
        <f aca="false">MAX(0,ROUND(AB323*(1+AB$15),2)-AO323)</f>
        <v>0</v>
      </c>
      <c r="AC324" s="21" t="n">
        <f aca="false">MAX(0,ROUND(AC323*(1+AC$15),2)-AP323)</f>
        <v>0</v>
      </c>
      <c r="AD324" s="21" t="n">
        <f aca="false">MAX(0,ROUND(AD323*(1+AD$15),2)-AQ323)</f>
        <v>0</v>
      </c>
      <c r="AE324" s="21" t="n">
        <f aca="false">MIN(Y$16,ROUND(Y324*(1+Y$15),2))</f>
        <v>0</v>
      </c>
      <c r="AF324" s="21" t="n">
        <f aca="false">MIN(Z$16,ROUND(Z324*(1+Z$15),2))</f>
        <v>0</v>
      </c>
      <c r="AG324" s="21" t="n">
        <f aca="false">MIN(AA$16,ROUND(AA324*(1+AA$15),2))</f>
        <v>0</v>
      </c>
      <c r="AH324" s="21" t="n">
        <f aca="false">MIN(AB$16,ROUND(AB324*(1+AB$15),2))</f>
        <v>0</v>
      </c>
      <c r="AI324" s="21" t="n">
        <f aca="false">MIN(AC$16,ROUND(AC324*(1+AC$15),2))</f>
        <v>0</v>
      </c>
      <c r="AJ324" s="21" t="n">
        <f aca="false">MIN(AD$16,ROUND(AD324*(1+AD$15),2))</f>
        <v>0</v>
      </c>
      <c r="AK324" s="21" t="n">
        <f aca="false">Y$20-SUM(AE324:AJ324)</f>
        <v>1170</v>
      </c>
      <c r="AL324" s="21" t="n">
        <f aca="false">MIN(ROUND(Y324*(1+Y$15),2),AE324+MAX(0,AK324))</f>
        <v>0</v>
      </c>
      <c r="AM324" s="21" t="n">
        <f aca="false">MIN(ROUND(Z324*(1+Z$15),2),AF324+MAX(0,AK324-AL324+AE324))</f>
        <v>0</v>
      </c>
      <c r="AN324" s="21" t="n">
        <f aca="false">MIN(ROUND(AA324*(1+AA$15),2),AG324+MAX(0,AK324-AL324+AE324-AM324+AF324))</f>
        <v>0</v>
      </c>
      <c r="AO324" s="21" t="n">
        <f aca="false">MIN(ROUND(AB324*(1+AB$15),2),AH324+MAX(0,AK324-AL324+AE324-AM324+AF324-AN324+AG324))</f>
        <v>0</v>
      </c>
      <c r="AP324" s="21" t="n">
        <f aca="false">MIN(ROUND(AC324*(1+AC$15),2),AI324+MAX(0,AK324-AL324+AE324-AM324+AF324-AN324+AG324-AO324+AH324))</f>
        <v>0</v>
      </c>
      <c r="AQ324" s="21" t="n">
        <f aca="false">MIN(ROUND(AD324*(1+AD$15),2),AJ324+MAX(0,AK324-AL324+AE324-AM324+AF324-AN324+AG324-AO324+AH324-AP324+AI324))</f>
        <v>0</v>
      </c>
      <c r="AR324" s="21" t="n">
        <f aca="false">SUM(Y324:AD324)</f>
        <v>0</v>
      </c>
      <c r="AS324" s="21" t="n">
        <f aca="false">SUM(AL324:AQ324)</f>
        <v>0</v>
      </c>
    </row>
    <row r="325" customFormat="false" ht="15" hidden="false" customHeight="false" outlineLevel="0" collapsed="false">
      <c r="A325" s="25" t="n">
        <f aca="false">A324+1</f>
        <v>299</v>
      </c>
      <c r="B325" s="21" t="n">
        <f aca="false">MAX(0,ROUND(B324*(1+B$15),2)-O324)</f>
        <v>0</v>
      </c>
      <c r="C325" s="21" t="n">
        <f aca="false">MAX(0,ROUND(C324*(1+C$15),2)-P324)</f>
        <v>0</v>
      </c>
      <c r="D325" s="21" t="n">
        <f aca="false">MAX(0,ROUND(D324*(1+D$15),2)-Q324)</f>
        <v>0</v>
      </c>
      <c r="E325" s="21" t="n">
        <f aca="false">MAX(0,ROUND(E324*(1+E$15),2)-R324)</f>
        <v>0</v>
      </c>
      <c r="F325" s="21" t="n">
        <f aca="false">MAX(0,ROUND(F324*(1+F$15),2)-S324)</f>
        <v>0</v>
      </c>
      <c r="G325" s="21" t="n">
        <f aca="false">MAX(0,ROUND(G324*(1+G$15),2)-T324)</f>
        <v>0</v>
      </c>
      <c r="H325" s="21" t="n">
        <f aca="false">MIN(B$16,ROUND(B325*(1+B$15),2))</f>
        <v>0</v>
      </c>
      <c r="I325" s="21" t="n">
        <f aca="false">MIN(C$16,ROUND(C325*(1+C$15),2))</f>
        <v>0</v>
      </c>
      <c r="J325" s="21" t="n">
        <f aca="false">MIN(D$16,ROUND(D325*(1+D$15),2))</f>
        <v>0</v>
      </c>
      <c r="K325" s="21" t="n">
        <f aca="false">MIN(E$16,ROUND(E325*(1+E$15),2))</f>
        <v>0</v>
      </c>
      <c r="L325" s="21" t="n">
        <f aca="false">MIN(F$16,ROUND(F325*(1+F$15),2))</f>
        <v>0</v>
      </c>
      <c r="M325" s="21" t="n">
        <f aca="false">MIN(G$16,ROUND(G325*(1+G$15),2))</f>
        <v>0</v>
      </c>
      <c r="N325" s="21" t="n">
        <f aca="false">B$20-SUM(H325:M325)</f>
        <v>1170</v>
      </c>
      <c r="O325" s="21" t="n">
        <f aca="false">MIN(ROUND(B325*(1+B$15),2),H325+MAX(0,N325))</f>
        <v>0</v>
      </c>
      <c r="P325" s="21" t="n">
        <f aca="false">MIN(ROUND(C325*(1+C$15),2),I325+MAX(0,N325-O325+H325))</f>
        <v>0</v>
      </c>
      <c r="Q325" s="21" t="n">
        <f aca="false">MIN(ROUND(D325*(1+D$15),2),J325+MAX(0,N325-O325+H325-P325+I325))</f>
        <v>0</v>
      </c>
      <c r="R325" s="21" t="n">
        <f aca="false">MIN(ROUND(E325*(1+E$15),2),K325+MAX(0,N325-O325+H325-P325+I325-Q325+J325))</f>
        <v>0</v>
      </c>
      <c r="S325" s="21" t="n">
        <f aca="false">MIN(ROUND(F325*(1+F$15),2),L325+MAX(0,N325-O325+H325-P325+I325-Q325+J325-R325+K325))</f>
        <v>0</v>
      </c>
      <c r="T325" s="21" t="n">
        <f aca="false">MIN(ROUND(G325*(1+G$15),2),M325+MAX(0,N325-O325+H325-P325+I325-Q325+J325-R325+K325-S325+L325))</f>
        <v>0</v>
      </c>
      <c r="U325" s="21" t="n">
        <f aca="false">SUM(B325:G325)</f>
        <v>0</v>
      </c>
      <c r="V325" s="21" t="n">
        <f aca="false">SUM(O325:T325)</f>
        <v>0</v>
      </c>
      <c r="X325" s="25" t="n">
        <f aca="false">X324+1</f>
        <v>299</v>
      </c>
      <c r="Y325" s="21" t="n">
        <f aca="false">MAX(0,ROUND(Y324*(1+Y$15),2)-AL324)</f>
        <v>0</v>
      </c>
      <c r="Z325" s="21" t="n">
        <f aca="false">MAX(0,ROUND(Z324*(1+Z$15),2)-AM324)</f>
        <v>0</v>
      </c>
      <c r="AA325" s="21" t="n">
        <f aca="false">MAX(0,ROUND(AA324*(1+AA$15),2)-AN324)</f>
        <v>0</v>
      </c>
      <c r="AB325" s="21" t="n">
        <f aca="false">MAX(0,ROUND(AB324*(1+AB$15),2)-AO324)</f>
        <v>0</v>
      </c>
      <c r="AC325" s="21" t="n">
        <f aca="false">MAX(0,ROUND(AC324*(1+AC$15),2)-AP324)</f>
        <v>0</v>
      </c>
      <c r="AD325" s="21" t="n">
        <f aca="false">MAX(0,ROUND(AD324*(1+AD$15),2)-AQ324)</f>
        <v>0</v>
      </c>
      <c r="AE325" s="21" t="n">
        <f aca="false">MIN(Y$16,ROUND(Y325*(1+Y$15),2))</f>
        <v>0</v>
      </c>
      <c r="AF325" s="21" t="n">
        <f aca="false">MIN(Z$16,ROUND(Z325*(1+Z$15),2))</f>
        <v>0</v>
      </c>
      <c r="AG325" s="21" t="n">
        <f aca="false">MIN(AA$16,ROUND(AA325*(1+AA$15),2))</f>
        <v>0</v>
      </c>
      <c r="AH325" s="21" t="n">
        <f aca="false">MIN(AB$16,ROUND(AB325*(1+AB$15),2))</f>
        <v>0</v>
      </c>
      <c r="AI325" s="21" t="n">
        <f aca="false">MIN(AC$16,ROUND(AC325*(1+AC$15),2))</f>
        <v>0</v>
      </c>
      <c r="AJ325" s="21" t="n">
        <f aca="false">MIN(AD$16,ROUND(AD325*(1+AD$15),2))</f>
        <v>0</v>
      </c>
      <c r="AK325" s="21" t="n">
        <f aca="false">Y$20-SUM(AE325:AJ325)</f>
        <v>1170</v>
      </c>
      <c r="AL325" s="21" t="n">
        <f aca="false">MIN(ROUND(Y325*(1+Y$15),2),AE325+MAX(0,AK325))</f>
        <v>0</v>
      </c>
      <c r="AM325" s="21" t="n">
        <f aca="false">MIN(ROUND(Z325*(1+Z$15),2),AF325+MAX(0,AK325-AL325+AE325))</f>
        <v>0</v>
      </c>
      <c r="AN325" s="21" t="n">
        <f aca="false">MIN(ROUND(AA325*(1+AA$15),2),AG325+MAX(0,AK325-AL325+AE325-AM325+AF325))</f>
        <v>0</v>
      </c>
      <c r="AO325" s="21" t="n">
        <f aca="false">MIN(ROUND(AB325*(1+AB$15),2),AH325+MAX(0,AK325-AL325+AE325-AM325+AF325-AN325+AG325))</f>
        <v>0</v>
      </c>
      <c r="AP325" s="21" t="n">
        <f aca="false">MIN(ROUND(AC325*(1+AC$15),2),AI325+MAX(0,AK325-AL325+AE325-AM325+AF325-AN325+AG325-AO325+AH325))</f>
        <v>0</v>
      </c>
      <c r="AQ325" s="21" t="n">
        <f aca="false">MIN(ROUND(AD325*(1+AD$15),2),AJ325+MAX(0,AK325-AL325+AE325-AM325+AF325-AN325+AG325-AO325+AH325-AP325+AI325))</f>
        <v>0</v>
      </c>
      <c r="AR325" s="21" t="n">
        <f aca="false">SUM(Y325:AD325)</f>
        <v>0</v>
      </c>
      <c r="AS325" s="21" t="n">
        <f aca="false">SUM(AL325:AQ325)</f>
        <v>0</v>
      </c>
    </row>
    <row r="326" customFormat="false" ht="15" hidden="false" customHeight="false" outlineLevel="0" collapsed="false">
      <c r="A326" s="25" t="n">
        <f aca="false">A325+1</f>
        <v>300</v>
      </c>
      <c r="B326" s="21" t="n">
        <f aca="false">MAX(0,ROUND(B325*(1+B$15),2)-O325)</f>
        <v>0</v>
      </c>
      <c r="C326" s="21" t="n">
        <f aca="false">MAX(0,ROUND(C325*(1+C$15),2)-P325)</f>
        <v>0</v>
      </c>
      <c r="D326" s="21" t="n">
        <f aca="false">MAX(0,ROUND(D325*(1+D$15),2)-Q325)</f>
        <v>0</v>
      </c>
      <c r="E326" s="21" t="n">
        <f aca="false">MAX(0,ROUND(E325*(1+E$15),2)-R325)</f>
        <v>0</v>
      </c>
      <c r="F326" s="21" t="n">
        <f aca="false">MAX(0,ROUND(F325*(1+F$15),2)-S325)</f>
        <v>0</v>
      </c>
      <c r="G326" s="21" t="n">
        <f aca="false">MAX(0,ROUND(G325*(1+G$15),2)-T325)</f>
        <v>0</v>
      </c>
      <c r="H326" s="21" t="n">
        <f aca="false">MIN(B$16,ROUND(B326*(1+B$15),2))</f>
        <v>0</v>
      </c>
      <c r="I326" s="21" t="n">
        <f aca="false">MIN(C$16,ROUND(C326*(1+C$15),2))</f>
        <v>0</v>
      </c>
      <c r="J326" s="21" t="n">
        <f aca="false">MIN(D$16,ROUND(D326*(1+D$15),2))</f>
        <v>0</v>
      </c>
      <c r="K326" s="21" t="n">
        <f aca="false">MIN(E$16,ROUND(E326*(1+E$15),2))</f>
        <v>0</v>
      </c>
      <c r="L326" s="21" t="n">
        <f aca="false">MIN(F$16,ROUND(F326*(1+F$15),2))</f>
        <v>0</v>
      </c>
      <c r="M326" s="21" t="n">
        <f aca="false">MIN(G$16,ROUND(G326*(1+G$15),2))</f>
        <v>0</v>
      </c>
      <c r="N326" s="21" t="n">
        <f aca="false">B$20-SUM(H326:M326)</f>
        <v>1170</v>
      </c>
      <c r="O326" s="21" t="n">
        <f aca="false">MIN(ROUND(B326*(1+B$15),2),H326+MAX(0,N326))</f>
        <v>0</v>
      </c>
      <c r="P326" s="21" t="n">
        <f aca="false">MIN(ROUND(C326*(1+C$15),2),I326+MAX(0,N326-O326+H326))</f>
        <v>0</v>
      </c>
      <c r="Q326" s="21" t="n">
        <f aca="false">MIN(ROUND(D326*(1+D$15),2),J326+MAX(0,N326-O326+H326-P326+I326))</f>
        <v>0</v>
      </c>
      <c r="R326" s="21" t="n">
        <f aca="false">MIN(ROUND(E326*(1+E$15),2),K326+MAX(0,N326-O326+H326-P326+I326-Q326+J326))</f>
        <v>0</v>
      </c>
      <c r="S326" s="21" t="n">
        <f aca="false">MIN(ROUND(F326*(1+F$15),2),L326+MAX(0,N326-O326+H326-P326+I326-Q326+J326-R326+K326))</f>
        <v>0</v>
      </c>
      <c r="T326" s="21" t="n">
        <f aca="false">MIN(ROUND(G326*(1+G$15),2),M326+MAX(0,N326-O326+H326-P326+I326-Q326+J326-R326+K326-S326+L326))</f>
        <v>0</v>
      </c>
      <c r="U326" s="21" t="n">
        <f aca="false">SUM(B326:G326)</f>
        <v>0</v>
      </c>
      <c r="V326" s="21" t="n">
        <f aca="false">SUM(O326:T326)</f>
        <v>0</v>
      </c>
      <c r="X326" s="25" t="n">
        <f aca="false">X325+1</f>
        <v>300</v>
      </c>
      <c r="Y326" s="21" t="n">
        <f aca="false">MAX(0,ROUND(Y325*(1+Y$15),2)-AL325)</f>
        <v>0</v>
      </c>
      <c r="Z326" s="21" t="n">
        <f aca="false">MAX(0,ROUND(Z325*(1+Z$15),2)-AM325)</f>
        <v>0</v>
      </c>
      <c r="AA326" s="21" t="n">
        <f aca="false">MAX(0,ROUND(AA325*(1+AA$15),2)-AN325)</f>
        <v>0</v>
      </c>
      <c r="AB326" s="21" t="n">
        <f aca="false">MAX(0,ROUND(AB325*(1+AB$15),2)-AO325)</f>
        <v>0</v>
      </c>
      <c r="AC326" s="21" t="n">
        <f aca="false">MAX(0,ROUND(AC325*(1+AC$15),2)-AP325)</f>
        <v>0</v>
      </c>
      <c r="AD326" s="21" t="n">
        <f aca="false">MAX(0,ROUND(AD325*(1+AD$15),2)-AQ325)</f>
        <v>0</v>
      </c>
      <c r="AE326" s="21" t="n">
        <f aca="false">MIN(Y$16,ROUND(Y326*(1+Y$15),2))</f>
        <v>0</v>
      </c>
      <c r="AF326" s="21" t="n">
        <f aca="false">MIN(Z$16,ROUND(Z326*(1+Z$15),2))</f>
        <v>0</v>
      </c>
      <c r="AG326" s="21" t="n">
        <f aca="false">MIN(AA$16,ROUND(AA326*(1+AA$15),2))</f>
        <v>0</v>
      </c>
      <c r="AH326" s="21" t="n">
        <f aca="false">MIN(AB$16,ROUND(AB326*(1+AB$15),2))</f>
        <v>0</v>
      </c>
      <c r="AI326" s="21" t="n">
        <f aca="false">MIN(AC$16,ROUND(AC326*(1+AC$15),2))</f>
        <v>0</v>
      </c>
      <c r="AJ326" s="21" t="n">
        <f aca="false">MIN(AD$16,ROUND(AD326*(1+AD$15),2))</f>
        <v>0</v>
      </c>
      <c r="AK326" s="21" t="n">
        <f aca="false">Y$20-SUM(AE326:AJ326)</f>
        <v>1170</v>
      </c>
      <c r="AL326" s="21" t="n">
        <f aca="false">MIN(ROUND(Y326*(1+Y$15),2),AE326+MAX(0,AK326))</f>
        <v>0</v>
      </c>
      <c r="AM326" s="21" t="n">
        <f aca="false">MIN(ROUND(Z326*(1+Z$15),2),AF326+MAX(0,AK326-AL326+AE326))</f>
        <v>0</v>
      </c>
      <c r="AN326" s="21" t="n">
        <f aca="false">MIN(ROUND(AA326*(1+AA$15),2),AG326+MAX(0,AK326-AL326+AE326-AM326+AF326))</f>
        <v>0</v>
      </c>
      <c r="AO326" s="21" t="n">
        <f aca="false">MIN(ROUND(AB326*(1+AB$15),2),AH326+MAX(0,AK326-AL326+AE326-AM326+AF326-AN326+AG326))</f>
        <v>0</v>
      </c>
      <c r="AP326" s="21" t="n">
        <f aca="false">MIN(ROUND(AC326*(1+AC$15),2),AI326+MAX(0,AK326-AL326+AE326-AM326+AF326-AN326+AG326-AO326+AH326))</f>
        <v>0</v>
      </c>
      <c r="AQ326" s="21" t="n">
        <f aca="false">MIN(ROUND(AD326*(1+AD$15),2),AJ326+MAX(0,AK326-AL326+AE326-AM326+AF326-AN326+AG326-AO326+AH326-AP326+AI326))</f>
        <v>0</v>
      </c>
      <c r="AR326" s="21" t="n">
        <f aca="false">SUM(Y326:AD326)</f>
        <v>0</v>
      </c>
      <c r="AS326" s="21" t="n">
        <f aca="false">SUM(AL326:AQ326)</f>
        <v>0</v>
      </c>
    </row>
    <row r="327" customFormat="false" ht="15" hidden="false" customHeight="false" outlineLevel="0" collapsed="false">
      <c r="A327" s="25" t="n">
        <f aca="false">A326+1</f>
        <v>301</v>
      </c>
      <c r="B327" s="21" t="n">
        <f aca="false">MAX(0,ROUND(B326*(1+B$15),2)-O326)</f>
        <v>0</v>
      </c>
      <c r="C327" s="21" t="n">
        <f aca="false">MAX(0,ROUND(C326*(1+C$15),2)-P326)</f>
        <v>0</v>
      </c>
      <c r="D327" s="21" t="n">
        <f aca="false">MAX(0,ROUND(D326*(1+D$15),2)-Q326)</f>
        <v>0</v>
      </c>
      <c r="E327" s="21" t="n">
        <f aca="false">MAX(0,ROUND(E326*(1+E$15),2)-R326)</f>
        <v>0</v>
      </c>
      <c r="F327" s="21" t="n">
        <f aca="false">MAX(0,ROUND(F326*(1+F$15),2)-S326)</f>
        <v>0</v>
      </c>
      <c r="G327" s="21" t="n">
        <f aca="false">MAX(0,ROUND(G326*(1+G$15),2)-T326)</f>
        <v>0</v>
      </c>
      <c r="H327" s="21" t="n">
        <f aca="false">MIN(B$16,ROUND(B327*(1+B$15),2))</f>
        <v>0</v>
      </c>
      <c r="I327" s="21" t="n">
        <f aca="false">MIN(C$16,ROUND(C327*(1+C$15),2))</f>
        <v>0</v>
      </c>
      <c r="J327" s="21" t="n">
        <f aca="false">MIN(D$16,ROUND(D327*(1+D$15),2))</f>
        <v>0</v>
      </c>
      <c r="K327" s="21" t="n">
        <f aca="false">MIN(E$16,ROUND(E327*(1+E$15),2))</f>
        <v>0</v>
      </c>
      <c r="L327" s="21" t="n">
        <f aca="false">MIN(F$16,ROUND(F327*(1+F$15),2))</f>
        <v>0</v>
      </c>
      <c r="M327" s="21" t="n">
        <f aca="false">MIN(G$16,ROUND(G327*(1+G$15),2))</f>
        <v>0</v>
      </c>
      <c r="N327" s="21" t="n">
        <f aca="false">B$20-SUM(H327:M327)</f>
        <v>1170</v>
      </c>
      <c r="O327" s="21" t="n">
        <f aca="false">MIN(ROUND(B327*(1+B$15),2),H327+MAX(0,N327))</f>
        <v>0</v>
      </c>
      <c r="P327" s="21" t="n">
        <f aca="false">MIN(ROUND(C327*(1+C$15),2),I327+MAX(0,N327-O327+H327))</f>
        <v>0</v>
      </c>
      <c r="Q327" s="21" t="n">
        <f aca="false">MIN(ROUND(D327*(1+D$15),2),J327+MAX(0,N327-O327+H327-P327+I327))</f>
        <v>0</v>
      </c>
      <c r="R327" s="21" t="n">
        <f aca="false">MIN(ROUND(E327*(1+E$15),2),K327+MAX(0,N327-O327+H327-P327+I327-Q327+J327))</f>
        <v>0</v>
      </c>
      <c r="S327" s="21" t="n">
        <f aca="false">MIN(ROUND(F327*(1+F$15),2),L327+MAX(0,N327-O327+H327-P327+I327-Q327+J327-R327+K327))</f>
        <v>0</v>
      </c>
      <c r="T327" s="21" t="n">
        <f aca="false">MIN(ROUND(G327*(1+G$15),2),M327+MAX(0,N327-O327+H327-P327+I327-Q327+J327-R327+K327-S327+L327))</f>
        <v>0</v>
      </c>
      <c r="U327" s="21" t="n">
        <f aca="false">SUM(B327:G327)</f>
        <v>0</v>
      </c>
      <c r="V327" s="21" t="n">
        <f aca="false">SUM(O327:T327)</f>
        <v>0</v>
      </c>
      <c r="X327" s="25" t="n">
        <f aca="false">X326+1</f>
        <v>301</v>
      </c>
      <c r="Y327" s="21" t="n">
        <f aca="false">MAX(0,ROUND(Y326*(1+Y$15),2)-AL326)</f>
        <v>0</v>
      </c>
      <c r="Z327" s="21" t="n">
        <f aca="false">MAX(0,ROUND(Z326*(1+Z$15),2)-AM326)</f>
        <v>0</v>
      </c>
      <c r="AA327" s="21" t="n">
        <f aca="false">MAX(0,ROUND(AA326*(1+AA$15),2)-AN326)</f>
        <v>0</v>
      </c>
      <c r="AB327" s="21" t="n">
        <f aca="false">MAX(0,ROUND(AB326*(1+AB$15),2)-AO326)</f>
        <v>0</v>
      </c>
      <c r="AC327" s="21" t="n">
        <f aca="false">MAX(0,ROUND(AC326*(1+AC$15),2)-AP326)</f>
        <v>0</v>
      </c>
      <c r="AD327" s="21" t="n">
        <f aca="false">MAX(0,ROUND(AD326*(1+AD$15),2)-AQ326)</f>
        <v>0</v>
      </c>
      <c r="AE327" s="21" t="n">
        <f aca="false">MIN(Y$16,ROUND(Y327*(1+Y$15),2))</f>
        <v>0</v>
      </c>
      <c r="AF327" s="21" t="n">
        <f aca="false">MIN(Z$16,ROUND(Z327*(1+Z$15),2))</f>
        <v>0</v>
      </c>
      <c r="AG327" s="21" t="n">
        <f aca="false">MIN(AA$16,ROUND(AA327*(1+AA$15),2))</f>
        <v>0</v>
      </c>
      <c r="AH327" s="21" t="n">
        <f aca="false">MIN(AB$16,ROUND(AB327*(1+AB$15),2))</f>
        <v>0</v>
      </c>
      <c r="AI327" s="21" t="n">
        <f aca="false">MIN(AC$16,ROUND(AC327*(1+AC$15),2))</f>
        <v>0</v>
      </c>
      <c r="AJ327" s="21" t="n">
        <f aca="false">MIN(AD$16,ROUND(AD327*(1+AD$15),2))</f>
        <v>0</v>
      </c>
      <c r="AK327" s="21" t="n">
        <f aca="false">Y$20-SUM(AE327:AJ327)</f>
        <v>1170</v>
      </c>
      <c r="AL327" s="21" t="n">
        <f aca="false">MIN(ROUND(Y327*(1+Y$15),2),AE327+MAX(0,AK327))</f>
        <v>0</v>
      </c>
      <c r="AM327" s="21" t="n">
        <f aca="false">MIN(ROUND(Z327*(1+Z$15),2),AF327+MAX(0,AK327-AL327+AE327))</f>
        <v>0</v>
      </c>
      <c r="AN327" s="21" t="n">
        <f aca="false">MIN(ROUND(AA327*(1+AA$15),2),AG327+MAX(0,AK327-AL327+AE327-AM327+AF327))</f>
        <v>0</v>
      </c>
      <c r="AO327" s="21" t="n">
        <f aca="false">MIN(ROUND(AB327*(1+AB$15),2),AH327+MAX(0,AK327-AL327+AE327-AM327+AF327-AN327+AG327))</f>
        <v>0</v>
      </c>
      <c r="AP327" s="21" t="n">
        <f aca="false">MIN(ROUND(AC327*(1+AC$15),2),AI327+MAX(0,AK327-AL327+AE327-AM327+AF327-AN327+AG327-AO327+AH327))</f>
        <v>0</v>
      </c>
      <c r="AQ327" s="21" t="n">
        <f aca="false">MIN(ROUND(AD327*(1+AD$15),2),AJ327+MAX(0,AK327-AL327+AE327-AM327+AF327-AN327+AG327-AO327+AH327-AP327+AI327))</f>
        <v>0</v>
      </c>
      <c r="AR327" s="21" t="n">
        <f aca="false">SUM(Y327:AD327)</f>
        <v>0</v>
      </c>
      <c r="AS327" s="21" t="n">
        <f aca="false">SUM(AL327:AQ327)</f>
        <v>0</v>
      </c>
    </row>
    <row r="328" customFormat="false" ht="15" hidden="false" customHeight="false" outlineLevel="0" collapsed="false">
      <c r="A328" s="25" t="n">
        <f aca="false">A327+1</f>
        <v>302</v>
      </c>
      <c r="B328" s="21" t="n">
        <f aca="false">MAX(0,ROUND(B327*(1+B$15),2)-O327)</f>
        <v>0</v>
      </c>
      <c r="C328" s="21" t="n">
        <f aca="false">MAX(0,ROUND(C327*(1+C$15),2)-P327)</f>
        <v>0</v>
      </c>
      <c r="D328" s="21" t="n">
        <f aca="false">MAX(0,ROUND(D327*(1+D$15),2)-Q327)</f>
        <v>0</v>
      </c>
      <c r="E328" s="21" t="n">
        <f aca="false">MAX(0,ROUND(E327*(1+E$15),2)-R327)</f>
        <v>0</v>
      </c>
      <c r="F328" s="21" t="n">
        <f aca="false">MAX(0,ROUND(F327*(1+F$15),2)-S327)</f>
        <v>0</v>
      </c>
      <c r="G328" s="21" t="n">
        <f aca="false">MAX(0,ROUND(G327*(1+G$15),2)-T327)</f>
        <v>0</v>
      </c>
      <c r="H328" s="21" t="n">
        <f aca="false">MIN(B$16,ROUND(B328*(1+B$15),2))</f>
        <v>0</v>
      </c>
      <c r="I328" s="21" t="n">
        <f aca="false">MIN(C$16,ROUND(C328*(1+C$15),2))</f>
        <v>0</v>
      </c>
      <c r="J328" s="21" t="n">
        <f aca="false">MIN(D$16,ROUND(D328*(1+D$15),2))</f>
        <v>0</v>
      </c>
      <c r="K328" s="21" t="n">
        <f aca="false">MIN(E$16,ROUND(E328*(1+E$15),2))</f>
        <v>0</v>
      </c>
      <c r="L328" s="21" t="n">
        <f aca="false">MIN(F$16,ROUND(F328*(1+F$15),2))</f>
        <v>0</v>
      </c>
      <c r="M328" s="21" t="n">
        <f aca="false">MIN(G$16,ROUND(G328*(1+G$15),2))</f>
        <v>0</v>
      </c>
      <c r="N328" s="21" t="n">
        <f aca="false">B$20-SUM(H328:M328)</f>
        <v>1170</v>
      </c>
      <c r="O328" s="21" t="n">
        <f aca="false">MIN(ROUND(B328*(1+B$15),2),H328+MAX(0,N328))</f>
        <v>0</v>
      </c>
      <c r="P328" s="21" t="n">
        <f aca="false">MIN(ROUND(C328*(1+C$15),2),I328+MAX(0,N328-O328+H328))</f>
        <v>0</v>
      </c>
      <c r="Q328" s="21" t="n">
        <f aca="false">MIN(ROUND(D328*(1+D$15),2),J328+MAX(0,N328-O328+H328-P328+I328))</f>
        <v>0</v>
      </c>
      <c r="R328" s="21" t="n">
        <f aca="false">MIN(ROUND(E328*(1+E$15),2),K328+MAX(0,N328-O328+H328-P328+I328-Q328+J328))</f>
        <v>0</v>
      </c>
      <c r="S328" s="21" t="n">
        <f aca="false">MIN(ROUND(F328*(1+F$15),2),L328+MAX(0,N328-O328+H328-P328+I328-Q328+J328-R328+K328))</f>
        <v>0</v>
      </c>
      <c r="T328" s="21" t="n">
        <f aca="false">MIN(ROUND(G328*(1+G$15),2),M328+MAX(0,N328-O328+H328-P328+I328-Q328+J328-R328+K328-S328+L328))</f>
        <v>0</v>
      </c>
      <c r="U328" s="21" t="n">
        <f aca="false">SUM(B328:G328)</f>
        <v>0</v>
      </c>
      <c r="V328" s="21" t="n">
        <f aca="false">SUM(O328:T328)</f>
        <v>0</v>
      </c>
      <c r="X328" s="25" t="n">
        <f aca="false">X327+1</f>
        <v>302</v>
      </c>
      <c r="Y328" s="21" t="n">
        <f aca="false">MAX(0,ROUND(Y327*(1+Y$15),2)-AL327)</f>
        <v>0</v>
      </c>
      <c r="Z328" s="21" t="n">
        <f aca="false">MAX(0,ROUND(Z327*(1+Z$15),2)-AM327)</f>
        <v>0</v>
      </c>
      <c r="AA328" s="21" t="n">
        <f aca="false">MAX(0,ROUND(AA327*(1+AA$15),2)-AN327)</f>
        <v>0</v>
      </c>
      <c r="AB328" s="21" t="n">
        <f aca="false">MAX(0,ROUND(AB327*(1+AB$15),2)-AO327)</f>
        <v>0</v>
      </c>
      <c r="AC328" s="21" t="n">
        <f aca="false">MAX(0,ROUND(AC327*(1+AC$15),2)-AP327)</f>
        <v>0</v>
      </c>
      <c r="AD328" s="21" t="n">
        <f aca="false">MAX(0,ROUND(AD327*(1+AD$15),2)-AQ327)</f>
        <v>0</v>
      </c>
      <c r="AE328" s="21" t="n">
        <f aca="false">MIN(Y$16,ROUND(Y328*(1+Y$15),2))</f>
        <v>0</v>
      </c>
      <c r="AF328" s="21" t="n">
        <f aca="false">MIN(Z$16,ROUND(Z328*(1+Z$15),2))</f>
        <v>0</v>
      </c>
      <c r="AG328" s="21" t="n">
        <f aca="false">MIN(AA$16,ROUND(AA328*(1+AA$15),2))</f>
        <v>0</v>
      </c>
      <c r="AH328" s="21" t="n">
        <f aca="false">MIN(AB$16,ROUND(AB328*(1+AB$15),2))</f>
        <v>0</v>
      </c>
      <c r="AI328" s="21" t="n">
        <f aca="false">MIN(AC$16,ROUND(AC328*(1+AC$15),2))</f>
        <v>0</v>
      </c>
      <c r="AJ328" s="21" t="n">
        <f aca="false">MIN(AD$16,ROUND(AD328*(1+AD$15),2))</f>
        <v>0</v>
      </c>
      <c r="AK328" s="21" t="n">
        <f aca="false">Y$20-SUM(AE328:AJ328)</f>
        <v>1170</v>
      </c>
      <c r="AL328" s="21" t="n">
        <f aca="false">MIN(ROUND(Y328*(1+Y$15),2),AE328+MAX(0,AK328))</f>
        <v>0</v>
      </c>
      <c r="AM328" s="21" t="n">
        <f aca="false">MIN(ROUND(Z328*(1+Z$15),2),AF328+MAX(0,AK328-AL328+AE328))</f>
        <v>0</v>
      </c>
      <c r="AN328" s="21" t="n">
        <f aca="false">MIN(ROUND(AA328*(1+AA$15),2),AG328+MAX(0,AK328-AL328+AE328-AM328+AF328))</f>
        <v>0</v>
      </c>
      <c r="AO328" s="21" t="n">
        <f aca="false">MIN(ROUND(AB328*(1+AB$15),2),AH328+MAX(0,AK328-AL328+AE328-AM328+AF328-AN328+AG328))</f>
        <v>0</v>
      </c>
      <c r="AP328" s="21" t="n">
        <f aca="false">MIN(ROUND(AC328*(1+AC$15),2),AI328+MAX(0,AK328-AL328+AE328-AM328+AF328-AN328+AG328-AO328+AH328))</f>
        <v>0</v>
      </c>
      <c r="AQ328" s="21" t="n">
        <f aca="false">MIN(ROUND(AD328*(1+AD$15),2),AJ328+MAX(0,AK328-AL328+AE328-AM328+AF328-AN328+AG328-AO328+AH328-AP328+AI328))</f>
        <v>0</v>
      </c>
      <c r="AR328" s="21" t="n">
        <f aca="false">SUM(Y328:AD328)</f>
        <v>0</v>
      </c>
      <c r="AS328" s="21" t="n">
        <f aca="false">SUM(AL328:AQ328)</f>
        <v>0</v>
      </c>
    </row>
    <row r="329" customFormat="false" ht="15" hidden="false" customHeight="false" outlineLevel="0" collapsed="false">
      <c r="A329" s="25" t="n">
        <f aca="false">A328+1</f>
        <v>303</v>
      </c>
      <c r="B329" s="21" t="n">
        <f aca="false">MAX(0,ROUND(B328*(1+B$15),2)-O328)</f>
        <v>0</v>
      </c>
      <c r="C329" s="21" t="n">
        <f aca="false">MAX(0,ROUND(C328*(1+C$15),2)-P328)</f>
        <v>0</v>
      </c>
      <c r="D329" s="21" t="n">
        <f aca="false">MAX(0,ROUND(D328*(1+D$15),2)-Q328)</f>
        <v>0</v>
      </c>
      <c r="E329" s="21" t="n">
        <f aca="false">MAX(0,ROUND(E328*(1+E$15),2)-R328)</f>
        <v>0</v>
      </c>
      <c r="F329" s="21" t="n">
        <f aca="false">MAX(0,ROUND(F328*(1+F$15),2)-S328)</f>
        <v>0</v>
      </c>
      <c r="G329" s="21" t="n">
        <f aca="false">MAX(0,ROUND(G328*(1+G$15),2)-T328)</f>
        <v>0</v>
      </c>
      <c r="H329" s="21" t="n">
        <f aca="false">MIN(B$16,ROUND(B329*(1+B$15),2))</f>
        <v>0</v>
      </c>
      <c r="I329" s="21" t="n">
        <f aca="false">MIN(C$16,ROUND(C329*(1+C$15),2))</f>
        <v>0</v>
      </c>
      <c r="J329" s="21" t="n">
        <f aca="false">MIN(D$16,ROUND(D329*(1+D$15),2))</f>
        <v>0</v>
      </c>
      <c r="K329" s="21" t="n">
        <f aca="false">MIN(E$16,ROUND(E329*(1+E$15),2))</f>
        <v>0</v>
      </c>
      <c r="L329" s="21" t="n">
        <f aca="false">MIN(F$16,ROUND(F329*(1+F$15),2))</f>
        <v>0</v>
      </c>
      <c r="M329" s="21" t="n">
        <f aca="false">MIN(G$16,ROUND(G329*(1+G$15),2))</f>
        <v>0</v>
      </c>
      <c r="N329" s="21" t="n">
        <f aca="false">B$20-SUM(H329:M329)</f>
        <v>1170</v>
      </c>
      <c r="O329" s="21" t="n">
        <f aca="false">MIN(ROUND(B329*(1+B$15),2),H329+MAX(0,N329))</f>
        <v>0</v>
      </c>
      <c r="P329" s="21" t="n">
        <f aca="false">MIN(ROUND(C329*(1+C$15),2),I329+MAX(0,N329-O329+H329))</f>
        <v>0</v>
      </c>
      <c r="Q329" s="21" t="n">
        <f aca="false">MIN(ROUND(D329*(1+D$15),2),J329+MAX(0,N329-O329+H329-P329+I329))</f>
        <v>0</v>
      </c>
      <c r="R329" s="21" t="n">
        <f aca="false">MIN(ROUND(E329*(1+E$15),2),K329+MAX(0,N329-O329+H329-P329+I329-Q329+J329))</f>
        <v>0</v>
      </c>
      <c r="S329" s="21" t="n">
        <f aca="false">MIN(ROUND(F329*(1+F$15),2),L329+MAX(0,N329-O329+H329-P329+I329-Q329+J329-R329+K329))</f>
        <v>0</v>
      </c>
      <c r="T329" s="21" t="n">
        <f aca="false">MIN(ROUND(G329*(1+G$15),2),M329+MAX(0,N329-O329+H329-P329+I329-Q329+J329-R329+K329-S329+L329))</f>
        <v>0</v>
      </c>
      <c r="U329" s="21" t="n">
        <f aca="false">SUM(B329:G329)</f>
        <v>0</v>
      </c>
      <c r="V329" s="21" t="n">
        <f aca="false">SUM(O329:T329)</f>
        <v>0</v>
      </c>
      <c r="X329" s="25" t="n">
        <f aca="false">X328+1</f>
        <v>303</v>
      </c>
      <c r="Y329" s="21" t="n">
        <f aca="false">MAX(0,ROUND(Y328*(1+Y$15),2)-AL328)</f>
        <v>0</v>
      </c>
      <c r="Z329" s="21" t="n">
        <f aca="false">MAX(0,ROUND(Z328*(1+Z$15),2)-AM328)</f>
        <v>0</v>
      </c>
      <c r="AA329" s="21" t="n">
        <f aca="false">MAX(0,ROUND(AA328*(1+AA$15),2)-AN328)</f>
        <v>0</v>
      </c>
      <c r="AB329" s="21" t="n">
        <f aca="false">MAX(0,ROUND(AB328*(1+AB$15),2)-AO328)</f>
        <v>0</v>
      </c>
      <c r="AC329" s="21" t="n">
        <f aca="false">MAX(0,ROUND(AC328*(1+AC$15),2)-AP328)</f>
        <v>0</v>
      </c>
      <c r="AD329" s="21" t="n">
        <f aca="false">MAX(0,ROUND(AD328*(1+AD$15),2)-AQ328)</f>
        <v>0</v>
      </c>
      <c r="AE329" s="21" t="n">
        <f aca="false">MIN(Y$16,ROUND(Y329*(1+Y$15),2))</f>
        <v>0</v>
      </c>
      <c r="AF329" s="21" t="n">
        <f aca="false">MIN(Z$16,ROUND(Z329*(1+Z$15),2))</f>
        <v>0</v>
      </c>
      <c r="AG329" s="21" t="n">
        <f aca="false">MIN(AA$16,ROUND(AA329*(1+AA$15),2))</f>
        <v>0</v>
      </c>
      <c r="AH329" s="21" t="n">
        <f aca="false">MIN(AB$16,ROUND(AB329*(1+AB$15),2))</f>
        <v>0</v>
      </c>
      <c r="AI329" s="21" t="n">
        <f aca="false">MIN(AC$16,ROUND(AC329*(1+AC$15),2))</f>
        <v>0</v>
      </c>
      <c r="AJ329" s="21" t="n">
        <f aca="false">MIN(AD$16,ROUND(AD329*(1+AD$15),2))</f>
        <v>0</v>
      </c>
      <c r="AK329" s="21" t="n">
        <f aca="false">Y$20-SUM(AE329:AJ329)</f>
        <v>1170</v>
      </c>
      <c r="AL329" s="21" t="n">
        <f aca="false">MIN(ROUND(Y329*(1+Y$15),2),AE329+MAX(0,AK329))</f>
        <v>0</v>
      </c>
      <c r="AM329" s="21" t="n">
        <f aca="false">MIN(ROUND(Z329*(1+Z$15),2),AF329+MAX(0,AK329-AL329+AE329))</f>
        <v>0</v>
      </c>
      <c r="AN329" s="21" t="n">
        <f aca="false">MIN(ROUND(AA329*(1+AA$15),2),AG329+MAX(0,AK329-AL329+AE329-AM329+AF329))</f>
        <v>0</v>
      </c>
      <c r="AO329" s="21" t="n">
        <f aca="false">MIN(ROUND(AB329*(1+AB$15),2),AH329+MAX(0,AK329-AL329+AE329-AM329+AF329-AN329+AG329))</f>
        <v>0</v>
      </c>
      <c r="AP329" s="21" t="n">
        <f aca="false">MIN(ROUND(AC329*(1+AC$15),2),AI329+MAX(0,AK329-AL329+AE329-AM329+AF329-AN329+AG329-AO329+AH329))</f>
        <v>0</v>
      </c>
      <c r="AQ329" s="21" t="n">
        <f aca="false">MIN(ROUND(AD329*(1+AD$15),2),AJ329+MAX(0,AK329-AL329+AE329-AM329+AF329-AN329+AG329-AO329+AH329-AP329+AI329))</f>
        <v>0</v>
      </c>
      <c r="AR329" s="21" t="n">
        <f aca="false">SUM(Y329:AD329)</f>
        <v>0</v>
      </c>
      <c r="AS329" s="21" t="n">
        <f aca="false">SUM(AL329:AQ329)</f>
        <v>0</v>
      </c>
    </row>
    <row r="330" customFormat="false" ht="15" hidden="false" customHeight="false" outlineLevel="0" collapsed="false">
      <c r="A330" s="25" t="n">
        <f aca="false">A329+1</f>
        <v>304</v>
      </c>
      <c r="B330" s="21" t="n">
        <f aca="false">MAX(0,ROUND(B329*(1+B$15),2)-O329)</f>
        <v>0</v>
      </c>
      <c r="C330" s="21" t="n">
        <f aca="false">MAX(0,ROUND(C329*(1+C$15),2)-P329)</f>
        <v>0</v>
      </c>
      <c r="D330" s="21" t="n">
        <f aca="false">MAX(0,ROUND(D329*(1+D$15),2)-Q329)</f>
        <v>0</v>
      </c>
      <c r="E330" s="21" t="n">
        <f aca="false">MAX(0,ROUND(E329*(1+E$15),2)-R329)</f>
        <v>0</v>
      </c>
      <c r="F330" s="21" t="n">
        <f aca="false">MAX(0,ROUND(F329*(1+F$15),2)-S329)</f>
        <v>0</v>
      </c>
      <c r="G330" s="21" t="n">
        <f aca="false">MAX(0,ROUND(G329*(1+G$15),2)-T329)</f>
        <v>0</v>
      </c>
      <c r="H330" s="21" t="n">
        <f aca="false">MIN(B$16,ROUND(B330*(1+B$15),2))</f>
        <v>0</v>
      </c>
      <c r="I330" s="21" t="n">
        <f aca="false">MIN(C$16,ROUND(C330*(1+C$15),2))</f>
        <v>0</v>
      </c>
      <c r="J330" s="21" t="n">
        <f aca="false">MIN(D$16,ROUND(D330*(1+D$15),2))</f>
        <v>0</v>
      </c>
      <c r="K330" s="21" t="n">
        <f aca="false">MIN(E$16,ROUND(E330*(1+E$15),2))</f>
        <v>0</v>
      </c>
      <c r="L330" s="21" t="n">
        <f aca="false">MIN(F$16,ROUND(F330*(1+F$15),2))</f>
        <v>0</v>
      </c>
      <c r="M330" s="21" t="n">
        <f aca="false">MIN(G$16,ROUND(G330*(1+G$15),2))</f>
        <v>0</v>
      </c>
      <c r="N330" s="21" t="n">
        <f aca="false">B$20-SUM(H330:M330)</f>
        <v>1170</v>
      </c>
      <c r="O330" s="21" t="n">
        <f aca="false">MIN(ROUND(B330*(1+B$15),2),H330+MAX(0,N330))</f>
        <v>0</v>
      </c>
      <c r="P330" s="21" t="n">
        <f aca="false">MIN(ROUND(C330*(1+C$15),2),I330+MAX(0,N330-O330+H330))</f>
        <v>0</v>
      </c>
      <c r="Q330" s="21" t="n">
        <f aca="false">MIN(ROUND(D330*(1+D$15),2),J330+MAX(0,N330-O330+H330-P330+I330))</f>
        <v>0</v>
      </c>
      <c r="R330" s="21" t="n">
        <f aca="false">MIN(ROUND(E330*(1+E$15),2),K330+MAX(0,N330-O330+H330-P330+I330-Q330+J330))</f>
        <v>0</v>
      </c>
      <c r="S330" s="21" t="n">
        <f aca="false">MIN(ROUND(F330*(1+F$15),2),L330+MAX(0,N330-O330+H330-P330+I330-Q330+J330-R330+K330))</f>
        <v>0</v>
      </c>
      <c r="T330" s="21" t="n">
        <f aca="false">MIN(ROUND(G330*(1+G$15),2),M330+MAX(0,N330-O330+H330-P330+I330-Q330+J330-R330+K330-S330+L330))</f>
        <v>0</v>
      </c>
      <c r="U330" s="21" t="n">
        <f aca="false">SUM(B330:G330)</f>
        <v>0</v>
      </c>
      <c r="V330" s="21" t="n">
        <f aca="false">SUM(O330:T330)</f>
        <v>0</v>
      </c>
      <c r="X330" s="25" t="n">
        <f aca="false">X329+1</f>
        <v>304</v>
      </c>
      <c r="Y330" s="21" t="n">
        <f aca="false">MAX(0,ROUND(Y329*(1+Y$15),2)-AL329)</f>
        <v>0</v>
      </c>
      <c r="Z330" s="21" t="n">
        <f aca="false">MAX(0,ROUND(Z329*(1+Z$15),2)-AM329)</f>
        <v>0</v>
      </c>
      <c r="AA330" s="21" t="n">
        <f aca="false">MAX(0,ROUND(AA329*(1+AA$15),2)-AN329)</f>
        <v>0</v>
      </c>
      <c r="AB330" s="21" t="n">
        <f aca="false">MAX(0,ROUND(AB329*(1+AB$15),2)-AO329)</f>
        <v>0</v>
      </c>
      <c r="AC330" s="21" t="n">
        <f aca="false">MAX(0,ROUND(AC329*(1+AC$15),2)-AP329)</f>
        <v>0</v>
      </c>
      <c r="AD330" s="21" t="n">
        <f aca="false">MAX(0,ROUND(AD329*(1+AD$15),2)-AQ329)</f>
        <v>0</v>
      </c>
      <c r="AE330" s="21" t="n">
        <f aca="false">MIN(Y$16,ROUND(Y330*(1+Y$15),2))</f>
        <v>0</v>
      </c>
      <c r="AF330" s="21" t="n">
        <f aca="false">MIN(Z$16,ROUND(Z330*(1+Z$15),2))</f>
        <v>0</v>
      </c>
      <c r="AG330" s="21" t="n">
        <f aca="false">MIN(AA$16,ROUND(AA330*(1+AA$15),2))</f>
        <v>0</v>
      </c>
      <c r="AH330" s="21" t="n">
        <f aca="false">MIN(AB$16,ROUND(AB330*(1+AB$15),2))</f>
        <v>0</v>
      </c>
      <c r="AI330" s="21" t="n">
        <f aca="false">MIN(AC$16,ROUND(AC330*(1+AC$15),2))</f>
        <v>0</v>
      </c>
      <c r="AJ330" s="21" t="n">
        <f aca="false">MIN(AD$16,ROUND(AD330*(1+AD$15),2))</f>
        <v>0</v>
      </c>
      <c r="AK330" s="21" t="n">
        <f aca="false">Y$20-SUM(AE330:AJ330)</f>
        <v>1170</v>
      </c>
      <c r="AL330" s="21" t="n">
        <f aca="false">MIN(ROUND(Y330*(1+Y$15),2),AE330+MAX(0,AK330))</f>
        <v>0</v>
      </c>
      <c r="AM330" s="21" t="n">
        <f aca="false">MIN(ROUND(Z330*(1+Z$15),2),AF330+MAX(0,AK330-AL330+AE330))</f>
        <v>0</v>
      </c>
      <c r="AN330" s="21" t="n">
        <f aca="false">MIN(ROUND(AA330*(1+AA$15),2),AG330+MAX(0,AK330-AL330+AE330-AM330+AF330))</f>
        <v>0</v>
      </c>
      <c r="AO330" s="21" t="n">
        <f aca="false">MIN(ROUND(AB330*(1+AB$15),2),AH330+MAX(0,AK330-AL330+AE330-AM330+AF330-AN330+AG330))</f>
        <v>0</v>
      </c>
      <c r="AP330" s="21" t="n">
        <f aca="false">MIN(ROUND(AC330*(1+AC$15),2),AI330+MAX(0,AK330-AL330+AE330-AM330+AF330-AN330+AG330-AO330+AH330))</f>
        <v>0</v>
      </c>
      <c r="AQ330" s="21" t="n">
        <f aca="false">MIN(ROUND(AD330*(1+AD$15),2),AJ330+MAX(0,AK330-AL330+AE330-AM330+AF330-AN330+AG330-AO330+AH330-AP330+AI330))</f>
        <v>0</v>
      </c>
      <c r="AR330" s="21" t="n">
        <f aca="false">SUM(Y330:AD330)</f>
        <v>0</v>
      </c>
      <c r="AS330" s="21" t="n">
        <f aca="false">SUM(AL330:AQ330)</f>
        <v>0</v>
      </c>
    </row>
    <row r="331" customFormat="false" ht="15" hidden="false" customHeight="false" outlineLevel="0" collapsed="false">
      <c r="A331" s="25" t="n">
        <f aca="false">A330+1</f>
        <v>305</v>
      </c>
      <c r="B331" s="21" t="n">
        <f aca="false">MAX(0,ROUND(B330*(1+B$15),2)-O330)</f>
        <v>0</v>
      </c>
      <c r="C331" s="21" t="n">
        <f aca="false">MAX(0,ROUND(C330*(1+C$15),2)-P330)</f>
        <v>0</v>
      </c>
      <c r="D331" s="21" t="n">
        <f aca="false">MAX(0,ROUND(D330*(1+D$15),2)-Q330)</f>
        <v>0</v>
      </c>
      <c r="E331" s="21" t="n">
        <f aca="false">MAX(0,ROUND(E330*(1+E$15),2)-R330)</f>
        <v>0</v>
      </c>
      <c r="F331" s="21" t="n">
        <f aca="false">MAX(0,ROUND(F330*(1+F$15),2)-S330)</f>
        <v>0</v>
      </c>
      <c r="G331" s="21" t="n">
        <f aca="false">MAX(0,ROUND(G330*(1+G$15),2)-T330)</f>
        <v>0</v>
      </c>
      <c r="H331" s="21" t="n">
        <f aca="false">MIN(B$16,ROUND(B331*(1+B$15),2))</f>
        <v>0</v>
      </c>
      <c r="I331" s="21" t="n">
        <f aca="false">MIN(C$16,ROUND(C331*(1+C$15),2))</f>
        <v>0</v>
      </c>
      <c r="J331" s="21" t="n">
        <f aca="false">MIN(D$16,ROUND(D331*(1+D$15),2))</f>
        <v>0</v>
      </c>
      <c r="K331" s="21" t="n">
        <f aca="false">MIN(E$16,ROUND(E331*(1+E$15),2))</f>
        <v>0</v>
      </c>
      <c r="L331" s="21" t="n">
        <f aca="false">MIN(F$16,ROUND(F331*(1+F$15),2))</f>
        <v>0</v>
      </c>
      <c r="M331" s="21" t="n">
        <f aca="false">MIN(G$16,ROUND(G331*(1+G$15),2))</f>
        <v>0</v>
      </c>
      <c r="N331" s="21" t="n">
        <f aca="false">B$20-SUM(H331:M331)</f>
        <v>1170</v>
      </c>
      <c r="O331" s="21" t="n">
        <f aca="false">MIN(ROUND(B331*(1+B$15),2),H331+MAX(0,N331))</f>
        <v>0</v>
      </c>
      <c r="P331" s="21" t="n">
        <f aca="false">MIN(ROUND(C331*(1+C$15),2),I331+MAX(0,N331-O331+H331))</f>
        <v>0</v>
      </c>
      <c r="Q331" s="21" t="n">
        <f aca="false">MIN(ROUND(D331*(1+D$15),2),J331+MAX(0,N331-O331+H331-P331+I331))</f>
        <v>0</v>
      </c>
      <c r="R331" s="21" t="n">
        <f aca="false">MIN(ROUND(E331*(1+E$15),2),K331+MAX(0,N331-O331+H331-P331+I331-Q331+J331))</f>
        <v>0</v>
      </c>
      <c r="S331" s="21" t="n">
        <f aca="false">MIN(ROUND(F331*(1+F$15),2),L331+MAX(0,N331-O331+H331-P331+I331-Q331+J331-R331+K331))</f>
        <v>0</v>
      </c>
      <c r="T331" s="21" t="n">
        <f aca="false">MIN(ROUND(G331*(1+G$15),2),M331+MAX(0,N331-O331+H331-P331+I331-Q331+J331-R331+K331-S331+L331))</f>
        <v>0</v>
      </c>
      <c r="U331" s="21" t="n">
        <f aca="false">SUM(B331:G331)</f>
        <v>0</v>
      </c>
      <c r="V331" s="21" t="n">
        <f aca="false">SUM(O331:T331)</f>
        <v>0</v>
      </c>
      <c r="X331" s="25" t="n">
        <f aca="false">X330+1</f>
        <v>305</v>
      </c>
      <c r="Y331" s="21" t="n">
        <f aca="false">MAX(0,ROUND(Y330*(1+Y$15),2)-AL330)</f>
        <v>0</v>
      </c>
      <c r="Z331" s="21" t="n">
        <f aca="false">MAX(0,ROUND(Z330*(1+Z$15),2)-AM330)</f>
        <v>0</v>
      </c>
      <c r="AA331" s="21" t="n">
        <f aca="false">MAX(0,ROUND(AA330*(1+AA$15),2)-AN330)</f>
        <v>0</v>
      </c>
      <c r="AB331" s="21" t="n">
        <f aca="false">MAX(0,ROUND(AB330*(1+AB$15),2)-AO330)</f>
        <v>0</v>
      </c>
      <c r="AC331" s="21" t="n">
        <f aca="false">MAX(0,ROUND(AC330*(1+AC$15),2)-AP330)</f>
        <v>0</v>
      </c>
      <c r="AD331" s="21" t="n">
        <f aca="false">MAX(0,ROUND(AD330*(1+AD$15),2)-AQ330)</f>
        <v>0</v>
      </c>
      <c r="AE331" s="21" t="n">
        <f aca="false">MIN(Y$16,ROUND(Y331*(1+Y$15),2))</f>
        <v>0</v>
      </c>
      <c r="AF331" s="21" t="n">
        <f aca="false">MIN(Z$16,ROUND(Z331*(1+Z$15),2))</f>
        <v>0</v>
      </c>
      <c r="AG331" s="21" t="n">
        <f aca="false">MIN(AA$16,ROUND(AA331*(1+AA$15),2))</f>
        <v>0</v>
      </c>
      <c r="AH331" s="21" t="n">
        <f aca="false">MIN(AB$16,ROUND(AB331*(1+AB$15),2))</f>
        <v>0</v>
      </c>
      <c r="AI331" s="21" t="n">
        <f aca="false">MIN(AC$16,ROUND(AC331*(1+AC$15),2))</f>
        <v>0</v>
      </c>
      <c r="AJ331" s="21" t="n">
        <f aca="false">MIN(AD$16,ROUND(AD331*(1+AD$15),2))</f>
        <v>0</v>
      </c>
      <c r="AK331" s="21" t="n">
        <f aca="false">Y$20-SUM(AE331:AJ331)</f>
        <v>1170</v>
      </c>
      <c r="AL331" s="21" t="n">
        <f aca="false">MIN(ROUND(Y331*(1+Y$15),2),AE331+MAX(0,AK331))</f>
        <v>0</v>
      </c>
      <c r="AM331" s="21" t="n">
        <f aca="false">MIN(ROUND(Z331*(1+Z$15),2),AF331+MAX(0,AK331-AL331+AE331))</f>
        <v>0</v>
      </c>
      <c r="AN331" s="21" t="n">
        <f aca="false">MIN(ROUND(AA331*(1+AA$15),2),AG331+MAX(0,AK331-AL331+AE331-AM331+AF331))</f>
        <v>0</v>
      </c>
      <c r="AO331" s="21" t="n">
        <f aca="false">MIN(ROUND(AB331*(1+AB$15),2),AH331+MAX(0,AK331-AL331+AE331-AM331+AF331-AN331+AG331))</f>
        <v>0</v>
      </c>
      <c r="AP331" s="21" t="n">
        <f aca="false">MIN(ROUND(AC331*(1+AC$15),2),AI331+MAX(0,AK331-AL331+AE331-AM331+AF331-AN331+AG331-AO331+AH331))</f>
        <v>0</v>
      </c>
      <c r="AQ331" s="21" t="n">
        <f aca="false">MIN(ROUND(AD331*(1+AD$15),2),AJ331+MAX(0,AK331-AL331+AE331-AM331+AF331-AN331+AG331-AO331+AH331-AP331+AI331))</f>
        <v>0</v>
      </c>
      <c r="AR331" s="21" t="n">
        <f aca="false">SUM(Y331:AD331)</f>
        <v>0</v>
      </c>
      <c r="AS331" s="21" t="n">
        <f aca="false">SUM(AL331:AQ331)</f>
        <v>0</v>
      </c>
    </row>
    <row r="332" customFormat="false" ht="15" hidden="false" customHeight="false" outlineLevel="0" collapsed="false">
      <c r="A332" s="25" t="n">
        <f aca="false">A331+1</f>
        <v>306</v>
      </c>
      <c r="B332" s="21" t="n">
        <f aca="false">MAX(0,ROUND(B331*(1+B$15),2)-O331)</f>
        <v>0</v>
      </c>
      <c r="C332" s="21" t="n">
        <f aca="false">MAX(0,ROUND(C331*(1+C$15),2)-P331)</f>
        <v>0</v>
      </c>
      <c r="D332" s="21" t="n">
        <f aca="false">MAX(0,ROUND(D331*(1+D$15),2)-Q331)</f>
        <v>0</v>
      </c>
      <c r="E332" s="21" t="n">
        <f aca="false">MAX(0,ROUND(E331*(1+E$15),2)-R331)</f>
        <v>0</v>
      </c>
      <c r="F332" s="21" t="n">
        <f aca="false">MAX(0,ROUND(F331*(1+F$15),2)-S331)</f>
        <v>0</v>
      </c>
      <c r="G332" s="21" t="n">
        <f aca="false">MAX(0,ROUND(G331*(1+G$15),2)-T331)</f>
        <v>0</v>
      </c>
      <c r="H332" s="21" t="n">
        <f aca="false">MIN(B$16,ROUND(B332*(1+B$15),2))</f>
        <v>0</v>
      </c>
      <c r="I332" s="21" t="n">
        <f aca="false">MIN(C$16,ROUND(C332*(1+C$15),2))</f>
        <v>0</v>
      </c>
      <c r="J332" s="21" t="n">
        <f aca="false">MIN(D$16,ROUND(D332*(1+D$15),2))</f>
        <v>0</v>
      </c>
      <c r="K332" s="21" t="n">
        <f aca="false">MIN(E$16,ROUND(E332*(1+E$15),2))</f>
        <v>0</v>
      </c>
      <c r="L332" s="21" t="n">
        <f aca="false">MIN(F$16,ROUND(F332*(1+F$15),2))</f>
        <v>0</v>
      </c>
      <c r="M332" s="21" t="n">
        <f aca="false">MIN(G$16,ROUND(G332*(1+G$15),2))</f>
        <v>0</v>
      </c>
      <c r="N332" s="21" t="n">
        <f aca="false">B$20-SUM(H332:M332)</f>
        <v>1170</v>
      </c>
      <c r="O332" s="21" t="n">
        <f aca="false">MIN(ROUND(B332*(1+B$15),2),H332+MAX(0,N332))</f>
        <v>0</v>
      </c>
      <c r="P332" s="21" t="n">
        <f aca="false">MIN(ROUND(C332*(1+C$15),2),I332+MAX(0,N332-O332+H332))</f>
        <v>0</v>
      </c>
      <c r="Q332" s="21" t="n">
        <f aca="false">MIN(ROUND(D332*(1+D$15),2),J332+MAX(0,N332-O332+H332-P332+I332))</f>
        <v>0</v>
      </c>
      <c r="R332" s="21" t="n">
        <f aca="false">MIN(ROUND(E332*(1+E$15),2),K332+MAX(0,N332-O332+H332-P332+I332-Q332+J332))</f>
        <v>0</v>
      </c>
      <c r="S332" s="21" t="n">
        <f aca="false">MIN(ROUND(F332*(1+F$15),2),L332+MAX(0,N332-O332+H332-P332+I332-Q332+J332-R332+K332))</f>
        <v>0</v>
      </c>
      <c r="T332" s="21" t="n">
        <f aca="false">MIN(ROUND(G332*(1+G$15),2),M332+MAX(0,N332-O332+H332-P332+I332-Q332+J332-R332+K332-S332+L332))</f>
        <v>0</v>
      </c>
      <c r="U332" s="21" t="n">
        <f aca="false">SUM(B332:G332)</f>
        <v>0</v>
      </c>
      <c r="V332" s="21" t="n">
        <f aca="false">SUM(O332:T332)</f>
        <v>0</v>
      </c>
      <c r="X332" s="25" t="n">
        <f aca="false">X331+1</f>
        <v>306</v>
      </c>
      <c r="Y332" s="21" t="n">
        <f aca="false">MAX(0,ROUND(Y331*(1+Y$15),2)-AL331)</f>
        <v>0</v>
      </c>
      <c r="Z332" s="21" t="n">
        <f aca="false">MAX(0,ROUND(Z331*(1+Z$15),2)-AM331)</f>
        <v>0</v>
      </c>
      <c r="AA332" s="21" t="n">
        <f aca="false">MAX(0,ROUND(AA331*(1+AA$15),2)-AN331)</f>
        <v>0</v>
      </c>
      <c r="AB332" s="21" t="n">
        <f aca="false">MAX(0,ROUND(AB331*(1+AB$15),2)-AO331)</f>
        <v>0</v>
      </c>
      <c r="AC332" s="21" t="n">
        <f aca="false">MAX(0,ROUND(AC331*(1+AC$15),2)-AP331)</f>
        <v>0</v>
      </c>
      <c r="AD332" s="21" t="n">
        <f aca="false">MAX(0,ROUND(AD331*(1+AD$15),2)-AQ331)</f>
        <v>0</v>
      </c>
      <c r="AE332" s="21" t="n">
        <f aca="false">MIN(Y$16,ROUND(Y332*(1+Y$15),2))</f>
        <v>0</v>
      </c>
      <c r="AF332" s="21" t="n">
        <f aca="false">MIN(Z$16,ROUND(Z332*(1+Z$15),2))</f>
        <v>0</v>
      </c>
      <c r="AG332" s="21" t="n">
        <f aca="false">MIN(AA$16,ROUND(AA332*(1+AA$15),2))</f>
        <v>0</v>
      </c>
      <c r="AH332" s="21" t="n">
        <f aca="false">MIN(AB$16,ROUND(AB332*(1+AB$15),2))</f>
        <v>0</v>
      </c>
      <c r="AI332" s="21" t="n">
        <f aca="false">MIN(AC$16,ROUND(AC332*(1+AC$15),2))</f>
        <v>0</v>
      </c>
      <c r="AJ332" s="21" t="n">
        <f aca="false">MIN(AD$16,ROUND(AD332*(1+AD$15),2))</f>
        <v>0</v>
      </c>
      <c r="AK332" s="21" t="n">
        <f aca="false">Y$20-SUM(AE332:AJ332)</f>
        <v>1170</v>
      </c>
      <c r="AL332" s="21" t="n">
        <f aca="false">MIN(ROUND(Y332*(1+Y$15),2),AE332+MAX(0,AK332))</f>
        <v>0</v>
      </c>
      <c r="AM332" s="21" t="n">
        <f aca="false">MIN(ROUND(Z332*(1+Z$15),2),AF332+MAX(0,AK332-AL332+AE332))</f>
        <v>0</v>
      </c>
      <c r="AN332" s="21" t="n">
        <f aca="false">MIN(ROUND(AA332*(1+AA$15),2),AG332+MAX(0,AK332-AL332+AE332-AM332+AF332))</f>
        <v>0</v>
      </c>
      <c r="AO332" s="21" t="n">
        <f aca="false">MIN(ROUND(AB332*(1+AB$15),2),AH332+MAX(0,AK332-AL332+AE332-AM332+AF332-AN332+AG332))</f>
        <v>0</v>
      </c>
      <c r="AP332" s="21" t="n">
        <f aca="false">MIN(ROUND(AC332*(1+AC$15),2),AI332+MAX(0,AK332-AL332+AE332-AM332+AF332-AN332+AG332-AO332+AH332))</f>
        <v>0</v>
      </c>
      <c r="AQ332" s="21" t="n">
        <f aca="false">MIN(ROUND(AD332*(1+AD$15),2),AJ332+MAX(0,AK332-AL332+AE332-AM332+AF332-AN332+AG332-AO332+AH332-AP332+AI332))</f>
        <v>0</v>
      </c>
      <c r="AR332" s="21" t="n">
        <f aca="false">SUM(Y332:AD332)</f>
        <v>0</v>
      </c>
      <c r="AS332" s="21" t="n">
        <f aca="false">SUM(AL332:AQ332)</f>
        <v>0</v>
      </c>
    </row>
    <row r="333" customFormat="false" ht="15" hidden="false" customHeight="false" outlineLevel="0" collapsed="false">
      <c r="A333" s="25" t="n">
        <f aca="false">A332+1</f>
        <v>307</v>
      </c>
      <c r="B333" s="21" t="n">
        <f aca="false">MAX(0,ROUND(B332*(1+B$15),2)-O332)</f>
        <v>0</v>
      </c>
      <c r="C333" s="21" t="n">
        <f aca="false">MAX(0,ROUND(C332*(1+C$15),2)-P332)</f>
        <v>0</v>
      </c>
      <c r="D333" s="21" t="n">
        <f aca="false">MAX(0,ROUND(D332*(1+D$15),2)-Q332)</f>
        <v>0</v>
      </c>
      <c r="E333" s="21" t="n">
        <f aca="false">MAX(0,ROUND(E332*(1+E$15),2)-R332)</f>
        <v>0</v>
      </c>
      <c r="F333" s="21" t="n">
        <f aca="false">MAX(0,ROUND(F332*(1+F$15),2)-S332)</f>
        <v>0</v>
      </c>
      <c r="G333" s="21" t="n">
        <f aca="false">MAX(0,ROUND(G332*(1+G$15),2)-T332)</f>
        <v>0</v>
      </c>
      <c r="H333" s="21" t="n">
        <f aca="false">MIN(B$16,ROUND(B333*(1+B$15),2))</f>
        <v>0</v>
      </c>
      <c r="I333" s="21" t="n">
        <f aca="false">MIN(C$16,ROUND(C333*(1+C$15),2))</f>
        <v>0</v>
      </c>
      <c r="J333" s="21" t="n">
        <f aca="false">MIN(D$16,ROUND(D333*(1+D$15),2))</f>
        <v>0</v>
      </c>
      <c r="K333" s="21" t="n">
        <f aca="false">MIN(E$16,ROUND(E333*(1+E$15),2))</f>
        <v>0</v>
      </c>
      <c r="L333" s="21" t="n">
        <f aca="false">MIN(F$16,ROUND(F333*(1+F$15),2))</f>
        <v>0</v>
      </c>
      <c r="M333" s="21" t="n">
        <f aca="false">MIN(G$16,ROUND(G333*(1+G$15),2))</f>
        <v>0</v>
      </c>
      <c r="N333" s="21" t="n">
        <f aca="false">B$20-SUM(H333:M333)</f>
        <v>1170</v>
      </c>
      <c r="O333" s="21" t="n">
        <f aca="false">MIN(ROUND(B333*(1+B$15),2),H333+MAX(0,N333))</f>
        <v>0</v>
      </c>
      <c r="P333" s="21" t="n">
        <f aca="false">MIN(ROUND(C333*(1+C$15),2),I333+MAX(0,N333-O333+H333))</f>
        <v>0</v>
      </c>
      <c r="Q333" s="21" t="n">
        <f aca="false">MIN(ROUND(D333*(1+D$15),2),J333+MAX(0,N333-O333+H333-P333+I333))</f>
        <v>0</v>
      </c>
      <c r="R333" s="21" t="n">
        <f aca="false">MIN(ROUND(E333*(1+E$15),2),K333+MAX(0,N333-O333+H333-P333+I333-Q333+J333))</f>
        <v>0</v>
      </c>
      <c r="S333" s="21" t="n">
        <f aca="false">MIN(ROUND(F333*(1+F$15),2),L333+MAX(0,N333-O333+H333-P333+I333-Q333+J333-R333+K333))</f>
        <v>0</v>
      </c>
      <c r="T333" s="21" t="n">
        <f aca="false">MIN(ROUND(G333*(1+G$15),2),M333+MAX(0,N333-O333+H333-P333+I333-Q333+J333-R333+K333-S333+L333))</f>
        <v>0</v>
      </c>
      <c r="U333" s="21" t="n">
        <f aca="false">SUM(B333:G333)</f>
        <v>0</v>
      </c>
      <c r="V333" s="21" t="n">
        <f aca="false">SUM(O333:T333)</f>
        <v>0</v>
      </c>
      <c r="X333" s="25" t="n">
        <f aca="false">X332+1</f>
        <v>307</v>
      </c>
      <c r="Y333" s="21" t="n">
        <f aca="false">MAX(0,ROUND(Y332*(1+Y$15),2)-AL332)</f>
        <v>0</v>
      </c>
      <c r="Z333" s="21" t="n">
        <f aca="false">MAX(0,ROUND(Z332*(1+Z$15),2)-AM332)</f>
        <v>0</v>
      </c>
      <c r="AA333" s="21" t="n">
        <f aca="false">MAX(0,ROUND(AA332*(1+AA$15),2)-AN332)</f>
        <v>0</v>
      </c>
      <c r="AB333" s="21" t="n">
        <f aca="false">MAX(0,ROUND(AB332*(1+AB$15),2)-AO332)</f>
        <v>0</v>
      </c>
      <c r="AC333" s="21" t="n">
        <f aca="false">MAX(0,ROUND(AC332*(1+AC$15),2)-AP332)</f>
        <v>0</v>
      </c>
      <c r="AD333" s="21" t="n">
        <f aca="false">MAX(0,ROUND(AD332*(1+AD$15),2)-AQ332)</f>
        <v>0</v>
      </c>
      <c r="AE333" s="21" t="n">
        <f aca="false">MIN(Y$16,ROUND(Y333*(1+Y$15),2))</f>
        <v>0</v>
      </c>
      <c r="AF333" s="21" t="n">
        <f aca="false">MIN(Z$16,ROUND(Z333*(1+Z$15),2))</f>
        <v>0</v>
      </c>
      <c r="AG333" s="21" t="n">
        <f aca="false">MIN(AA$16,ROUND(AA333*(1+AA$15),2))</f>
        <v>0</v>
      </c>
      <c r="AH333" s="21" t="n">
        <f aca="false">MIN(AB$16,ROUND(AB333*(1+AB$15),2))</f>
        <v>0</v>
      </c>
      <c r="AI333" s="21" t="n">
        <f aca="false">MIN(AC$16,ROUND(AC333*(1+AC$15),2))</f>
        <v>0</v>
      </c>
      <c r="AJ333" s="21" t="n">
        <f aca="false">MIN(AD$16,ROUND(AD333*(1+AD$15),2))</f>
        <v>0</v>
      </c>
      <c r="AK333" s="21" t="n">
        <f aca="false">Y$20-SUM(AE333:AJ333)</f>
        <v>1170</v>
      </c>
      <c r="AL333" s="21" t="n">
        <f aca="false">MIN(ROUND(Y333*(1+Y$15),2),AE333+MAX(0,AK333))</f>
        <v>0</v>
      </c>
      <c r="AM333" s="21" t="n">
        <f aca="false">MIN(ROUND(Z333*(1+Z$15),2),AF333+MAX(0,AK333-AL333+AE333))</f>
        <v>0</v>
      </c>
      <c r="AN333" s="21" t="n">
        <f aca="false">MIN(ROUND(AA333*(1+AA$15),2),AG333+MAX(0,AK333-AL333+AE333-AM333+AF333))</f>
        <v>0</v>
      </c>
      <c r="AO333" s="21" t="n">
        <f aca="false">MIN(ROUND(AB333*(1+AB$15),2),AH333+MAX(0,AK333-AL333+AE333-AM333+AF333-AN333+AG333))</f>
        <v>0</v>
      </c>
      <c r="AP333" s="21" t="n">
        <f aca="false">MIN(ROUND(AC333*(1+AC$15),2),AI333+MAX(0,AK333-AL333+AE333-AM333+AF333-AN333+AG333-AO333+AH333))</f>
        <v>0</v>
      </c>
      <c r="AQ333" s="21" t="n">
        <f aca="false">MIN(ROUND(AD333*(1+AD$15),2),AJ333+MAX(0,AK333-AL333+AE333-AM333+AF333-AN333+AG333-AO333+AH333-AP333+AI333))</f>
        <v>0</v>
      </c>
      <c r="AR333" s="21" t="n">
        <f aca="false">SUM(Y333:AD333)</f>
        <v>0</v>
      </c>
      <c r="AS333" s="21" t="n">
        <f aca="false">SUM(AL333:AQ333)</f>
        <v>0</v>
      </c>
    </row>
    <row r="334" customFormat="false" ht="15" hidden="false" customHeight="false" outlineLevel="0" collapsed="false">
      <c r="A334" s="25" t="n">
        <f aca="false">A333+1</f>
        <v>308</v>
      </c>
      <c r="B334" s="21" t="n">
        <f aca="false">MAX(0,ROUND(B333*(1+B$15),2)-O333)</f>
        <v>0</v>
      </c>
      <c r="C334" s="21" t="n">
        <f aca="false">MAX(0,ROUND(C333*(1+C$15),2)-P333)</f>
        <v>0</v>
      </c>
      <c r="D334" s="21" t="n">
        <f aca="false">MAX(0,ROUND(D333*(1+D$15),2)-Q333)</f>
        <v>0</v>
      </c>
      <c r="E334" s="21" t="n">
        <f aca="false">MAX(0,ROUND(E333*(1+E$15),2)-R333)</f>
        <v>0</v>
      </c>
      <c r="F334" s="21" t="n">
        <f aca="false">MAX(0,ROUND(F333*(1+F$15),2)-S333)</f>
        <v>0</v>
      </c>
      <c r="G334" s="21" t="n">
        <f aca="false">MAX(0,ROUND(G333*(1+G$15),2)-T333)</f>
        <v>0</v>
      </c>
      <c r="H334" s="21" t="n">
        <f aca="false">MIN(B$16,ROUND(B334*(1+B$15),2))</f>
        <v>0</v>
      </c>
      <c r="I334" s="21" t="n">
        <f aca="false">MIN(C$16,ROUND(C334*(1+C$15),2))</f>
        <v>0</v>
      </c>
      <c r="J334" s="21" t="n">
        <f aca="false">MIN(D$16,ROUND(D334*(1+D$15),2))</f>
        <v>0</v>
      </c>
      <c r="K334" s="21" t="n">
        <f aca="false">MIN(E$16,ROUND(E334*(1+E$15),2))</f>
        <v>0</v>
      </c>
      <c r="L334" s="21" t="n">
        <f aca="false">MIN(F$16,ROUND(F334*(1+F$15),2))</f>
        <v>0</v>
      </c>
      <c r="M334" s="21" t="n">
        <f aca="false">MIN(G$16,ROUND(G334*(1+G$15),2))</f>
        <v>0</v>
      </c>
      <c r="N334" s="21" t="n">
        <f aca="false">B$20-SUM(H334:M334)</f>
        <v>1170</v>
      </c>
      <c r="O334" s="21" t="n">
        <f aca="false">MIN(ROUND(B334*(1+B$15),2),H334+MAX(0,N334))</f>
        <v>0</v>
      </c>
      <c r="P334" s="21" t="n">
        <f aca="false">MIN(ROUND(C334*(1+C$15),2),I334+MAX(0,N334-O334+H334))</f>
        <v>0</v>
      </c>
      <c r="Q334" s="21" t="n">
        <f aca="false">MIN(ROUND(D334*(1+D$15),2),J334+MAX(0,N334-O334+H334-P334+I334))</f>
        <v>0</v>
      </c>
      <c r="R334" s="21" t="n">
        <f aca="false">MIN(ROUND(E334*(1+E$15),2),K334+MAX(0,N334-O334+H334-P334+I334-Q334+J334))</f>
        <v>0</v>
      </c>
      <c r="S334" s="21" t="n">
        <f aca="false">MIN(ROUND(F334*(1+F$15),2),L334+MAX(0,N334-O334+H334-P334+I334-Q334+J334-R334+K334))</f>
        <v>0</v>
      </c>
      <c r="T334" s="21" t="n">
        <f aca="false">MIN(ROUND(G334*(1+G$15),2),M334+MAX(0,N334-O334+H334-P334+I334-Q334+J334-R334+K334-S334+L334))</f>
        <v>0</v>
      </c>
      <c r="U334" s="21" t="n">
        <f aca="false">SUM(B334:G334)</f>
        <v>0</v>
      </c>
      <c r="V334" s="21" t="n">
        <f aca="false">SUM(O334:T334)</f>
        <v>0</v>
      </c>
      <c r="X334" s="25" t="n">
        <f aca="false">X333+1</f>
        <v>308</v>
      </c>
      <c r="Y334" s="21" t="n">
        <f aca="false">MAX(0,ROUND(Y333*(1+Y$15),2)-AL333)</f>
        <v>0</v>
      </c>
      <c r="Z334" s="21" t="n">
        <f aca="false">MAX(0,ROUND(Z333*(1+Z$15),2)-AM333)</f>
        <v>0</v>
      </c>
      <c r="AA334" s="21" t="n">
        <f aca="false">MAX(0,ROUND(AA333*(1+AA$15),2)-AN333)</f>
        <v>0</v>
      </c>
      <c r="AB334" s="21" t="n">
        <f aca="false">MAX(0,ROUND(AB333*(1+AB$15),2)-AO333)</f>
        <v>0</v>
      </c>
      <c r="AC334" s="21" t="n">
        <f aca="false">MAX(0,ROUND(AC333*(1+AC$15),2)-AP333)</f>
        <v>0</v>
      </c>
      <c r="AD334" s="21" t="n">
        <f aca="false">MAX(0,ROUND(AD333*(1+AD$15),2)-AQ333)</f>
        <v>0</v>
      </c>
      <c r="AE334" s="21" t="n">
        <f aca="false">MIN(Y$16,ROUND(Y334*(1+Y$15),2))</f>
        <v>0</v>
      </c>
      <c r="AF334" s="21" t="n">
        <f aca="false">MIN(Z$16,ROUND(Z334*(1+Z$15),2))</f>
        <v>0</v>
      </c>
      <c r="AG334" s="21" t="n">
        <f aca="false">MIN(AA$16,ROUND(AA334*(1+AA$15),2))</f>
        <v>0</v>
      </c>
      <c r="AH334" s="21" t="n">
        <f aca="false">MIN(AB$16,ROUND(AB334*(1+AB$15),2))</f>
        <v>0</v>
      </c>
      <c r="AI334" s="21" t="n">
        <f aca="false">MIN(AC$16,ROUND(AC334*(1+AC$15),2))</f>
        <v>0</v>
      </c>
      <c r="AJ334" s="21" t="n">
        <f aca="false">MIN(AD$16,ROUND(AD334*(1+AD$15),2))</f>
        <v>0</v>
      </c>
      <c r="AK334" s="21" t="n">
        <f aca="false">Y$20-SUM(AE334:AJ334)</f>
        <v>1170</v>
      </c>
      <c r="AL334" s="21" t="n">
        <f aca="false">MIN(ROUND(Y334*(1+Y$15),2),AE334+MAX(0,AK334))</f>
        <v>0</v>
      </c>
      <c r="AM334" s="21" t="n">
        <f aca="false">MIN(ROUND(Z334*(1+Z$15),2),AF334+MAX(0,AK334-AL334+AE334))</f>
        <v>0</v>
      </c>
      <c r="AN334" s="21" t="n">
        <f aca="false">MIN(ROUND(AA334*(1+AA$15),2),AG334+MAX(0,AK334-AL334+AE334-AM334+AF334))</f>
        <v>0</v>
      </c>
      <c r="AO334" s="21" t="n">
        <f aca="false">MIN(ROUND(AB334*(1+AB$15),2),AH334+MAX(0,AK334-AL334+AE334-AM334+AF334-AN334+AG334))</f>
        <v>0</v>
      </c>
      <c r="AP334" s="21" t="n">
        <f aca="false">MIN(ROUND(AC334*(1+AC$15),2),AI334+MAX(0,AK334-AL334+AE334-AM334+AF334-AN334+AG334-AO334+AH334))</f>
        <v>0</v>
      </c>
      <c r="AQ334" s="21" t="n">
        <f aca="false">MIN(ROUND(AD334*(1+AD$15),2),AJ334+MAX(0,AK334-AL334+AE334-AM334+AF334-AN334+AG334-AO334+AH334-AP334+AI334))</f>
        <v>0</v>
      </c>
      <c r="AR334" s="21" t="n">
        <f aca="false">SUM(Y334:AD334)</f>
        <v>0</v>
      </c>
      <c r="AS334" s="21" t="n">
        <f aca="false">SUM(AL334:AQ334)</f>
        <v>0</v>
      </c>
    </row>
    <row r="335" customFormat="false" ht="15" hidden="false" customHeight="false" outlineLevel="0" collapsed="false">
      <c r="A335" s="25" t="n">
        <f aca="false">A334+1</f>
        <v>309</v>
      </c>
      <c r="B335" s="21" t="n">
        <f aca="false">MAX(0,ROUND(B334*(1+B$15),2)-O334)</f>
        <v>0</v>
      </c>
      <c r="C335" s="21" t="n">
        <f aca="false">MAX(0,ROUND(C334*(1+C$15),2)-P334)</f>
        <v>0</v>
      </c>
      <c r="D335" s="21" t="n">
        <f aca="false">MAX(0,ROUND(D334*(1+D$15),2)-Q334)</f>
        <v>0</v>
      </c>
      <c r="E335" s="21" t="n">
        <f aca="false">MAX(0,ROUND(E334*(1+E$15),2)-R334)</f>
        <v>0</v>
      </c>
      <c r="F335" s="21" t="n">
        <f aca="false">MAX(0,ROUND(F334*(1+F$15),2)-S334)</f>
        <v>0</v>
      </c>
      <c r="G335" s="21" t="n">
        <f aca="false">MAX(0,ROUND(G334*(1+G$15),2)-T334)</f>
        <v>0</v>
      </c>
      <c r="H335" s="21" t="n">
        <f aca="false">MIN(B$16,ROUND(B335*(1+B$15),2))</f>
        <v>0</v>
      </c>
      <c r="I335" s="21" t="n">
        <f aca="false">MIN(C$16,ROUND(C335*(1+C$15),2))</f>
        <v>0</v>
      </c>
      <c r="J335" s="21" t="n">
        <f aca="false">MIN(D$16,ROUND(D335*(1+D$15),2))</f>
        <v>0</v>
      </c>
      <c r="K335" s="21" t="n">
        <f aca="false">MIN(E$16,ROUND(E335*(1+E$15),2))</f>
        <v>0</v>
      </c>
      <c r="L335" s="21" t="n">
        <f aca="false">MIN(F$16,ROUND(F335*(1+F$15),2))</f>
        <v>0</v>
      </c>
      <c r="M335" s="21" t="n">
        <f aca="false">MIN(G$16,ROUND(G335*(1+G$15),2))</f>
        <v>0</v>
      </c>
      <c r="N335" s="21" t="n">
        <f aca="false">B$20-SUM(H335:M335)</f>
        <v>1170</v>
      </c>
      <c r="O335" s="21" t="n">
        <f aca="false">MIN(ROUND(B335*(1+B$15),2),H335+MAX(0,N335))</f>
        <v>0</v>
      </c>
      <c r="P335" s="21" t="n">
        <f aca="false">MIN(ROUND(C335*(1+C$15),2),I335+MAX(0,N335-O335+H335))</f>
        <v>0</v>
      </c>
      <c r="Q335" s="21" t="n">
        <f aca="false">MIN(ROUND(D335*(1+D$15),2),J335+MAX(0,N335-O335+H335-P335+I335))</f>
        <v>0</v>
      </c>
      <c r="R335" s="21" t="n">
        <f aca="false">MIN(ROUND(E335*(1+E$15),2),K335+MAX(0,N335-O335+H335-P335+I335-Q335+J335))</f>
        <v>0</v>
      </c>
      <c r="S335" s="21" t="n">
        <f aca="false">MIN(ROUND(F335*(1+F$15),2),L335+MAX(0,N335-O335+H335-P335+I335-Q335+J335-R335+K335))</f>
        <v>0</v>
      </c>
      <c r="T335" s="21" t="n">
        <f aca="false">MIN(ROUND(G335*(1+G$15),2),M335+MAX(0,N335-O335+H335-P335+I335-Q335+J335-R335+K335-S335+L335))</f>
        <v>0</v>
      </c>
      <c r="U335" s="21" t="n">
        <f aca="false">SUM(B335:G335)</f>
        <v>0</v>
      </c>
      <c r="V335" s="21" t="n">
        <f aca="false">SUM(O335:T335)</f>
        <v>0</v>
      </c>
      <c r="X335" s="25" t="n">
        <f aca="false">X334+1</f>
        <v>309</v>
      </c>
      <c r="Y335" s="21" t="n">
        <f aca="false">MAX(0,ROUND(Y334*(1+Y$15),2)-AL334)</f>
        <v>0</v>
      </c>
      <c r="Z335" s="21" t="n">
        <f aca="false">MAX(0,ROUND(Z334*(1+Z$15),2)-AM334)</f>
        <v>0</v>
      </c>
      <c r="AA335" s="21" t="n">
        <f aca="false">MAX(0,ROUND(AA334*(1+AA$15),2)-AN334)</f>
        <v>0</v>
      </c>
      <c r="AB335" s="21" t="n">
        <f aca="false">MAX(0,ROUND(AB334*(1+AB$15),2)-AO334)</f>
        <v>0</v>
      </c>
      <c r="AC335" s="21" t="n">
        <f aca="false">MAX(0,ROUND(AC334*(1+AC$15),2)-AP334)</f>
        <v>0</v>
      </c>
      <c r="AD335" s="21" t="n">
        <f aca="false">MAX(0,ROUND(AD334*(1+AD$15),2)-AQ334)</f>
        <v>0</v>
      </c>
      <c r="AE335" s="21" t="n">
        <f aca="false">MIN(Y$16,ROUND(Y335*(1+Y$15),2))</f>
        <v>0</v>
      </c>
      <c r="AF335" s="21" t="n">
        <f aca="false">MIN(Z$16,ROUND(Z335*(1+Z$15),2))</f>
        <v>0</v>
      </c>
      <c r="AG335" s="21" t="n">
        <f aca="false">MIN(AA$16,ROUND(AA335*(1+AA$15),2))</f>
        <v>0</v>
      </c>
      <c r="AH335" s="21" t="n">
        <f aca="false">MIN(AB$16,ROUND(AB335*(1+AB$15),2))</f>
        <v>0</v>
      </c>
      <c r="AI335" s="21" t="n">
        <f aca="false">MIN(AC$16,ROUND(AC335*(1+AC$15),2))</f>
        <v>0</v>
      </c>
      <c r="AJ335" s="21" t="n">
        <f aca="false">MIN(AD$16,ROUND(AD335*(1+AD$15),2))</f>
        <v>0</v>
      </c>
      <c r="AK335" s="21" t="n">
        <f aca="false">Y$20-SUM(AE335:AJ335)</f>
        <v>1170</v>
      </c>
      <c r="AL335" s="21" t="n">
        <f aca="false">MIN(ROUND(Y335*(1+Y$15),2),AE335+MAX(0,AK335))</f>
        <v>0</v>
      </c>
      <c r="AM335" s="21" t="n">
        <f aca="false">MIN(ROUND(Z335*(1+Z$15),2),AF335+MAX(0,AK335-AL335+AE335))</f>
        <v>0</v>
      </c>
      <c r="AN335" s="21" t="n">
        <f aca="false">MIN(ROUND(AA335*(1+AA$15),2),AG335+MAX(0,AK335-AL335+AE335-AM335+AF335))</f>
        <v>0</v>
      </c>
      <c r="AO335" s="21" t="n">
        <f aca="false">MIN(ROUND(AB335*(1+AB$15),2),AH335+MAX(0,AK335-AL335+AE335-AM335+AF335-AN335+AG335))</f>
        <v>0</v>
      </c>
      <c r="AP335" s="21" t="n">
        <f aca="false">MIN(ROUND(AC335*(1+AC$15),2),AI335+MAX(0,AK335-AL335+AE335-AM335+AF335-AN335+AG335-AO335+AH335))</f>
        <v>0</v>
      </c>
      <c r="AQ335" s="21" t="n">
        <f aca="false">MIN(ROUND(AD335*(1+AD$15),2),AJ335+MAX(0,AK335-AL335+AE335-AM335+AF335-AN335+AG335-AO335+AH335-AP335+AI335))</f>
        <v>0</v>
      </c>
      <c r="AR335" s="21" t="n">
        <f aca="false">SUM(Y335:AD335)</f>
        <v>0</v>
      </c>
      <c r="AS335" s="21" t="n">
        <f aca="false">SUM(AL335:AQ335)</f>
        <v>0</v>
      </c>
    </row>
    <row r="336" customFormat="false" ht="15" hidden="false" customHeight="false" outlineLevel="0" collapsed="false">
      <c r="A336" s="25" t="n">
        <f aca="false">A335+1</f>
        <v>310</v>
      </c>
      <c r="B336" s="21" t="n">
        <f aca="false">MAX(0,ROUND(B335*(1+B$15),2)-O335)</f>
        <v>0</v>
      </c>
      <c r="C336" s="21" t="n">
        <f aca="false">MAX(0,ROUND(C335*(1+C$15),2)-P335)</f>
        <v>0</v>
      </c>
      <c r="D336" s="21" t="n">
        <f aca="false">MAX(0,ROUND(D335*(1+D$15),2)-Q335)</f>
        <v>0</v>
      </c>
      <c r="E336" s="21" t="n">
        <f aca="false">MAX(0,ROUND(E335*(1+E$15),2)-R335)</f>
        <v>0</v>
      </c>
      <c r="F336" s="21" t="n">
        <f aca="false">MAX(0,ROUND(F335*(1+F$15),2)-S335)</f>
        <v>0</v>
      </c>
      <c r="G336" s="21" t="n">
        <f aca="false">MAX(0,ROUND(G335*(1+G$15),2)-T335)</f>
        <v>0</v>
      </c>
      <c r="H336" s="21" t="n">
        <f aca="false">MIN(B$16,ROUND(B336*(1+B$15),2))</f>
        <v>0</v>
      </c>
      <c r="I336" s="21" t="n">
        <f aca="false">MIN(C$16,ROUND(C336*(1+C$15),2))</f>
        <v>0</v>
      </c>
      <c r="J336" s="21" t="n">
        <f aca="false">MIN(D$16,ROUND(D336*(1+D$15),2))</f>
        <v>0</v>
      </c>
      <c r="K336" s="21" t="n">
        <f aca="false">MIN(E$16,ROUND(E336*(1+E$15),2))</f>
        <v>0</v>
      </c>
      <c r="L336" s="21" t="n">
        <f aca="false">MIN(F$16,ROUND(F336*(1+F$15),2))</f>
        <v>0</v>
      </c>
      <c r="M336" s="21" t="n">
        <f aca="false">MIN(G$16,ROUND(G336*(1+G$15),2))</f>
        <v>0</v>
      </c>
      <c r="N336" s="21" t="n">
        <f aca="false">B$20-SUM(H336:M336)</f>
        <v>1170</v>
      </c>
      <c r="O336" s="21" t="n">
        <f aca="false">MIN(ROUND(B336*(1+B$15),2),H336+MAX(0,N336))</f>
        <v>0</v>
      </c>
      <c r="P336" s="21" t="n">
        <f aca="false">MIN(ROUND(C336*(1+C$15),2),I336+MAX(0,N336-O336+H336))</f>
        <v>0</v>
      </c>
      <c r="Q336" s="21" t="n">
        <f aca="false">MIN(ROUND(D336*(1+D$15),2),J336+MAX(0,N336-O336+H336-P336+I336))</f>
        <v>0</v>
      </c>
      <c r="R336" s="21" t="n">
        <f aca="false">MIN(ROUND(E336*(1+E$15),2),K336+MAX(0,N336-O336+H336-P336+I336-Q336+J336))</f>
        <v>0</v>
      </c>
      <c r="S336" s="21" t="n">
        <f aca="false">MIN(ROUND(F336*(1+F$15),2),L336+MAX(0,N336-O336+H336-P336+I336-Q336+J336-R336+K336))</f>
        <v>0</v>
      </c>
      <c r="T336" s="21" t="n">
        <f aca="false">MIN(ROUND(G336*(1+G$15),2),M336+MAX(0,N336-O336+H336-P336+I336-Q336+J336-R336+K336-S336+L336))</f>
        <v>0</v>
      </c>
      <c r="U336" s="21" t="n">
        <f aca="false">SUM(B336:G336)</f>
        <v>0</v>
      </c>
      <c r="V336" s="21" t="n">
        <f aca="false">SUM(O336:T336)</f>
        <v>0</v>
      </c>
      <c r="X336" s="25" t="n">
        <f aca="false">X335+1</f>
        <v>310</v>
      </c>
      <c r="Y336" s="21" t="n">
        <f aca="false">MAX(0,ROUND(Y335*(1+Y$15),2)-AL335)</f>
        <v>0</v>
      </c>
      <c r="Z336" s="21" t="n">
        <f aca="false">MAX(0,ROUND(Z335*(1+Z$15),2)-AM335)</f>
        <v>0</v>
      </c>
      <c r="AA336" s="21" t="n">
        <f aca="false">MAX(0,ROUND(AA335*(1+AA$15),2)-AN335)</f>
        <v>0</v>
      </c>
      <c r="AB336" s="21" t="n">
        <f aca="false">MAX(0,ROUND(AB335*(1+AB$15),2)-AO335)</f>
        <v>0</v>
      </c>
      <c r="AC336" s="21" t="n">
        <f aca="false">MAX(0,ROUND(AC335*(1+AC$15),2)-AP335)</f>
        <v>0</v>
      </c>
      <c r="AD336" s="21" t="n">
        <f aca="false">MAX(0,ROUND(AD335*(1+AD$15),2)-AQ335)</f>
        <v>0</v>
      </c>
      <c r="AE336" s="21" t="n">
        <f aca="false">MIN(Y$16,ROUND(Y336*(1+Y$15),2))</f>
        <v>0</v>
      </c>
      <c r="AF336" s="21" t="n">
        <f aca="false">MIN(Z$16,ROUND(Z336*(1+Z$15),2))</f>
        <v>0</v>
      </c>
      <c r="AG336" s="21" t="n">
        <f aca="false">MIN(AA$16,ROUND(AA336*(1+AA$15),2))</f>
        <v>0</v>
      </c>
      <c r="AH336" s="21" t="n">
        <f aca="false">MIN(AB$16,ROUND(AB336*(1+AB$15),2))</f>
        <v>0</v>
      </c>
      <c r="AI336" s="21" t="n">
        <f aca="false">MIN(AC$16,ROUND(AC336*(1+AC$15),2))</f>
        <v>0</v>
      </c>
      <c r="AJ336" s="21" t="n">
        <f aca="false">MIN(AD$16,ROUND(AD336*(1+AD$15),2))</f>
        <v>0</v>
      </c>
      <c r="AK336" s="21" t="n">
        <f aca="false">Y$20-SUM(AE336:AJ336)</f>
        <v>1170</v>
      </c>
      <c r="AL336" s="21" t="n">
        <f aca="false">MIN(ROUND(Y336*(1+Y$15),2),AE336+MAX(0,AK336))</f>
        <v>0</v>
      </c>
      <c r="AM336" s="21" t="n">
        <f aca="false">MIN(ROUND(Z336*(1+Z$15),2),AF336+MAX(0,AK336-AL336+AE336))</f>
        <v>0</v>
      </c>
      <c r="AN336" s="21" t="n">
        <f aca="false">MIN(ROUND(AA336*(1+AA$15),2),AG336+MAX(0,AK336-AL336+AE336-AM336+AF336))</f>
        <v>0</v>
      </c>
      <c r="AO336" s="21" t="n">
        <f aca="false">MIN(ROUND(AB336*(1+AB$15),2),AH336+MAX(0,AK336-AL336+AE336-AM336+AF336-AN336+AG336))</f>
        <v>0</v>
      </c>
      <c r="AP336" s="21" t="n">
        <f aca="false">MIN(ROUND(AC336*(1+AC$15),2),AI336+MAX(0,AK336-AL336+AE336-AM336+AF336-AN336+AG336-AO336+AH336))</f>
        <v>0</v>
      </c>
      <c r="AQ336" s="21" t="n">
        <f aca="false">MIN(ROUND(AD336*(1+AD$15),2),AJ336+MAX(0,AK336-AL336+AE336-AM336+AF336-AN336+AG336-AO336+AH336-AP336+AI336))</f>
        <v>0</v>
      </c>
      <c r="AR336" s="21" t="n">
        <f aca="false">SUM(Y336:AD336)</f>
        <v>0</v>
      </c>
      <c r="AS336" s="21" t="n">
        <f aca="false">SUM(AL336:AQ336)</f>
        <v>0</v>
      </c>
    </row>
    <row r="337" customFormat="false" ht="15" hidden="false" customHeight="false" outlineLevel="0" collapsed="false">
      <c r="A337" s="25" t="n">
        <f aca="false">A336+1</f>
        <v>311</v>
      </c>
      <c r="B337" s="21" t="n">
        <f aca="false">MAX(0,ROUND(B336*(1+B$15),2)-O336)</f>
        <v>0</v>
      </c>
      <c r="C337" s="21" t="n">
        <f aca="false">MAX(0,ROUND(C336*(1+C$15),2)-P336)</f>
        <v>0</v>
      </c>
      <c r="D337" s="21" t="n">
        <f aca="false">MAX(0,ROUND(D336*(1+D$15),2)-Q336)</f>
        <v>0</v>
      </c>
      <c r="E337" s="21" t="n">
        <f aca="false">MAX(0,ROUND(E336*(1+E$15),2)-R336)</f>
        <v>0</v>
      </c>
      <c r="F337" s="21" t="n">
        <f aca="false">MAX(0,ROUND(F336*(1+F$15),2)-S336)</f>
        <v>0</v>
      </c>
      <c r="G337" s="21" t="n">
        <f aca="false">MAX(0,ROUND(G336*(1+G$15),2)-T336)</f>
        <v>0</v>
      </c>
      <c r="H337" s="21" t="n">
        <f aca="false">MIN(B$16,ROUND(B337*(1+B$15),2))</f>
        <v>0</v>
      </c>
      <c r="I337" s="21" t="n">
        <f aca="false">MIN(C$16,ROUND(C337*(1+C$15),2))</f>
        <v>0</v>
      </c>
      <c r="J337" s="21" t="n">
        <f aca="false">MIN(D$16,ROUND(D337*(1+D$15),2))</f>
        <v>0</v>
      </c>
      <c r="K337" s="21" t="n">
        <f aca="false">MIN(E$16,ROUND(E337*(1+E$15),2))</f>
        <v>0</v>
      </c>
      <c r="L337" s="21" t="n">
        <f aca="false">MIN(F$16,ROUND(F337*(1+F$15),2))</f>
        <v>0</v>
      </c>
      <c r="M337" s="21" t="n">
        <f aca="false">MIN(G$16,ROUND(G337*(1+G$15),2))</f>
        <v>0</v>
      </c>
      <c r="N337" s="21" t="n">
        <f aca="false">B$20-SUM(H337:M337)</f>
        <v>1170</v>
      </c>
      <c r="O337" s="21" t="n">
        <f aca="false">MIN(ROUND(B337*(1+B$15),2),H337+MAX(0,N337))</f>
        <v>0</v>
      </c>
      <c r="P337" s="21" t="n">
        <f aca="false">MIN(ROUND(C337*(1+C$15),2),I337+MAX(0,N337-O337+H337))</f>
        <v>0</v>
      </c>
      <c r="Q337" s="21" t="n">
        <f aca="false">MIN(ROUND(D337*(1+D$15),2),J337+MAX(0,N337-O337+H337-P337+I337))</f>
        <v>0</v>
      </c>
      <c r="R337" s="21" t="n">
        <f aca="false">MIN(ROUND(E337*(1+E$15),2),K337+MAX(0,N337-O337+H337-P337+I337-Q337+J337))</f>
        <v>0</v>
      </c>
      <c r="S337" s="21" t="n">
        <f aca="false">MIN(ROUND(F337*(1+F$15),2),L337+MAX(0,N337-O337+H337-P337+I337-Q337+J337-R337+K337))</f>
        <v>0</v>
      </c>
      <c r="T337" s="21" t="n">
        <f aca="false">MIN(ROUND(G337*(1+G$15),2),M337+MAX(0,N337-O337+H337-P337+I337-Q337+J337-R337+K337-S337+L337))</f>
        <v>0</v>
      </c>
      <c r="U337" s="21" t="n">
        <f aca="false">SUM(B337:G337)</f>
        <v>0</v>
      </c>
      <c r="V337" s="21" t="n">
        <f aca="false">SUM(O337:T337)</f>
        <v>0</v>
      </c>
      <c r="X337" s="25" t="n">
        <f aca="false">X336+1</f>
        <v>311</v>
      </c>
      <c r="Y337" s="21" t="n">
        <f aca="false">MAX(0,ROUND(Y336*(1+Y$15),2)-AL336)</f>
        <v>0</v>
      </c>
      <c r="Z337" s="21" t="n">
        <f aca="false">MAX(0,ROUND(Z336*(1+Z$15),2)-AM336)</f>
        <v>0</v>
      </c>
      <c r="AA337" s="21" t="n">
        <f aca="false">MAX(0,ROUND(AA336*(1+AA$15),2)-AN336)</f>
        <v>0</v>
      </c>
      <c r="AB337" s="21" t="n">
        <f aca="false">MAX(0,ROUND(AB336*(1+AB$15),2)-AO336)</f>
        <v>0</v>
      </c>
      <c r="AC337" s="21" t="n">
        <f aca="false">MAX(0,ROUND(AC336*(1+AC$15),2)-AP336)</f>
        <v>0</v>
      </c>
      <c r="AD337" s="21" t="n">
        <f aca="false">MAX(0,ROUND(AD336*(1+AD$15),2)-AQ336)</f>
        <v>0</v>
      </c>
      <c r="AE337" s="21" t="n">
        <f aca="false">MIN(Y$16,ROUND(Y337*(1+Y$15),2))</f>
        <v>0</v>
      </c>
      <c r="AF337" s="21" t="n">
        <f aca="false">MIN(Z$16,ROUND(Z337*(1+Z$15),2))</f>
        <v>0</v>
      </c>
      <c r="AG337" s="21" t="n">
        <f aca="false">MIN(AA$16,ROUND(AA337*(1+AA$15),2))</f>
        <v>0</v>
      </c>
      <c r="AH337" s="21" t="n">
        <f aca="false">MIN(AB$16,ROUND(AB337*(1+AB$15),2))</f>
        <v>0</v>
      </c>
      <c r="AI337" s="21" t="n">
        <f aca="false">MIN(AC$16,ROUND(AC337*(1+AC$15),2))</f>
        <v>0</v>
      </c>
      <c r="AJ337" s="21" t="n">
        <f aca="false">MIN(AD$16,ROUND(AD337*(1+AD$15),2))</f>
        <v>0</v>
      </c>
      <c r="AK337" s="21" t="n">
        <f aca="false">Y$20-SUM(AE337:AJ337)</f>
        <v>1170</v>
      </c>
      <c r="AL337" s="21" t="n">
        <f aca="false">MIN(ROUND(Y337*(1+Y$15),2),AE337+MAX(0,AK337))</f>
        <v>0</v>
      </c>
      <c r="AM337" s="21" t="n">
        <f aca="false">MIN(ROUND(Z337*(1+Z$15),2),AF337+MAX(0,AK337-AL337+AE337))</f>
        <v>0</v>
      </c>
      <c r="AN337" s="21" t="n">
        <f aca="false">MIN(ROUND(AA337*(1+AA$15),2),AG337+MAX(0,AK337-AL337+AE337-AM337+AF337))</f>
        <v>0</v>
      </c>
      <c r="AO337" s="21" t="n">
        <f aca="false">MIN(ROUND(AB337*(1+AB$15),2),AH337+MAX(0,AK337-AL337+AE337-AM337+AF337-AN337+AG337))</f>
        <v>0</v>
      </c>
      <c r="AP337" s="21" t="n">
        <f aca="false">MIN(ROUND(AC337*(1+AC$15),2),AI337+MAX(0,AK337-AL337+AE337-AM337+AF337-AN337+AG337-AO337+AH337))</f>
        <v>0</v>
      </c>
      <c r="AQ337" s="21" t="n">
        <f aca="false">MIN(ROUND(AD337*(1+AD$15),2),AJ337+MAX(0,AK337-AL337+AE337-AM337+AF337-AN337+AG337-AO337+AH337-AP337+AI337))</f>
        <v>0</v>
      </c>
      <c r="AR337" s="21" t="n">
        <f aca="false">SUM(Y337:AD337)</f>
        <v>0</v>
      </c>
      <c r="AS337" s="21" t="n">
        <f aca="false">SUM(AL337:AQ337)</f>
        <v>0</v>
      </c>
    </row>
    <row r="338" customFormat="false" ht="15" hidden="false" customHeight="false" outlineLevel="0" collapsed="false">
      <c r="A338" s="25" t="n">
        <f aca="false">A337+1</f>
        <v>312</v>
      </c>
      <c r="B338" s="21" t="n">
        <f aca="false">MAX(0,ROUND(B337*(1+B$15),2)-O337)</f>
        <v>0</v>
      </c>
      <c r="C338" s="21" t="n">
        <f aca="false">MAX(0,ROUND(C337*(1+C$15),2)-P337)</f>
        <v>0</v>
      </c>
      <c r="D338" s="21" t="n">
        <f aca="false">MAX(0,ROUND(D337*(1+D$15),2)-Q337)</f>
        <v>0</v>
      </c>
      <c r="E338" s="21" t="n">
        <f aca="false">MAX(0,ROUND(E337*(1+E$15),2)-R337)</f>
        <v>0</v>
      </c>
      <c r="F338" s="21" t="n">
        <f aca="false">MAX(0,ROUND(F337*(1+F$15),2)-S337)</f>
        <v>0</v>
      </c>
      <c r="G338" s="21" t="n">
        <f aca="false">MAX(0,ROUND(G337*(1+G$15),2)-T337)</f>
        <v>0</v>
      </c>
      <c r="H338" s="21" t="n">
        <f aca="false">MIN(B$16,ROUND(B338*(1+B$15),2))</f>
        <v>0</v>
      </c>
      <c r="I338" s="21" t="n">
        <f aca="false">MIN(C$16,ROUND(C338*(1+C$15),2))</f>
        <v>0</v>
      </c>
      <c r="J338" s="21" t="n">
        <f aca="false">MIN(D$16,ROUND(D338*(1+D$15),2))</f>
        <v>0</v>
      </c>
      <c r="K338" s="21" t="n">
        <f aca="false">MIN(E$16,ROUND(E338*(1+E$15),2))</f>
        <v>0</v>
      </c>
      <c r="L338" s="21" t="n">
        <f aca="false">MIN(F$16,ROUND(F338*(1+F$15),2))</f>
        <v>0</v>
      </c>
      <c r="M338" s="21" t="n">
        <f aca="false">MIN(G$16,ROUND(G338*(1+G$15),2))</f>
        <v>0</v>
      </c>
      <c r="N338" s="21" t="n">
        <f aca="false">B$20-SUM(H338:M338)</f>
        <v>1170</v>
      </c>
      <c r="O338" s="21" t="n">
        <f aca="false">MIN(ROUND(B338*(1+B$15),2),H338+MAX(0,N338))</f>
        <v>0</v>
      </c>
      <c r="P338" s="21" t="n">
        <f aca="false">MIN(ROUND(C338*(1+C$15),2),I338+MAX(0,N338-O338+H338))</f>
        <v>0</v>
      </c>
      <c r="Q338" s="21" t="n">
        <f aca="false">MIN(ROUND(D338*(1+D$15),2),J338+MAX(0,N338-O338+H338-P338+I338))</f>
        <v>0</v>
      </c>
      <c r="R338" s="21" t="n">
        <f aca="false">MIN(ROUND(E338*(1+E$15),2),K338+MAX(0,N338-O338+H338-P338+I338-Q338+J338))</f>
        <v>0</v>
      </c>
      <c r="S338" s="21" t="n">
        <f aca="false">MIN(ROUND(F338*(1+F$15),2),L338+MAX(0,N338-O338+H338-P338+I338-Q338+J338-R338+K338))</f>
        <v>0</v>
      </c>
      <c r="T338" s="21" t="n">
        <f aca="false">MIN(ROUND(G338*(1+G$15),2),M338+MAX(0,N338-O338+H338-P338+I338-Q338+J338-R338+K338-S338+L338))</f>
        <v>0</v>
      </c>
      <c r="U338" s="21" t="n">
        <f aca="false">SUM(B338:G338)</f>
        <v>0</v>
      </c>
      <c r="V338" s="21" t="n">
        <f aca="false">SUM(O338:T338)</f>
        <v>0</v>
      </c>
      <c r="X338" s="25" t="n">
        <f aca="false">X337+1</f>
        <v>312</v>
      </c>
      <c r="Y338" s="21" t="n">
        <f aca="false">MAX(0,ROUND(Y337*(1+Y$15),2)-AL337)</f>
        <v>0</v>
      </c>
      <c r="Z338" s="21" t="n">
        <f aca="false">MAX(0,ROUND(Z337*(1+Z$15),2)-AM337)</f>
        <v>0</v>
      </c>
      <c r="AA338" s="21" t="n">
        <f aca="false">MAX(0,ROUND(AA337*(1+AA$15),2)-AN337)</f>
        <v>0</v>
      </c>
      <c r="AB338" s="21" t="n">
        <f aca="false">MAX(0,ROUND(AB337*(1+AB$15),2)-AO337)</f>
        <v>0</v>
      </c>
      <c r="AC338" s="21" t="n">
        <f aca="false">MAX(0,ROUND(AC337*(1+AC$15),2)-AP337)</f>
        <v>0</v>
      </c>
      <c r="AD338" s="21" t="n">
        <f aca="false">MAX(0,ROUND(AD337*(1+AD$15),2)-AQ337)</f>
        <v>0</v>
      </c>
      <c r="AE338" s="21" t="n">
        <f aca="false">MIN(Y$16,ROUND(Y338*(1+Y$15),2))</f>
        <v>0</v>
      </c>
      <c r="AF338" s="21" t="n">
        <f aca="false">MIN(Z$16,ROUND(Z338*(1+Z$15),2))</f>
        <v>0</v>
      </c>
      <c r="AG338" s="21" t="n">
        <f aca="false">MIN(AA$16,ROUND(AA338*(1+AA$15),2))</f>
        <v>0</v>
      </c>
      <c r="AH338" s="21" t="n">
        <f aca="false">MIN(AB$16,ROUND(AB338*(1+AB$15),2))</f>
        <v>0</v>
      </c>
      <c r="AI338" s="21" t="n">
        <f aca="false">MIN(AC$16,ROUND(AC338*(1+AC$15),2))</f>
        <v>0</v>
      </c>
      <c r="AJ338" s="21" t="n">
        <f aca="false">MIN(AD$16,ROUND(AD338*(1+AD$15),2))</f>
        <v>0</v>
      </c>
      <c r="AK338" s="21" t="n">
        <f aca="false">Y$20-SUM(AE338:AJ338)</f>
        <v>1170</v>
      </c>
      <c r="AL338" s="21" t="n">
        <f aca="false">MIN(ROUND(Y338*(1+Y$15),2),AE338+MAX(0,AK338))</f>
        <v>0</v>
      </c>
      <c r="AM338" s="21" t="n">
        <f aca="false">MIN(ROUND(Z338*(1+Z$15),2),AF338+MAX(0,AK338-AL338+AE338))</f>
        <v>0</v>
      </c>
      <c r="AN338" s="21" t="n">
        <f aca="false">MIN(ROUND(AA338*(1+AA$15),2),AG338+MAX(0,AK338-AL338+AE338-AM338+AF338))</f>
        <v>0</v>
      </c>
      <c r="AO338" s="21" t="n">
        <f aca="false">MIN(ROUND(AB338*(1+AB$15),2),AH338+MAX(0,AK338-AL338+AE338-AM338+AF338-AN338+AG338))</f>
        <v>0</v>
      </c>
      <c r="AP338" s="21" t="n">
        <f aca="false">MIN(ROUND(AC338*(1+AC$15),2),AI338+MAX(0,AK338-AL338+AE338-AM338+AF338-AN338+AG338-AO338+AH338))</f>
        <v>0</v>
      </c>
      <c r="AQ338" s="21" t="n">
        <f aca="false">MIN(ROUND(AD338*(1+AD$15),2),AJ338+MAX(0,AK338-AL338+AE338-AM338+AF338-AN338+AG338-AO338+AH338-AP338+AI338))</f>
        <v>0</v>
      </c>
      <c r="AR338" s="21" t="n">
        <f aca="false">SUM(Y338:AD338)</f>
        <v>0</v>
      </c>
      <c r="AS338" s="21" t="n">
        <f aca="false">SUM(AL338:AQ338)</f>
        <v>0</v>
      </c>
    </row>
    <row r="339" customFormat="false" ht="15" hidden="false" customHeight="false" outlineLevel="0" collapsed="false">
      <c r="A339" s="25" t="n">
        <f aca="false">A338+1</f>
        <v>313</v>
      </c>
      <c r="B339" s="21" t="n">
        <f aca="false">MAX(0,ROUND(B338*(1+B$15),2)-O338)</f>
        <v>0</v>
      </c>
      <c r="C339" s="21" t="n">
        <f aca="false">MAX(0,ROUND(C338*(1+C$15),2)-P338)</f>
        <v>0</v>
      </c>
      <c r="D339" s="21" t="n">
        <f aca="false">MAX(0,ROUND(D338*(1+D$15),2)-Q338)</f>
        <v>0</v>
      </c>
      <c r="E339" s="21" t="n">
        <f aca="false">MAX(0,ROUND(E338*(1+E$15),2)-R338)</f>
        <v>0</v>
      </c>
      <c r="F339" s="21" t="n">
        <f aca="false">MAX(0,ROUND(F338*(1+F$15),2)-S338)</f>
        <v>0</v>
      </c>
      <c r="G339" s="21" t="n">
        <f aca="false">MAX(0,ROUND(G338*(1+G$15),2)-T338)</f>
        <v>0</v>
      </c>
      <c r="H339" s="21" t="n">
        <f aca="false">MIN(B$16,ROUND(B339*(1+B$15),2))</f>
        <v>0</v>
      </c>
      <c r="I339" s="21" t="n">
        <f aca="false">MIN(C$16,ROUND(C339*(1+C$15),2))</f>
        <v>0</v>
      </c>
      <c r="J339" s="21" t="n">
        <f aca="false">MIN(D$16,ROUND(D339*(1+D$15),2))</f>
        <v>0</v>
      </c>
      <c r="K339" s="21" t="n">
        <f aca="false">MIN(E$16,ROUND(E339*(1+E$15),2))</f>
        <v>0</v>
      </c>
      <c r="L339" s="21" t="n">
        <f aca="false">MIN(F$16,ROUND(F339*(1+F$15),2))</f>
        <v>0</v>
      </c>
      <c r="M339" s="21" t="n">
        <f aca="false">MIN(G$16,ROUND(G339*(1+G$15),2))</f>
        <v>0</v>
      </c>
      <c r="N339" s="21" t="n">
        <f aca="false">B$20-SUM(H339:M339)</f>
        <v>1170</v>
      </c>
      <c r="O339" s="21" t="n">
        <f aca="false">MIN(ROUND(B339*(1+B$15),2),H339+MAX(0,N339))</f>
        <v>0</v>
      </c>
      <c r="P339" s="21" t="n">
        <f aca="false">MIN(ROUND(C339*(1+C$15),2),I339+MAX(0,N339-O339+H339))</f>
        <v>0</v>
      </c>
      <c r="Q339" s="21" t="n">
        <f aca="false">MIN(ROUND(D339*(1+D$15),2),J339+MAX(0,N339-O339+H339-P339+I339))</f>
        <v>0</v>
      </c>
      <c r="R339" s="21" t="n">
        <f aca="false">MIN(ROUND(E339*(1+E$15),2),K339+MAX(0,N339-O339+H339-P339+I339-Q339+J339))</f>
        <v>0</v>
      </c>
      <c r="S339" s="21" t="n">
        <f aca="false">MIN(ROUND(F339*(1+F$15),2),L339+MAX(0,N339-O339+H339-P339+I339-Q339+J339-R339+K339))</f>
        <v>0</v>
      </c>
      <c r="T339" s="21" t="n">
        <f aca="false">MIN(ROUND(G339*(1+G$15),2),M339+MAX(0,N339-O339+H339-P339+I339-Q339+J339-R339+K339-S339+L339))</f>
        <v>0</v>
      </c>
      <c r="U339" s="21" t="n">
        <f aca="false">SUM(B339:G339)</f>
        <v>0</v>
      </c>
      <c r="V339" s="21" t="n">
        <f aca="false">SUM(O339:T339)</f>
        <v>0</v>
      </c>
      <c r="X339" s="25" t="n">
        <f aca="false">X338+1</f>
        <v>313</v>
      </c>
      <c r="Y339" s="21" t="n">
        <f aca="false">MAX(0,ROUND(Y338*(1+Y$15),2)-AL338)</f>
        <v>0</v>
      </c>
      <c r="Z339" s="21" t="n">
        <f aca="false">MAX(0,ROUND(Z338*(1+Z$15),2)-AM338)</f>
        <v>0</v>
      </c>
      <c r="AA339" s="21" t="n">
        <f aca="false">MAX(0,ROUND(AA338*(1+AA$15),2)-AN338)</f>
        <v>0</v>
      </c>
      <c r="AB339" s="21" t="n">
        <f aca="false">MAX(0,ROUND(AB338*(1+AB$15),2)-AO338)</f>
        <v>0</v>
      </c>
      <c r="AC339" s="21" t="n">
        <f aca="false">MAX(0,ROUND(AC338*(1+AC$15),2)-AP338)</f>
        <v>0</v>
      </c>
      <c r="AD339" s="21" t="n">
        <f aca="false">MAX(0,ROUND(AD338*(1+AD$15),2)-AQ338)</f>
        <v>0</v>
      </c>
      <c r="AE339" s="21" t="n">
        <f aca="false">MIN(Y$16,ROUND(Y339*(1+Y$15),2))</f>
        <v>0</v>
      </c>
      <c r="AF339" s="21" t="n">
        <f aca="false">MIN(Z$16,ROUND(Z339*(1+Z$15),2))</f>
        <v>0</v>
      </c>
      <c r="AG339" s="21" t="n">
        <f aca="false">MIN(AA$16,ROUND(AA339*(1+AA$15),2))</f>
        <v>0</v>
      </c>
      <c r="AH339" s="21" t="n">
        <f aca="false">MIN(AB$16,ROUND(AB339*(1+AB$15),2))</f>
        <v>0</v>
      </c>
      <c r="AI339" s="21" t="n">
        <f aca="false">MIN(AC$16,ROUND(AC339*(1+AC$15),2))</f>
        <v>0</v>
      </c>
      <c r="AJ339" s="21" t="n">
        <f aca="false">MIN(AD$16,ROUND(AD339*(1+AD$15),2))</f>
        <v>0</v>
      </c>
      <c r="AK339" s="21" t="n">
        <f aca="false">Y$20-SUM(AE339:AJ339)</f>
        <v>1170</v>
      </c>
      <c r="AL339" s="21" t="n">
        <f aca="false">MIN(ROUND(Y339*(1+Y$15),2),AE339+MAX(0,AK339))</f>
        <v>0</v>
      </c>
      <c r="AM339" s="21" t="n">
        <f aca="false">MIN(ROUND(Z339*(1+Z$15),2),AF339+MAX(0,AK339-AL339+AE339))</f>
        <v>0</v>
      </c>
      <c r="AN339" s="21" t="n">
        <f aca="false">MIN(ROUND(AA339*(1+AA$15),2),AG339+MAX(0,AK339-AL339+AE339-AM339+AF339))</f>
        <v>0</v>
      </c>
      <c r="AO339" s="21" t="n">
        <f aca="false">MIN(ROUND(AB339*(1+AB$15),2),AH339+MAX(0,AK339-AL339+AE339-AM339+AF339-AN339+AG339))</f>
        <v>0</v>
      </c>
      <c r="AP339" s="21" t="n">
        <f aca="false">MIN(ROUND(AC339*(1+AC$15),2),AI339+MAX(0,AK339-AL339+AE339-AM339+AF339-AN339+AG339-AO339+AH339))</f>
        <v>0</v>
      </c>
      <c r="AQ339" s="21" t="n">
        <f aca="false">MIN(ROUND(AD339*(1+AD$15),2),AJ339+MAX(0,AK339-AL339+AE339-AM339+AF339-AN339+AG339-AO339+AH339-AP339+AI339))</f>
        <v>0</v>
      </c>
      <c r="AR339" s="21" t="n">
        <f aca="false">SUM(Y339:AD339)</f>
        <v>0</v>
      </c>
      <c r="AS339" s="21" t="n">
        <f aca="false">SUM(AL339:AQ339)</f>
        <v>0</v>
      </c>
    </row>
    <row r="340" customFormat="false" ht="15" hidden="false" customHeight="false" outlineLevel="0" collapsed="false">
      <c r="A340" s="25" t="n">
        <f aca="false">A339+1</f>
        <v>314</v>
      </c>
      <c r="B340" s="21" t="n">
        <f aca="false">MAX(0,ROUND(B339*(1+B$15),2)-O339)</f>
        <v>0</v>
      </c>
      <c r="C340" s="21" t="n">
        <f aca="false">MAX(0,ROUND(C339*(1+C$15),2)-P339)</f>
        <v>0</v>
      </c>
      <c r="D340" s="21" t="n">
        <f aca="false">MAX(0,ROUND(D339*(1+D$15),2)-Q339)</f>
        <v>0</v>
      </c>
      <c r="E340" s="21" t="n">
        <f aca="false">MAX(0,ROUND(E339*(1+E$15),2)-R339)</f>
        <v>0</v>
      </c>
      <c r="F340" s="21" t="n">
        <f aca="false">MAX(0,ROUND(F339*(1+F$15),2)-S339)</f>
        <v>0</v>
      </c>
      <c r="G340" s="21" t="n">
        <f aca="false">MAX(0,ROUND(G339*(1+G$15),2)-T339)</f>
        <v>0</v>
      </c>
      <c r="H340" s="21" t="n">
        <f aca="false">MIN(B$16,ROUND(B340*(1+B$15),2))</f>
        <v>0</v>
      </c>
      <c r="I340" s="21" t="n">
        <f aca="false">MIN(C$16,ROUND(C340*(1+C$15),2))</f>
        <v>0</v>
      </c>
      <c r="J340" s="21" t="n">
        <f aca="false">MIN(D$16,ROUND(D340*(1+D$15),2))</f>
        <v>0</v>
      </c>
      <c r="K340" s="21" t="n">
        <f aca="false">MIN(E$16,ROUND(E340*(1+E$15),2))</f>
        <v>0</v>
      </c>
      <c r="L340" s="21" t="n">
        <f aca="false">MIN(F$16,ROUND(F340*(1+F$15),2))</f>
        <v>0</v>
      </c>
      <c r="M340" s="21" t="n">
        <f aca="false">MIN(G$16,ROUND(G340*(1+G$15),2))</f>
        <v>0</v>
      </c>
      <c r="N340" s="21" t="n">
        <f aca="false">B$20-SUM(H340:M340)</f>
        <v>1170</v>
      </c>
      <c r="O340" s="21" t="n">
        <f aca="false">MIN(ROUND(B340*(1+B$15),2),H340+MAX(0,N340))</f>
        <v>0</v>
      </c>
      <c r="P340" s="21" t="n">
        <f aca="false">MIN(ROUND(C340*(1+C$15),2),I340+MAX(0,N340-O340+H340))</f>
        <v>0</v>
      </c>
      <c r="Q340" s="21" t="n">
        <f aca="false">MIN(ROUND(D340*(1+D$15),2),J340+MAX(0,N340-O340+H340-P340+I340))</f>
        <v>0</v>
      </c>
      <c r="R340" s="21" t="n">
        <f aca="false">MIN(ROUND(E340*(1+E$15),2),K340+MAX(0,N340-O340+H340-P340+I340-Q340+J340))</f>
        <v>0</v>
      </c>
      <c r="S340" s="21" t="n">
        <f aca="false">MIN(ROUND(F340*(1+F$15),2),L340+MAX(0,N340-O340+H340-P340+I340-Q340+J340-R340+K340))</f>
        <v>0</v>
      </c>
      <c r="T340" s="21" t="n">
        <f aca="false">MIN(ROUND(G340*(1+G$15),2),M340+MAX(0,N340-O340+H340-P340+I340-Q340+J340-R340+K340-S340+L340))</f>
        <v>0</v>
      </c>
      <c r="U340" s="21" t="n">
        <f aca="false">SUM(B340:G340)</f>
        <v>0</v>
      </c>
      <c r="V340" s="21" t="n">
        <f aca="false">SUM(O340:T340)</f>
        <v>0</v>
      </c>
      <c r="X340" s="25" t="n">
        <f aca="false">X339+1</f>
        <v>314</v>
      </c>
      <c r="Y340" s="21" t="n">
        <f aca="false">MAX(0,ROUND(Y339*(1+Y$15),2)-AL339)</f>
        <v>0</v>
      </c>
      <c r="Z340" s="21" t="n">
        <f aca="false">MAX(0,ROUND(Z339*(1+Z$15),2)-AM339)</f>
        <v>0</v>
      </c>
      <c r="AA340" s="21" t="n">
        <f aca="false">MAX(0,ROUND(AA339*(1+AA$15),2)-AN339)</f>
        <v>0</v>
      </c>
      <c r="AB340" s="21" t="n">
        <f aca="false">MAX(0,ROUND(AB339*(1+AB$15),2)-AO339)</f>
        <v>0</v>
      </c>
      <c r="AC340" s="21" t="n">
        <f aca="false">MAX(0,ROUND(AC339*(1+AC$15),2)-AP339)</f>
        <v>0</v>
      </c>
      <c r="AD340" s="21" t="n">
        <f aca="false">MAX(0,ROUND(AD339*(1+AD$15),2)-AQ339)</f>
        <v>0</v>
      </c>
      <c r="AE340" s="21" t="n">
        <f aca="false">MIN(Y$16,ROUND(Y340*(1+Y$15),2))</f>
        <v>0</v>
      </c>
      <c r="AF340" s="21" t="n">
        <f aca="false">MIN(Z$16,ROUND(Z340*(1+Z$15),2))</f>
        <v>0</v>
      </c>
      <c r="AG340" s="21" t="n">
        <f aca="false">MIN(AA$16,ROUND(AA340*(1+AA$15),2))</f>
        <v>0</v>
      </c>
      <c r="AH340" s="21" t="n">
        <f aca="false">MIN(AB$16,ROUND(AB340*(1+AB$15),2))</f>
        <v>0</v>
      </c>
      <c r="AI340" s="21" t="n">
        <f aca="false">MIN(AC$16,ROUND(AC340*(1+AC$15),2))</f>
        <v>0</v>
      </c>
      <c r="AJ340" s="21" t="n">
        <f aca="false">MIN(AD$16,ROUND(AD340*(1+AD$15),2))</f>
        <v>0</v>
      </c>
      <c r="AK340" s="21" t="n">
        <f aca="false">Y$20-SUM(AE340:AJ340)</f>
        <v>1170</v>
      </c>
      <c r="AL340" s="21" t="n">
        <f aca="false">MIN(ROUND(Y340*(1+Y$15),2),AE340+MAX(0,AK340))</f>
        <v>0</v>
      </c>
      <c r="AM340" s="21" t="n">
        <f aca="false">MIN(ROUND(Z340*(1+Z$15),2),AF340+MAX(0,AK340-AL340+AE340))</f>
        <v>0</v>
      </c>
      <c r="AN340" s="21" t="n">
        <f aca="false">MIN(ROUND(AA340*(1+AA$15),2),AG340+MAX(0,AK340-AL340+AE340-AM340+AF340))</f>
        <v>0</v>
      </c>
      <c r="AO340" s="21" t="n">
        <f aca="false">MIN(ROUND(AB340*(1+AB$15),2),AH340+MAX(0,AK340-AL340+AE340-AM340+AF340-AN340+AG340))</f>
        <v>0</v>
      </c>
      <c r="AP340" s="21" t="n">
        <f aca="false">MIN(ROUND(AC340*(1+AC$15),2),AI340+MAX(0,AK340-AL340+AE340-AM340+AF340-AN340+AG340-AO340+AH340))</f>
        <v>0</v>
      </c>
      <c r="AQ340" s="21" t="n">
        <f aca="false">MIN(ROUND(AD340*(1+AD$15),2),AJ340+MAX(0,AK340-AL340+AE340-AM340+AF340-AN340+AG340-AO340+AH340-AP340+AI340))</f>
        <v>0</v>
      </c>
      <c r="AR340" s="21" t="n">
        <f aca="false">SUM(Y340:AD340)</f>
        <v>0</v>
      </c>
      <c r="AS340" s="21" t="n">
        <f aca="false">SUM(AL340:AQ340)</f>
        <v>0</v>
      </c>
    </row>
    <row r="341" customFormat="false" ht="15" hidden="false" customHeight="false" outlineLevel="0" collapsed="false">
      <c r="A341" s="25" t="n">
        <f aca="false">A340+1</f>
        <v>315</v>
      </c>
      <c r="B341" s="21" t="n">
        <f aca="false">MAX(0,ROUND(B340*(1+B$15),2)-O340)</f>
        <v>0</v>
      </c>
      <c r="C341" s="21" t="n">
        <f aca="false">MAX(0,ROUND(C340*(1+C$15),2)-P340)</f>
        <v>0</v>
      </c>
      <c r="D341" s="21" t="n">
        <f aca="false">MAX(0,ROUND(D340*(1+D$15),2)-Q340)</f>
        <v>0</v>
      </c>
      <c r="E341" s="21" t="n">
        <f aca="false">MAX(0,ROUND(E340*(1+E$15),2)-R340)</f>
        <v>0</v>
      </c>
      <c r="F341" s="21" t="n">
        <f aca="false">MAX(0,ROUND(F340*(1+F$15),2)-S340)</f>
        <v>0</v>
      </c>
      <c r="G341" s="21" t="n">
        <f aca="false">MAX(0,ROUND(G340*(1+G$15),2)-T340)</f>
        <v>0</v>
      </c>
      <c r="H341" s="21" t="n">
        <f aca="false">MIN(B$16,ROUND(B341*(1+B$15),2))</f>
        <v>0</v>
      </c>
      <c r="I341" s="21" t="n">
        <f aca="false">MIN(C$16,ROUND(C341*(1+C$15),2))</f>
        <v>0</v>
      </c>
      <c r="J341" s="21" t="n">
        <f aca="false">MIN(D$16,ROUND(D341*(1+D$15),2))</f>
        <v>0</v>
      </c>
      <c r="K341" s="21" t="n">
        <f aca="false">MIN(E$16,ROUND(E341*(1+E$15),2))</f>
        <v>0</v>
      </c>
      <c r="L341" s="21" t="n">
        <f aca="false">MIN(F$16,ROUND(F341*(1+F$15),2))</f>
        <v>0</v>
      </c>
      <c r="M341" s="21" t="n">
        <f aca="false">MIN(G$16,ROUND(G341*(1+G$15),2))</f>
        <v>0</v>
      </c>
      <c r="N341" s="21" t="n">
        <f aca="false">B$20-SUM(H341:M341)</f>
        <v>1170</v>
      </c>
      <c r="O341" s="21" t="n">
        <f aca="false">MIN(ROUND(B341*(1+B$15),2),H341+MAX(0,N341))</f>
        <v>0</v>
      </c>
      <c r="P341" s="21" t="n">
        <f aca="false">MIN(ROUND(C341*(1+C$15),2),I341+MAX(0,N341-O341+H341))</f>
        <v>0</v>
      </c>
      <c r="Q341" s="21" t="n">
        <f aca="false">MIN(ROUND(D341*(1+D$15),2),J341+MAX(0,N341-O341+H341-P341+I341))</f>
        <v>0</v>
      </c>
      <c r="R341" s="21" t="n">
        <f aca="false">MIN(ROUND(E341*(1+E$15),2),K341+MAX(0,N341-O341+H341-P341+I341-Q341+J341))</f>
        <v>0</v>
      </c>
      <c r="S341" s="21" t="n">
        <f aca="false">MIN(ROUND(F341*(1+F$15),2),L341+MAX(0,N341-O341+H341-P341+I341-Q341+J341-R341+K341))</f>
        <v>0</v>
      </c>
      <c r="T341" s="21" t="n">
        <f aca="false">MIN(ROUND(G341*(1+G$15),2),M341+MAX(0,N341-O341+H341-P341+I341-Q341+J341-R341+K341-S341+L341))</f>
        <v>0</v>
      </c>
      <c r="U341" s="21" t="n">
        <f aca="false">SUM(B341:G341)</f>
        <v>0</v>
      </c>
      <c r="V341" s="21" t="n">
        <f aca="false">SUM(O341:T341)</f>
        <v>0</v>
      </c>
      <c r="X341" s="25" t="n">
        <f aca="false">X340+1</f>
        <v>315</v>
      </c>
      <c r="Y341" s="21" t="n">
        <f aca="false">MAX(0,ROUND(Y340*(1+Y$15),2)-AL340)</f>
        <v>0</v>
      </c>
      <c r="Z341" s="21" t="n">
        <f aca="false">MAX(0,ROUND(Z340*(1+Z$15),2)-AM340)</f>
        <v>0</v>
      </c>
      <c r="AA341" s="21" t="n">
        <f aca="false">MAX(0,ROUND(AA340*(1+AA$15),2)-AN340)</f>
        <v>0</v>
      </c>
      <c r="AB341" s="21" t="n">
        <f aca="false">MAX(0,ROUND(AB340*(1+AB$15),2)-AO340)</f>
        <v>0</v>
      </c>
      <c r="AC341" s="21" t="n">
        <f aca="false">MAX(0,ROUND(AC340*(1+AC$15),2)-AP340)</f>
        <v>0</v>
      </c>
      <c r="AD341" s="21" t="n">
        <f aca="false">MAX(0,ROUND(AD340*(1+AD$15),2)-AQ340)</f>
        <v>0</v>
      </c>
      <c r="AE341" s="21" t="n">
        <f aca="false">MIN(Y$16,ROUND(Y341*(1+Y$15),2))</f>
        <v>0</v>
      </c>
      <c r="AF341" s="21" t="n">
        <f aca="false">MIN(Z$16,ROUND(Z341*(1+Z$15),2))</f>
        <v>0</v>
      </c>
      <c r="AG341" s="21" t="n">
        <f aca="false">MIN(AA$16,ROUND(AA341*(1+AA$15),2))</f>
        <v>0</v>
      </c>
      <c r="AH341" s="21" t="n">
        <f aca="false">MIN(AB$16,ROUND(AB341*(1+AB$15),2))</f>
        <v>0</v>
      </c>
      <c r="AI341" s="21" t="n">
        <f aca="false">MIN(AC$16,ROUND(AC341*(1+AC$15),2))</f>
        <v>0</v>
      </c>
      <c r="AJ341" s="21" t="n">
        <f aca="false">MIN(AD$16,ROUND(AD341*(1+AD$15),2))</f>
        <v>0</v>
      </c>
      <c r="AK341" s="21" t="n">
        <f aca="false">Y$20-SUM(AE341:AJ341)</f>
        <v>1170</v>
      </c>
      <c r="AL341" s="21" t="n">
        <f aca="false">MIN(ROUND(Y341*(1+Y$15),2),AE341+MAX(0,AK341))</f>
        <v>0</v>
      </c>
      <c r="AM341" s="21" t="n">
        <f aca="false">MIN(ROUND(Z341*(1+Z$15),2),AF341+MAX(0,AK341-AL341+AE341))</f>
        <v>0</v>
      </c>
      <c r="AN341" s="21" t="n">
        <f aca="false">MIN(ROUND(AA341*(1+AA$15),2),AG341+MAX(0,AK341-AL341+AE341-AM341+AF341))</f>
        <v>0</v>
      </c>
      <c r="AO341" s="21" t="n">
        <f aca="false">MIN(ROUND(AB341*(1+AB$15),2),AH341+MAX(0,AK341-AL341+AE341-AM341+AF341-AN341+AG341))</f>
        <v>0</v>
      </c>
      <c r="AP341" s="21" t="n">
        <f aca="false">MIN(ROUND(AC341*(1+AC$15),2),AI341+MAX(0,AK341-AL341+AE341-AM341+AF341-AN341+AG341-AO341+AH341))</f>
        <v>0</v>
      </c>
      <c r="AQ341" s="21" t="n">
        <f aca="false">MIN(ROUND(AD341*(1+AD$15),2),AJ341+MAX(0,AK341-AL341+AE341-AM341+AF341-AN341+AG341-AO341+AH341-AP341+AI341))</f>
        <v>0</v>
      </c>
      <c r="AR341" s="21" t="n">
        <f aca="false">SUM(Y341:AD341)</f>
        <v>0</v>
      </c>
      <c r="AS341" s="21" t="n">
        <f aca="false">SUM(AL341:AQ341)</f>
        <v>0</v>
      </c>
    </row>
    <row r="342" customFormat="false" ht="15" hidden="false" customHeight="false" outlineLevel="0" collapsed="false">
      <c r="A342" s="25" t="n">
        <f aca="false">A341+1</f>
        <v>316</v>
      </c>
      <c r="B342" s="21" t="n">
        <f aca="false">MAX(0,ROUND(B341*(1+B$15),2)-O341)</f>
        <v>0</v>
      </c>
      <c r="C342" s="21" t="n">
        <f aca="false">MAX(0,ROUND(C341*(1+C$15),2)-P341)</f>
        <v>0</v>
      </c>
      <c r="D342" s="21" t="n">
        <f aca="false">MAX(0,ROUND(D341*(1+D$15),2)-Q341)</f>
        <v>0</v>
      </c>
      <c r="E342" s="21" t="n">
        <f aca="false">MAX(0,ROUND(E341*(1+E$15),2)-R341)</f>
        <v>0</v>
      </c>
      <c r="F342" s="21" t="n">
        <f aca="false">MAX(0,ROUND(F341*(1+F$15),2)-S341)</f>
        <v>0</v>
      </c>
      <c r="G342" s="21" t="n">
        <f aca="false">MAX(0,ROUND(G341*(1+G$15),2)-T341)</f>
        <v>0</v>
      </c>
      <c r="H342" s="21" t="n">
        <f aca="false">MIN(B$16,ROUND(B342*(1+B$15),2))</f>
        <v>0</v>
      </c>
      <c r="I342" s="21" t="n">
        <f aca="false">MIN(C$16,ROUND(C342*(1+C$15),2))</f>
        <v>0</v>
      </c>
      <c r="J342" s="21" t="n">
        <f aca="false">MIN(D$16,ROUND(D342*(1+D$15),2))</f>
        <v>0</v>
      </c>
      <c r="K342" s="21" t="n">
        <f aca="false">MIN(E$16,ROUND(E342*(1+E$15),2))</f>
        <v>0</v>
      </c>
      <c r="L342" s="21" t="n">
        <f aca="false">MIN(F$16,ROUND(F342*(1+F$15),2))</f>
        <v>0</v>
      </c>
      <c r="M342" s="21" t="n">
        <f aca="false">MIN(G$16,ROUND(G342*(1+G$15),2))</f>
        <v>0</v>
      </c>
      <c r="N342" s="21" t="n">
        <f aca="false">B$20-SUM(H342:M342)</f>
        <v>1170</v>
      </c>
      <c r="O342" s="21" t="n">
        <f aca="false">MIN(ROUND(B342*(1+B$15),2),H342+MAX(0,N342))</f>
        <v>0</v>
      </c>
      <c r="P342" s="21" t="n">
        <f aca="false">MIN(ROUND(C342*(1+C$15),2),I342+MAX(0,N342-O342+H342))</f>
        <v>0</v>
      </c>
      <c r="Q342" s="21" t="n">
        <f aca="false">MIN(ROUND(D342*(1+D$15),2),J342+MAX(0,N342-O342+H342-P342+I342))</f>
        <v>0</v>
      </c>
      <c r="R342" s="21" t="n">
        <f aca="false">MIN(ROUND(E342*(1+E$15),2),K342+MAX(0,N342-O342+H342-P342+I342-Q342+J342))</f>
        <v>0</v>
      </c>
      <c r="S342" s="21" t="n">
        <f aca="false">MIN(ROUND(F342*(1+F$15),2),L342+MAX(0,N342-O342+H342-P342+I342-Q342+J342-R342+K342))</f>
        <v>0</v>
      </c>
      <c r="T342" s="21" t="n">
        <f aca="false">MIN(ROUND(G342*(1+G$15),2),M342+MAX(0,N342-O342+H342-P342+I342-Q342+J342-R342+K342-S342+L342))</f>
        <v>0</v>
      </c>
      <c r="U342" s="21" t="n">
        <f aca="false">SUM(B342:G342)</f>
        <v>0</v>
      </c>
      <c r="V342" s="21" t="n">
        <f aca="false">SUM(O342:T342)</f>
        <v>0</v>
      </c>
      <c r="X342" s="25" t="n">
        <f aca="false">X341+1</f>
        <v>316</v>
      </c>
      <c r="Y342" s="21" t="n">
        <f aca="false">MAX(0,ROUND(Y341*(1+Y$15),2)-AL341)</f>
        <v>0</v>
      </c>
      <c r="Z342" s="21" t="n">
        <f aca="false">MAX(0,ROUND(Z341*(1+Z$15),2)-AM341)</f>
        <v>0</v>
      </c>
      <c r="AA342" s="21" t="n">
        <f aca="false">MAX(0,ROUND(AA341*(1+AA$15),2)-AN341)</f>
        <v>0</v>
      </c>
      <c r="AB342" s="21" t="n">
        <f aca="false">MAX(0,ROUND(AB341*(1+AB$15),2)-AO341)</f>
        <v>0</v>
      </c>
      <c r="AC342" s="21" t="n">
        <f aca="false">MAX(0,ROUND(AC341*(1+AC$15),2)-AP341)</f>
        <v>0</v>
      </c>
      <c r="AD342" s="21" t="n">
        <f aca="false">MAX(0,ROUND(AD341*(1+AD$15),2)-AQ341)</f>
        <v>0</v>
      </c>
      <c r="AE342" s="21" t="n">
        <f aca="false">MIN(Y$16,ROUND(Y342*(1+Y$15),2))</f>
        <v>0</v>
      </c>
      <c r="AF342" s="21" t="n">
        <f aca="false">MIN(Z$16,ROUND(Z342*(1+Z$15),2))</f>
        <v>0</v>
      </c>
      <c r="AG342" s="21" t="n">
        <f aca="false">MIN(AA$16,ROUND(AA342*(1+AA$15),2))</f>
        <v>0</v>
      </c>
      <c r="AH342" s="21" t="n">
        <f aca="false">MIN(AB$16,ROUND(AB342*(1+AB$15),2))</f>
        <v>0</v>
      </c>
      <c r="AI342" s="21" t="n">
        <f aca="false">MIN(AC$16,ROUND(AC342*(1+AC$15),2))</f>
        <v>0</v>
      </c>
      <c r="AJ342" s="21" t="n">
        <f aca="false">MIN(AD$16,ROUND(AD342*(1+AD$15),2))</f>
        <v>0</v>
      </c>
      <c r="AK342" s="21" t="n">
        <f aca="false">Y$20-SUM(AE342:AJ342)</f>
        <v>1170</v>
      </c>
      <c r="AL342" s="21" t="n">
        <f aca="false">MIN(ROUND(Y342*(1+Y$15),2),AE342+MAX(0,AK342))</f>
        <v>0</v>
      </c>
      <c r="AM342" s="21" t="n">
        <f aca="false">MIN(ROUND(Z342*(1+Z$15),2),AF342+MAX(0,AK342-AL342+AE342))</f>
        <v>0</v>
      </c>
      <c r="AN342" s="21" t="n">
        <f aca="false">MIN(ROUND(AA342*(1+AA$15),2),AG342+MAX(0,AK342-AL342+AE342-AM342+AF342))</f>
        <v>0</v>
      </c>
      <c r="AO342" s="21" t="n">
        <f aca="false">MIN(ROUND(AB342*(1+AB$15),2),AH342+MAX(0,AK342-AL342+AE342-AM342+AF342-AN342+AG342))</f>
        <v>0</v>
      </c>
      <c r="AP342" s="21" t="n">
        <f aca="false">MIN(ROUND(AC342*(1+AC$15),2),AI342+MAX(0,AK342-AL342+AE342-AM342+AF342-AN342+AG342-AO342+AH342))</f>
        <v>0</v>
      </c>
      <c r="AQ342" s="21" t="n">
        <f aca="false">MIN(ROUND(AD342*(1+AD$15),2),AJ342+MAX(0,AK342-AL342+AE342-AM342+AF342-AN342+AG342-AO342+AH342-AP342+AI342))</f>
        <v>0</v>
      </c>
      <c r="AR342" s="21" t="n">
        <f aca="false">SUM(Y342:AD342)</f>
        <v>0</v>
      </c>
      <c r="AS342" s="21" t="n">
        <f aca="false">SUM(AL342:AQ342)</f>
        <v>0</v>
      </c>
    </row>
    <row r="343" customFormat="false" ht="15" hidden="false" customHeight="false" outlineLevel="0" collapsed="false">
      <c r="A343" s="25" t="n">
        <f aca="false">A342+1</f>
        <v>317</v>
      </c>
      <c r="B343" s="21" t="n">
        <f aca="false">MAX(0,ROUND(B342*(1+B$15),2)-O342)</f>
        <v>0</v>
      </c>
      <c r="C343" s="21" t="n">
        <f aca="false">MAX(0,ROUND(C342*(1+C$15),2)-P342)</f>
        <v>0</v>
      </c>
      <c r="D343" s="21" t="n">
        <f aca="false">MAX(0,ROUND(D342*(1+D$15),2)-Q342)</f>
        <v>0</v>
      </c>
      <c r="E343" s="21" t="n">
        <f aca="false">MAX(0,ROUND(E342*(1+E$15),2)-R342)</f>
        <v>0</v>
      </c>
      <c r="F343" s="21" t="n">
        <f aca="false">MAX(0,ROUND(F342*(1+F$15),2)-S342)</f>
        <v>0</v>
      </c>
      <c r="G343" s="21" t="n">
        <f aca="false">MAX(0,ROUND(G342*(1+G$15),2)-T342)</f>
        <v>0</v>
      </c>
      <c r="H343" s="21" t="n">
        <f aca="false">MIN(B$16,ROUND(B343*(1+B$15),2))</f>
        <v>0</v>
      </c>
      <c r="I343" s="21" t="n">
        <f aca="false">MIN(C$16,ROUND(C343*(1+C$15),2))</f>
        <v>0</v>
      </c>
      <c r="J343" s="21" t="n">
        <f aca="false">MIN(D$16,ROUND(D343*(1+D$15),2))</f>
        <v>0</v>
      </c>
      <c r="K343" s="21" t="n">
        <f aca="false">MIN(E$16,ROUND(E343*(1+E$15),2))</f>
        <v>0</v>
      </c>
      <c r="L343" s="21" t="n">
        <f aca="false">MIN(F$16,ROUND(F343*(1+F$15),2))</f>
        <v>0</v>
      </c>
      <c r="M343" s="21" t="n">
        <f aca="false">MIN(G$16,ROUND(G343*(1+G$15),2))</f>
        <v>0</v>
      </c>
      <c r="N343" s="21" t="n">
        <f aca="false">B$20-SUM(H343:M343)</f>
        <v>1170</v>
      </c>
      <c r="O343" s="21" t="n">
        <f aca="false">MIN(ROUND(B343*(1+B$15),2),H343+MAX(0,N343))</f>
        <v>0</v>
      </c>
      <c r="P343" s="21" t="n">
        <f aca="false">MIN(ROUND(C343*(1+C$15),2),I343+MAX(0,N343-O343+H343))</f>
        <v>0</v>
      </c>
      <c r="Q343" s="21" t="n">
        <f aca="false">MIN(ROUND(D343*(1+D$15),2),J343+MAX(0,N343-O343+H343-P343+I343))</f>
        <v>0</v>
      </c>
      <c r="R343" s="21" t="n">
        <f aca="false">MIN(ROUND(E343*(1+E$15),2),K343+MAX(0,N343-O343+H343-P343+I343-Q343+J343))</f>
        <v>0</v>
      </c>
      <c r="S343" s="21" t="n">
        <f aca="false">MIN(ROUND(F343*(1+F$15),2),L343+MAX(0,N343-O343+H343-P343+I343-Q343+J343-R343+K343))</f>
        <v>0</v>
      </c>
      <c r="T343" s="21" t="n">
        <f aca="false">MIN(ROUND(G343*(1+G$15),2),M343+MAX(0,N343-O343+H343-P343+I343-Q343+J343-R343+K343-S343+L343))</f>
        <v>0</v>
      </c>
      <c r="U343" s="21" t="n">
        <f aca="false">SUM(B343:G343)</f>
        <v>0</v>
      </c>
      <c r="V343" s="21" t="n">
        <f aca="false">SUM(O343:T343)</f>
        <v>0</v>
      </c>
      <c r="X343" s="25" t="n">
        <f aca="false">X342+1</f>
        <v>317</v>
      </c>
      <c r="Y343" s="21" t="n">
        <f aca="false">MAX(0,ROUND(Y342*(1+Y$15),2)-AL342)</f>
        <v>0</v>
      </c>
      <c r="Z343" s="21" t="n">
        <f aca="false">MAX(0,ROUND(Z342*(1+Z$15),2)-AM342)</f>
        <v>0</v>
      </c>
      <c r="AA343" s="21" t="n">
        <f aca="false">MAX(0,ROUND(AA342*(1+AA$15),2)-AN342)</f>
        <v>0</v>
      </c>
      <c r="AB343" s="21" t="n">
        <f aca="false">MAX(0,ROUND(AB342*(1+AB$15),2)-AO342)</f>
        <v>0</v>
      </c>
      <c r="AC343" s="21" t="n">
        <f aca="false">MAX(0,ROUND(AC342*(1+AC$15),2)-AP342)</f>
        <v>0</v>
      </c>
      <c r="AD343" s="21" t="n">
        <f aca="false">MAX(0,ROUND(AD342*(1+AD$15),2)-AQ342)</f>
        <v>0</v>
      </c>
      <c r="AE343" s="21" t="n">
        <f aca="false">MIN(Y$16,ROUND(Y343*(1+Y$15),2))</f>
        <v>0</v>
      </c>
      <c r="AF343" s="21" t="n">
        <f aca="false">MIN(Z$16,ROUND(Z343*(1+Z$15),2))</f>
        <v>0</v>
      </c>
      <c r="AG343" s="21" t="n">
        <f aca="false">MIN(AA$16,ROUND(AA343*(1+AA$15),2))</f>
        <v>0</v>
      </c>
      <c r="AH343" s="21" t="n">
        <f aca="false">MIN(AB$16,ROUND(AB343*(1+AB$15),2))</f>
        <v>0</v>
      </c>
      <c r="AI343" s="21" t="n">
        <f aca="false">MIN(AC$16,ROUND(AC343*(1+AC$15),2))</f>
        <v>0</v>
      </c>
      <c r="AJ343" s="21" t="n">
        <f aca="false">MIN(AD$16,ROUND(AD343*(1+AD$15),2))</f>
        <v>0</v>
      </c>
      <c r="AK343" s="21" t="n">
        <f aca="false">Y$20-SUM(AE343:AJ343)</f>
        <v>1170</v>
      </c>
      <c r="AL343" s="21" t="n">
        <f aca="false">MIN(ROUND(Y343*(1+Y$15),2),AE343+MAX(0,AK343))</f>
        <v>0</v>
      </c>
      <c r="AM343" s="21" t="n">
        <f aca="false">MIN(ROUND(Z343*(1+Z$15),2),AF343+MAX(0,AK343-AL343+AE343))</f>
        <v>0</v>
      </c>
      <c r="AN343" s="21" t="n">
        <f aca="false">MIN(ROUND(AA343*(1+AA$15),2),AG343+MAX(0,AK343-AL343+AE343-AM343+AF343))</f>
        <v>0</v>
      </c>
      <c r="AO343" s="21" t="n">
        <f aca="false">MIN(ROUND(AB343*(1+AB$15),2),AH343+MAX(0,AK343-AL343+AE343-AM343+AF343-AN343+AG343))</f>
        <v>0</v>
      </c>
      <c r="AP343" s="21" t="n">
        <f aca="false">MIN(ROUND(AC343*(1+AC$15),2),AI343+MAX(0,AK343-AL343+AE343-AM343+AF343-AN343+AG343-AO343+AH343))</f>
        <v>0</v>
      </c>
      <c r="AQ343" s="21" t="n">
        <f aca="false">MIN(ROUND(AD343*(1+AD$15),2),AJ343+MAX(0,AK343-AL343+AE343-AM343+AF343-AN343+AG343-AO343+AH343-AP343+AI343))</f>
        <v>0</v>
      </c>
      <c r="AR343" s="21" t="n">
        <f aca="false">SUM(Y343:AD343)</f>
        <v>0</v>
      </c>
      <c r="AS343" s="21" t="n">
        <f aca="false">SUM(AL343:AQ343)</f>
        <v>0</v>
      </c>
    </row>
    <row r="344" customFormat="false" ht="15" hidden="false" customHeight="false" outlineLevel="0" collapsed="false">
      <c r="A344" s="25" t="n">
        <f aca="false">A343+1</f>
        <v>318</v>
      </c>
      <c r="B344" s="21" t="n">
        <f aca="false">MAX(0,ROUND(B343*(1+B$15),2)-O343)</f>
        <v>0</v>
      </c>
      <c r="C344" s="21" t="n">
        <f aca="false">MAX(0,ROUND(C343*(1+C$15),2)-P343)</f>
        <v>0</v>
      </c>
      <c r="D344" s="21" t="n">
        <f aca="false">MAX(0,ROUND(D343*(1+D$15),2)-Q343)</f>
        <v>0</v>
      </c>
      <c r="E344" s="21" t="n">
        <f aca="false">MAX(0,ROUND(E343*(1+E$15),2)-R343)</f>
        <v>0</v>
      </c>
      <c r="F344" s="21" t="n">
        <f aca="false">MAX(0,ROUND(F343*(1+F$15),2)-S343)</f>
        <v>0</v>
      </c>
      <c r="G344" s="21" t="n">
        <f aca="false">MAX(0,ROUND(G343*(1+G$15),2)-T343)</f>
        <v>0</v>
      </c>
      <c r="H344" s="21" t="n">
        <f aca="false">MIN(B$16,ROUND(B344*(1+B$15),2))</f>
        <v>0</v>
      </c>
      <c r="I344" s="21" t="n">
        <f aca="false">MIN(C$16,ROUND(C344*(1+C$15),2))</f>
        <v>0</v>
      </c>
      <c r="J344" s="21" t="n">
        <f aca="false">MIN(D$16,ROUND(D344*(1+D$15),2))</f>
        <v>0</v>
      </c>
      <c r="K344" s="21" t="n">
        <f aca="false">MIN(E$16,ROUND(E344*(1+E$15),2))</f>
        <v>0</v>
      </c>
      <c r="L344" s="21" t="n">
        <f aca="false">MIN(F$16,ROUND(F344*(1+F$15),2))</f>
        <v>0</v>
      </c>
      <c r="M344" s="21" t="n">
        <f aca="false">MIN(G$16,ROUND(G344*(1+G$15),2))</f>
        <v>0</v>
      </c>
      <c r="N344" s="21" t="n">
        <f aca="false">B$20-SUM(H344:M344)</f>
        <v>1170</v>
      </c>
      <c r="O344" s="21" t="n">
        <f aca="false">MIN(ROUND(B344*(1+B$15),2),H344+MAX(0,N344))</f>
        <v>0</v>
      </c>
      <c r="P344" s="21" t="n">
        <f aca="false">MIN(ROUND(C344*(1+C$15),2),I344+MAX(0,N344-O344+H344))</f>
        <v>0</v>
      </c>
      <c r="Q344" s="21" t="n">
        <f aca="false">MIN(ROUND(D344*(1+D$15),2),J344+MAX(0,N344-O344+H344-P344+I344))</f>
        <v>0</v>
      </c>
      <c r="R344" s="21" t="n">
        <f aca="false">MIN(ROUND(E344*(1+E$15),2),K344+MAX(0,N344-O344+H344-P344+I344-Q344+J344))</f>
        <v>0</v>
      </c>
      <c r="S344" s="21" t="n">
        <f aca="false">MIN(ROUND(F344*(1+F$15),2),L344+MAX(0,N344-O344+H344-P344+I344-Q344+J344-R344+K344))</f>
        <v>0</v>
      </c>
      <c r="T344" s="21" t="n">
        <f aca="false">MIN(ROUND(G344*(1+G$15),2),M344+MAX(0,N344-O344+H344-P344+I344-Q344+J344-R344+K344-S344+L344))</f>
        <v>0</v>
      </c>
      <c r="U344" s="21" t="n">
        <f aca="false">SUM(B344:G344)</f>
        <v>0</v>
      </c>
      <c r="V344" s="21" t="n">
        <f aca="false">SUM(O344:T344)</f>
        <v>0</v>
      </c>
      <c r="X344" s="25" t="n">
        <f aca="false">X343+1</f>
        <v>318</v>
      </c>
      <c r="Y344" s="21" t="n">
        <f aca="false">MAX(0,ROUND(Y343*(1+Y$15),2)-AL343)</f>
        <v>0</v>
      </c>
      <c r="Z344" s="21" t="n">
        <f aca="false">MAX(0,ROUND(Z343*(1+Z$15),2)-AM343)</f>
        <v>0</v>
      </c>
      <c r="AA344" s="21" t="n">
        <f aca="false">MAX(0,ROUND(AA343*(1+AA$15),2)-AN343)</f>
        <v>0</v>
      </c>
      <c r="AB344" s="21" t="n">
        <f aca="false">MAX(0,ROUND(AB343*(1+AB$15),2)-AO343)</f>
        <v>0</v>
      </c>
      <c r="AC344" s="21" t="n">
        <f aca="false">MAX(0,ROUND(AC343*(1+AC$15),2)-AP343)</f>
        <v>0</v>
      </c>
      <c r="AD344" s="21" t="n">
        <f aca="false">MAX(0,ROUND(AD343*(1+AD$15),2)-AQ343)</f>
        <v>0</v>
      </c>
      <c r="AE344" s="21" t="n">
        <f aca="false">MIN(Y$16,ROUND(Y344*(1+Y$15),2))</f>
        <v>0</v>
      </c>
      <c r="AF344" s="21" t="n">
        <f aca="false">MIN(Z$16,ROUND(Z344*(1+Z$15),2))</f>
        <v>0</v>
      </c>
      <c r="AG344" s="21" t="n">
        <f aca="false">MIN(AA$16,ROUND(AA344*(1+AA$15),2))</f>
        <v>0</v>
      </c>
      <c r="AH344" s="21" t="n">
        <f aca="false">MIN(AB$16,ROUND(AB344*(1+AB$15),2))</f>
        <v>0</v>
      </c>
      <c r="AI344" s="21" t="n">
        <f aca="false">MIN(AC$16,ROUND(AC344*(1+AC$15),2))</f>
        <v>0</v>
      </c>
      <c r="AJ344" s="21" t="n">
        <f aca="false">MIN(AD$16,ROUND(AD344*(1+AD$15),2))</f>
        <v>0</v>
      </c>
      <c r="AK344" s="21" t="n">
        <f aca="false">Y$20-SUM(AE344:AJ344)</f>
        <v>1170</v>
      </c>
      <c r="AL344" s="21" t="n">
        <f aca="false">MIN(ROUND(Y344*(1+Y$15),2),AE344+MAX(0,AK344))</f>
        <v>0</v>
      </c>
      <c r="AM344" s="21" t="n">
        <f aca="false">MIN(ROUND(Z344*(1+Z$15),2),AF344+MAX(0,AK344-AL344+AE344))</f>
        <v>0</v>
      </c>
      <c r="AN344" s="21" t="n">
        <f aca="false">MIN(ROUND(AA344*(1+AA$15),2),AG344+MAX(0,AK344-AL344+AE344-AM344+AF344))</f>
        <v>0</v>
      </c>
      <c r="AO344" s="21" t="n">
        <f aca="false">MIN(ROUND(AB344*(1+AB$15),2),AH344+MAX(0,AK344-AL344+AE344-AM344+AF344-AN344+AG344))</f>
        <v>0</v>
      </c>
      <c r="AP344" s="21" t="n">
        <f aca="false">MIN(ROUND(AC344*(1+AC$15),2),AI344+MAX(0,AK344-AL344+AE344-AM344+AF344-AN344+AG344-AO344+AH344))</f>
        <v>0</v>
      </c>
      <c r="AQ344" s="21" t="n">
        <f aca="false">MIN(ROUND(AD344*(1+AD$15),2),AJ344+MAX(0,AK344-AL344+AE344-AM344+AF344-AN344+AG344-AO344+AH344-AP344+AI344))</f>
        <v>0</v>
      </c>
      <c r="AR344" s="21" t="n">
        <f aca="false">SUM(Y344:AD344)</f>
        <v>0</v>
      </c>
      <c r="AS344" s="21" t="n">
        <f aca="false">SUM(AL344:AQ344)</f>
        <v>0</v>
      </c>
    </row>
    <row r="345" customFormat="false" ht="15" hidden="false" customHeight="false" outlineLevel="0" collapsed="false">
      <c r="A345" s="25" t="n">
        <f aca="false">A344+1</f>
        <v>319</v>
      </c>
      <c r="B345" s="21" t="n">
        <f aca="false">MAX(0,ROUND(B344*(1+B$15),2)-O344)</f>
        <v>0</v>
      </c>
      <c r="C345" s="21" t="n">
        <f aca="false">MAX(0,ROUND(C344*(1+C$15),2)-P344)</f>
        <v>0</v>
      </c>
      <c r="D345" s="21" t="n">
        <f aca="false">MAX(0,ROUND(D344*(1+D$15),2)-Q344)</f>
        <v>0</v>
      </c>
      <c r="E345" s="21" t="n">
        <f aca="false">MAX(0,ROUND(E344*(1+E$15),2)-R344)</f>
        <v>0</v>
      </c>
      <c r="F345" s="21" t="n">
        <f aca="false">MAX(0,ROUND(F344*(1+F$15),2)-S344)</f>
        <v>0</v>
      </c>
      <c r="G345" s="21" t="n">
        <f aca="false">MAX(0,ROUND(G344*(1+G$15),2)-T344)</f>
        <v>0</v>
      </c>
      <c r="H345" s="21" t="n">
        <f aca="false">MIN(B$16,ROUND(B345*(1+B$15),2))</f>
        <v>0</v>
      </c>
      <c r="I345" s="21" t="n">
        <f aca="false">MIN(C$16,ROUND(C345*(1+C$15),2))</f>
        <v>0</v>
      </c>
      <c r="J345" s="21" t="n">
        <f aca="false">MIN(D$16,ROUND(D345*(1+D$15),2))</f>
        <v>0</v>
      </c>
      <c r="K345" s="21" t="n">
        <f aca="false">MIN(E$16,ROUND(E345*(1+E$15),2))</f>
        <v>0</v>
      </c>
      <c r="L345" s="21" t="n">
        <f aca="false">MIN(F$16,ROUND(F345*(1+F$15),2))</f>
        <v>0</v>
      </c>
      <c r="M345" s="21" t="n">
        <f aca="false">MIN(G$16,ROUND(G345*(1+G$15),2))</f>
        <v>0</v>
      </c>
      <c r="N345" s="21" t="n">
        <f aca="false">B$20-SUM(H345:M345)</f>
        <v>1170</v>
      </c>
      <c r="O345" s="21" t="n">
        <f aca="false">MIN(ROUND(B345*(1+B$15),2),H345+MAX(0,N345))</f>
        <v>0</v>
      </c>
      <c r="P345" s="21" t="n">
        <f aca="false">MIN(ROUND(C345*(1+C$15),2),I345+MAX(0,N345-O345+H345))</f>
        <v>0</v>
      </c>
      <c r="Q345" s="21" t="n">
        <f aca="false">MIN(ROUND(D345*(1+D$15),2),J345+MAX(0,N345-O345+H345-P345+I345))</f>
        <v>0</v>
      </c>
      <c r="R345" s="21" t="n">
        <f aca="false">MIN(ROUND(E345*(1+E$15),2),K345+MAX(0,N345-O345+H345-P345+I345-Q345+J345))</f>
        <v>0</v>
      </c>
      <c r="S345" s="21" t="n">
        <f aca="false">MIN(ROUND(F345*(1+F$15),2),L345+MAX(0,N345-O345+H345-P345+I345-Q345+J345-R345+K345))</f>
        <v>0</v>
      </c>
      <c r="T345" s="21" t="n">
        <f aca="false">MIN(ROUND(G345*(1+G$15),2),M345+MAX(0,N345-O345+H345-P345+I345-Q345+J345-R345+K345-S345+L345))</f>
        <v>0</v>
      </c>
      <c r="U345" s="21" t="n">
        <f aca="false">SUM(B345:G345)</f>
        <v>0</v>
      </c>
      <c r="V345" s="21" t="n">
        <f aca="false">SUM(O345:T345)</f>
        <v>0</v>
      </c>
      <c r="X345" s="25" t="n">
        <f aca="false">X344+1</f>
        <v>319</v>
      </c>
      <c r="Y345" s="21" t="n">
        <f aca="false">MAX(0,ROUND(Y344*(1+Y$15),2)-AL344)</f>
        <v>0</v>
      </c>
      <c r="Z345" s="21" t="n">
        <f aca="false">MAX(0,ROUND(Z344*(1+Z$15),2)-AM344)</f>
        <v>0</v>
      </c>
      <c r="AA345" s="21" t="n">
        <f aca="false">MAX(0,ROUND(AA344*(1+AA$15),2)-AN344)</f>
        <v>0</v>
      </c>
      <c r="AB345" s="21" t="n">
        <f aca="false">MAX(0,ROUND(AB344*(1+AB$15),2)-AO344)</f>
        <v>0</v>
      </c>
      <c r="AC345" s="21" t="n">
        <f aca="false">MAX(0,ROUND(AC344*(1+AC$15),2)-AP344)</f>
        <v>0</v>
      </c>
      <c r="AD345" s="21" t="n">
        <f aca="false">MAX(0,ROUND(AD344*(1+AD$15),2)-AQ344)</f>
        <v>0</v>
      </c>
      <c r="AE345" s="21" t="n">
        <f aca="false">MIN(Y$16,ROUND(Y345*(1+Y$15),2))</f>
        <v>0</v>
      </c>
      <c r="AF345" s="21" t="n">
        <f aca="false">MIN(Z$16,ROUND(Z345*(1+Z$15),2))</f>
        <v>0</v>
      </c>
      <c r="AG345" s="21" t="n">
        <f aca="false">MIN(AA$16,ROUND(AA345*(1+AA$15),2))</f>
        <v>0</v>
      </c>
      <c r="AH345" s="21" t="n">
        <f aca="false">MIN(AB$16,ROUND(AB345*(1+AB$15),2))</f>
        <v>0</v>
      </c>
      <c r="AI345" s="21" t="n">
        <f aca="false">MIN(AC$16,ROUND(AC345*(1+AC$15),2))</f>
        <v>0</v>
      </c>
      <c r="AJ345" s="21" t="n">
        <f aca="false">MIN(AD$16,ROUND(AD345*(1+AD$15),2))</f>
        <v>0</v>
      </c>
      <c r="AK345" s="21" t="n">
        <f aca="false">Y$20-SUM(AE345:AJ345)</f>
        <v>1170</v>
      </c>
      <c r="AL345" s="21" t="n">
        <f aca="false">MIN(ROUND(Y345*(1+Y$15),2),AE345+MAX(0,AK345))</f>
        <v>0</v>
      </c>
      <c r="AM345" s="21" t="n">
        <f aca="false">MIN(ROUND(Z345*(1+Z$15),2),AF345+MAX(0,AK345-AL345+AE345))</f>
        <v>0</v>
      </c>
      <c r="AN345" s="21" t="n">
        <f aca="false">MIN(ROUND(AA345*(1+AA$15),2),AG345+MAX(0,AK345-AL345+AE345-AM345+AF345))</f>
        <v>0</v>
      </c>
      <c r="AO345" s="21" t="n">
        <f aca="false">MIN(ROUND(AB345*(1+AB$15),2),AH345+MAX(0,AK345-AL345+AE345-AM345+AF345-AN345+AG345))</f>
        <v>0</v>
      </c>
      <c r="AP345" s="21" t="n">
        <f aca="false">MIN(ROUND(AC345*(1+AC$15),2),AI345+MAX(0,AK345-AL345+AE345-AM345+AF345-AN345+AG345-AO345+AH345))</f>
        <v>0</v>
      </c>
      <c r="AQ345" s="21" t="n">
        <f aca="false">MIN(ROUND(AD345*(1+AD$15),2),AJ345+MAX(0,AK345-AL345+AE345-AM345+AF345-AN345+AG345-AO345+AH345-AP345+AI345))</f>
        <v>0</v>
      </c>
      <c r="AR345" s="21" t="n">
        <f aca="false">SUM(Y345:AD345)</f>
        <v>0</v>
      </c>
      <c r="AS345" s="21" t="n">
        <f aca="false">SUM(AL345:AQ345)</f>
        <v>0</v>
      </c>
    </row>
    <row r="346" customFormat="false" ht="15" hidden="false" customHeight="false" outlineLevel="0" collapsed="false">
      <c r="A346" s="25" t="n">
        <f aca="false">A345+1</f>
        <v>320</v>
      </c>
      <c r="B346" s="21" t="n">
        <f aca="false">MAX(0,ROUND(B345*(1+B$15),2)-O345)</f>
        <v>0</v>
      </c>
      <c r="C346" s="21" t="n">
        <f aca="false">MAX(0,ROUND(C345*(1+C$15),2)-P345)</f>
        <v>0</v>
      </c>
      <c r="D346" s="21" t="n">
        <f aca="false">MAX(0,ROUND(D345*(1+D$15),2)-Q345)</f>
        <v>0</v>
      </c>
      <c r="E346" s="21" t="n">
        <f aca="false">MAX(0,ROUND(E345*(1+E$15),2)-R345)</f>
        <v>0</v>
      </c>
      <c r="F346" s="21" t="n">
        <f aca="false">MAX(0,ROUND(F345*(1+F$15),2)-S345)</f>
        <v>0</v>
      </c>
      <c r="G346" s="21" t="n">
        <f aca="false">MAX(0,ROUND(G345*(1+G$15),2)-T345)</f>
        <v>0</v>
      </c>
      <c r="H346" s="21" t="n">
        <f aca="false">MIN(B$16,ROUND(B346*(1+B$15),2))</f>
        <v>0</v>
      </c>
      <c r="I346" s="21" t="n">
        <f aca="false">MIN(C$16,ROUND(C346*(1+C$15),2))</f>
        <v>0</v>
      </c>
      <c r="J346" s="21" t="n">
        <f aca="false">MIN(D$16,ROUND(D346*(1+D$15),2))</f>
        <v>0</v>
      </c>
      <c r="K346" s="21" t="n">
        <f aca="false">MIN(E$16,ROUND(E346*(1+E$15),2))</f>
        <v>0</v>
      </c>
      <c r="L346" s="21" t="n">
        <f aca="false">MIN(F$16,ROUND(F346*(1+F$15),2))</f>
        <v>0</v>
      </c>
      <c r="M346" s="21" t="n">
        <f aca="false">MIN(G$16,ROUND(G346*(1+G$15),2))</f>
        <v>0</v>
      </c>
      <c r="N346" s="21" t="n">
        <f aca="false">B$20-SUM(H346:M346)</f>
        <v>1170</v>
      </c>
      <c r="O346" s="21" t="n">
        <f aca="false">MIN(ROUND(B346*(1+B$15),2),H346+MAX(0,N346))</f>
        <v>0</v>
      </c>
      <c r="P346" s="21" t="n">
        <f aca="false">MIN(ROUND(C346*(1+C$15),2),I346+MAX(0,N346-O346+H346))</f>
        <v>0</v>
      </c>
      <c r="Q346" s="21" t="n">
        <f aca="false">MIN(ROUND(D346*(1+D$15),2),J346+MAX(0,N346-O346+H346-P346+I346))</f>
        <v>0</v>
      </c>
      <c r="R346" s="21" t="n">
        <f aca="false">MIN(ROUND(E346*(1+E$15),2),K346+MAX(0,N346-O346+H346-P346+I346-Q346+J346))</f>
        <v>0</v>
      </c>
      <c r="S346" s="21" t="n">
        <f aca="false">MIN(ROUND(F346*(1+F$15),2),L346+MAX(0,N346-O346+H346-P346+I346-Q346+J346-R346+K346))</f>
        <v>0</v>
      </c>
      <c r="T346" s="21" t="n">
        <f aca="false">MIN(ROUND(G346*(1+G$15),2),M346+MAX(0,N346-O346+H346-P346+I346-Q346+J346-R346+K346-S346+L346))</f>
        <v>0</v>
      </c>
      <c r="U346" s="21" t="n">
        <f aca="false">SUM(B346:G346)</f>
        <v>0</v>
      </c>
      <c r="V346" s="21" t="n">
        <f aca="false">SUM(O346:T346)</f>
        <v>0</v>
      </c>
      <c r="X346" s="25" t="n">
        <f aca="false">X345+1</f>
        <v>320</v>
      </c>
      <c r="Y346" s="21" t="n">
        <f aca="false">MAX(0,ROUND(Y345*(1+Y$15),2)-AL345)</f>
        <v>0</v>
      </c>
      <c r="Z346" s="21" t="n">
        <f aca="false">MAX(0,ROUND(Z345*(1+Z$15),2)-AM345)</f>
        <v>0</v>
      </c>
      <c r="AA346" s="21" t="n">
        <f aca="false">MAX(0,ROUND(AA345*(1+AA$15),2)-AN345)</f>
        <v>0</v>
      </c>
      <c r="AB346" s="21" t="n">
        <f aca="false">MAX(0,ROUND(AB345*(1+AB$15),2)-AO345)</f>
        <v>0</v>
      </c>
      <c r="AC346" s="21" t="n">
        <f aca="false">MAX(0,ROUND(AC345*(1+AC$15),2)-AP345)</f>
        <v>0</v>
      </c>
      <c r="AD346" s="21" t="n">
        <f aca="false">MAX(0,ROUND(AD345*(1+AD$15),2)-AQ345)</f>
        <v>0</v>
      </c>
      <c r="AE346" s="21" t="n">
        <f aca="false">MIN(Y$16,ROUND(Y346*(1+Y$15),2))</f>
        <v>0</v>
      </c>
      <c r="AF346" s="21" t="n">
        <f aca="false">MIN(Z$16,ROUND(Z346*(1+Z$15),2))</f>
        <v>0</v>
      </c>
      <c r="AG346" s="21" t="n">
        <f aca="false">MIN(AA$16,ROUND(AA346*(1+AA$15),2))</f>
        <v>0</v>
      </c>
      <c r="AH346" s="21" t="n">
        <f aca="false">MIN(AB$16,ROUND(AB346*(1+AB$15),2))</f>
        <v>0</v>
      </c>
      <c r="AI346" s="21" t="n">
        <f aca="false">MIN(AC$16,ROUND(AC346*(1+AC$15),2))</f>
        <v>0</v>
      </c>
      <c r="AJ346" s="21" t="n">
        <f aca="false">MIN(AD$16,ROUND(AD346*(1+AD$15),2))</f>
        <v>0</v>
      </c>
      <c r="AK346" s="21" t="n">
        <f aca="false">Y$20-SUM(AE346:AJ346)</f>
        <v>1170</v>
      </c>
      <c r="AL346" s="21" t="n">
        <f aca="false">MIN(ROUND(Y346*(1+Y$15),2),AE346+MAX(0,AK346))</f>
        <v>0</v>
      </c>
      <c r="AM346" s="21" t="n">
        <f aca="false">MIN(ROUND(Z346*(1+Z$15),2),AF346+MAX(0,AK346-AL346+AE346))</f>
        <v>0</v>
      </c>
      <c r="AN346" s="21" t="n">
        <f aca="false">MIN(ROUND(AA346*(1+AA$15),2),AG346+MAX(0,AK346-AL346+AE346-AM346+AF346))</f>
        <v>0</v>
      </c>
      <c r="AO346" s="21" t="n">
        <f aca="false">MIN(ROUND(AB346*(1+AB$15),2),AH346+MAX(0,AK346-AL346+AE346-AM346+AF346-AN346+AG346))</f>
        <v>0</v>
      </c>
      <c r="AP346" s="21" t="n">
        <f aca="false">MIN(ROUND(AC346*(1+AC$15),2),AI346+MAX(0,AK346-AL346+AE346-AM346+AF346-AN346+AG346-AO346+AH346))</f>
        <v>0</v>
      </c>
      <c r="AQ346" s="21" t="n">
        <f aca="false">MIN(ROUND(AD346*(1+AD$15),2),AJ346+MAX(0,AK346-AL346+AE346-AM346+AF346-AN346+AG346-AO346+AH346-AP346+AI346))</f>
        <v>0</v>
      </c>
      <c r="AR346" s="21" t="n">
        <f aca="false">SUM(Y346:AD346)</f>
        <v>0</v>
      </c>
      <c r="AS346" s="21" t="n">
        <f aca="false">SUM(AL346:AQ346)</f>
        <v>0</v>
      </c>
    </row>
    <row r="347" customFormat="false" ht="15" hidden="false" customHeight="false" outlineLevel="0" collapsed="false">
      <c r="A347" s="25" t="n">
        <f aca="false">A346+1</f>
        <v>321</v>
      </c>
      <c r="B347" s="21" t="n">
        <f aca="false">MAX(0,ROUND(B346*(1+B$15),2)-O346)</f>
        <v>0</v>
      </c>
      <c r="C347" s="21" t="n">
        <f aca="false">MAX(0,ROUND(C346*(1+C$15),2)-P346)</f>
        <v>0</v>
      </c>
      <c r="D347" s="21" t="n">
        <f aca="false">MAX(0,ROUND(D346*(1+D$15),2)-Q346)</f>
        <v>0</v>
      </c>
      <c r="E347" s="21" t="n">
        <f aca="false">MAX(0,ROUND(E346*(1+E$15),2)-R346)</f>
        <v>0</v>
      </c>
      <c r="F347" s="21" t="n">
        <f aca="false">MAX(0,ROUND(F346*(1+F$15),2)-S346)</f>
        <v>0</v>
      </c>
      <c r="G347" s="21" t="n">
        <f aca="false">MAX(0,ROUND(G346*(1+G$15),2)-T346)</f>
        <v>0</v>
      </c>
      <c r="H347" s="21" t="n">
        <f aca="false">MIN(B$16,ROUND(B347*(1+B$15),2))</f>
        <v>0</v>
      </c>
      <c r="I347" s="21" t="n">
        <f aca="false">MIN(C$16,ROUND(C347*(1+C$15),2))</f>
        <v>0</v>
      </c>
      <c r="J347" s="21" t="n">
        <f aca="false">MIN(D$16,ROUND(D347*(1+D$15),2))</f>
        <v>0</v>
      </c>
      <c r="K347" s="21" t="n">
        <f aca="false">MIN(E$16,ROUND(E347*(1+E$15),2))</f>
        <v>0</v>
      </c>
      <c r="L347" s="21" t="n">
        <f aca="false">MIN(F$16,ROUND(F347*(1+F$15),2))</f>
        <v>0</v>
      </c>
      <c r="M347" s="21" t="n">
        <f aca="false">MIN(G$16,ROUND(G347*(1+G$15),2))</f>
        <v>0</v>
      </c>
      <c r="N347" s="21" t="n">
        <f aca="false">B$20-SUM(H347:M347)</f>
        <v>1170</v>
      </c>
      <c r="O347" s="21" t="n">
        <f aca="false">MIN(ROUND(B347*(1+B$15),2),H347+MAX(0,N347))</f>
        <v>0</v>
      </c>
      <c r="P347" s="21" t="n">
        <f aca="false">MIN(ROUND(C347*(1+C$15),2),I347+MAX(0,N347-O347+H347))</f>
        <v>0</v>
      </c>
      <c r="Q347" s="21" t="n">
        <f aca="false">MIN(ROUND(D347*(1+D$15),2),J347+MAX(0,N347-O347+H347-P347+I347))</f>
        <v>0</v>
      </c>
      <c r="R347" s="21" t="n">
        <f aca="false">MIN(ROUND(E347*(1+E$15),2),K347+MAX(0,N347-O347+H347-P347+I347-Q347+J347))</f>
        <v>0</v>
      </c>
      <c r="S347" s="21" t="n">
        <f aca="false">MIN(ROUND(F347*(1+F$15),2),L347+MAX(0,N347-O347+H347-P347+I347-Q347+J347-R347+K347))</f>
        <v>0</v>
      </c>
      <c r="T347" s="21" t="n">
        <f aca="false">MIN(ROUND(G347*(1+G$15),2),M347+MAX(0,N347-O347+H347-P347+I347-Q347+J347-R347+K347-S347+L347))</f>
        <v>0</v>
      </c>
      <c r="U347" s="21" t="n">
        <f aca="false">SUM(B347:G347)</f>
        <v>0</v>
      </c>
      <c r="V347" s="21" t="n">
        <f aca="false">SUM(O347:T347)</f>
        <v>0</v>
      </c>
      <c r="X347" s="25" t="n">
        <f aca="false">X346+1</f>
        <v>321</v>
      </c>
      <c r="Y347" s="21" t="n">
        <f aca="false">MAX(0,ROUND(Y346*(1+Y$15),2)-AL346)</f>
        <v>0</v>
      </c>
      <c r="Z347" s="21" t="n">
        <f aca="false">MAX(0,ROUND(Z346*(1+Z$15),2)-AM346)</f>
        <v>0</v>
      </c>
      <c r="AA347" s="21" t="n">
        <f aca="false">MAX(0,ROUND(AA346*(1+AA$15),2)-AN346)</f>
        <v>0</v>
      </c>
      <c r="AB347" s="21" t="n">
        <f aca="false">MAX(0,ROUND(AB346*(1+AB$15),2)-AO346)</f>
        <v>0</v>
      </c>
      <c r="AC347" s="21" t="n">
        <f aca="false">MAX(0,ROUND(AC346*(1+AC$15),2)-AP346)</f>
        <v>0</v>
      </c>
      <c r="AD347" s="21" t="n">
        <f aca="false">MAX(0,ROUND(AD346*(1+AD$15),2)-AQ346)</f>
        <v>0</v>
      </c>
      <c r="AE347" s="21" t="n">
        <f aca="false">MIN(Y$16,ROUND(Y347*(1+Y$15),2))</f>
        <v>0</v>
      </c>
      <c r="AF347" s="21" t="n">
        <f aca="false">MIN(Z$16,ROUND(Z347*(1+Z$15),2))</f>
        <v>0</v>
      </c>
      <c r="AG347" s="21" t="n">
        <f aca="false">MIN(AA$16,ROUND(AA347*(1+AA$15),2))</f>
        <v>0</v>
      </c>
      <c r="AH347" s="21" t="n">
        <f aca="false">MIN(AB$16,ROUND(AB347*(1+AB$15),2))</f>
        <v>0</v>
      </c>
      <c r="AI347" s="21" t="n">
        <f aca="false">MIN(AC$16,ROUND(AC347*(1+AC$15),2))</f>
        <v>0</v>
      </c>
      <c r="AJ347" s="21" t="n">
        <f aca="false">MIN(AD$16,ROUND(AD347*(1+AD$15),2))</f>
        <v>0</v>
      </c>
      <c r="AK347" s="21" t="n">
        <f aca="false">Y$20-SUM(AE347:AJ347)</f>
        <v>1170</v>
      </c>
      <c r="AL347" s="21" t="n">
        <f aca="false">MIN(ROUND(Y347*(1+Y$15),2),AE347+MAX(0,AK347))</f>
        <v>0</v>
      </c>
      <c r="AM347" s="21" t="n">
        <f aca="false">MIN(ROUND(Z347*(1+Z$15),2),AF347+MAX(0,AK347-AL347+AE347))</f>
        <v>0</v>
      </c>
      <c r="AN347" s="21" t="n">
        <f aca="false">MIN(ROUND(AA347*(1+AA$15),2),AG347+MAX(0,AK347-AL347+AE347-AM347+AF347))</f>
        <v>0</v>
      </c>
      <c r="AO347" s="21" t="n">
        <f aca="false">MIN(ROUND(AB347*(1+AB$15),2),AH347+MAX(0,AK347-AL347+AE347-AM347+AF347-AN347+AG347))</f>
        <v>0</v>
      </c>
      <c r="AP347" s="21" t="n">
        <f aca="false">MIN(ROUND(AC347*(1+AC$15),2),AI347+MAX(0,AK347-AL347+AE347-AM347+AF347-AN347+AG347-AO347+AH347))</f>
        <v>0</v>
      </c>
      <c r="AQ347" s="21" t="n">
        <f aca="false">MIN(ROUND(AD347*(1+AD$15),2),AJ347+MAX(0,AK347-AL347+AE347-AM347+AF347-AN347+AG347-AO347+AH347-AP347+AI347))</f>
        <v>0</v>
      </c>
      <c r="AR347" s="21" t="n">
        <f aca="false">SUM(Y347:AD347)</f>
        <v>0</v>
      </c>
      <c r="AS347" s="21" t="n">
        <f aca="false">SUM(AL347:AQ347)</f>
        <v>0</v>
      </c>
    </row>
    <row r="348" customFormat="false" ht="15" hidden="false" customHeight="false" outlineLevel="0" collapsed="false">
      <c r="A348" s="25" t="n">
        <f aca="false">A347+1</f>
        <v>322</v>
      </c>
      <c r="B348" s="21" t="n">
        <f aca="false">MAX(0,ROUND(B347*(1+B$15),2)-O347)</f>
        <v>0</v>
      </c>
      <c r="C348" s="21" t="n">
        <f aca="false">MAX(0,ROUND(C347*(1+C$15),2)-P347)</f>
        <v>0</v>
      </c>
      <c r="D348" s="21" t="n">
        <f aca="false">MAX(0,ROUND(D347*(1+D$15),2)-Q347)</f>
        <v>0</v>
      </c>
      <c r="E348" s="21" t="n">
        <f aca="false">MAX(0,ROUND(E347*(1+E$15),2)-R347)</f>
        <v>0</v>
      </c>
      <c r="F348" s="21" t="n">
        <f aca="false">MAX(0,ROUND(F347*(1+F$15),2)-S347)</f>
        <v>0</v>
      </c>
      <c r="G348" s="21" t="n">
        <f aca="false">MAX(0,ROUND(G347*(1+G$15),2)-T347)</f>
        <v>0</v>
      </c>
      <c r="H348" s="21" t="n">
        <f aca="false">MIN(B$16,ROUND(B348*(1+B$15),2))</f>
        <v>0</v>
      </c>
      <c r="I348" s="21" t="n">
        <f aca="false">MIN(C$16,ROUND(C348*(1+C$15),2))</f>
        <v>0</v>
      </c>
      <c r="J348" s="21" t="n">
        <f aca="false">MIN(D$16,ROUND(D348*(1+D$15),2))</f>
        <v>0</v>
      </c>
      <c r="K348" s="21" t="n">
        <f aca="false">MIN(E$16,ROUND(E348*(1+E$15),2))</f>
        <v>0</v>
      </c>
      <c r="L348" s="21" t="n">
        <f aca="false">MIN(F$16,ROUND(F348*(1+F$15),2))</f>
        <v>0</v>
      </c>
      <c r="M348" s="21" t="n">
        <f aca="false">MIN(G$16,ROUND(G348*(1+G$15),2))</f>
        <v>0</v>
      </c>
      <c r="N348" s="21" t="n">
        <f aca="false">B$20-SUM(H348:M348)</f>
        <v>1170</v>
      </c>
      <c r="O348" s="21" t="n">
        <f aca="false">MIN(ROUND(B348*(1+B$15),2),H348+MAX(0,N348))</f>
        <v>0</v>
      </c>
      <c r="P348" s="21" t="n">
        <f aca="false">MIN(ROUND(C348*(1+C$15),2),I348+MAX(0,N348-O348+H348))</f>
        <v>0</v>
      </c>
      <c r="Q348" s="21" t="n">
        <f aca="false">MIN(ROUND(D348*(1+D$15),2),J348+MAX(0,N348-O348+H348-P348+I348))</f>
        <v>0</v>
      </c>
      <c r="R348" s="21" t="n">
        <f aca="false">MIN(ROUND(E348*(1+E$15),2),K348+MAX(0,N348-O348+H348-P348+I348-Q348+J348))</f>
        <v>0</v>
      </c>
      <c r="S348" s="21" t="n">
        <f aca="false">MIN(ROUND(F348*(1+F$15),2),L348+MAX(0,N348-O348+H348-P348+I348-Q348+J348-R348+K348))</f>
        <v>0</v>
      </c>
      <c r="T348" s="21" t="n">
        <f aca="false">MIN(ROUND(G348*(1+G$15),2),M348+MAX(0,N348-O348+H348-P348+I348-Q348+J348-R348+K348-S348+L348))</f>
        <v>0</v>
      </c>
      <c r="U348" s="21" t="n">
        <f aca="false">SUM(B348:G348)</f>
        <v>0</v>
      </c>
      <c r="V348" s="21" t="n">
        <f aca="false">SUM(O348:T348)</f>
        <v>0</v>
      </c>
      <c r="X348" s="25" t="n">
        <f aca="false">X347+1</f>
        <v>322</v>
      </c>
      <c r="Y348" s="21" t="n">
        <f aca="false">MAX(0,ROUND(Y347*(1+Y$15),2)-AL347)</f>
        <v>0</v>
      </c>
      <c r="Z348" s="21" t="n">
        <f aca="false">MAX(0,ROUND(Z347*(1+Z$15),2)-AM347)</f>
        <v>0</v>
      </c>
      <c r="AA348" s="21" t="n">
        <f aca="false">MAX(0,ROUND(AA347*(1+AA$15),2)-AN347)</f>
        <v>0</v>
      </c>
      <c r="AB348" s="21" t="n">
        <f aca="false">MAX(0,ROUND(AB347*(1+AB$15),2)-AO347)</f>
        <v>0</v>
      </c>
      <c r="AC348" s="21" t="n">
        <f aca="false">MAX(0,ROUND(AC347*(1+AC$15),2)-AP347)</f>
        <v>0</v>
      </c>
      <c r="AD348" s="21" t="n">
        <f aca="false">MAX(0,ROUND(AD347*(1+AD$15),2)-AQ347)</f>
        <v>0</v>
      </c>
      <c r="AE348" s="21" t="n">
        <f aca="false">MIN(Y$16,ROUND(Y348*(1+Y$15),2))</f>
        <v>0</v>
      </c>
      <c r="AF348" s="21" t="n">
        <f aca="false">MIN(Z$16,ROUND(Z348*(1+Z$15),2))</f>
        <v>0</v>
      </c>
      <c r="AG348" s="21" t="n">
        <f aca="false">MIN(AA$16,ROUND(AA348*(1+AA$15),2))</f>
        <v>0</v>
      </c>
      <c r="AH348" s="21" t="n">
        <f aca="false">MIN(AB$16,ROUND(AB348*(1+AB$15),2))</f>
        <v>0</v>
      </c>
      <c r="AI348" s="21" t="n">
        <f aca="false">MIN(AC$16,ROUND(AC348*(1+AC$15),2))</f>
        <v>0</v>
      </c>
      <c r="AJ348" s="21" t="n">
        <f aca="false">MIN(AD$16,ROUND(AD348*(1+AD$15),2))</f>
        <v>0</v>
      </c>
      <c r="AK348" s="21" t="n">
        <f aca="false">Y$20-SUM(AE348:AJ348)</f>
        <v>1170</v>
      </c>
      <c r="AL348" s="21" t="n">
        <f aca="false">MIN(ROUND(Y348*(1+Y$15),2),AE348+MAX(0,AK348))</f>
        <v>0</v>
      </c>
      <c r="AM348" s="21" t="n">
        <f aca="false">MIN(ROUND(Z348*(1+Z$15),2),AF348+MAX(0,AK348-AL348+AE348))</f>
        <v>0</v>
      </c>
      <c r="AN348" s="21" t="n">
        <f aca="false">MIN(ROUND(AA348*(1+AA$15),2),AG348+MAX(0,AK348-AL348+AE348-AM348+AF348))</f>
        <v>0</v>
      </c>
      <c r="AO348" s="21" t="n">
        <f aca="false">MIN(ROUND(AB348*(1+AB$15),2),AH348+MAX(0,AK348-AL348+AE348-AM348+AF348-AN348+AG348))</f>
        <v>0</v>
      </c>
      <c r="AP348" s="21" t="n">
        <f aca="false">MIN(ROUND(AC348*(1+AC$15),2),AI348+MAX(0,AK348-AL348+AE348-AM348+AF348-AN348+AG348-AO348+AH348))</f>
        <v>0</v>
      </c>
      <c r="AQ348" s="21" t="n">
        <f aca="false">MIN(ROUND(AD348*(1+AD$15),2),AJ348+MAX(0,AK348-AL348+AE348-AM348+AF348-AN348+AG348-AO348+AH348-AP348+AI348))</f>
        <v>0</v>
      </c>
      <c r="AR348" s="21" t="n">
        <f aca="false">SUM(Y348:AD348)</f>
        <v>0</v>
      </c>
      <c r="AS348" s="21" t="n">
        <f aca="false">SUM(AL348:AQ348)</f>
        <v>0</v>
      </c>
    </row>
    <row r="349" customFormat="false" ht="15" hidden="false" customHeight="false" outlineLevel="0" collapsed="false">
      <c r="A349" s="25" t="n">
        <f aca="false">A348+1</f>
        <v>323</v>
      </c>
      <c r="B349" s="21" t="n">
        <f aca="false">MAX(0,ROUND(B348*(1+B$15),2)-O348)</f>
        <v>0</v>
      </c>
      <c r="C349" s="21" t="n">
        <f aca="false">MAX(0,ROUND(C348*(1+C$15),2)-P348)</f>
        <v>0</v>
      </c>
      <c r="D349" s="21" t="n">
        <f aca="false">MAX(0,ROUND(D348*(1+D$15),2)-Q348)</f>
        <v>0</v>
      </c>
      <c r="E349" s="21" t="n">
        <f aca="false">MAX(0,ROUND(E348*(1+E$15),2)-R348)</f>
        <v>0</v>
      </c>
      <c r="F349" s="21" t="n">
        <f aca="false">MAX(0,ROUND(F348*(1+F$15),2)-S348)</f>
        <v>0</v>
      </c>
      <c r="G349" s="21" t="n">
        <f aca="false">MAX(0,ROUND(G348*(1+G$15),2)-T348)</f>
        <v>0</v>
      </c>
      <c r="H349" s="21" t="n">
        <f aca="false">MIN(B$16,ROUND(B349*(1+B$15),2))</f>
        <v>0</v>
      </c>
      <c r="I349" s="21" t="n">
        <f aca="false">MIN(C$16,ROUND(C349*(1+C$15),2))</f>
        <v>0</v>
      </c>
      <c r="J349" s="21" t="n">
        <f aca="false">MIN(D$16,ROUND(D349*(1+D$15),2))</f>
        <v>0</v>
      </c>
      <c r="K349" s="21" t="n">
        <f aca="false">MIN(E$16,ROUND(E349*(1+E$15),2))</f>
        <v>0</v>
      </c>
      <c r="L349" s="21" t="n">
        <f aca="false">MIN(F$16,ROUND(F349*(1+F$15),2))</f>
        <v>0</v>
      </c>
      <c r="M349" s="21" t="n">
        <f aca="false">MIN(G$16,ROUND(G349*(1+G$15),2))</f>
        <v>0</v>
      </c>
      <c r="N349" s="21" t="n">
        <f aca="false">B$20-SUM(H349:M349)</f>
        <v>1170</v>
      </c>
      <c r="O349" s="21" t="n">
        <f aca="false">MIN(ROUND(B349*(1+B$15),2),H349+MAX(0,N349))</f>
        <v>0</v>
      </c>
      <c r="P349" s="21" t="n">
        <f aca="false">MIN(ROUND(C349*(1+C$15),2),I349+MAX(0,N349-O349+H349))</f>
        <v>0</v>
      </c>
      <c r="Q349" s="21" t="n">
        <f aca="false">MIN(ROUND(D349*(1+D$15),2),J349+MAX(0,N349-O349+H349-P349+I349))</f>
        <v>0</v>
      </c>
      <c r="R349" s="21" t="n">
        <f aca="false">MIN(ROUND(E349*(1+E$15),2),K349+MAX(0,N349-O349+H349-P349+I349-Q349+J349))</f>
        <v>0</v>
      </c>
      <c r="S349" s="21" t="n">
        <f aca="false">MIN(ROUND(F349*(1+F$15),2),L349+MAX(0,N349-O349+H349-P349+I349-Q349+J349-R349+K349))</f>
        <v>0</v>
      </c>
      <c r="T349" s="21" t="n">
        <f aca="false">MIN(ROUND(G349*(1+G$15),2),M349+MAX(0,N349-O349+H349-P349+I349-Q349+J349-R349+K349-S349+L349))</f>
        <v>0</v>
      </c>
      <c r="U349" s="21" t="n">
        <f aca="false">SUM(B349:G349)</f>
        <v>0</v>
      </c>
      <c r="V349" s="21" t="n">
        <f aca="false">SUM(O349:T349)</f>
        <v>0</v>
      </c>
      <c r="X349" s="25" t="n">
        <f aca="false">X348+1</f>
        <v>323</v>
      </c>
      <c r="Y349" s="21" t="n">
        <f aca="false">MAX(0,ROUND(Y348*(1+Y$15),2)-AL348)</f>
        <v>0</v>
      </c>
      <c r="Z349" s="21" t="n">
        <f aca="false">MAX(0,ROUND(Z348*(1+Z$15),2)-AM348)</f>
        <v>0</v>
      </c>
      <c r="AA349" s="21" t="n">
        <f aca="false">MAX(0,ROUND(AA348*(1+AA$15),2)-AN348)</f>
        <v>0</v>
      </c>
      <c r="AB349" s="21" t="n">
        <f aca="false">MAX(0,ROUND(AB348*(1+AB$15),2)-AO348)</f>
        <v>0</v>
      </c>
      <c r="AC349" s="21" t="n">
        <f aca="false">MAX(0,ROUND(AC348*(1+AC$15),2)-AP348)</f>
        <v>0</v>
      </c>
      <c r="AD349" s="21" t="n">
        <f aca="false">MAX(0,ROUND(AD348*(1+AD$15),2)-AQ348)</f>
        <v>0</v>
      </c>
      <c r="AE349" s="21" t="n">
        <f aca="false">MIN(Y$16,ROUND(Y349*(1+Y$15),2))</f>
        <v>0</v>
      </c>
      <c r="AF349" s="21" t="n">
        <f aca="false">MIN(Z$16,ROUND(Z349*(1+Z$15),2))</f>
        <v>0</v>
      </c>
      <c r="AG349" s="21" t="n">
        <f aca="false">MIN(AA$16,ROUND(AA349*(1+AA$15),2))</f>
        <v>0</v>
      </c>
      <c r="AH349" s="21" t="n">
        <f aca="false">MIN(AB$16,ROUND(AB349*(1+AB$15),2))</f>
        <v>0</v>
      </c>
      <c r="AI349" s="21" t="n">
        <f aca="false">MIN(AC$16,ROUND(AC349*(1+AC$15),2))</f>
        <v>0</v>
      </c>
      <c r="AJ349" s="21" t="n">
        <f aca="false">MIN(AD$16,ROUND(AD349*(1+AD$15),2))</f>
        <v>0</v>
      </c>
      <c r="AK349" s="21" t="n">
        <f aca="false">Y$20-SUM(AE349:AJ349)</f>
        <v>1170</v>
      </c>
      <c r="AL349" s="21" t="n">
        <f aca="false">MIN(ROUND(Y349*(1+Y$15),2),AE349+MAX(0,AK349))</f>
        <v>0</v>
      </c>
      <c r="AM349" s="21" t="n">
        <f aca="false">MIN(ROUND(Z349*(1+Z$15),2),AF349+MAX(0,AK349-AL349+AE349))</f>
        <v>0</v>
      </c>
      <c r="AN349" s="21" t="n">
        <f aca="false">MIN(ROUND(AA349*(1+AA$15),2),AG349+MAX(0,AK349-AL349+AE349-AM349+AF349))</f>
        <v>0</v>
      </c>
      <c r="AO349" s="21" t="n">
        <f aca="false">MIN(ROUND(AB349*(1+AB$15),2),AH349+MAX(0,AK349-AL349+AE349-AM349+AF349-AN349+AG349))</f>
        <v>0</v>
      </c>
      <c r="AP349" s="21" t="n">
        <f aca="false">MIN(ROUND(AC349*(1+AC$15),2),AI349+MAX(0,AK349-AL349+AE349-AM349+AF349-AN349+AG349-AO349+AH349))</f>
        <v>0</v>
      </c>
      <c r="AQ349" s="21" t="n">
        <f aca="false">MIN(ROUND(AD349*(1+AD$15),2),AJ349+MAX(0,AK349-AL349+AE349-AM349+AF349-AN349+AG349-AO349+AH349-AP349+AI349))</f>
        <v>0</v>
      </c>
      <c r="AR349" s="21" t="n">
        <f aca="false">SUM(Y349:AD349)</f>
        <v>0</v>
      </c>
      <c r="AS349" s="21" t="n">
        <f aca="false">SUM(AL349:AQ349)</f>
        <v>0</v>
      </c>
    </row>
    <row r="350" customFormat="false" ht="15" hidden="false" customHeight="false" outlineLevel="0" collapsed="false">
      <c r="A350" s="25" t="n">
        <f aca="false">A349+1</f>
        <v>324</v>
      </c>
      <c r="B350" s="21" t="n">
        <f aca="false">MAX(0,ROUND(B349*(1+B$15),2)-O349)</f>
        <v>0</v>
      </c>
      <c r="C350" s="21" t="n">
        <f aca="false">MAX(0,ROUND(C349*(1+C$15),2)-P349)</f>
        <v>0</v>
      </c>
      <c r="D350" s="21" t="n">
        <f aca="false">MAX(0,ROUND(D349*(1+D$15),2)-Q349)</f>
        <v>0</v>
      </c>
      <c r="E350" s="21" t="n">
        <f aca="false">MAX(0,ROUND(E349*(1+E$15),2)-R349)</f>
        <v>0</v>
      </c>
      <c r="F350" s="21" t="n">
        <f aca="false">MAX(0,ROUND(F349*(1+F$15),2)-S349)</f>
        <v>0</v>
      </c>
      <c r="G350" s="21" t="n">
        <f aca="false">MAX(0,ROUND(G349*(1+G$15),2)-T349)</f>
        <v>0</v>
      </c>
      <c r="H350" s="21" t="n">
        <f aca="false">MIN(B$16,ROUND(B350*(1+B$15),2))</f>
        <v>0</v>
      </c>
      <c r="I350" s="21" t="n">
        <f aca="false">MIN(C$16,ROUND(C350*(1+C$15),2))</f>
        <v>0</v>
      </c>
      <c r="J350" s="21" t="n">
        <f aca="false">MIN(D$16,ROUND(D350*(1+D$15),2))</f>
        <v>0</v>
      </c>
      <c r="K350" s="21" t="n">
        <f aca="false">MIN(E$16,ROUND(E350*(1+E$15),2))</f>
        <v>0</v>
      </c>
      <c r="L350" s="21" t="n">
        <f aca="false">MIN(F$16,ROUND(F350*(1+F$15),2))</f>
        <v>0</v>
      </c>
      <c r="M350" s="21" t="n">
        <f aca="false">MIN(G$16,ROUND(G350*(1+G$15),2))</f>
        <v>0</v>
      </c>
      <c r="N350" s="21" t="n">
        <f aca="false">B$20-SUM(H350:M350)</f>
        <v>1170</v>
      </c>
      <c r="O350" s="21" t="n">
        <f aca="false">MIN(ROUND(B350*(1+B$15),2),H350+MAX(0,N350))</f>
        <v>0</v>
      </c>
      <c r="P350" s="21" t="n">
        <f aca="false">MIN(ROUND(C350*(1+C$15),2),I350+MAX(0,N350-O350+H350))</f>
        <v>0</v>
      </c>
      <c r="Q350" s="21" t="n">
        <f aca="false">MIN(ROUND(D350*(1+D$15),2),J350+MAX(0,N350-O350+H350-P350+I350))</f>
        <v>0</v>
      </c>
      <c r="R350" s="21" t="n">
        <f aca="false">MIN(ROUND(E350*(1+E$15),2),K350+MAX(0,N350-O350+H350-P350+I350-Q350+J350))</f>
        <v>0</v>
      </c>
      <c r="S350" s="21" t="n">
        <f aca="false">MIN(ROUND(F350*(1+F$15),2),L350+MAX(0,N350-O350+H350-P350+I350-Q350+J350-R350+K350))</f>
        <v>0</v>
      </c>
      <c r="T350" s="21" t="n">
        <f aca="false">MIN(ROUND(G350*(1+G$15),2),M350+MAX(0,N350-O350+H350-P350+I350-Q350+J350-R350+K350-S350+L350))</f>
        <v>0</v>
      </c>
      <c r="U350" s="21" t="n">
        <f aca="false">SUM(B350:G350)</f>
        <v>0</v>
      </c>
      <c r="V350" s="21" t="n">
        <f aca="false">SUM(O350:T350)</f>
        <v>0</v>
      </c>
      <c r="X350" s="25" t="n">
        <f aca="false">X349+1</f>
        <v>324</v>
      </c>
      <c r="Y350" s="21" t="n">
        <f aca="false">MAX(0,ROUND(Y349*(1+Y$15),2)-AL349)</f>
        <v>0</v>
      </c>
      <c r="Z350" s="21" t="n">
        <f aca="false">MAX(0,ROUND(Z349*(1+Z$15),2)-AM349)</f>
        <v>0</v>
      </c>
      <c r="AA350" s="21" t="n">
        <f aca="false">MAX(0,ROUND(AA349*(1+AA$15),2)-AN349)</f>
        <v>0</v>
      </c>
      <c r="AB350" s="21" t="n">
        <f aca="false">MAX(0,ROUND(AB349*(1+AB$15),2)-AO349)</f>
        <v>0</v>
      </c>
      <c r="AC350" s="21" t="n">
        <f aca="false">MAX(0,ROUND(AC349*(1+AC$15),2)-AP349)</f>
        <v>0</v>
      </c>
      <c r="AD350" s="21" t="n">
        <f aca="false">MAX(0,ROUND(AD349*(1+AD$15),2)-AQ349)</f>
        <v>0</v>
      </c>
      <c r="AE350" s="21" t="n">
        <f aca="false">MIN(Y$16,ROUND(Y350*(1+Y$15),2))</f>
        <v>0</v>
      </c>
      <c r="AF350" s="21" t="n">
        <f aca="false">MIN(Z$16,ROUND(Z350*(1+Z$15),2))</f>
        <v>0</v>
      </c>
      <c r="AG350" s="21" t="n">
        <f aca="false">MIN(AA$16,ROUND(AA350*(1+AA$15),2))</f>
        <v>0</v>
      </c>
      <c r="AH350" s="21" t="n">
        <f aca="false">MIN(AB$16,ROUND(AB350*(1+AB$15),2))</f>
        <v>0</v>
      </c>
      <c r="AI350" s="21" t="n">
        <f aca="false">MIN(AC$16,ROUND(AC350*(1+AC$15),2))</f>
        <v>0</v>
      </c>
      <c r="AJ350" s="21" t="n">
        <f aca="false">MIN(AD$16,ROUND(AD350*(1+AD$15),2))</f>
        <v>0</v>
      </c>
      <c r="AK350" s="21" t="n">
        <f aca="false">Y$20-SUM(AE350:AJ350)</f>
        <v>1170</v>
      </c>
      <c r="AL350" s="21" t="n">
        <f aca="false">MIN(ROUND(Y350*(1+Y$15),2),AE350+MAX(0,AK350))</f>
        <v>0</v>
      </c>
      <c r="AM350" s="21" t="n">
        <f aca="false">MIN(ROUND(Z350*(1+Z$15),2),AF350+MAX(0,AK350-AL350+AE350))</f>
        <v>0</v>
      </c>
      <c r="AN350" s="21" t="n">
        <f aca="false">MIN(ROUND(AA350*(1+AA$15),2),AG350+MAX(0,AK350-AL350+AE350-AM350+AF350))</f>
        <v>0</v>
      </c>
      <c r="AO350" s="21" t="n">
        <f aca="false">MIN(ROUND(AB350*(1+AB$15),2),AH350+MAX(0,AK350-AL350+AE350-AM350+AF350-AN350+AG350))</f>
        <v>0</v>
      </c>
      <c r="AP350" s="21" t="n">
        <f aca="false">MIN(ROUND(AC350*(1+AC$15),2),AI350+MAX(0,AK350-AL350+AE350-AM350+AF350-AN350+AG350-AO350+AH350))</f>
        <v>0</v>
      </c>
      <c r="AQ350" s="21" t="n">
        <f aca="false">MIN(ROUND(AD350*(1+AD$15),2),AJ350+MAX(0,AK350-AL350+AE350-AM350+AF350-AN350+AG350-AO350+AH350-AP350+AI350))</f>
        <v>0</v>
      </c>
      <c r="AR350" s="21" t="n">
        <f aca="false">SUM(Y350:AD350)</f>
        <v>0</v>
      </c>
      <c r="AS350" s="21" t="n">
        <f aca="false">SUM(AL350:AQ350)</f>
        <v>0</v>
      </c>
    </row>
    <row r="351" customFormat="false" ht="15" hidden="false" customHeight="false" outlineLevel="0" collapsed="false">
      <c r="A351" s="25" t="n">
        <f aca="false">A350+1</f>
        <v>325</v>
      </c>
      <c r="B351" s="21" t="n">
        <f aca="false">MAX(0,ROUND(B350*(1+B$15),2)-O350)</f>
        <v>0</v>
      </c>
      <c r="C351" s="21" t="n">
        <f aca="false">MAX(0,ROUND(C350*(1+C$15),2)-P350)</f>
        <v>0</v>
      </c>
      <c r="D351" s="21" t="n">
        <f aca="false">MAX(0,ROUND(D350*(1+D$15),2)-Q350)</f>
        <v>0</v>
      </c>
      <c r="E351" s="21" t="n">
        <f aca="false">MAX(0,ROUND(E350*(1+E$15),2)-R350)</f>
        <v>0</v>
      </c>
      <c r="F351" s="21" t="n">
        <f aca="false">MAX(0,ROUND(F350*(1+F$15),2)-S350)</f>
        <v>0</v>
      </c>
      <c r="G351" s="21" t="n">
        <f aca="false">MAX(0,ROUND(G350*(1+G$15),2)-T350)</f>
        <v>0</v>
      </c>
      <c r="H351" s="21" t="n">
        <f aca="false">MIN(B$16,ROUND(B351*(1+B$15),2))</f>
        <v>0</v>
      </c>
      <c r="I351" s="21" t="n">
        <f aca="false">MIN(C$16,ROUND(C351*(1+C$15),2))</f>
        <v>0</v>
      </c>
      <c r="J351" s="21" t="n">
        <f aca="false">MIN(D$16,ROUND(D351*(1+D$15),2))</f>
        <v>0</v>
      </c>
      <c r="K351" s="21" t="n">
        <f aca="false">MIN(E$16,ROUND(E351*(1+E$15),2))</f>
        <v>0</v>
      </c>
      <c r="L351" s="21" t="n">
        <f aca="false">MIN(F$16,ROUND(F351*(1+F$15),2))</f>
        <v>0</v>
      </c>
      <c r="M351" s="21" t="n">
        <f aca="false">MIN(G$16,ROUND(G351*(1+G$15),2))</f>
        <v>0</v>
      </c>
      <c r="N351" s="21" t="n">
        <f aca="false">B$20-SUM(H351:M351)</f>
        <v>1170</v>
      </c>
      <c r="O351" s="21" t="n">
        <f aca="false">MIN(ROUND(B351*(1+B$15),2),H351+MAX(0,N351))</f>
        <v>0</v>
      </c>
      <c r="P351" s="21" t="n">
        <f aca="false">MIN(ROUND(C351*(1+C$15),2),I351+MAX(0,N351-O351+H351))</f>
        <v>0</v>
      </c>
      <c r="Q351" s="21" t="n">
        <f aca="false">MIN(ROUND(D351*(1+D$15),2),J351+MAX(0,N351-O351+H351-P351+I351))</f>
        <v>0</v>
      </c>
      <c r="R351" s="21" t="n">
        <f aca="false">MIN(ROUND(E351*(1+E$15),2),K351+MAX(0,N351-O351+H351-P351+I351-Q351+J351))</f>
        <v>0</v>
      </c>
      <c r="S351" s="21" t="n">
        <f aca="false">MIN(ROUND(F351*(1+F$15),2),L351+MAX(0,N351-O351+H351-P351+I351-Q351+J351-R351+K351))</f>
        <v>0</v>
      </c>
      <c r="T351" s="21" t="n">
        <f aca="false">MIN(ROUND(G351*(1+G$15),2),M351+MAX(0,N351-O351+H351-P351+I351-Q351+J351-R351+K351-S351+L351))</f>
        <v>0</v>
      </c>
      <c r="U351" s="21" t="n">
        <f aca="false">SUM(B351:G351)</f>
        <v>0</v>
      </c>
      <c r="V351" s="21" t="n">
        <f aca="false">SUM(O351:T351)</f>
        <v>0</v>
      </c>
      <c r="X351" s="25" t="n">
        <f aca="false">X350+1</f>
        <v>325</v>
      </c>
      <c r="Y351" s="21" t="n">
        <f aca="false">MAX(0,ROUND(Y350*(1+Y$15),2)-AL350)</f>
        <v>0</v>
      </c>
      <c r="Z351" s="21" t="n">
        <f aca="false">MAX(0,ROUND(Z350*(1+Z$15),2)-AM350)</f>
        <v>0</v>
      </c>
      <c r="AA351" s="21" t="n">
        <f aca="false">MAX(0,ROUND(AA350*(1+AA$15),2)-AN350)</f>
        <v>0</v>
      </c>
      <c r="AB351" s="21" t="n">
        <f aca="false">MAX(0,ROUND(AB350*(1+AB$15),2)-AO350)</f>
        <v>0</v>
      </c>
      <c r="AC351" s="21" t="n">
        <f aca="false">MAX(0,ROUND(AC350*(1+AC$15),2)-AP350)</f>
        <v>0</v>
      </c>
      <c r="AD351" s="21" t="n">
        <f aca="false">MAX(0,ROUND(AD350*(1+AD$15),2)-AQ350)</f>
        <v>0</v>
      </c>
      <c r="AE351" s="21" t="n">
        <f aca="false">MIN(Y$16,ROUND(Y351*(1+Y$15),2))</f>
        <v>0</v>
      </c>
      <c r="AF351" s="21" t="n">
        <f aca="false">MIN(Z$16,ROUND(Z351*(1+Z$15),2))</f>
        <v>0</v>
      </c>
      <c r="AG351" s="21" t="n">
        <f aca="false">MIN(AA$16,ROUND(AA351*(1+AA$15),2))</f>
        <v>0</v>
      </c>
      <c r="AH351" s="21" t="n">
        <f aca="false">MIN(AB$16,ROUND(AB351*(1+AB$15),2))</f>
        <v>0</v>
      </c>
      <c r="AI351" s="21" t="n">
        <f aca="false">MIN(AC$16,ROUND(AC351*(1+AC$15),2))</f>
        <v>0</v>
      </c>
      <c r="AJ351" s="21" t="n">
        <f aca="false">MIN(AD$16,ROUND(AD351*(1+AD$15),2))</f>
        <v>0</v>
      </c>
      <c r="AK351" s="21" t="n">
        <f aca="false">Y$20-SUM(AE351:AJ351)</f>
        <v>1170</v>
      </c>
      <c r="AL351" s="21" t="n">
        <f aca="false">MIN(ROUND(Y351*(1+Y$15),2),AE351+MAX(0,AK351))</f>
        <v>0</v>
      </c>
      <c r="AM351" s="21" t="n">
        <f aca="false">MIN(ROUND(Z351*(1+Z$15),2),AF351+MAX(0,AK351-AL351+AE351))</f>
        <v>0</v>
      </c>
      <c r="AN351" s="21" t="n">
        <f aca="false">MIN(ROUND(AA351*(1+AA$15),2),AG351+MAX(0,AK351-AL351+AE351-AM351+AF351))</f>
        <v>0</v>
      </c>
      <c r="AO351" s="21" t="n">
        <f aca="false">MIN(ROUND(AB351*(1+AB$15),2),AH351+MAX(0,AK351-AL351+AE351-AM351+AF351-AN351+AG351))</f>
        <v>0</v>
      </c>
      <c r="AP351" s="21" t="n">
        <f aca="false">MIN(ROUND(AC351*(1+AC$15),2),AI351+MAX(0,AK351-AL351+AE351-AM351+AF351-AN351+AG351-AO351+AH351))</f>
        <v>0</v>
      </c>
      <c r="AQ351" s="21" t="n">
        <f aca="false">MIN(ROUND(AD351*(1+AD$15),2),AJ351+MAX(0,AK351-AL351+AE351-AM351+AF351-AN351+AG351-AO351+AH351-AP351+AI351))</f>
        <v>0</v>
      </c>
      <c r="AR351" s="21" t="n">
        <f aca="false">SUM(Y351:AD351)</f>
        <v>0</v>
      </c>
      <c r="AS351" s="21" t="n">
        <f aca="false">SUM(AL351:AQ351)</f>
        <v>0</v>
      </c>
    </row>
    <row r="352" customFormat="false" ht="15" hidden="false" customHeight="false" outlineLevel="0" collapsed="false">
      <c r="A352" s="25" t="n">
        <f aca="false">A351+1</f>
        <v>326</v>
      </c>
      <c r="B352" s="21" t="n">
        <f aca="false">MAX(0,ROUND(B351*(1+B$15),2)-O351)</f>
        <v>0</v>
      </c>
      <c r="C352" s="21" t="n">
        <f aca="false">MAX(0,ROUND(C351*(1+C$15),2)-P351)</f>
        <v>0</v>
      </c>
      <c r="D352" s="21" t="n">
        <f aca="false">MAX(0,ROUND(D351*(1+D$15),2)-Q351)</f>
        <v>0</v>
      </c>
      <c r="E352" s="21" t="n">
        <f aca="false">MAX(0,ROUND(E351*(1+E$15),2)-R351)</f>
        <v>0</v>
      </c>
      <c r="F352" s="21" t="n">
        <f aca="false">MAX(0,ROUND(F351*(1+F$15),2)-S351)</f>
        <v>0</v>
      </c>
      <c r="G352" s="21" t="n">
        <f aca="false">MAX(0,ROUND(G351*(1+G$15),2)-T351)</f>
        <v>0</v>
      </c>
      <c r="H352" s="21" t="n">
        <f aca="false">MIN(B$16,ROUND(B352*(1+B$15),2))</f>
        <v>0</v>
      </c>
      <c r="I352" s="21" t="n">
        <f aca="false">MIN(C$16,ROUND(C352*(1+C$15),2))</f>
        <v>0</v>
      </c>
      <c r="J352" s="21" t="n">
        <f aca="false">MIN(D$16,ROUND(D352*(1+D$15),2))</f>
        <v>0</v>
      </c>
      <c r="K352" s="21" t="n">
        <f aca="false">MIN(E$16,ROUND(E352*(1+E$15),2))</f>
        <v>0</v>
      </c>
      <c r="L352" s="21" t="n">
        <f aca="false">MIN(F$16,ROUND(F352*(1+F$15),2))</f>
        <v>0</v>
      </c>
      <c r="M352" s="21" t="n">
        <f aca="false">MIN(G$16,ROUND(G352*(1+G$15),2))</f>
        <v>0</v>
      </c>
      <c r="N352" s="21" t="n">
        <f aca="false">B$20-SUM(H352:M352)</f>
        <v>1170</v>
      </c>
      <c r="O352" s="21" t="n">
        <f aca="false">MIN(ROUND(B352*(1+B$15),2),H352+MAX(0,N352))</f>
        <v>0</v>
      </c>
      <c r="P352" s="21" t="n">
        <f aca="false">MIN(ROUND(C352*(1+C$15),2),I352+MAX(0,N352-O352+H352))</f>
        <v>0</v>
      </c>
      <c r="Q352" s="21" t="n">
        <f aca="false">MIN(ROUND(D352*(1+D$15),2),J352+MAX(0,N352-O352+H352-P352+I352))</f>
        <v>0</v>
      </c>
      <c r="R352" s="21" t="n">
        <f aca="false">MIN(ROUND(E352*(1+E$15),2),K352+MAX(0,N352-O352+H352-P352+I352-Q352+J352))</f>
        <v>0</v>
      </c>
      <c r="S352" s="21" t="n">
        <f aca="false">MIN(ROUND(F352*(1+F$15),2),L352+MAX(0,N352-O352+H352-P352+I352-Q352+J352-R352+K352))</f>
        <v>0</v>
      </c>
      <c r="T352" s="21" t="n">
        <f aca="false">MIN(ROUND(G352*(1+G$15),2),M352+MAX(0,N352-O352+H352-P352+I352-Q352+J352-R352+K352-S352+L352))</f>
        <v>0</v>
      </c>
      <c r="U352" s="21" t="n">
        <f aca="false">SUM(B352:G352)</f>
        <v>0</v>
      </c>
      <c r="V352" s="21" t="n">
        <f aca="false">SUM(O352:T352)</f>
        <v>0</v>
      </c>
      <c r="X352" s="25" t="n">
        <f aca="false">X351+1</f>
        <v>326</v>
      </c>
      <c r="Y352" s="21" t="n">
        <f aca="false">MAX(0,ROUND(Y351*(1+Y$15),2)-AL351)</f>
        <v>0</v>
      </c>
      <c r="Z352" s="21" t="n">
        <f aca="false">MAX(0,ROUND(Z351*(1+Z$15),2)-AM351)</f>
        <v>0</v>
      </c>
      <c r="AA352" s="21" t="n">
        <f aca="false">MAX(0,ROUND(AA351*(1+AA$15),2)-AN351)</f>
        <v>0</v>
      </c>
      <c r="AB352" s="21" t="n">
        <f aca="false">MAX(0,ROUND(AB351*(1+AB$15),2)-AO351)</f>
        <v>0</v>
      </c>
      <c r="AC352" s="21" t="n">
        <f aca="false">MAX(0,ROUND(AC351*(1+AC$15),2)-AP351)</f>
        <v>0</v>
      </c>
      <c r="AD352" s="21" t="n">
        <f aca="false">MAX(0,ROUND(AD351*(1+AD$15),2)-AQ351)</f>
        <v>0</v>
      </c>
      <c r="AE352" s="21" t="n">
        <f aca="false">MIN(Y$16,ROUND(Y352*(1+Y$15),2))</f>
        <v>0</v>
      </c>
      <c r="AF352" s="21" t="n">
        <f aca="false">MIN(Z$16,ROUND(Z352*(1+Z$15),2))</f>
        <v>0</v>
      </c>
      <c r="AG352" s="21" t="n">
        <f aca="false">MIN(AA$16,ROUND(AA352*(1+AA$15),2))</f>
        <v>0</v>
      </c>
      <c r="AH352" s="21" t="n">
        <f aca="false">MIN(AB$16,ROUND(AB352*(1+AB$15),2))</f>
        <v>0</v>
      </c>
      <c r="AI352" s="21" t="n">
        <f aca="false">MIN(AC$16,ROUND(AC352*(1+AC$15),2))</f>
        <v>0</v>
      </c>
      <c r="AJ352" s="21" t="n">
        <f aca="false">MIN(AD$16,ROUND(AD352*(1+AD$15),2))</f>
        <v>0</v>
      </c>
      <c r="AK352" s="21" t="n">
        <f aca="false">Y$20-SUM(AE352:AJ352)</f>
        <v>1170</v>
      </c>
      <c r="AL352" s="21" t="n">
        <f aca="false">MIN(ROUND(Y352*(1+Y$15),2),AE352+MAX(0,AK352))</f>
        <v>0</v>
      </c>
      <c r="AM352" s="21" t="n">
        <f aca="false">MIN(ROUND(Z352*(1+Z$15),2),AF352+MAX(0,AK352-AL352+AE352))</f>
        <v>0</v>
      </c>
      <c r="AN352" s="21" t="n">
        <f aca="false">MIN(ROUND(AA352*(1+AA$15),2),AG352+MAX(0,AK352-AL352+AE352-AM352+AF352))</f>
        <v>0</v>
      </c>
      <c r="AO352" s="21" t="n">
        <f aca="false">MIN(ROUND(AB352*(1+AB$15),2),AH352+MAX(0,AK352-AL352+AE352-AM352+AF352-AN352+AG352))</f>
        <v>0</v>
      </c>
      <c r="AP352" s="21" t="n">
        <f aca="false">MIN(ROUND(AC352*(1+AC$15),2),AI352+MAX(0,AK352-AL352+AE352-AM352+AF352-AN352+AG352-AO352+AH352))</f>
        <v>0</v>
      </c>
      <c r="AQ352" s="21" t="n">
        <f aca="false">MIN(ROUND(AD352*(1+AD$15),2),AJ352+MAX(0,AK352-AL352+AE352-AM352+AF352-AN352+AG352-AO352+AH352-AP352+AI352))</f>
        <v>0</v>
      </c>
      <c r="AR352" s="21" t="n">
        <f aca="false">SUM(Y352:AD352)</f>
        <v>0</v>
      </c>
      <c r="AS352" s="21" t="n">
        <f aca="false">SUM(AL352:AQ352)</f>
        <v>0</v>
      </c>
    </row>
    <row r="353" customFormat="false" ht="15" hidden="false" customHeight="false" outlineLevel="0" collapsed="false">
      <c r="A353" s="25" t="n">
        <f aca="false">A352+1</f>
        <v>327</v>
      </c>
      <c r="B353" s="21" t="n">
        <f aca="false">MAX(0,ROUND(B352*(1+B$15),2)-O352)</f>
        <v>0</v>
      </c>
      <c r="C353" s="21" t="n">
        <f aca="false">MAX(0,ROUND(C352*(1+C$15),2)-P352)</f>
        <v>0</v>
      </c>
      <c r="D353" s="21" t="n">
        <f aca="false">MAX(0,ROUND(D352*(1+D$15),2)-Q352)</f>
        <v>0</v>
      </c>
      <c r="E353" s="21" t="n">
        <f aca="false">MAX(0,ROUND(E352*(1+E$15),2)-R352)</f>
        <v>0</v>
      </c>
      <c r="F353" s="21" t="n">
        <f aca="false">MAX(0,ROUND(F352*(1+F$15),2)-S352)</f>
        <v>0</v>
      </c>
      <c r="G353" s="21" t="n">
        <f aca="false">MAX(0,ROUND(G352*(1+G$15),2)-T352)</f>
        <v>0</v>
      </c>
      <c r="H353" s="21" t="n">
        <f aca="false">MIN(B$16,ROUND(B353*(1+B$15),2))</f>
        <v>0</v>
      </c>
      <c r="I353" s="21" t="n">
        <f aca="false">MIN(C$16,ROUND(C353*(1+C$15),2))</f>
        <v>0</v>
      </c>
      <c r="J353" s="21" t="n">
        <f aca="false">MIN(D$16,ROUND(D353*(1+D$15),2))</f>
        <v>0</v>
      </c>
      <c r="K353" s="21" t="n">
        <f aca="false">MIN(E$16,ROUND(E353*(1+E$15),2))</f>
        <v>0</v>
      </c>
      <c r="L353" s="21" t="n">
        <f aca="false">MIN(F$16,ROUND(F353*(1+F$15),2))</f>
        <v>0</v>
      </c>
      <c r="M353" s="21" t="n">
        <f aca="false">MIN(G$16,ROUND(G353*(1+G$15),2))</f>
        <v>0</v>
      </c>
      <c r="N353" s="21" t="n">
        <f aca="false">B$20-SUM(H353:M353)</f>
        <v>1170</v>
      </c>
      <c r="O353" s="21" t="n">
        <f aca="false">MIN(ROUND(B353*(1+B$15),2),H353+MAX(0,N353))</f>
        <v>0</v>
      </c>
      <c r="P353" s="21" t="n">
        <f aca="false">MIN(ROUND(C353*(1+C$15),2),I353+MAX(0,N353-O353+H353))</f>
        <v>0</v>
      </c>
      <c r="Q353" s="21" t="n">
        <f aca="false">MIN(ROUND(D353*(1+D$15),2),J353+MAX(0,N353-O353+H353-P353+I353))</f>
        <v>0</v>
      </c>
      <c r="R353" s="21" t="n">
        <f aca="false">MIN(ROUND(E353*(1+E$15),2),K353+MAX(0,N353-O353+H353-P353+I353-Q353+J353))</f>
        <v>0</v>
      </c>
      <c r="S353" s="21" t="n">
        <f aca="false">MIN(ROUND(F353*(1+F$15),2),L353+MAX(0,N353-O353+H353-P353+I353-Q353+J353-R353+K353))</f>
        <v>0</v>
      </c>
      <c r="T353" s="21" t="n">
        <f aca="false">MIN(ROUND(G353*(1+G$15),2),M353+MAX(0,N353-O353+H353-P353+I353-Q353+J353-R353+K353-S353+L353))</f>
        <v>0</v>
      </c>
      <c r="U353" s="21" t="n">
        <f aca="false">SUM(B353:G353)</f>
        <v>0</v>
      </c>
      <c r="V353" s="21" t="n">
        <f aca="false">SUM(O353:T353)</f>
        <v>0</v>
      </c>
      <c r="X353" s="25" t="n">
        <f aca="false">X352+1</f>
        <v>327</v>
      </c>
      <c r="Y353" s="21" t="n">
        <f aca="false">MAX(0,ROUND(Y352*(1+Y$15),2)-AL352)</f>
        <v>0</v>
      </c>
      <c r="Z353" s="21" t="n">
        <f aca="false">MAX(0,ROUND(Z352*(1+Z$15),2)-AM352)</f>
        <v>0</v>
      </c>
      <c r="AA353" s="21" t="n">
        <f aca="false">MAX(0,ROUND(AA352*(1+AA$15),2)-AN352)</f>
        <v>0</v>
      </c>
      <c r="AB353" s="21" t="n">
        <f aca="false">MAX(0,ROUND(AB352*(1+AB$15),2)-AO352)</f>
        <v>0</v>
      </c>
      <c r="AC353" s="21" t="n">
        <f aca="false">MAX(0,ROUND(AC352*(1+AC$15),2)-AP352)</f>
        <v>0</v>
      </c>
      <c r="AD353" s="21" t="n">
        <f aca="false">MAX(0,ROUND(AD352*(1+AD$15),2)-AQ352)</f>
        <v>0</v>
      </c>
      <c r="AE353" s="21" t="n">
        <f aca="false">MIN(Y$16,ROUND(Y353*(1+Y$15),2))</f>
        <v>0</v>
      </c>
      <c r="AF353" s="21" t="n">
        <f aca="false">MIN(Z$16,ROUND(Z353*(1+Z$15),2))</f>
        <v>0</v>
      </c>
      <c r="AG353" s="21" t="n">
        <f aca="false">MIN(AA$16,ROUND(AA353*(1+AA$15),2))</f>
        <v>0</v>
      </c>
      <c r="AH353" s="21" t="n">
        <f aca="false">MIN(AB$16,ROUND(AB353*(1+AB$15),2))</f>
        <v>0</v>
      </c>
      <c r="AI353" s="21" t="n">
        <f aca="false">MIN(AC$16,ROUND(AC353*(1+AC$15),2))</f>
        <v>0</v>
      </c>
      <c r="AJ353" s="21" t="n">
        <f aca="false">MIN(AD$16,ROUND(AD353*(1+AD$15),2))</f>
        <v>0</v>
      </c>
      <c r="AK353" s="21" t="n">
        <f aca="false">Y$20-SUM(AE353:AJ353)</f>
        <v>1170</v>
      </c>
      <c r="AL353" s="21" t="n">
        <f aca="false">MIN(ROUND(Y353*(1+Y$15),2),AE353+MAX(0,AK353))</f>
        <v>0</v>
      </c>
      <c r="AM353" s="21" t="n">
        <f aca="false">MIN(ROUND(Z353*(1+Z$15),2),AF353+MAX(0,AK353-AL353+AE353))</f>
        <v>0</v>
      </c>
      <c r="AN353" s="21" t="n">
        <f aca="false">MIN(ROUND(AA353*(1+AA$15),2),AG353+MAX(0,AK353-AL353+AE353-AM353+AF353))</f>
        <v>0</v>
      </c>
      <c r="AO353" s="21" t="n">
        <f aca="false">MIN(ROUND(AB353*(1+AB$15),2),AH353+MAX(0,AK353-AL353+AE353-AM353+AF353-AN353+AG353))</f>
        <v>0</v>
      </c>
      <c r="AP353" s="21" t="n">
        <f aca="false">MIN(ROUND(AC353*(1+AC$15),2),AI353+MAX(0,AK353-AL353+AE353-AM353+AF353-AN353+AG353-AO353+AH353))</f>
        <v>0</v>
      </c>
      <c r="AQ353" s="21" t="n">
        <f aca="false">MIN(ROUND(AD353*(1+AD$15),2),AJ353+MAX(0,AK353-AL353+AE353-AM353+AF353-AN353+AG353-AO353+AH353-AP353+AI353))</f>
        <v>0</v>
      </c>
      <c r="AR353" s="21" t="n">
        <f aca="false">SUM(Y353:AD353)</f>
        <v>0</v>
      </c>
      <c r="AS353" s="21" t="n">
        <f aca="false">SUM(AL353:AQ353)</f>
        <v>0</v>
      </c>
    </row>
    <row r="354" customFormat="false" ht="15" hidden="false" customHeight="false" outlineLevel="0" collapsed="false">
      <c r="A354" s="25" t="n">
        <f aca="false">A353+1</f>
        <v>328</v>
      </c>
      <c r="B354" s="21" t="n">
        <f aca="false">MAX(0,ROUND(B353*(1+B$15),2)-O353)</f>
        <v>0</v>
      </c>
      <c r="C354" s="21" t="n">
        <f aca="false">MAX(0,ROUND(C353*(1+C$15),2)-P353)</f>
        <v>0</v>
      </c>
      <c r="D354" s="21" t="n">
        <f aca="false">MAX(0,ROUND(D353*(1+D$15),2)-Q353)</f>
        <v>0</v>
      </c>
      <c r="E354" s="21" t="n">
        <f aca="false">MAX(0,ROUND(E353*(1+E$15),2)-R353)</f>
        <v>0</v>
      </c>
      <c r="F354" s="21" t="n">
        <f aca="false">MAX(0,ROUND(F353*(1+F$15),2)-S353)</f>
        <v>0</v>
      </c>
      <c r="G354" s="21" t="n">
        <f aca="false">MAX(0,ROUND(G353*(1+G$15),2)-T353)</f>
        <v>0</v>
      </c>
      <c r="H354" s="21" t="n">
        <f aca="false">MIN(B$16,ROUND(B354*(1+B$15),2))</f>
        <v>0</v>
      </c>
      <c r="I354" s="21" t="n">
        <f aca="false">MIN(C$16,ROUND(C354*(1+C$15),2))</f>
        <v>0</v>
      </c>
      <c r="J354" s="21" t="n">
        <f aca="false">MIN(D$16,ROUND(D354*(1+D$15),2))</f>
        <v>0</v>
      </c>
      <c r="K354" s="21" t="n">
        <f aca="false">MIN(E$16,ROUND(E354*(1+E$15),2))</f>
        <v>0</v>
      </c>
      <c r="L354" s="21" t="n">
        <f aca="false">MIN(F$16,ROUND(F354*(1+F$15),2))</f>
        <v>0</v>
      </c>
      <c r="M354" s="21" t="n">
        <f aca="false">MIN(G$16,ROUND(G354*(1+G$15),2))</f>
        <v>0</v>
      </c>
      <c r="N354" s="21" t="n">
        <f aca="false">B$20-SUM(H354:M354)</f>
        <v>1170</v>
      </c>
      <c r="O354" s="21" t="n">
        <f aca="false">MIN(ROUND(B354*(1+B$15),2),H354+MAX(0,N354))</f>
        <v>0</v>
      </c>
      <c r="P354" s="21" t="n">
        <f aca="false">MIN(ROUND(C354*(1+C$15),2),I354+MAX(0,N354-O354+H354))</f>
        <v>0</v>
      </c>
      <c r="Q354" s="21" t="n">
        <f aca="false">MIN(ROUND(D354*(1+D$15),2),J354+MAX(0,N354-O354+H354-P354+I354))</f>
        <v>0</v>
      </c>
      <c r="R354" s="21" t="n">
        <f aca="false">MIN(ROUND(E354*(1+E$15),2),K354+MAX(0,N354-O354+H354-P354+I354-Q354+J354))</f>
        <v>0</v>
      </c>
      <c r="S354" s="21" t="n">
        <f aca="false">MIN(ROUND(F354*(1+F$15),2),L354+MAX(0,N354-O354+H354-P354+I354-Q354+J354-R354+K354))</f>
        <v>0</v>
      </c>
      <c r="T354" s="21" t="n">
        <f aca="false">MIN(ROUND(G354*(1+G$15),2),M354+MAX(0,N354-O354+H354-P354+I354-Q354+J354-R354+K354-S354+L354))</f>
        <v>0</v>
      </c>
      <c r="U354" s="21" t="n">
        <f aca="false">SUM(B354:G354)</f>
        <v>0</v>
      </c>
      <c r="V354" s="21" t="n">
        <f aca="false">SUM(O354:T354)</f>
        <v>0</v>
      </c>
      <c r="X354" s="25" t="n">
        <f aca="false">X353+1</f>
        <v>328</v>
      </c>
      <c r="Y354" s="21" t="n">
        <f aca="false">MAX(0,ROUND(Y353*(1+Y$15),2)-AL353)</f>
        <v>0</v>
      </c>
      <c r="Z354" s="21" t="n">
        <f aca="false">MAX(0,ROUND(Z353*(1+Z$15),2)-AM353)</f>
        <v>0</v>
      </c>
      <c r="AA354" s="21" t="n">
        <f aca="false">MAX(0,ROUND(AA353*(1+AA$15),2)-AN353)</f>
        <v>0</v>
      </c>
      <c r="AB354" s="21" t="n">
        <f aca="false">MAX(0,ROUND(AB353*(1+AB$15),2)-AO353)</f>
        <v>0</v>
      </c>
      <c r="AC354" s="21" t="n">
        <f aca="false">MAX(0,ROUND(AC353*(1+AC$15),2)-AP353)</f>
        <v>0</v>
      </c>
      <c r="AD354" s="21" t="n">
        <f aca="false">MAX(0,ROUND(AD353*(1+AD$15),2)-AQ353)</f>
        <v>0</v>
      </c>
      <c r="AE354" s="21" t="n">
        <f aca="false">MIN(Y$16,ROUND(Y354*(1+Y$15),2))</f>
        <v>0</v>
      </c>
      <c r="AF354" s="21" t="n">
        <f aca="false">MIN(Z$16,ROUND(Z354*(1+Z$15),2))</f>
        <v>0</v>
      </c>
      <c r="AG354" s="21" t="n">
        <f aca="false">MIN(AA$16,ROUND(AA354*(1+AA$15),2))</f>
        <v>0</v>
      </c>
      <c r="AH354" s="21" t="n">
        <f aca="false">MIN(AB$16,ROUND(AB354*(1+AB$15),2))</f>
        <v>0</v>
      </c>
      <c r="AI354" s="21" t="n">
        <f aca="false">MIN(AC$16,ROUND(AC354*(1+AC$15),2))</f>
        <v>0</v>
      </c>
      <c r="AJ354" s="21" t="n">
        <f aca="false">MIN(AD$16,ROUND(AD354*(1+AD$15),2))</f>
        <v>0</v>
      </c>
      <c r="AK354" s="21" t="n">
        <f aca="false">Y$20-SUM(AE354:AJ354)</f>
        <v>1170</v>
      </c>
      <c r="AL354" s="21" t="n">
        <f aca="false">MIN(ROUND(Y354*(1+Y$15),2),AE354+MAX(0,AK354))</f>
        <v>0</v>
      </c>
      <c r="AM354" s="21" t="n">
        <f aca="false">MIN(ROUND(Z354*(1+Z$15),2),AF354+MAX(0,AK354-AL354+AE354))</f>
        <v>0</v>
      </c>
      <c r="AN354" s="21" t="n">
        <f aca="false">MIN(ROUND(AA354*(1+AA$15),2),AG354+MAX(0,AK354-AL354+AE354-AM354+AF354))</f>
        <v>0</v>
      </c>
      <c r="AO354" s="21" t="n">
        <f aca="false">MIN(ROUND(AB354*(1+AB$15),2),AH354+MAX(0,AK354-AL354+AE354-AM354+AF354-AN354+AG354))</f>
        <v>0</v>
      </c>
      <c r="AP354" s="21" t="n">
        <f aca="false">MIN(ROUND(AC354*(1+AC$15),2),AI354+MAX(0,AK354-AL354+AE354-AM354+AF354-AN354+AG354-AO354+AH354))</f>
        <v>0</v>
      </c>
      <c r="AQ354" s="21" t="n">
        <f aca="false">MIN(ROUND(AD354*(1+AD$15),2),AJ354+MAX(0,AK354-AL354+AE354-AM354+AF354-AN354+AG354-AO354+AH354-AP354+AI354))</f>
        <v>0</v>
      </c>
      <c r="AR354" s="21" t="n">
        <f aca="false">SUM(Y354:AD354)</f>
        <v>0</v>
      </c>
      <c r="AS354" s="21" t="n">
        <f aca="false">SUM(AL354:AQ354)</f>
        <v>0</v>
      </c>
    </row>
    <row r="355" customFormat="false" ht="15" hidden="false" customHeight="false" outlineLevel="0" collapsed="false">
      <c r="A355" s="25" t="n">
        <f aca="false">A354+1</f>
        <v>329</v>
      </c>
      <c r="B355" s="21" t="n">
        <f aca="false">MAX(0,ROUND(B354*(1+B$15),2)-O354)</f>
        <v>0</v>
      </c>
      <c r="C355" s="21" t="n">
        <f aca="false">MAX(0,ROUND(C354*(1+C$15),2)-P354)</f>
        <v>0</v>
      </c>
      <c r="D355" s="21" t="n">
        <f aca="false">MAX(0,ROUND(D354*(1+D$15),2)-Q354)</f>
        <v>0</v>
      </c>
      <c r="E355" s="21" t="n">
        <f aca="false">MAX(0,ROUND(E354*(1+E$15),2)-R354)</f>
        <v>0</v>
      </c>
      <c r="F355" s="21" t="n">
        <f aca="false">MAX(0,ROUND(F354*(1+F$15),2)-S354)</f>
        <v>0</v>
      </c>
      <c r="G355" s="21" t="n">
        <f aca="false">MAX(0,ROUND(G354*(1+G$15),2)-T354)</f>
        <v>0</v>
      </c>
      <c r="H355" s="21" t="n">
        <f aca="false">MIN(B$16,ROUND(B355*(1+B$15),2))</f>
        <v>0</v>
      </c>
      <c r="I355" s="21" t="n">
        <f aca="false">MIN(C$16,ROUND(C355*(1+C$15),2))</f>
        <v>0</v>
      </c>
      <c r="J355" s="21" t="n">
        <f aca="false">MIN(D$16,ROUND(D355*(1+D$15),2))</f>
        <v>0</v>
      </c>
      <c r="K355" s="21" t="n">
        <f aca="false">MIN(E$16,ROUND(E355*(1+E$15),2))</f>
        <v>0</v>
      </c>
      <c r="L355" s="21" t="n">
        <f aca="false">MIN(F$16,ROUND(F355*(1+F$15),2))</f>
        <v>0</v>
      </c>
      <c r="M355" s="21" t="n">
        <f aca="false">MIN(G$16,ROUND(G355*(1+G$15),2))</f>
        <v>0</v>
      </c>
      <c r="N355" s="21" t="n">
        <f aca="false">B$20-SUM(H355:M355)</f>
        <v>1170</v>
      </c>
      <c r="O355" s="21" t="n">
        <f aca="false">MIN(ROUND(B355*(1+B$15),2),H355+MAX(0,N355))</f>
        <v>0</v>
      </c>
      <c r="P355" s="21" t="n">
        <f aca="false">MIN(ROUND(C355*(1+C$15),2),I355+MAX(0,N355-O355+H355))</f>
        <v>0</v>
      </c>
      <c r="Q355" s="21" t="n">
        <f aca="false">MIN(ROUND(D355*(1+D$15),2),J355+MAX(0,N355-O355+H355-P355+I355))</f>
        <v>0</v>
      </c>
      <c r="R355" s="21" t="n">
        <f aca="false">MIN(ROUND(E355*(1+E$15),2),K355+MAX(0,N355-O355+H355-P355+I355-Q355+J355))</f>
        <v>0</v>
      </c>
      <c r="S355" s="21" t="n">
        <f aca="false">MIN(ROUND(F355*(1+F$15),2),L355+MAX(0,N355-O355+H355-P355+I355-Q355+J355-R355+K355))</f>
        <v>0</v>
      </c>
      <c r="T355" s="21" t="n">
        <f aca="false">MIN(ROUND(G355*(1+G$15),2),M355+MAX(0,N355-O355+H355-P355+I355-Q355+J355-R355+K355-S355+L355))</f>
        <v>0</v>
      </c>
      <c r="U355" s="21" t="n">
        <f aca="false">SUM(B355:G355)</f>
        <v>0</v>
      </c>
      <c r="V355" s="21" t="n">
        <f aca="false">SUM(O355:T355)</f>
        <v>0</v>
      </c>
      <c r="X355" s="25" t="n">
        <f aca="false">X354+1</f>
        <v>329</v>
      </c>
      <c r="Y355" s="21" t="n">
        <f aca="false">MAX(0,ROUND(Y354*(1+Y$15),2)-AL354)</f>
        <v>0</v>
      </c>
      <c r="Z355" s="21" t="n">
        <f aca="false">MAX(0,ROUND(Z354*(1+Z$15),2)-AM354)</f>
        <v>0</v>
      </c>
      <c r="AA355" s="21" t="n">
        <f aca="false">MAX(0,ROUND(AA354*(1+AA$15),2)-AN354)</f>
        <v>0</v>
      </c>
      <c r="AB355" s="21" t="n">
        <f aca="false">MAX(0,ROUND(AB354*(1+AB$15),2)-AO354)</f>
        <v>0</v>
      </c>
      <c r="AC355" s="21" t="n">
        <f aca="false">MAX(0,ROUND(AC354*(1+AC$15),2)-AP354)</f>
        <v>0</v>
      </c>
      <c r="AD355" s="21" t="n">
        <f aca="false">MAX(0,ROUND(AD354*(1+AD$15),2)-AQ354)</f>
        <v>0</v>
      </c>
      <c r="AE355" s="21" t="n">
        <f aca="false">MIN(Y$16,ROUND(Y355*(1+Y$15),2))</f>
        <v>0</v>
      </c>
      <c r="AF355" s="21" t="n">
        <f aca="false">MIN(Z$16,ROUND(Z355*(1+Z$15),2))</f>
        <v>0</v>
      </c>
      <c r="AG355" s="21" t="n">
        <f aca="false">MIN(AA$16,ROUND(AA355*(1+AA$15),2))</f>
        <v>0</v>
      </c>
      <c r="AH355" s="21" t="n">
        <f aca="false">MIN(AB$16,ROUND(AB355*(1+AB$15),2))</f>
        <v>0</v>
      </c>
      <c r="AI355" s="21" t="n">
        <f aca="false">MIN(AC$16,ROUND(AC355*(1+AC$15),2))</f>
        <v>0</v>
      </c>
      <c r="AJ355" s="21" t="n">
        <f aca="false">MIN(AD$16,ROUND(AD355*(1+AD$15),2))</f>
        <v>0</v>
      </c>
      <c r="AK355" s="21" t="n">
        <f aca="false">Y$20-SUM(AE355:AJ355)</f>
        <v>1170</v>
      </c>
      <c r="AL355" s="21" t="n">
        <f aca="false">MIN(ROUND(Y355*(1+Y$15),2),AE355+MAX(0,AK355))</f>
        <v>0</v>
      </c>
      <c r="AM355" s="21" t="n">
        <f aca="false">MIN(ROUND(Z355*(1+Z$15),2),AF355+MAX(0,AK355-AL355+AE355))</f>
        <v>0</v>
      </c>
      <c r="AN355" s="21" t="n">
        <f aca="false">MIN(ROUND(AA355*(1+AA$15),2),AG355+MAX(0,AK355-AL355+AE355-AM355+AF355))</f>
        <v>0</v>
      </c>
      <c r="AO355" s="21" t="n">
        <f aca="false">MIN(ROUND(AB355*(1+AB$15),2),AH355+MAX(0,AK355-AL355+AE355-AM355+AF355-AN355+AG355))</f>
        <v>0</v>
      </c>
      <c r="AP355" s="21" t="n">
        <f aca="false">MIN(ROUND(AC355*(1+AC$15),2),AI355+MAX(0,AK355-AL355+AE355-AM355+AF355-AN355+AG355-AO355+AH355))</f>
        <v>0</v>
      </c>
      <c r="AQ355" s="21" t="n">
        <f aca="false">MIN(ROUND(AD355*(1+AD$15),2),AJ355+MAX(0,AK355-AL355+AE355-AM355+AF355-AN355+AG355-AO355+AH355-AP355+AI355))</f>
        <v>0</v>
      </c>
      <c r="AR355" s="21" t="n">
        <f aca="false">SUM(Y355:AD355)</f>
        <v>0</v>
      </c>
      <c r="AS355" s="21" t="n">
        <f aca="false">SUM(AL355:AQ355)</f>
        <v>0</v>
      </c>
    </row>
    <row r="356" customFormat="false" ht="15" hidden="false" customHeight="false" outlineLevel="0" collapsed="false">
      <c r="A356" s="25" t="n">
        <f aca="false">A355+1</f>
        <v>330</v>
      </c>
      <c r="B356" s="21" t="n">
        <f aca="false">MAX(0,ROUND(B355*(1+B$15),2)-O355)</f>
        <v>0</v>
      </c>
      <c r="C356" s="21" t="n">
        <f aca="false">MAX(0,ROUND(C355*(1+C$15),2)-P355)</f>
        <v>0</v>
      </c>
      <c r="D356" s="21" t="n">
        <f aca="false">MAX(0,ROUND(D355*(1+D$15),2)-Q355)</f>
        <v>0</v>
      </c>
      <c r="E356" s="21" t="n">
        <f aca="false">MAX(0,ROUND(E355*(1+E$15),2)-R355)</f>
        <v>0</v>
      </c>
      <c r="F356" s="21" t="n">
        <f aca="false">MAX(0,ROUND(F355*(1+F$15),2)-S355)</f>
        <v>0</v>
      </c>
      <c r="G356" s="21" t="n">
        <f aca="false">MAX(0,ROUND(G355*(1+G$15),2)-T355)</f>
        <v>0</v>
      </c>
      <c r="H356" s="21" t="n">
        <f aca="false">MIN(B$16,ROUND(B356*(1+B$15),2))</f>
        <v>0</v>
      </c>
      <c r="I356" s="21" t="n">
        <f aca="false">MIN(C$16,ROUND(C356*(1+C$15),2))</f>
        <v>0</v>
      </c>
      <c r="J356" s="21" t="n">
        <f aca="false">MIN(D$16,ROUND(D356*(1+D$15),2))</f>
        <v>0</v>
      </c>
      <c r="K356" s="21" t="n">
        <f aca="false">MIN(E$16,ROUND(E356*(1+E$15),2))</f>
        <v>0</v>
      </c>
      <c r="L356" s="21" t="n">
        <f aca="false">MIN(F$16,ROUND(F356*(1+F$15),2))</f>
        <v>0</v>
      </c>
      <c r="M356" s="21" t="n">
        <f aca="false">MIN(G$16,ROUND(G356*(1+G$15),2))</f>
        <v>0</v>
      </c>
      <c r="N356" s="21" t="n">
        <f aca="false">B$20-SUM(H356:M356)</f>
        <v>1170</v>
      </c>
      <c r="O356" s="21" t="n">
        <f aca="false">MIN(ROUND(B356*(1+B$15),2),H356+MAX(0,N356))</f>
        <v>0</v>
      </c>
      <c r="P356" s="21" t="n">
        <f aca="false">MIN(ROUND(C356*(1+C$15),2),I356+MAX(0,N356-O356+H356))</f>
        <v>0</v>
      </c>
      <c r="Q356" s="21" t="n">
        <f aca="false">MIN(ROUND(D356*(1+D$15),2),J356+MAX(0,N356-O356+H356-P356+I356))</f>
        <v>0</v>
      </c>
      <c r="R356" s="21" t="n">
        <f aca="false">MIN(ROUND(E356*(1+E$15),2),K356+MAX(0,N356-O356+H356-P356+I356-Q356+J356))</f>
        <v>0</v>
      </c>
      <c r="S356" s="21" t="n">
        <f aca="false">MIN(ROUND(F356*(1+F$15),2),L356+MAX(0,N356-O356+H356-P356+I356-Q356+J356-R356+K356))</f>
        <v>0</v>
      </c>
      <c r="T356" s="21" t="n">
        <f aca="false">MIN(ROUND(G356*(1+G$15),2),M356+MAX(0,N356-O356+H356-P356+I356-Q356+J356-R356+K356-S356+L356))</f>
        <v>0</v>
      </c>
      <c r="U356" s="21" t="n">
        <f aca="false">SUM(B356:G356)</f>
        <v>0</v>
      </c>
      <c r="V356" s="21" t="n">
        <f aca="false">SUM(O356:T356)</f>
        <v>0</v>
      </c>
      <c r="X356" s="25" t="n">
        <f aca="false">X355+1</f>
        <v>330</v>
      </c>
      <c r="Y356" s="21" t="n">
        <f aca="false">MAX(0,ROUND(Y355*(1+Y$15),2)-AL355)</f>
        <v>0</v>
      </c>
      <c r="Z356" s="21" t="n">
        <f aca="false">MAX(0,ROUND(Z355*(1+Z$15),2)-AM355)</f>
        <v>0</v>
      </c>
      <c r="AA356" s="21" t="n">
        <f aca="false">MAX(0,ROUND(AA355*(1+AA$15),2)-AN355)</f>
        <v>0</v>
      </c>
      <c r="AB356" s="21" t="n">
        <f aca="false">MAX(0,ROUND(AB355*(1+AB$15),2)-AO355)</f>
        <v>0</v>
      </c>
      <c r="AC356" s="21" t="n">
        <f aca="false">MAX(0,ROUND(AC355*(1+AC$15),2)-AP355)</f>
        <v>0</v>
      </c>
      <c r="AD356" s="21" t="n">
        <f aca="false">MAX(0,ROUND(AD355*(1+AD$15),2)-AQ355)</f>
        <v>0</v>
      </c>
      <c r="AE356" s="21" t="n">
        <f aca="false">MIN(Y$16,ROUND(Y356*(1+Y$15),2))</f>
        <v>0</v>
      </c>
      <c r="AF356" s="21" t="n">
        <f aca="false">MIN(Z$16,ROUND(Z356*(1+Z$15),2))</f>
        <v>0</v>
      </c>
      <c r="AG356" s="21" t="n">
        <f aca="false">MIN(AA$16,ROUND(AA356*(1+AA$15),2))</f>
        <v>0</v>
      </c>
      <c r="AH356" s="21" t="n">
        <f aca="false">MIN(AB$16,ROUND(AB356*(1+AB$15),2))</f>
        <v>0</v>
      </c>
      <c r="AI356" s="21" t="n">
        <f aca="false">MIN(AC$16,ROUND(AC356*(1+AC$15),2))</f>
        <v>0</v>
      </c>
      <c r="AJ356" s="21" t="n">
        <f aca="false">MIN(AD$16,ROUND(AD356*(1+AD$15),2))</f>
        <v>0</v>
      </c>
      <c r="AK356" s="21" t="n">
        <f aca="false">Y$20-SUM(AE356:AJ356)</f>
        <v>1170</v>
      </c>
      <c r="AL356" s="21" t="n">
        <f aca="false">MIN(ROUND(Y356*(1+Y$15),2),AE356+MAX(0,AK356))</f>
        <v>0</v>
      </c>
      <c r="AM356" s="21" t="n">
        <f aca="false">MIN(ROUND(Z356*(1+Z$15),2),AF356+MAX(0,AK356-AL356+AE356))</f>
        <v>0</v>
      </c>
      <c r="AN356" s="21" t="n">
        <f aca="false">MIN(ROUND(AA356*(1+AA$15),2),AG356+MAX(0,AK356-AL356+AE356-AM356+AF356))</f>
        <v>0</v>
      </c>
      <c r="AO356" s="21" t="n">
        <f aca="false">MIN(ROUND(AB356*(1+AB$15),2),AH356+MAX(0,AK356-AL356+AE356-AM356+AF356-AN356+AG356))</f>
        <v>0</v>
      </c>
      <c r="AP356" s="21" t="n">
        <f aca="false">MIN(ROUND(AC356*(1+AC$15),2),AI356+MAX(0,AK356-AL356+AE356-AM356+AF356-AN356+AG356-AO356+AH356))</f>
        <v>0</v>
      </c>
      <c r="AQ356" s="21" t="n">
        <f aca="false">MIN(ROUND(AD356*(1+AD$15),2),AJ356+MAX(0,AK356-AL356+AE356-AM356+AF356-AN356+AG356-AO356+AH356-AP356+AI356))</f>
        <v>0</v>
      </c>
      <c r="AR356" s="21" t="n">
        <f aca="false">SUM(Y356:AD356)</f>
        <v>0</v>
      </c>
      <c r="AS356" s="21" t="n">
        <f aca="false">SUM(AL356:AQ356)</f>
        <v>0</v>
      </c>
    </row>
    <row r="357" customFormat="false" ht="15" hidden="false" customHeight="false" outlineLevel="0" collapsed="false">
      <c r="A357" s="25" t="n">
        <f aca="false">A356+1</f>
        <v>331</v>
      </c>
      <c r="B357" s="21" t="n">
        <f aca="false">MAX(0,ROUND(B356*(1+B$15),2)-O356)</f>
        <v>0</v>
      </c>
      <c r="C357" s="21" t="n">
        <f aca="false">MAX(0,ROUND(C356*(1+C$15),2)-P356)</f>
        <v>0</v>
      </c>
      <c r="D357" s="21" t="n">
        <f aca="false">MAX(0,ROUND(D356*(1+D$15),2)-Q356)</f>
        <v>0</v>
      </c>
      <c r="E357" s="21" t="n">
        <f aca="false">MAX(0,ROUND(E356*(1+E$15),2)-R356)</f>
        <v>0</v>
      </c>
      <c r="F357" s="21" t="n">
        <f aca="false">MAX(0,ROUND(F356*(1+F$15),2)-S356)</f>
        <v>0</v>
      </c>
      <c r="G357" s="21" t="n">
        <f aca="false">MAX(0,ROUND(G356*(1+G$15),2)-T356)</f>
        <v>0</v>
      </c>
      <c r="H357" s="21" t="n">
        <f aca="false">MIN(B$16,ROUND(B357*(1+B$15),2))</f>
        <v>0</v>
      </c>
      <c r="I357" s="21" t="n">
        <f aca="false">MIN(C$16,ROUND(C357*(1+C$15),2))</f>
        <v>0</v>
      </c>
      <c r="J357" s="21" t="n">
        <f aca="false">MIN(D$16,ROUND(D357*(1+D$15),2))</f>
        <v>0</v>
      </c>
      <c r="K357" s="21" t="n">
        <f aca="false">MIN(E$16,ROUND(E357*(1+E$15),2))</f>
        <v>0</v>
      </c>
      <c r="L357" s="21" t="n">
        <f aca="false">MIN(F$16,ROUND(F357*(1+F$15),2))</f>
        <v>0</v>
      </c>
      <c r="M357" s="21" t="n">
        <f aca="false">MIN(G$16,ROUND(G357*(1+G$15),2))</f>
        <v>0</v>
      </c>
      <c r="N357" s="21" t="n">
        <f aca="false">B$20-SUM(H357:M357)</f>
        <v>1170</v>
      </c>
      <c r="O357" s="21" t="n">
        <f aca="false">MIN(ROUND(B357*(1+B$15),2),H357+MAX(0,N357))</f>
        <v>0</v>
      </c>
      <c r="P357" s="21" t="n">
        <f aca="false">MIN(ROUND(C357*(1+C$15),2),I357+MAX(0,N357-O357+H357))</f>
        <v>0</v>
      </c>
      <c r="Q357" s="21" t="n">
        <f aca="false">MIN(ROUND(D357*(1+D$15),2),J357+MAX(0,N357-O357+H357-P357+I357))</f>
        <v>0</v>
      </c>
      <c r="R357" s="21" t="n">
        <f aca="false">MIN(ROUND(E357*(1+E$15),2),K357+MAX(0,N357-O357+H357-P357+I357-Q357+J357))</f>
        <v>0</v>
      </c>
      <c r="S357" s="21" t="n">
        <f aca="false">MIN(ROUND(F357*(1+F$15),2),L357+MAX(0,N357-O357+H357-P357+I357-Q357+J357-R357+K357))</f>
        <v>0</v>
      </c>
      <c r="T357" s="21" t="n">
        <f aca="false">MIN(ROUND(G357*(1+G$15),2),M357+MAX(0,N357-O357+H357-P357+I357-Q357+J357-R357+K357-S357+L357))</f>
        <v>0</v>
      </c>
      <c r="U357" s="21" t="n">
        <f aca="false">SUM(B357:G357)</f>
        <v>0</v>
      </c>
      <c r="V357" s="21" t="n">
        <f aca="false">SUM(O357:T357)</f>
        <v>0</v>
      </c>
      <c r="X357" s="25" t="n">
        <f aca="false">X356+1</f>
        <v>331</v>
      </c>
      <c r="Y357" s="21" t="n">
        <f aca="false">MAX(0,ROUND(Y356*(1+Y$15),2)-AL356)</f>
        <v>0</v>
      </c>
      <c r="Z357" s="21" t="n">
        <f aca="false">MAX(0,ROUND(Z356*(1+Z$15),2)-AM356)</f>
        <v>0</v>
      </c>
      <c r="AA357" s="21" t="n">
        <f aca="false">MAX(0,ROUND(AA356*(1+AA$15),2)-AN356)</f>
        <v>0</v>
      </c>
      <c r="AB357" s="21" t="n">
        <f aca="false">MAX(0,ROUND(AB356*(1+AB$15),2)-AO356)</f>
        <v>0</v>
      </c>
      <c r="AC357" s="21" t="n">
        <f aca="false">MAX(0,ROUND(AC356*(1+AC$15),2)-AP356)</f>
        <v>0</v>
      </c>
      <c r="AD357" s="21" t="n">
        <f aca="false">MAX(0,ROUND(AD356*(1+AD$15),2)-AQ356)</f>
        <v>0</v>
      </c>
      <c r="AE357" s="21" t="n">
        <f aca="false">MIN(Y$16,ROUND(Y357*(1+Y$15),2))</f>
        <v>0</v>
      </c>
      <c r="AF357" s="21" t="n">
        <f aca="false">MIN(Z$16,ROUND(Z357*(1+Z$15),2))</f>
        <v>0</v>
      </c>
      <c r="AG357" s="21" t="n">
        <f aca="false">MIN(AA$16,ROUND(AA357*(1+AA$15),2))</f>
        <v>0</v>
      </c>
      <c r="AH357" s="21" t="n">
        <f aca="false">MIN(AB$16,ROUND(AB357*(1+AB$15),2))</f>
        <v>0</v>
      </c>
      <c r="AI357" s="21" t="n">
        <f aca="false">MIN(AC$16,ROUND(AC357*(1+AC$15),2))</f>
        <v>0</v>
      </c>
      <c r="AJ357" s="21" t="n">
        <f aca="false">MIN(AD$16,ROUND(AD357*(1+AD$15),2))</f>
        <v>0</v>
      </c>
      <c r="AK357" s="21" t="n">
        <f aca="false">Y$20-SUM(AE357:AJ357)</f>
        <v>1170</v>
      </c>
      <c r="AL357" s="21" t="n">
        <f aca="false">MIN(ROUND(Y357*(1+Y$15),2),AE357+MAX(0,AK357))</f>
        <v>0</v>
      </c>
      <c r="AM357" s="21" t="n">
        <f aca="false">MIN(ROUND(Z357*(1+Z$15),2),AF357+MAX(0,AK357-AL357+AE357))</f>
        <v>0</v>
      </c>
      <c r="AN357" s="21" t="n">
        <f aca="false">MIN(ROUND(AA357*(1+AA$15),2),AG357+MAX(0,AK357-AL357+AE357-AM357+AF357))</f>
        <v>0</v>
      </c>
      <c r="AO357" s="21" t="n">
        <f aca="false">MIN(ROUND(AB357*(1+AB$15),2),AH357+MAX(0,AK357-AL357+AE357-AM357+AF357-AN357+AG357))</f>
        <v>0</v>
      </c>
      <c r="AP357" s="21" t="n">
        <f aca="false">MIN(ROUND(AC357*(1+AC$15),2),AI357+MAX(0,AK357-AL357+AE357-AM357+AF357-AN357+AG357-AO357+AH357))</f>
        <v>0</v>
      </c>
      <c r="AQ357" s="21" t="n">
        <f aca="false">MIN(ROUND(AD357*(1+AD$15),2),AJ357+MAX(0,AK357-AL357+AE357-AM357+AF357-AN357+AG357-AO357+AH357-AP357+AI357))</f>
        <v>0</v>
      </c>
      <c r="AR357" s="21" t="n">
        <f aca="false">SUM(Y357:AD357)</f>
        <v>0</v>
      </c>
      <c r="AS357" s="21" t="n">
        <f aca="false">SUM(AL357:AQ357)</f>
        <v>0</v>
      </c>
    </row>
    <row r="358" customFormat="false" ht="15" hidden="false" customHeight="false" outlineLevel="0" collapsed="false">
      <c r="A358" s="25" t="n">
        <f aca="false">A357+1</f>
        <v>332</v>
      </c>
      <c r="B358" s="21" t="n">
        <f aca="false">MAX(0,ROUND(B357*(1+B$15),2)-O357)</f>
        <v>0</v>
      </c>
      <c r="C358" s="21" t="n">
        <f aca="false">MAX(0,ROUND(C357*(1+C$15),2)-P357)</f>
        <v>0</v>
      </c>
      <c r="D358" s="21" t="n">
        <f aca="false">MAX(0,ROUND(D357*(1+D$15),2)-Q357)</f>
        <v>0</v>
      </c>
      <c r="E358" s="21" t="n">
        <f aca="false">MAX(0,ROUND(E357*(1+E$15),2)-R357)</f>
        <v>0</v>
      </c>
      <c r="F358" s="21" t="n">
        <f aca="false">MAX(0,ROUND(F357*(1+F$15),2)-S357)</f>
        <v>0</v>
      </c>
      <c r="G358" s="21" t="n">
        <f aca="false">MAX(0,ROUND(G357*(1+G$15),2)-T357)</f>
        <v>0</v>
      </c>
      <c r="H358" s="21" t="n">
        <f aca="false">MIN(B$16,ROUND(B358*(1+B$15),2))</f>
        <v>0</v>
      </c>
      <c r="I358" s="21" t="n">
        <f aca="false">MIN(C$16,ROUND(C358*(1+C$15),2))</f>
        <v>0</v>
      </c>
      <c r="J358" s="21" t="n">
        <f aca="false">MIN(D$16,ROUND(D358*(1+D$15),2))</f>
        <v>0</v>
      </c>
      <c r="K358" s="21" t="n">
        <f aca="false">MIN(E$16,ROUND(E358*(1+E$15),2))</f>
        <v>0</v>
      </c>
      <c r="L358" s="21" t="n">
        <f aca="false">MIN(F$16,ROUND(F358*(1+F$15),2))</f>
        <v>0</v>
      </c>
      <c r="M358" s="21" t="n">
        <f aca="false">MIN(G$16,ROUND(G358*(1+G$15),2))</f>
        <v>0</v>
      </c>
      <c r="N358" s="21" t="n">
        <f aca="false">B$20-SUM(H358:M358)</f>
        <v>1170</v>
      </c>
      <c r="O358" s="21" t="n">
        <f aca="false">MIN(ROUND(B358*(1+B$15),2),H358+MAX(0,N358))</f>
        <v>0</v>
      </c>
      <c r="P358" s="21" t="n">
        <f aca="false">MIN(ROUND(C358*(1+C$15),2),I358+MAX(0,N358-O358+H358))</f>
        <v>0</v>
      </c>
      <c r="Q358" s="21" t="n">
        <f aca="false">MIN(ROUND(D358*(1+D$15),2),J358+MAX(0,N358-O358+H358-P358+I358))</f>
        <v>0</v>
      </c>
      <c r="R358" s="21" t="n">
        <f aca="false">MIN(ROUND(E358*(1+E$15),2),K358+MAX(0,N358-O358+H358-P358+I358-Q358+J358))</f>
        <v>0</v>
      </c>
      <c r="S358" s="21" t="n">
        <f aca="false">MIN(ROUND(F358*(1+F$15),2),L358+MAX(0,N358-O358+H358-P358+I358-Q358+J358-R358+K358))</f>
        <v>0</v>
      </c>
      <c r="T358" s="21" t="n">
        <f aca="false">MIN(ROUND(G358*(1+G$15),2),M358+MAX(0,N358-O358+H358-P358+I358-Q358+J358-R358+K358-S358+L358))</f>
        <v>0</v>
      </c>
      <c r="U358" s="21" t="n">
        <f aca="false">SUM(B358:G358)</f>
        <v>0</v>
      </c>
      <c r="V358" s="21" t="n">
        <f aca="false">SUM(O358:T358)</f>
        <v>0</v>
      </c>
      <c r="X358" s="25" t="n">
        <f aca="false">X357+1</f>
        <v>332</v>
      </c>
      <c r="Y358" s="21" t="n">
        <f aca="false">MAX(0,ROUND(Y357*(1+Y$15),2)-AL357)</f>
        <v>0</v>
      </c>
      <c r="Z358" s="21" t="n">
        <f aca="false">MAX(0,ROUND(Z357*(1+Z$15),2)-AM357)</f>
        <v>0</v>
      </c>
      <c r="AA358" s="21" t="n">
        <f aca="false">MAX(0,ROUND(AA357*(1+AA$15),2)-AN357)</f>
        <v>0</v>
      </c>
      <c r="AB358" s="21" t="n">
        <f aca="false">MAX(0,ROUND(AB357*(1+AB$15),2)-AO357)</f>
        <v>0</v>
      </c>
      <c r="AC358" s="21" t="n">
        <f aca="false">MAX(0,ROUND(AC357*(1+AC$15),2)-AP357)</f>
        <v>0</v>
      </c>
      <c r="AD358" s="21" t="n">
        <f aca="false">MAX(0,ROUND(AD357*(1+AD$15),2)-AQ357)</f>
        <v>0</v>
      </c>
      <c r="AE358" s="21" t="n">
        <f aca="false">MIN(Y$16,ROUND(Y358*(1+Y$15),2))</f>
        <v>0</v>
      </c>
      <c r="AF358" s="21" t="n">
        <f aca="false">MIN(Z$16,ROUND(Z358*(1+Z$15),2))</f>
        <v>0</v>
      </c>
      <c r="AG358" s="21" t="n">
        <f aca="false">MIN(AA$16,ROUND(AA358*(1+AA$15),2))</f>
        <v>0</v>
      </c>
      <c r="AH358" s="21" t="n">
        <f aca="false">MIN(AB$16,ROUND(AB358*(1+AB$15),2))</f>
        <v>0</v>
      </c>
      <c r="AI358" s="21" t="n">
        <f aca="false">MIN(AC$16,ROUND(AC358*(1+AC$15),2))</f>
        <v>0</v>
      </c>
      <c r="AJ358" s="21" t="n">
        <f aca="false">MIN(AD$16,ROUND(AD358*(1+AD$15),2))</f>
        <v>0</v>
      </c>
      <c r="AK358" s="21" t="n">
        <f aca="false">Y$20-SUM(AE358:AJ358)</f>
        <v>1170</v>
      </c>
      <c r="AL358" s="21" t="n">
        <f aca="false">MIN(ROUND(Y358*(1+Y$15),2),AE358+MAX(0,AK358))</f>
        <v>0</v>
      </c>
      <c r="AM358" s="21" t="n">
        <f aca="false">MIN(ROUND(Z358*(1+Z$15),2),AF358+MAX(0,AK358-AL358+AE358))</f>
        <v>0</v>
      </c>
      <c r="AN358" s="21" t="n">
        <f aca="false">MIN(ROUND(AA358*(1+AA$15),2),AG358+MAX(0,AK358-AL358+AE358-AM358+AF358))</f>
        <v>0</v>
      </c>
      <c r="AO358" s="21" t="n">
        <f aca="false">MIN(ROUND(AB358*(1+AB$15),2),AH358+MAX(0,AK358-AL358+AE358-AM358+AF358-AN358+AG358))</f>
        <v>0</v>
      </c>
      <c r="AP358" s="21" t="n">
        <f aca="false">MIN(ROUND(AC358*(1+AC$15),2),AI358+MAX(0,AK358-AL358+AE358-AM358+AF358-AN358+AG358-AO358+AH358))</f>
        <v>0</v>
      </c>
      <c r="AQ358" s="21" t="n">
        <f aca="false">MIN(ROUND(AD358*(1+AD$15),2),AJ358+MAX(0,AK358-AL358+AE358-AM358+AF358-AN358+AG358-AO358+AH358-AP358+AI358))</f>
        <v>0</v>
      </c>
      <c r="AR358" s="21" t="n">
        <f aca="false">SUM(Y358:AD358)</f>
        <v>0</v>
      </c>
      <c r="AS358" s="21" t="n">
        <f aca="false">SUM(AL358:AQ358)</f>
        <v>0</v>
      </c>
    </row>
    <row r="359" customFormat="false" ht="15" hidden="false" customHeight="false" outlineLevel="0" collapsed="false">
      <c r="A359" s="25" t="n">
        <f aca="false">A358+1</f>
        <v>333</v>
      </c>
      <c r="B359" s="21" t="n">
        <f aca="false">MAX(0,ROUND(B358*(1+B$15),2)-O358)</f>
        <v>0</v>
      </c>
      <c r="C359" s="21" t="n">
        <f aca="false">MAX(0,ROUND(C358*(1+C$15),2)-P358)</f>
        <v>0</v>
      </c>
      <c r="D359" s="21" t="n">
        <f aca="false">MAX(0,ROUND(D358*(1+D$15),2)-Q358)</f>
        <v>0</v>
      </c>
      <c r="E359" s="21" t="n">
        <f aca="false">MAX(0,ROUND(E358*(1+E$15),2)-R358)</f>
        <v>0</v>
      </c>
      <c r="F359" s="21" t="n">
        <f aca="false">MAX(0,ROUND(F358*(1+F$15),2)-S358)</f>
        <v>0</v>
      </c>
      <c r="G359" s="21" t="n">
        <f aca="false">MAX(0,ROUND(G358*(1+G$15),2)-T358)</f>
        <v>0</v>
      </c>
      <c r="H359" s="21" t="n">
        <f aca="false">MIN(B$16,ROUND(B359*(1+B$15),2))</f>
        <v>0</v>
      </c>
      <c r="I359" s="21" t="n">
        <f aca="false">MIN(C$16,ROUND(C359*(1+C$15),2))</f>
        <v>0</v>
      </c>
      <c r="J359" s="21" t="n">
        <f aca="false">MIN(D$16,ROUND(D359*(1+D$15),2))</f>
        <v>0</v>
      </c>
      <c r="K359" s="21" t="n">
        <f aca="false">MIN(E$16,ROUND(E359*(1+E$15),2))</f>
        <v>0</v>
      </c>
      <c r="L359" s="21" t="n">
        <f aca="false">MIN(F$16,ROUND(F359*(1+F$15),2))</f>
        <v>0</v>
      </c>
      <c r="M359" s="21" t="n">
        <f aca="false">MIN(G$16,ROUND(G359*(1+G$15),2))</f>
        <v>0</v>
      </c>
      <c r="N359" s="21" t="n">
        <f aca="false">B$20-SUM(H359:M359)</f>
        <v>1170</v>
      </c>
      <c r="O359" s="21" t="n">
        <f aca="false">MIN(ROUND(B359*(1+B$15),2),H359+MAX(0,N359))</f>
        <v>0</v>
      </c>
      <c r="P359" s="21" t="n">
        <f aca="false">MIN(ROUND(C359*(1+C$15),2),I359+MAX(0,N359-O359+H359))</f>
        <v>0</v>
      </c>
      <c r="Q359" s="21" t="n">
        <f aca="false">MIN(ROUND(D359*(1+D$15),2),J359+MAX(0,N359-O359+H359-P359+I359))</f>
        <v>0</v>
      </c>
      <c r="R359" s="21" t="n">
        <f aca="false">MIN(ROUND(E359*(1+E$15),2),K359+MAX(0,N359-O359+H359-P359+I359-Q359+J359))</f>
        <v>0</v>
      </c>
      <c r="S359" s="21" t="n">
        <f aca="false">MIN(ROUND(F359*(1+F$15),2),L359+MAX(0,N359-O359+H359-P359+I359-Q359+J359-R359+K359))</f>
        <v>0</v>
      </c>
      <c r="T359" s="21" t="n">
        <f aca="false">MIN(ROUND(G359*(1+G$15),2),M359+MAX(0,N359-O359+H359-P359+I359-Q359+J359-R359+K359-S359+L359))</f>
        <v>0</v>
      </c>
      <c r="U359" s="21" t="n">
        <f aca="false">SUM(B359:G359)</f>
        <v>0</v>
      </c>
      <c r="V359" s="21" t="n">
        <f aca="false">SUM(O359:T359)</f>
        <v>0</v>
      </c>
      <c r="X359" s="25" t="n">
        <f aca="false">X358+1</f>
        <v>333</v>
      </c>
      <c r="Y359" s="21" t="n">
        <f aca="false">MAX(0,ROUND(Y358*(1+Y$15),2)-AL358)</f>
        <v>0</v>
      </c>
      <c r="Z359" s="21" t="n">
        <f aca="false">MAX(0,ROUND(Z358*(1+Z$15),2)-AM358)</f>
        <v>0</v>
      </c>
      <c r="AA359" s="21" t="n">
        <f aca="false">MAX(0,ROUND(AA358*(1+AA$15),2)-AN358)</f>
        <v>0</v>
      </c>
      <c r="AB359" s="21" t="n">
        <f aca="false">MAX(0,ROUND(AB358*(1+AB$15),2)-AO358)</f>
        <v>0</v>
      </c>
      <c r="AC359" s="21" t="n">
        <f aca="false">MAX(0,ROUND(AC358*(1+AC$15),2)-AP358)</f>
        <v>0</v>
      </c>
      <c r="AD359" s="21" t="n">
        <f aca="false">MAX(0,ROUND(AD358*(1+AD$15),2)-AQ358)</f>
        <v>0</v>
      </c>
      <c r="AE359" s="21" t="n">
        <f aca="false">MIN(Y$16,ROUND(Y359*(1+Y$15),2))</f>
        <v>0</v>
      </c>
      <c r="AF359" s="21" t="n">
        <f aca="false">MIN(Z$16,ROUND(Z359*(1+Z$15),2))</f>
        <v>0</v>
      </c>
      <c r="AG359" s="21" t="n">
        <f aca="false">MIN(AA$16,ROUND(AA359*(1+AA$15),2))</f>
        <v>0</v>
      </c>
      <c r="AH359" s="21" t="n">
        <f aca="false">MIN(AB$16,ROUND(AB359*(1+AB$15),2))</f>
        <v>0</v>
      </c>
      <c r="AI359" s="21" t="n">
        <f aca="false">MIN(AC$16,ROUND(AC359*(1+AC$15),2))</f>
        <v>0</v>
      </c>
      <c r="AJ359" s="21" t="n">
        <f aca="false">MIN(AD$16,ROUND(AD359*(1+AD$15),2))</f>
        <v>0</v>
      </c>
      <c r="AK359" s="21" t="n">
        <f aca="false">Y$20-SUM(AE359:AJ359)</f>
        <v>1170</v>
      </c>
      <c r="AL359" s="21" t="n">
        <f aca="false">MIN(ROUND(Y359*(1+Y$15),2),AE359+MAX(0,AK359))</f>
        <v>0</v>
      </c>
      <c r="AM359" s="21" t="n">
        <f aca="false">MIN(ROUND(Z359*(1+Z$15),2),AF359+MAX(0,AK359-AL359+AE359))</f>
        <v>0</v>
      </c>
      <c r="AN359" s="21" t="n">
        <f aca="false">MIN(ROUND(AA359*(1+AA$15),2),AG359+MAX(0,AK359-AL359+AE359-AM359+AF359))</f>
        <v>0</v>
      </c>
      <c r="AO359" s="21" t="n">
        <f aca="false">MIN(ROUND(AB359*(1+AB$15),2),AH359+MAX(0,AK359-AL359+AE359-AM359+AF359-AN359+AG359))</f>
        <v>0</v>
      </c>
      <c r="AP359" s="21" t="n">
        <f aca="false">MIN(ROUND(AC359*(1+AC$15),2),AI359+MAX(0,AK359-AL359+AE359-AM359+AF359-AN359+AG359-AO359+AH359))</f>
        <v>0</v>
      </c>
      <c r="AQ359" s="21" t="n">
        <f aca="false">MIN(ROUND(AD359*(1+AD$15),2),AJ359+MAX(0,AK359-AL359+AE359-AM359+AF359-AN359+AG359-AO359+AH359-AP359+AI359))</f>
        <v>0</v>
      </c>
      <c r="AR359" s="21" t="n">
        <f aca="false">SUM(Y359:AD359)</f>
        <v>0</v>
      </c>
      <c r="AS359" s="21" t="n">
        <f aca="false">SUM(AL359:AQ359)</f>
        <v>0</v>
      </c>
    </row>
    <row r="360" customFormat="false" ht="15" hidden="false" customHeight="false" outlineLevel="0" collapsed="false">
      <c r="A360" s="25" t="n">
        <f aca="false">A359+1</f>
        <v>334</v>
      </c>
      <c r="B360" s="21" t="n">
        <f aca="false">MAX(0,ROUND(B359*(1+B$15),2)-O359)</f>
        <v>0</v>
      </c>
      <c r="C360" s="21" t="n">
        <f aca="false">MAX(0,ROUND(C359*(1+C$15),2)-P359)</f>
        <v>0</v>
      </c>
      <c r="D360" s="21" t="n">
        <f aca="false">MAX(0,ROUND(D359*(1+D$15),2)-Q359)</f>
        <v>0</v>
      </c>
      <c r="E360" s="21" t="n">
        <f aca="false">MAX(0,ROUND(E359*(1+E$15),2)-R359)</f>
        <v>0</v>
      </c>
      <c r="F360" s="21" t="n">
        <f aca="false">MAX(0,ROUND(F359*(1+F$15),2)-S359)</f>
        <v>0</v>
      </c>
      <c r="G360" s="21" t="n">
        <f aca="false">MAX(0,ROUND(G359*(1+G$15),2)-T359)</f>
        <v>0</v>
      </c>
      <c r="H360" s="21" t="n">
        <f aca="false">MIN(B$16,ROUND(B360*(1+B$15),2))</f>
        <v>0</v>
      </c>
      <c r="I360" s="21" t="n">
        <f aca="false">MIN(C$16,ROUND(C360*(1+C$15),2))</f>
        <v>0</v>
      </c>
      <c r="J360" s="21" t="n">
        <f aca="false">MIN(D$16,ROUND(D360*(1+D$15),2))</f>
        <v>0</v>
      </c>
      <c r="K360" s="21" t="n">
        <f aca="false">MIN(E$16,ROUND(E360*(1+E$15),2))</f>
        <v>0</v>
      </c>
      <c r="L360" s="21" t="n">
        <f aca="false">MIN(F$16,ROUND(F360*(1+F$15),2))</f>
        <v>0</v>
      </c>
      <c r="M360" s="21" t="n">
        <f aca="false">MIN(G$16,ROUND(G360*(1+G$15),2))</f>
        <v>0</v>
      </c>
      <c r="N360" s="21" t="n">
        <f aca="false">B$20-SUM(H360:M360)</f>
        <v>1170</v>
      </c>
      <c r="O360" s="21" t="n">
        <f aca="false">MIN(ROUND(B360*(1+B$15),2),H360+MAX(0,N360))</f>
        <v>0</v>
      </c>
      <c r="P360" s="21" t="n">
        <f aca="false">MIN(ROUND(C360*(1+C$15),2),I360+MAX(0,N360-O360+H360))</f>
        <v>0</v>
      </c>
      <c r="Q360" s="21" t="n">
        <f aca="false">MIN(ROUND(D360*(1+D$15),2),J360+MAX(0,N360-O360+H360-P360+I360))</f>
        <v>0</v>
      </c>
      <c r="R360" s="21" t="n">
        <f aca="false">MIN(ROUND(E360*(1+E$15),2),K360+MAX(0,N360-O360+H360-P360+I360-Q360+J360))</f>
        <v>0</v>
      </c>
      <c r="S360" s="21" t="n">
        <f aca="false">MIN(ROUND(F360*(1+F$15),2),L360+MAX(0,N360-O360+H360-P360+I360-Q360+J360-R360+K360))</f>
        <v>0</v>
      </c>
      <c r="T360" s="21" t="n">
        <f aca="false">MIN(ROUND(G360*(1+G$15),2),M360+MAX(0,N360-O360+H360-P360+I360-Q360+J360-R360+K360-S360+L360))</f>
        <v>0</v>
      </c>
      <c r="U360" s="21" t="n">
        <f aca="false">SUM(B360:G360)</f>
        <v>0</v>
      </c>
      <c r="V360" s="21" t="n">
        <f aca="false">SUM(O360:T360)</f>
        <v>0</v>
      </c>
      <c r="X360" s="25" t="n">
        <f aca="false">X359+1</f>
        <v>334</v>
      </c>
      <c r="Y360" s="21" t="n">
        <f aca="false">MAX(0,ROUND(Y359*(1+Y$15),2)-AL359)</f>
        <v>0</v>
      </c>
      <c r="Z360" s="21" t="n">
        <f aca="false">MAX(0,ROUND(Z359*(1+Z$15),2)-AM359)</f>
        <v>0</v>
      </c>
      <c r="AA360" s="21" t="n">
        <f aca="false">MAX(0,ROUND(AA359*(1+AA$15),2)-AN359)</f>
        <v>0</v>
      </c>
      <c r="AB360" s="21" t="n">
        <f aca="false">MAX(0,ROUND(AB359*(1+AB$15),2)-AO359)</f>
        <v>0</v>
      </c>
      <c r="AC360" s="21" t="n">
        <f aca="false">MAX(0,ROUND(AC359*(1+AC$15),2)-AP359)</f>
        <v>0</v>
      </c>
      <c r="AD360" s="21" t="n">
        <f aca="false">MAX(0,ROUND(AD359*(1+AD$15),2)-AQ359)</f>
        <v>0</v>
      </c>
      <c r="AE360" s="21" t="n">
        <f aca="false">MIN(Y$16,ROUND(Y360*(1+Y$15),2))</f>
        <v>0</v>
      </c>
      <c r="AF360" s="21" t="n">
        <f aca="false">MIN(Z$16,ROUND(Z360*(1+Z$15),2))</f>
        <v>0</v>
      </c>
      <c r="AG360" s="21" t="n">
        <f aca="false">MIN(AA$16,ROUND(AA360*(1+AA$15),2))</f>
        <v>0</v>
      </c>
      <c r="AH360" s="21" t="n">
        <f aca="false">MIN(AB$16,ROUND(AB360*(1+AB$15),2))</f>
        <v>0</v>
      </c>
      <c r="AI360" s="21" t="n">
        <f aca="false">MIN(AC$16,ROUND(AC360*(1+AC$15),2))</f>
        <v>0</v>
      </c>
      <c r="AJ360" s="21" t="n">
        <f aca="false">MIN(AD$16,ROUND(AD360*(1+AD$15),2))</f>
        <v>0</v>
      </c>
      <c r="AK360" s="21" t="n">
        <f aca="false">Y$20-SUM(AE360:AJ360)</f>
        <v>1170</v>
      </c>
      <c r="AL360" s="21" t="n">
        <f aca="false">MIN(ROUND(Y360*(1+Y$15),2),AE360+MAX(0,AK360))</f>
        <v>0</v>
      </c>
      <c r="AM360" s="21" t="n">
        <f aca="false">MIN(ROUND(Z360*(1+Z$15),2),AF360+MAX(0,AK360-AL360+AE360))</f>
        <v>0</v>
      </c>
      <c r="AN360" s="21" t="n">
        <f aca="false">MIN(ROUND(AA360*(1+AA$15),2),AG360+MAX(0,AK360-AL360+AE360-AM360+AF360))</f>
        <v>0</v>
      </c>
      <c r="AO360" s="21" t="n">
        <f aca="false">MIN(ROUND(AB360*(1+AB$15),2),AH360+MAX(0,AK360-AL360+AE360-AM360+AF360-AN360+AG360))</f>
        <v>0</v>
      </c>
      <c r="AP360" s="21" t="n">
        <f aca="false">MIN(ROUND(AC360*(1+AC$15),2),AI360+MAX(0,AK360-AL360+AE360-AM360+AF360-AN360+AG360-AO360+AH360))</f>
        <v>0</v>
      </c>
      <c r="AQ360" s="21" t="n">
        <f aca="false">MIN(ROUND(AD360*(1+AD$15),2),AJ360+MAX(0,AK360-AL360+AE360-AM360+AF360-AN360+AG360-AO360+AH360-AP360+AI360))</f>
        <v>0</v>
      </c>
      <c r="AR360" s="21" t="n">
        <f aca="false">SUM(Y360:AD360)</f>
        <v>0</v>
      </c>
      <c r="AS360" s="21" t="n">
        <f aca="false">SUM(AL360:AQ360)</f>
        <v>0</v>
      </c>
    </row>
    <row r="361" customFormat="false" ht="15" hidden="false" customHeight="false" outlineLevel="0" collapsed="false">
      <c r="A361" s="25" t="n">
        <f aca="false">A360+1</f>
        <v>335</v>
      </c>
      <c r="B361" s="21" t="n">
        <f aca="false">MAX(0,ROUND(B360*(1+B$15),2)-O360)</f>
        <v>0</v>
      </c>
      <c r="C361" s="21" t="n">
        <f aca="false">MAX(0,ROUND(C360*(1+C$15),2)-P360)</f>
        <v>0</v>
      </c>
      <c r="D361" s="21" t="n">
        <f aca="false">MAX(0,ROUND(D360*(1+D$15),2)-Q360)</f>
        <v>0</v>
      </c>
      <c r="E361" s="21" t="n">
        <f aca="false">MAX(0,ROUND(E360*(1+E$15),2)-R360)</f>
        <v>0</v>
      </c>
      <c r="F361" s="21" t="n">
        <f aca="false">MAX(0,ROUND(F360*(1+F$15),2)-S360)</f>
        <v>0</v>
      </c>
      <c r="G361" s="21" t="n">
        <f aca="false">MAX(0,ROUND(G360*(1+G$15),2)-T360)</f>
        <v>0</v>
      </c>
      <c r="H361" s="21" t="n">
        <f aca="false">MIN(B$16,ROUND(B361*(1+B$15),2))</f>
        <v>0</v>
      </c>
      <c r="I361" s="21" t="n">
        <f aca="false">MIN(C$16,ROUND(C361*(1+C$15),2))</f>
        <v>0</v>
      </c>
      <c r="J361" s="21" t="n">
        <f aca="false">MIN(D$16,ROUND(D361*(1+D$15),2))</f>
        <v>0</v>
      </c>
      <c r="K361" s="21" t="n">
        <f aca="false">MIN(E$16,ROUND(E361*(1+E$15),2))</f>
        <v>0</v>
      </c>
      <c r="L361" s="21" t="n">
        <f aca="false">MIN(F$16,ROUND(F361*(1+F$15),2))</f>
        <v>0</v>
      </c>
      <c r="M361" s="21" t="n">
        <f aca="false">MIN(G$16,ROUND(G361*(1+G$15),2))</f>
        <v>0</v>
      </c>
      <c r="N361" s="21" t="n">
        <f aca="false">B$20-SUM(H361:M361)</f>
        <v>1170</v>
      </c>
      <c r="O361" s="21" t="n">
        <f aca="false">MIN(ROUND(B361*(1+B$15),2),H361+MAX(0,N361))</f>
        <v>0</v>
      </c>
      <c r="P361" s="21" t="n">
        <f aca="false">MIN(ROUND(C361*(1+C$15),2),I361+MAX(0,N361-O361+H361))</f>
        <v>0</v>
      </c>
      <c r="Q361" s="21" t="n">
        <f aca="false">MIN(ROUND(D361*(1+D$15),2),J361+MAX(0,N361-O361+H361-P361+I361))</f>
        <v>0</v>
      </c>
      <c r="R361" s="21" t="n">
        <f aca="false">MIN(ROUND(E361*(1+E$15),2),K361+MAX(0,N361-O361+H361-P361+I361-Q361+J361))</f>
        <v>0</v>
      </c>
      <c r="S361" s="21" t="n">
        <f aca="false">MIN(ROUND(F361*(1+F$15),2),L361+MAX(0,N361-O361+H361-P361+I361-Q361+J361-R361+K361))</f>
        <v>0</v>
      </c>
      <c r="T361" s="21" t="n">
        <f aca="false">MIN(ROUND(G361*(1+G$15),2),M361+MAX(0,N361-O361+H361-P361+I361-Q361+J361-R361+K361-S361+L361))</f>
        <v>0</v>
      </c>
      <c r="U361" s="21" t="n">
        <f aca="false">SUM(B361:G361)</f>
        <v>0</v>
      </c>
      <c r="V361" s="21" t="n">
        <f aca="false">SUM(O361:T361)</f>
        <v>0</v>
      </c>
      <c r="X361" s="25" t="n">
        <f aca="false">X360+1</f>
        <v>335</v>
      </c>
      <c r="Y361" s="21" t="n">
        <f aca="false">MAX(0,ROUND(Y360*(1+Y$15),2)-AL360)</f>
        <v>0</v>
      </c>
      <c r="Z361" s="21" t="n">
        <f aca="false">MAX(0,ROUND(Z360*(1+Z$15),2)-AM360)</f>
        <v>0</v>
      </c>
      <c r="AA361" s="21" t="n">
        <f aca="false">MAX(0,ROUND(AA360*(1+AA$15),2)-AN360)</f>
        <v>0</v>
      </c>
      <c r="AB361" s="21" t="n">
        <f aca="false">MAX(0,ROUND(AB360*(1+AB$15),2)-AO360)</f>
        <v>0</v>
      </c>
      <c r="AC361" s="21" t="n">
        <f aca="false">MAX(0,ROUND(AC360*(1+AC$15),2)-AP360)</f>
        <v>0</v>
      </c>
      <c r="AD361" s="21" t="n">
        <f aca="false">MAX(0,ROUND(AD360*(1+AD$15),2)-AQ360)</f>
        <v>0</v>
      </c>
      <c r="AE361" s="21" t="n">
        <f aca="false">MIN(Y$16,ROUND(Y361*(1+Y$15),2))</f>
        <v>0</v>
      </c>
      <c r="AF361" s="21" t="n">
        <f aca="false">MIN(Z$16,ROUND(Z361*(1+Z$15),2))</f>
        <v>0</v>
      </c>
      <c r="AG361" s="21" t="n">
        <f aca="false">MIN(AA$16,ROUND(AA361*(1+AA$15),2))</f>
        <v>0</v>
      </c>
      <c r="AH361" s="21" t="n">
        <f aca="false">MIN(AB$16,ROUND(AB361*(1+AB$15),2))</f>
        <v>0</v>
      </c>
      <c r="AI361" s="21" t="n">
        <f aca="false">MIN(AC$16,ROUND(AC361*(1+AC$15),2))</f>
        <v>0</v>
      </c>
      <c r="AJ361" s="21" t="n">
        <f aca="false">MIN(AD$16,ROUND(AD361*(1+AD$15),2))</f>
        <v>0</v>
      </c>
      <c r="AK361" s="21" t="n">
        <f aca="false">Y$20-SUM(AE361:AJ361)</f>
        <v>1170</v>
      </c>
      <c r="AL361" s="21" t="n">
        <f aca="false">MIN(ROUND(Y361*(1+Y$15),2),AE361+MAX(0,AK361))</f>
        <v>0</v>
      </c>
      <c r="AM361" s="21" t="n">
        <f aca="false">MIN(ROUND(Z361*(1+Z$15),2),AF361+MAX(0,AK361-AL361+AE361))</f>
        <v>0</v>
      </c>
      <c r="AN361" s="21" t="n">
        <f aca="false">MIN(ROUND(AA361*(1+AA$15),2),AG361+MAX(0,AK361-AL361+AE361-AM361+AF361))</f>
        <v>0</v>
      </c>
      <c r="AO361" s="21" t="n">
        <f aca="false">MIN(ROUND(AB361*(1+AB$15),2),AH361+MAX(0,AK361-AL361+AE361-AM361+AF361-AN361+AG361))</f>
        <v>0</v>
      </c>
      <c r="AP361" s="21" t="n">
        <f aca="false">MIN(ROUND(AC361*(1+AC$15),2),AI361+MAX(0,AK361-AL361+AE361-AM361+AF361-AN361+AG361-AO361+AH361))</f>
        <v>0</v>
      </c>
      <c r="AQ361" s="21" t="n">
        <f aca="false">MIN(ROUND(AD361*(1+AD$15),2),AJ361+MAX(0,AK361-AL361+AE361-AM361+AF361-AN361+AG361-AO361+AH361-AP361+AI361))</f>
        <v>0</v>
      </c>
      <c r="AR361" s="21" t="n">
        <f aca="false">SUM(Y361:AD361)</f>
        <v>0</v>
      </c>
      <c r="AS361" s="21" t="n">
        <f aca="false">SUM(AL361:AQ361)</f>
        <v>0</v>
      </c>
    </row>
    <row r="362" customFormat="false" ht="15" hidden="false" customHeight="false" outlineLevel="0" collapsed="false">
      <c r="A362" s="25" t="n">
        <f aca="false">A361+1</f>
        <v>336</v>
      </c>
      <c r="B362" s="21" t="n">
        <f aca="false">MAX(0,ROUND(B361*(1+B$15),2)-O361)</f>
        <v>0</v>
      </c>
      <c r="C362" s="21" t="n">
        <f aca="false">MAX(0,ROUND(C361*(1+C$15),2)-P361)</f>
        <v>0</v>
      </c>
      <c r="D362" s="21" t="n">
        <f aca="false">MAX(0,ROUND(D361*(1+D$15),2)-Q361)</f>
        <v>0</v>
      </c>
      <c r="E362" s="21" t="n">
        <f aca="false">MAX(0,ROUND(E361*(1+E$15),2)-R361)</f>
        <v>0</v>
      </c>
      <c r="F362" s="21" t="n">
        <f aca="false">MAX(0,ROUND(F361*(1+F$15),2)-S361)</f>
        <v>0</v>
      </c>
      <c r="G362" s="21" t="n">
        <f aca="false">MAX(0,ROUND(G361*(1+G$15),2)-T361)</f>
        <v>0</v>
      </c>
      <c r="H362" s="21" t="n">
        <f aca="false">MIN(B$16,ROUND(B362*(1+B$15),2))</f>
        <v>0</v>
      </c>
      <c r="I362" s="21" t="n">
        <f aca="false">MIN(C$16,ROUND(C362*(1+C$15),2))</f>
        <v>0</v>
      </c>
      <c r="J362" s="21" t="n">
        <f aca="false">MIN(D$16,ROUND(D362*(1+D$15),2))</f>
        <v>0</v>
      </c>
      <c r="K362" s="21" t="n">
        <f aca="false">MIN(E$16,ROUND(E362*(1+E$15),2))</f>
        <v>0</v>
      </c>
      <c r="L362" s="21" t="n">
        <f aca="false">MIN(F$16,ROUND(F362*(1+F$15),2))</f>
        <v>0</v>
      </c>
      <c r="M362" s="21" t="n">
        <f aca="false">MIN(G$16,ROUND(G362*(1+G$15),2))</f>
        <v>0</v>
      </c>
      <c r="N362" s="21" t="n">
        <f aca="false">B$20-SUM(H362:M362)</f>
        <v>1170</v>
      </c>
      <c r="O362" s="21" t="n">
        <f aca="false">MIN(ROUND(B362*(1+B$15),2),H362+MAX(0,N362))</f>
        <v>0</v>
      </c>
      <c r="P362" s="21" t="n">
        <f aca="false">MIN(ROUND(C362*(1+C$15),2),I362+MAX(0,N362-O362+H362))</f>
        <v>0</v>
      </c>
      <c r="Q362" s="21" t="n">
        <f aca="false">MIN(ROUND(D362*(1+D$15),2),J362+MAX(0,N362-O362+H362-P362+I362))</f>
        <v>0</v>
      </c>
      <c r="R362" s="21" t="n">
        <f aca="false">MIN(ROUND(E362*(1+E$15),2),K362+MAX(0,N362-O362+H362-P362+I362-Q362+J362))</f>
        <v>0</v>
      </c>
      <c r="S362" s="21" t="n">
        <f aca="false">MIN(ROUND(F362*(1+F$15),2),L362+MAX(0,N362-O362+H362-P362+I362-Q362+J362-R362+K362))</f>
        <v>0</v>
      </c>
      <c r="T362" s="21" t="n">
        <f aca="false">MIN(ROUND(G362*(1+G$15),2),M362+MAX(0,N362-O362+H362-P362+I362-Q362+J362-R362+K362-S362+L362))</f>
        <v>0</v>
      </c>
      <c r="U362" s="21" t="n">
        <f aca="false">SUM(B362:G362)</f>
        <v>0</v>
      </c>
      <c r="V362" s="21" t="n">
        <f aca="false">SUM(O362:T362)</f>
        <v>0</v>
      </c>
      <c r="X362" s="25" t="n">
        <f aca="false">X361+1</f>
        <v>336</v>
      </c>
      <c r="Y362" s="21" t="n">
        <f aca="false">MAX(0,ROUND(Y361*(1+Y$15),2)-AL361)</f>
        <v>0</v>
      </c>
      <c r="Z362" s="21" t="n">
        <f aca="false">MAX(0,ROUND(Z361*(1+Z$15),2)-AM361)</f>
        <v>0</v>
      </c>
      <c r="AA362" s="21" t="n">
        <f aca="false">MAX(0,ROUND(AA361*(1+AA$15),2)-AN361)</f>
        <v>0</v>
      </c>
      <c r="AB362" s="21" t="n">
        <f aca="false">MAX(0,ROUND(AB361*(1+AB$15),2)-AO361)</f>
        <v>0</v>
      </c>
      <c r="AC362" s="21" t="n">
        <f aca="false">MAX(0,ROUND(AC361*(1+AC$15),2)-AP361)</f>
        <v>0</v>
      </c>
      <c r="AD362" s="21" t="n">
        <f aca="false">MAX(0,ROUND(AD361*(1+AD$15),2)-AQ361)</f>
        <v>0</v>
      </c>
      <c r="AE362" s="21" t="n">
        <f aca="false">MIN(Y$16,ROUND(Y362*(1+Y$15),2))</f>
        <v>0</v>
      </c>
      <c r="AF362" s="21" t="n">
        <f aca="false">MIN(Z$16,ROUND(Z362*(1+Z$15),2))</f>
        <v>0</v>
      </c>
      <c r="AG362" s="21" t="n">
        <f aca="false">MIN(AA$16,ROUND(AA362*(1+AA$15),2))</f>
        <v>0</v>
      </c>
      <c r="AH362" s="21" t="n">
        <f aca="false">MIN(AB$16,ROUND(AB362*(1+AB$15),2))</f>
        <v>0</v>
      </c>
      <c r="AI362" s="21" t="n">
        <f aca="false">MIN(AC$16,ROUND(AC362*(1+AC$15),2))</f>
        <v>0</v>
      </c>
      <c r="AJ362" s="21" t="n">
        <f aca="false">MIN(AD$16,ROUND(AD362*(1+AD$15),2))</f>
        <v>0</v>
      </c>
      <c r="AK362" s="21" t="n">
        <f aca="false">Y$20-SUM(AE362:AJ362)</f>
        <v>1170</v>
      </c>
      <c r="AL362" s="21" t="n">
        <f aca="false">MIN(ROUND(Y362*(1+Y$15),2),AE362+MAX(0,AK362))</f>
        <v>0</v>
      </c>
      <c r="AM362" s="21" t="n">
        <f aca="false">MIN(ROUND(Z362*(1+Z$15),2),AF362+MAX(0,AK362-AL362+AE362))</f>
        <v>0</v>
      </c>
      <c r="AN362" s="21" t="n">
        <f aca="false">MIN(ROUND(AA362*(1+AA$15),2),AG362+MAX(0,AK362-AL362+AE362-AM362+AF362))</f>
        <v>0</v>
      </c>
      <c r="AO362" s="21" t="n">
        <f aca="false">MIN(ROUND(AB362*(1+AB$15),2),AH362+MAX(0,AK362-AL362+AE362-AM362+AF362-AN362+AG362))</f>
        <v>0</v>
      </c>
      <c r="AP362" s="21" t="n">
        <f aca="false">MIN(ROUND(AC362*(1+AC$15),2),AI362+MAX(0,AK362-AL362+AE362-AM362+AF362-AN362+AG362-AO362+AH362))</f>
        <v>0</v>
      </c>
      <c r="AQ362" s="21" t="n">
        <f aca="false">MIN(ROUND(AD362*(1+AD$15),2),AJ362+MAX(0,AK362-AL362+AE362-AM362+AF362-AN362+AG362-AO362+AH362-AP362+AI362))</f>
        <v>0</v>
      </c>
      <c r="AR362" s="21" t="n">
        <f aca="false">SUM(Y362:AD362)</f>
        <v>0</v>
      </c>
      <c r="AS362" s="21" t="n">
        <f aca="false">SUM(AL362:AQ362)</f>
        <v>0</v>
      </c>
    </row>
    <row r="363" customFormat="false" ht="15" hidden="false" customHeight="false" outlineLevel="0" collapsed="false">
      <c r="A363" s="25" t="n">
        <f aca="false">A362+1</f>
        <v>337</v>
      </c>
      <c r="B363" s="21" t="n">
        <f aca="false">MAX(0,ROUND(B362*(1+B$15),2)-O362)</f>
        <v>0</v>
      </c>
      <c r="C363" s="21" t="n">
        <f aca="false">MAX(0,ROUND(C362*(1+C$15),2)-P362)</f>
        <v>0</v>
      </c>
      <c r="D363" s="21" t="n">
        <f aca="false">MAX(0,ROUND(D362*(1+D$15),2)-Q362)</f>
        <v>0</v>
      </c>
      <c r="E363" s="21" t="n">
        <f aca="false">MAX(0,ROUND(E362*(1+E$15),2)-R362)</f>
        <v>0</v>
      </c>
      <c r="F363" s="21" t="n">
        <f aca="false">MAX(0,ROUND(F362*(1+F$15),2)-S362)</f>
        <v>0</v>
      </c>
      <c r="G363" s="21" t="n">
        <f aca="false">MAX(0,ROUND(G362*(1+G$15),2)-T362)</f>
        <v>0</v>
      </c>
      <c r="H363" s="21" t="n">
        <f aca="false">MIN(B$16,ROUND(B363*(1+B$15),2))</f>
        <v>0</v>
      </c>
      <c r="I363" s="21" t="n">
        <f aca="false">MIN(C$16,ROUND(C363*(1+C$15),2))</f>
        <v>0</v>
      </c>
      <c r="J363" s="21" t="n">
        <f aca="false">MIN(D$16,ROUND(D363*(1+D$15),2))</f>
        <v>0</v>
      </c>
      <c r="K363" s="21" t="n">
        <f aca="false">MIN(E$16,ROUND(E363*(1+E$15),2))</f>
        <v>0</v>
      </c>
      <c r="L363" s="21" t="n">
        <f aca="false">MIN(F$16,ROUND(F363*(1+F$15),2))</f>
        <v>0</v>
      </c>
      <c r="M363" s="21" t="n">
        <f aca="false">MIN(G$16,ROUND(G363*(1+G$15),2))</f>
        <v>0</v>
      </c>
      <c r="N363" s="21" t="n">
        <f aca="false">B$20-SUM(H363:M363)</f>
        <v>1170</v>
      </c>
      <c r="O363" s="21" t="n">
        <f aca="false">MIN(ROUND(B363*(1+B$15),2),H363+MAX(0,N363))</f>
        <v>0</v>
      </c>
      <c r="P363" s="21" t="n">
        <f aca="false">MIN(ROUND(C363*(1+C$15),2),I363+MAX(0,N363-O363+H363))</f>
        <v>0</v>
      </c>
      <c r="Q363" s="21" t="n">
        <f aca="false">MIN(ROUND(D363*(1+D$15),2),J363+MAX(0,N363-O363+H363-P363+I363))</f>
        <v>0</v>
      </c>
      <c r="R363" s="21" t="n">
        <f aca="false">MIN(ROUND(E363*(1+E$15),2),K363+MAX(0,N363-O363+H363-P363+I363-Q363+J363))</f>
        <v>0</v>
      </c>
      <c r="S363" s="21" t="n">
        <f aca="false">MIN(ROUND(F363*(1+F$15),2),L363+MAX(0,N363-O363+H363-P363+I363-Q363+J363-R363+K363))</f>
        <v>0</v>
      </c>
      <c r="T363" s="21" t="n">
        <f aca="false">MIN(ROUND(G363*(1+G$15),2),M363+MAX(0,N363-O363+H363-P363+I363-Q363+J363-R363+K363-S363+L363))</f>
        <v>0</v>
      </c>
      <c r="U363" s="21" t="n">
        <f aca="false">SUM(B363:G363)</f>
        <v>0</v>
      </c>
      <c r="V363" s="21" t="n">
        <f aca="false">SUM(O363:T363)</f>
        <v>0</v>
      </c>
      <c r="X363" s="25" t="n">
        <f aca="false">X362+1</f>
        <v>337</v>
      </c>
      <c r="Y363" s="21" t="n">
        <f aca="false">MAX(0,ROUND(Y362*(1+Y$15),2)-AL362)</f>
        <v>0</v>
      </c>
      <c r="Z363" s="21" t="n">
        <f aca="false">MAX(0,ROUND(Z362*(1+Z$15),2)-AM362)</f>
        <v>0</v>
      </c>
      <c r="AA363" s="21" t="n">
        <f aca="false">MAX(0,ROUND(AA362*(1+AA$15),2)-AN362)</f>
        <v>0</v>
      </c>
      <c r="AB363" s="21" t="n">
        <f aca="false">MAX(0,ROUND(AB362*(1+AB$15),2)-AO362)</f>
        <v>0</v>
      </c>
      <c r="AC363" s="21" t="n">
        <f aca="false">MAX(0,ROUND(AC362*(1+AC$15),2)-AP362)</f>
        <v>0</v>
      </c>
      <c r="AD363" s="21" t="n">
        <f aca="false">MAX(0,ROUND(AD362*(1+AD$15),2)-AQ362)</f>
        <v>0</v>
      </c>
      <c r="AE363" s="21" t="n">
        <f aca="false">MIN(Y$16,ROUND(Y363*(1+Y$15),2))</f>
        <v>0</v>
      </c>
      <c r="AF363" s="21" t="n">
        <f aca="false">MIN(Z$16,ROUND(Z363*(1+Z$15),2))</f>
        <v>0</v>
      </c>
      <c r="AG363" s="21" t="n">
        <f aca="false">MIN(AA$16,ROUND(AA363*(1+AA$15),2))</f>
        <v>0</v>
      </c>
      <c r="AH363" s="21" t="n">
        <f aca="false">MIN(AB$16,ROUND(AB363*(1+AB$15),2))</f>
        <v>0</v>
      </c>
      <c r="AI363" s="21" t="n">
        <f aca="false">MIN(AC$16,ROUND(AC363*(1+AC$15),2))</f>
        <v>0</v>
      </c>
      <c r="AJ363" s="21" t="n">
        <f aca="false">MIN(AD$16,ROUND(AD363*(1+AD$15),2))</f>
        <v>0</v>
      </c>
      <c r="AK363" s="21" t="n">
        <f aca="false">Y$20-SUM(AE363:AJ363)</f>
        <v>1170</v>
      </c>
      <c r="AL363" s="21" t="n">
        <f aca="false">MIN(ROUND(Y363*(1+Y$15),2),AE363+MAX(0,AK363))</f>
        <v>0</v>
      </c>
      <c r="AM363" s="21" t="n">
        <f aca="false">MIN(ROUND(Z363*(1+Z$15),2),AF363+MAX(0,AK363-AL363+AE363))</f>
        <v>0</v>
      </c>
      <c r="AN363" s="21" t="n">
        <f aca="false">MIN(ROUND(AA363*(1+AA$15),2),AG363+MAX(0,AK363-AL363+AE363-AM363+AF363))</f>
        <v>0</v>
      </c>
      <c r="AO363" s="21" t="n">
        <f aca="false">MIN(ROUND(AB363*(1+AB$15),2),AH363+MAX(0,AK363-AL363+AE363-AM363+AF363-AN363+AG363))</f>
        <v>0</v>
      </c>
      <c r="AP363" s="21" t="n">
        <f aca="false">MIN(ROUND(AC363*(1+AC$15),2),AI363+MAX(0,AK363-AL363+AE363-AM363+AF363-AN363+AG363-AO363+AH363))</f>
        <v>0</v>
      </c>
      <c r="AQ363" s="21" t="n">
        <f aca="false">MIN(ROUND(AD363*(1+AD$15),2),AJ363+MAX(0,AK363-AL363+AE363-AM363+AF363-AN363+AG363-AO363+AH363-AP363+AI363))</f>
        <v>0</v>
      </c>
      <c r="AR363" s="21" t="n">
        <f aca="false">SUM(Y363:AD363)</f>
        <v>0</v>
      </c>
      <c r="AS363" s="21" t="n">
        <f aca="false">SUM(AL363:AQ363)</f>
        <v>0</v>
      </c>
    </row>
    <row r="364" customFormat="false" ht="15" hidden="false" customHeight="false" outlineLevel="0" collapsed="false">
      <c r="A364" s="25" t="n">
        <f aca="false">A363+1</f>
        <v>338</v>
      </c>
      <c r="B364" s="21" t="n">
        <f aca="false">MAX(0,ROUND(B363*(1+B$15),2)-O363)</f>
        <v>0</v>
      </c>
      <c r="C364" s="21" t="n">
        <f aca="false">MAX(0,ROUND(C363*(1+C$15),2)-P363)</f>
        <v>0</v>
      </c>
      <c r="D364" s="21" t="n">
        <f aca="false">MAX(0,ROUND(D363*(1+D$15),2)-Q363)</f>
        <v>0</v>
      </c>
      <c r="E364" s="21" t="n">
        <f aca="false">MAX(0,ROUND(E363*(1+E$15),2)-R363)</f>
        <v>0</v>
      </c>
      <c r="F364" s="21" t="n">
        <f aca="false">MAX(0,ROUND(F363*(1+F$15),2)-S363)</f>
        <v>0</v>
      </c>
      <c r="G364" s="21" t="n">
        <f aca="false">MAX(0,ROUND(G363*(1+G$15),2)-T363)</f>
        <v>0</v>
      </c>
      <c r="H364" s="21" t="n">
        <f aca="false">MIN(B$16,ROUND(B364*(1+B$15),2))</f>
        <v>0</v>
      </c>
      <c r="I364" s="21" t="n">
        <f aca="false">MIN(C$16,ROUND(C364*(1+C$15),2))</f>
        <v>0</v>
      </c>
      <c r="J364" s="21" t="n">
        <f aca="false">MIN(D$16,ROUND(D364*(1+D$15),2))</f>
        <v>0</v>
      </c>
      <c r="K364" s="21" t="n">
        <f aca="false">MIN(E$16,ROUND(E364*(1+E$15),2))</f>
        <v>0</v>
      </c>
      <c r="L364" s="21" t="n">
        <f aca="false">MIN(F$16,ROUND(F364*(1+F$15),2))</f>
        <v>0</v>
      </c>
      <c r="M364" s="21" t="n">
        <f aca="false">MIN(G$16,ROUND(G364*(1+G$15),2))</f>
        <v>0</v>
      </c>
      <c r="N364" s="21" t="n">
        <f aca="false">B$20-SUM(H364:M364)</f>
        <v>1170</v>
      </c>
      <c r="O364" s="21" t="n">
        <f aca="false">MIN(ROUND(B364*(1+B$15),2),H364+MAX(0,N364))</f>
        <v>0</v>
      </c>
      <c r="P364" s="21" t="n">
        <f aca="false">MIN(ROUND(C364*(1+C$15),2),I364+MAX(0,N364-O364+H364))</f>
        <v>0</v>
      </c>
      <c r="Q364" s="21" t="n">
        <f aca="false">MIN(ROUND(D364*(1+D$15),2),J364+MAX(0,N364-O364+H364-P364+I364))</f>
        <v>0</v>
      </c>
      <c r="R364" s="21" t="n">
        <f aca="false">MIN(ROUND(E364*(1+E$15),2),K364+MAX(0,N364-O364+H364-P364+I364-Q364+J364))</f>
        <v>0</v>
      </c>
      <c r="S364" s="21" t="n">
        <f aca="false">MIN(ROUND(F364*(1+F$15),2),L364+MAX(0,N364-O364+H364-P364+I364-Q364+J364-R364+K364))</f>
        <v>0</v>
      </c>
      <c r="T364" s="21" t="n">
        <f aca="false">MIN(ROUND(G364*(1+G$15),2),M364+MAX(0,N364-O364+H364-P364+I364-Q364+J364-R364+K364-S364+L364))</f>
        <v>0</v>
      </c>
      <c r="U364" s="21" t="n">
        <f aca="false">SUM(B364:G364)</f>
        <v>0</v>
      </c>
      <c r="V364" s="21" t="n">
        <f aca="false">SUM(O364:T364)</f>
        <v>0</v>
      </c>
      <c r="X364" s="25" t="n">
        <f aca="false">X363+1</f>
        <v>338</v>
      </c>
      <c r="Y364" s="21" t="n">
        <f aca="false">MAX(0,ROUND(Y363*(1+Y$15),2)-AL363)</f>
        <v>0</v>
      </c>
      <c r="Z364" s="21" t="n">
        <f aca="false">MAX(0,ROUND(Z363*(1+Z$15),2)-AM363)</f>
        <v>0</v>
      </c>
      <c r="AA364" s="21" t="n">
        <f aca="false">MAX(0,ROUND(AA363*(1+AA$15),2)-AN363)</f>
        <v>0</v>
      </c>
      <c r="AB364" s="21" t="n">
        <f aca="false">MAX(0,ROUND(AB363*(1+AB$15),2)-AO363)</f>
        <v>0</v>
      </c>
      <c r="AC364" s="21" t="n">
        <f aca="false">MAX(0,ROUND(AC363*(1+AC$15),2)-AP363)</f>
        <v>0</v>
      </c>
      <c r="AD364" s="21" t="n">
        <f aca="false">MAX(0,ROUND(AD363*(1+AD$15),2)-AQ363)</f>
        <v>0</v>
      </c>
      <c r="AE364" s="21" t="n">
        <f aca="false">MIN(Y$16,ROUND(Y364*(1+Y$15),2))</f>
        <v>0</v>
      </c>
      <c r="AF364" s="21" t="n">
        <f aca="false">MIN(Z$16,ROUND(Z364*(1+Z$15),2))</f>
        <v>0</v>
      </c>
      <c r="AG364" s="21" t="n">
        <f aca="false">MIN(AA$16,ROUND(AA364*(1+AA$15),2))</f>
        <v>0</v>
      </c>
      <c r="AH364" s="21" t="n">
        <f aca="false">MIN(AB$16,ROUND(AB364*(1+AB$15),2))</f>
        <v>0</v>
      </c>
      <c r="AI364" s="21" t="n">
        <f aca="false">MIN(AC$16,ROUND(AC364*(1+AC$15),2))</f>
        <v>0</v>
      </c>
      <c r="AJ364" s="21" t="n">
        <f aca="false">MIN(AD$16,ROUND(AD364*(1+AD$15),2))</f>
        <v>0</v>
      </c>
      <c r="AK364" s="21" t="n">
        <f aca="false">Y$20-SUM(AE364:AJ364)</f>
        <v>1170</v>
      </c>
      <c r="AL364" s="21" t="n">
        <f aca="false">MIN(ROUND(Y364*(1+Y$15),2),AE364+MAX(0,AK364))</f>
        <v>0</v>
      </c>
      <c r="AM364" s="21" t="n">
        <f aca="false">MIN(ROUND(Z364*(1+Z$15),2),AF364+MAX(0,AK364-AL364+AE364))</f>
        <v>0</v>
      </c>
      <c r="AN364" s="21" t="n">
        <f aca="false">MIN(ROUND(AA364*(1+AA$15),2),AG364+MAX(0,AK364-AL364+AE364-AM364+AF364))</f>
        <v>0</v>
      </c>
      <c r="AO364" s="21" t="n">
        <f aca="false">MIN(ROUND(AB364*(1+AB$15),2),AH364+MAX(0,AK364-AL364+AE364-AM364+AF364-AN364+AG364))</f>
        <v>0</v>
      </c>
      <c r="AP364" s="21" t="n">
        <f aca="false">MIN(ROUND(AC364*(1+AC$15),2),AI364+MAX(0,AK364-AL364+AE364-AM364+AF364-AN364+AG364-AO364+AH364))</f>
        <v>0</v>
      </c>
      <c r="AQ364" s="21" t="n">
        <f aca="false">MIN(ROUND(AD364*(1+AD$15),2),AJ364+MAX(0,AK364-AL364+AE364-AM364+AF364-AN364+AG364-AO364+AH364-AP364+AI364))</f>
        <v>0</v>
      </c>
      <c r="AR364" s="21" t="n">
        <f aca="false">SUM(Y364:AD364)</f>
        <v>0</v>
      </c>
      <c r="AS364" s="21" t="n">
        <f aca="false">SUM(AL364:AQ364)</f>
        <v>0</v>
      </c>
    </row>
    <row r="365" customFormat="false" ht="15" hidden="false" customHeight="false" outlineLevel="0" collapsed="false">
      <c r="A365" s="25" t="n">
        <f aca="false">A364+1</f>
        <v>339</v>
      </c>
      <c r="B365" s="21" t="n">
        <f aca="false">MAX(0,ROUND(B364*(1+B$15),2)-O364)</f>
        <v>0</v>
      </c>
      <c r="C365" s="21" t="n">
        <f aca="false">MAX(0,ROUND(C364*(1+C$15),2)-P364)</f>
        <v>0</v>
      </c>
      <c r="D365" s="21" t="n">
        <f aca="false">MAX(0,ROUND(D364*(1+D$15),2)-Q364)</f>
        <v>0</v>
      </c>
      <c r="E365" s="21" t="n">
        <f aca="false">MAX(0,ROUND(E364*(1+E$15),2)-R364)</f>
        <v>0</v>
      </c>
      <c r="F365" s="21" t="n">
        <f aca="false">MAX(0,ROUND(F364*(1+F$15),2)-S364)</f>
        <v>0</v>
      </c>
      <c r="G365" s="21" t="n">
        <f aca="false">MAX(0,ROUND(G364*(1+G$15),2)-T364)</f>
        <v>0</v>
      </c>
      <c r="H365" s="21" t="n">
        <f aca="false">MIN(B$16,ROUND(B365*(1+B$15),2))</f>
        <v>0</v>
      </c>
      <c r="I365" s="21" t="n">
        <f aca="false">MIN(C$16,ROUND(C365*(1+C$15),2))</f>
        <v>0</v>
      </c>
      <c r="J365" s="21" t="n">
        <f aca="false">MIN(D$16,ROUND(D365*(1+D$15),2))</f>
        <v>0</v>
      </c>
      <c r="K365" s="21" t="n">
        <f aca="false">MIN(E$16,ROUND(E365*(1+E$15),2))</f>
        <v>0</v>
      </c>
      <c r="L365" s="21" t="n">
        <f aca="false">MIN(F$16,ROUND(F365*(1+F$15),2))</f>
        <v>0</v>
      </c>
      <c r="M365" s="21" t="n">
        <f aca="false">MIN(G$16,ROUND(G365*(1+G$15),2))</f>
        <v>0</v>
      </c>
      <c r="N365" s="21" t="n">
        <f aca="false">B$20-SUM(H365:M365)</f>
        <v>1170</v>
      </c>
      <c r="O365" s="21" t="n">
        <f aca="false">MIN(ROUND(B365*(1+B$15),2),H365+MAX(0,N365))</f>
        <v>0</v>
      </c>
      <c r="P365" s="21" t="n">
        <f aca="false">MIN(ROUND(C365*(1+C$15),2),I365+MAX(0,N365-O365+H365))</f>
        <v>0</v>
      </c>
      <c r="Q365" s="21" t="n">
        <f aca="false">MIN(ROUND(D365*(1+D$15),2),J365+MAX(0,N365-O365+H365-P365+I365))</f>
        <v>0</v>
      </c>
      <c r="R365" s="21" t="n">
        <f aca="false">MIN(ROUND(E365*(1+E$15),2),K365+MAX(0,N365-O365+H365-P365+I365-Q365+J365))</f>
        <v>0</v>
      </c>
      <c r="S365" s="21" t="n">
        <f aca="false">MIN(ROUND(F365*(1+F$15),2),L365+MAX(0,N365-O365+H365-P365+I365-Q365+J365-R365+K365))</f>
        <v>0</v>
      </c>
      <c r="T365" s="21" t="n">
        <f aca="false">MIN(ROUND(G365*(1+G$15),2),M365+MAX(0,N365-O365+H365-P365+I365-Q365+J365-R365+K365-S365+L365))</f>
        <v>0</v>
      </c>
      <c r="U365" s="21" t="n">
        <f aca="false">SUM(B365:G365)</f>
        <v>0</v>
      </c>
      <c r="V365" s="21" t="n">
        <f aca="false">SUM(O365:T365)</f>
        <v>0</v>
      </c>
      <c r="X365" s="25" t="n">
        <f aca="false">X364+1</f>
        <v>339</v>
      </c>
      <c r="Y365" s="21" t="n">
        <f aca="false">MAX(0,ROUND(Y364*(1+Y$15),2)-AL364)</f>
        <v>0</v>
      </c>
      <c r="Z365" s="21" t="n">
        <f aca="false">MAX(0,ROUND(Z364*(1+Z$15),2)-AM364)</f>
        <v>0</v>
      </c>
      <c r="AA365" s="21" t="n">
        <f aca="false">MAX(0,ROUND(AA364*(1+AA$15),2)-AN364)</f>
        <v>0</v>
      </c>
      <c r="AB365" s="21" t="n">
        <f aca="false">MAX(0,ROUND(AB364*(1+AB$15),2)-AO364)</f>
        <v>0</v>
      </c>
      <c r="AC365" s="21" t="n">
        <f aca="false">MAX(0,ROUND(AC364*(1+AC$15),2)-AP364)</f>
        <v>0</v>
      </c>
      <c r="AD365" s="21" t="n">
        <f aca="false">MAX(0,ROUND(AD364*(1+AD$15),2)-AQ364)</f>
        <v>0</v>
      </c>
      <c r="AE365" s="21" t="n">
        <f aca="false">MIN(Y$16,ROUND(Y365*(1+Y$15),2))</f>
        <v>0</v>
      </c>
      <c r="AF365" s="21" t="n">
        <f aca="false">MIN(Z$16,ROUND(Z365*(1+Z$15),2))</f>
        <v>0</v>
      </c>
      <c r="AG365" s="21" t="n">
        <f aca="false">MIN(AA$16,ROUND(AA365*(1+AA$15),2))</f>
        <v>0</v>
      </c>
      <c r="AH365" s="21" t="n">
        <f aca="false">MIN(AB$16,ROUND(AB365*(1+AB$15),2))</f>
        <v>0</v>
      </c>
      <c r="AI365" s="21" t="n">
        <f aca="false">MIN(AC$16,ROUND(AC365*(1+AC$15),2))</f>
        <v>0</v>
      </c>
      <c r="AJ365" s="21" t="n">
        <f aca="false">MIN(AD$16,ROUND(AD365*(1+AD$15),2))</f>
        <v>0</v>
      </c>
      <c r="AK365" s="21" t="n">
        <f aca="false">Y$20-SUM(AE365:AJ365)</f>
        <v>1170</v>
      </c>
      <c r="AL365" s="21" t="n">
        <f aca="false">MIN(ROUND(Y365*(1+Y$15),2),AE365+MAX(0,AK365))</f>
        <v>0</v>
      </c>
      <c r="AM365" s="21" t="n">
        <f aca="false">MIN(ROUND(Z365*(1+Z$15),2),AF365+MAX(0,AK365-AL365+AE365))</f>
        <v>0</v>
      </c>
      <c r="AN365" s="21" t="n">
        <f aca="false">MIN(ROUND(AA365*(1+AA$15),2),AG365+MAX(0,AK365-AL365+AE365-AM365+AF365))</f>
        <v>0</v>
      </c>
      <c r="AO365" s="21" t="n">
        <f aca="false">MIN(ROUND(AB365*(1+AB$15),2),AH365+MAX(0,AK365-AL365+AE365-AM365+AF365-AN365+AG365))</f>
        <v>0</v>
      </c>
      <c r="AP365" s="21" t="n">
        <f aca="false">MIN(ROUND(AC365*(1+AC$15),2),AI365+MAX(0,AK365-AL365+AE365-AM365+AF365-AN365+AG365-AO365+AH365))</f>
        <v>0</v>
      </c>
      <c r="AQ365" s="21" t="n">
        <f aca="false">MIN(ROUND(AD365*(1+AD$15),2),AJ365+MAX(0,AK365-AL365+AE365-AM365+AF365-AN365+AG365-AO365+AH365-AP365+AI365))</f>
        <v>0</v>
      </c>
      <c r="AR365" s="21" t="n">
        <f aca="false">SUM(Y365:AD365)</f>
        <v>0</v>
      </c>
      <c r="AS365" s="21" t="n">
        <f aca="false">SUM(AL365:AQ365)</f>
        <v>0</v>
      </c>
    </row>
    <row r="366" customFormat="false" ht="15" hidden="false" customHeight="false" outlineLevel="0" collapsed="false">
      <c r="A366" s="25" t="n">
        <f aca="false">A365+1</f>
        <v>340</v>
      </c>
      <c r="B366" s="21" t="n">
        <f aca="false">MAX(0,ROUND(B365*(1+B$15),2)-O365)</f>
        <v>0</v>
      </c>
      <c r="C366" s="21" t="n">
        <f aca="false">MAX(0,ROUND(C365*(1+C$15),2)-P365)</f>
        <v>0</v>
      </c>
      <c r="D366" s="21" t="n">
        <f aca="false">MAX(0,ROUND(D365*(1+D$15),2)-Q365)</f>
        <v>0</v>
      </c>
      <c r="E366" s="21" t="n">
        <f aca="false">MAX(0,ROUND(E365*(1+E$15),2)-R365)</f>
        <v>0</v>
      </c>
      <c r="F366" s="21" t="n">
        <f aca="false">MAX(0,ROUND(F365*(1+F$15),2)-S365)</f>
        <v>0</v>
      </c>
      <c r="G366" s="21" t="n">
        <f aca="false">MAX(0,ROUND(G365*(1+G$15),2)-T365)</f>
        <v>0</v>
      </c>
      <c r="H366" s="21" t="n">
        <f aca="false">MIN(B$16,ROUND(B366*(1+B$15),2))</f>
        <v>0</v>
      </c>
      <c r="I366" s="21" t="n">
        <f aca="false">MIN(C$16,ROUND(C366*(1+C$15),2))</f>
        <v>0</v>
      </c>
      <c r="J366" s="21" t="n">
        <f aca="false">MIN(D$16,ROUND(D366*(1+D$15),2))</f>
        <v>0</v>
      </c>
      <c r="K366" s="21" t="n">
        <f aca="false">MIN(E$16,ROUND(E366*(1+E$15),2))</f>
        <v>0</v>
      </c>
      <c r="L366" s="21" t="n">
        <f aca="false">MIN(F$16,ROUND(F366*(1+F$15),2))</f>
        <v>0</v>
      </c>
      <c r="M366" s="21" t="n">
        <f aca="false">MIN(G$16,ROUND(G366*(1+G$15),2))</f>
        <v>0</v>
      </c>
      <c r="N366" s="21" t="n">
        <f aca="false">B$20-SUM(H366:M366)</f>
        <v>1170</v>
      </c>
      <c r="O366" s="21" t="n">
        <f aca="false">MIN(ROUND(B366*(1+B$15),2),H366+MAX(0,N366))</f>
        <v>0</v>
      </c>
      <c r="P366" s="21" t="n">
        <f aca="false">MIN(ROUND(C366*(1+C$15),2),I366+MAX(0,N366-O366+H366))</f>
        <v>0</v>
      </c>
      <c r="Q366" s="21" t="n">
        <f aca="false">MIN(ROUND(D366*(1+D$15),2),J366+MAX(0,N366-O366+H366-P366+I366))</f>
        <v>0</v>
      </c>
      <c r="R366" s="21" t="n">
        <f aca="false">MIN(ROUND(E366*(1+E$15),2),K366+MAX(0,N366-O366+H366-P366+I366-Q366+J366))</f>
        <v>0</v>
      </c>
      <c r="S366" s="21" t="n">
        <f aca="false">MIN(ROUND(F366*(1+F$15),2),L366+MAX(0,N366-O366+H366-P366+I366-Q366+J366-R366+K366))</f>
        <v>0</v>
      </c>
      <c r="T366" s="21" t="n">
        <f aca="false">MIN(ROUND(G366*(1+G$15),2),M366+MAX(0,N366-O366+H366-P366+I366-Q366+J366-R366+K366-S366+L366))</f>
        <v>0</v>
      </c>
      <c r="U366" s="21" t="n">
        <f aca="false">SUM(B366:G366)</f>
        <v>0</v>
      </c>
      <c r="V366" s="21" t="n">
        <f aca="false">SUM(O366:T366)</f>
        <v>0</v>
      </c>
      <c r="X366" s="25" t="n">
        <f aca="false">X365+1</f>
        <v>340</v>
      </c>
      <c r="Y366" s="21" t="n">
        <f aca="false">MAX(0,ROUND(Y365*(1+Y$15),2)-AL365)</f>
        <v>0</v>
      </c>
      <c r="Z366" s="21" t="n">
        <f aca="false">MAX(0,ROUND(Z365*(1+Z$15),2)-AM365)</f>
        <v>0</v>
      </c>
      <c r="AA366" s="21" t="n">
        <f aca="false">MAX(0,ROUND(AA365*(1+AA$15),2)-AN365)</f>
        <v>0</v>
      </c>
      <c r="AB366" s="21" t="n">
        <f aca="false">MAX(0,ROUND(AB365*(1+AB$15),2)-AO365)</f>
        <v>0</v>
      </c>
      <c r="AC366" s="21" t="n">
        <f aca="false">MAX(0,ROUND(AC365*(1+AC$15),2)-AP365)</f>
        <v>0</v>
      </c>
      <c r="AD366" s="21" t="n">
        <f aca="false">MAX(0,ROUND(AD365*(1+AD$15),2)-AQ365)</f>
        <v>0</v>
      </c>
      <c r="AE366" s="21" t="n">
        <f aca="false">MIN(Y$16,ROUND(Y366*(1+Y$15),2))</f>
        <v>0</v>
      </c>
      <c r="AF366" s="21" t="n">
        <f aca="false">MIN(Z$16,ROUND(Z366*(1+Z$15),2))</f>
        <v>0</v>
      </c>
      <c r="AG366" s="21" t="n">
        <f aca="false">MIN(AA$16,ROUND(AA366*(1+AA$15),2))</f>
        <v>0</v>
      </c>
      <c r="AH366" s="21" t="n">
        <f aca="false">MIN(AB$16,ROUND(AB366*(1+AB$15),2))</f>
        <v>0</v>
      </c>
      <c r="AI366" s="21" t="n">
        <f aca="false">MIN(AC$16,ROUND(AC366*(1+AC$15),2))</f>
        <v>0</v>
      </c>
      <c r="AJ366" s="21" t="n">
        <f aca="false">MIN(AD$16,ROUND(AD366*(1+AD$15),2))</f>
        <v>0</v>
      </c>
      <c r="AK366" s="21" t="n">
        <f aca="false">Y$20-SUM(AE366:AJ366)</f>
        <v>1170</v>
      </c>
      <c r="AL366" s="21" t="n">
        <f aca="false">MIN(ROUND(Y366*(1+Y$15),2),AE366+MAX(0,AK366))</f>
        <v>0</v>
      </c>
      <c r="AM366" s="21" t="n">
        <f aca="false">MIN(ROUND(Z366*(1+Z$15),2),AF366+MAX(0,AK366-AL366+AE366))</f>
        <v>0</v>
      </c>
      <c r="AN366" s="21" t="n">
        <f aca="false">MIN(ROUND(AA366*(1+AA$15),2),AG366+MAX(0,AK366-AL366+AE366-AM366+AF366))</f>
        <v>0</v>
      </c>
      <c r="AO366" s="21" t="n">
        <f aca="false">MIN(ROUND(AB366*(1+AB$15),2),AH366+MAX(0,AK366-AL366+AE366-AM366+AF366-AN366+AG366))</f>
        <v>0</v>
      </c>
      <c r="AP366" s="21" t="n">
        <f aca="false">MIN(ROUND(AC366*(1+AC$15),2),AI366+MAX(0,AK366-AL366+AE366-AM366+AF366-AN366+AG366-AO366+AH366))</f>
        <v>0</v>
      </c>
      <c r="AQ366" s="21" t="n">
        <f aca="false">MIN(ROUND(AD366*(1+AD$15),2),AJ366+MAX(0,AK366-AL366+AE366-AM366+AF366-AN366+AG366-AO366+AH366-AP366+AI366))</f>
        <v>0</v>
      </c>
      <c r="AR366" s="21" t="n">
        <f aca="false">SUM(Y366:AD366)</f>
        <v>0</v>
      </c>
      <c r="AS366" s="21" t="n">
        <f aca="false">SUM(AL366:AQ366)</f>
        <v>0</v>
      </c>
    </row>
    <row r="367" customFormat="false" ht="15" hidden="false" customHeight="false" outlineLevel="0" collapsed="false">
      <c r="A367" s="25" t="n">
        <f aca="false">A366+1</f>
        <v>341</v>
      </c>
      <c r="B367" s="21" t="n">
        <f aca="false">MAX(0,ROUND(B366*(1+B$15),2)-O366)</f>
        <v>0</v>
      </c>
      <c r="C367" s="21" t="n">
        <f aca="false">MAX(0,ROUND(C366*(1+C$15),2)-P366)</f>
        <v>0</v>
      </c>
      <c r="D367" s="21" t="n">
        <f aca="false">MAX(0,ROUND(D366*(1+D$15),2)-Q366)</f>
        <v>0</v>
      </c>
      <c r="E367" s="21" t="n">
        <f aca="false">MAX(0,ROUND(E366*(1+E$15),2)-R366)</f>
        <v>0</v>
      </c>
      <c r="F367" s="21" t="n">
        <f aca="false">MAX(0,ROUND(F366*(1+F$15),2)-S366)</f>
        <v>0</v>
      </c>
      <c r="G367" s="21" t="n">
        <f aca="false">MAX(0,ROUND(G366*(1+G$15),2)-T366)</f>
        <v>0</v>
      </c>
      <c r="H367" s="21" t="n">
        <f aca="false">MIN(B$16,ROUND(B367*(1+B$15),2))</f>
        <v>0</v>
      </c>
      <c r="I367" s="21" t="n">
        <f aca="false">MIN(C$16,ROUND(C367*(1+C$15),2))</f>
        <v>0</v>
      </c>
      <c r="J367" s="21" t="n">
        <f aca="false">MIN(D$16,ROUND(D367*(1+D$15),2))</f>
        <v>0</v>
      </c>
      <c r="K367" s="21" t="n">
        <f aca="false">MIN(E$16,ROUND(E367*(1+E$15),2))</f>
        <v>0</v>
      </c>
      <c r="L367" s="21" t="n">
        <f aca="false">MIN(F$16,ROUND(F367*(1+F$15),2))</f>
        <v>0</v>
      </c>
      <c r="M367" s="21" t="n">
        <f aca="false">MIN(G$16,ROUND(G367*(1+G$15),2))</f>
        <v>0</v>
      </c>
      <c r="N367" s="21" t="n">
        <f aca="false">B$20-SUM(H367:M367)</f>
        <v>1170</v>
      </c>
      <c r="O367" s="21" t="n">
        <f aca="false">MIN(ROUND(B367*(1+B$15),2),H367+MAX(0,N367))</f>
        <v>0</v>
      </c>
      <c r="P367" s="21" t="n">
        <f aca="false">MIN(ROUND(C367*(1+C$15),2),I367+MAX(0,N367-O367+H367))</f>
        <v>0</v>
      </c>
      <c r="Q367" s="21" t="n">
        <f aca="false">MIN(ROUND(D367*(1+D$15),2),J367+MAX(0,N367-O367+H367-P367+I367))</f>
        <v>0</v>
      </c>
      <c r="R367" s="21" t="n">
        <f aca="false">MIN(ROUND(E367*(1+E$15),2),K367+MAX(0,N367-O367+H367-P367+I367-Q367+J367))</f>
        <v>0</v>
      </c>
      <c r="S367" s="21" t="n">
        <f aca="false">MIN(ROUND(F367*(1+F$15),2),L367+MAX(0,N367-O367+H367-P367+I367-Q367+J367-R367+K367))</f>
        <v>0</v>
      </c>
      <c r="T367" s="21" t="n">
        <f aca="false">MIN(ROUND(G367*(1+G$15),2),M367+MAX(0,N367-O367+H367-P367+I367-Q367+J367-R367+K367-S367+L367))</f>
        <v>0</v>
      </c>
      <c r="U367" s="21" t="n">
        <f aca="false">SUM(B367:G367)</f>
        <v>0</v>
      </c>
      <c r="V367" s="21" t="n">
        <f aca="false">SUM(O367:T367)</f>
        <v>0</v>
      </c>
      <c r="X367" s="25" t="n">
        <f aca="false">X366+1</f>
        <v>341</v>
      </c>
      <c r="Y367" s="21" t="n">
        <f aca="false">MAX(0,ROUND(Y366*(1+Y$15),2)-AL366)</f>
        <v>0</v>
      </c>
      <c r="Z367" s="21" t="n">
        <f aca="false">MAX(0,ROUND(Z366*(1+Z$15),2)-AM366)</f>
        <v>0</v>
      </c>
      <c r="AA367" s="21" t="n">
        <f aca="false">MAX(0,ROUND(AA366*(1+AA$15),2)-AN366)</f>
        <v>0</v>
      </c>
      <c r="AB367" s="21" t="n">
        <f aca="false">MAX(0,ROUND(AB366*(1+AB$15),2)-AO366)</f>
        <v>0</v>
      </c>
      <c r="AC367" s="21" t="n">
        <f aca="false">MAX(0,ROUND(AC366*(1+AC$15),2)-AP366)</f>
        <v>0</v>
      </c>
      <c r="AD367" s="21" t="n">
        <f aca="false">MAX(0,ROUND(AD366*(1+AD$15),2)-AQ366)</f>
        <v>0</v>
      </c>
      <c r="AE367" s="21" t="n">
        <f aca="false">MIN(Y$16,ROUND(Y367*(1+Y$15),2))</f>
        <v>0</v>
      </c>
      <c r="AF367" s="21" t="n">
        <f aca="false">MIN(Z$16,ROUND(Z367*(1+Z$15),2))</f>
        <v>0</v>
      </c>
      <c r="AG367" s="21" t="n">
        <f aca="false">MIN(AA$16,ROUND(AA367*(1+AA$15),2))</f>
        <v>0</v>
      </c>
      <c r="AH367" s="21" t="n">
        <f aca="false">MIN(AB$16,ROUND(AB367*(1+AB$15),2))</f>
        <v>0</v>
      </c>
      <c r="AI367" s="21" t="n">
        <f aca="false">MIN(AC$16,ROUND(AC367*(1+AC$15),2))</f>
        <v>0</v>
      </c>
      <c r="AJ367" s="21" t="n">
        <f aca="false">MIN(AD$16,ROUND(AD367*(1+AD$15),2))</f>
        <v>0</v>
      </c>
      <c r="AK367" s="21" t="n">
        <f aca="false">Y$20-SUM(AE367:AJ367)</f>
        <v>1170</v>
      </c>
      <c r="AL367" s="21" t="n">
        <f aca="false">MIN(ROUND(Y367*(1+Y$15),2),AE367+MAX(0,AK367))</f>
        <v>0</v>
      </c>
      <c r="AM367" s="21" t="n">
        <f aca="false">MIN(ROUND(Z367*(1+Z$15),2),AF367+MAX(0,AK367-AL367+AE367))</f>
        <v>0</v>
      </c>
      <c r="AN367" s="21" t="n">
        <f aca="false">MIN(ROUND(AA367*(1+AA$15),2),AG367+MAX(0,AK367-AL367+AE367-AM367+AF367))</f>
        <v>0</v>
      </c>
      <c r="AO367" s="21" t="n">
        <f aca="false">MIN(ROUND(AB367*(1+AB$15),2),AH367+MAX(0,AK367-AL367+AE367-AM367+AF367-AN367+AG367))</f>
        <v>0</v>
      </c>
      <c r="AP367" s="21" t="n">
        <f aca="false">MIN(ROUND(AC367*(1+AC$15),2),AI367+MAX(0,AK367-AL367+AE367-AM367+AF367-AN367+AG367-AO367+AH367))</f>
        <v>0</v>
      </c>
      <c r="AQ367" s="21" t="n">
        <f aca="false">MIN(ROUND(AD367*(1+AD$15),2),AJ367+MAX(0,AK367-AL367+AE367-AM367+AF367-AN367+AG367-AO367+AH367-AP367+AI367))</f>
        <v>0</v>
      </c>
      <c r="AR367" s="21" t="n">
        <f aca="false">SUM(Y367:AD367)</f>
        <v>0</v>
      </c>
      <c r="AS367" s="21" t="n">
        <f aca="false">SUM(AL367:AQ367)</f>
        <v>0</v>
      </c>
    </row>
    <row r="368" customFormat="false" ht="15" hidden="false" customHeight="false" outlineLevel="0" collapsed="false">
      <c r="A368" s="25" t="n">
        <f aca="false">A367+1</f>
        <v>342</v>
      </c>
      <c r="B368" s="21" t="n">
        <f aca="false">MAX(0,ROUND(B367*(1+B$15),2)-O367)</f>
        <v>0</v>
      </c>
      <c r="C368" s="21" t="n">
        <f aca="false">MAX(0,ROUND(C367*(1+C$15),2)-P367)</f>
        <v>0</v>
      </c>
      <c r="D368" s="21" t="n">
        <f aca="false">MAX(0,ROUND(D367*(1+D$15),2)-Q367)</f>
        <v>0</v>
      </c>
      <c r="E368" s="21" t="n">
        <f aca="false">MAX(0,ROUND(E367*(1+E$15),2)-R367)</f>
        <v>0</v>
      </c>
      <c r="F368" s="21" t="n">
        <f aca="false">MAX(0,ROUND(F367*(1+F$15),2)-S367)</f>
        <v>0</v>
      </c>
      <c r="G368" s="21" t="n">
        <f aca="false">MAX(0,ROUND(G367*(1+G$15),2)-T367)</f>
        <v>0</v>
      </c>
      <c r="H368" s="21" t="n">
        <f aca="false">MIN(B$16,ROUND(B368*(1+B$15),2))</f>
        <v>0</v>
      </c>
      <c r="I368" s="21" t="n">
        <f aca="false">MIN(C$16,ROUND(C368*(1+C$15),2))</f>
        <v>0</v>
      </c>
      <c r="J368" s="21" t="n">
        <f aca="false">MIN(D$16,ROUND(D368*(1+D$15),2))</f>
        <v>0</v>
      </c>
      <c r="K368" s="21" t="n">
        <f aca="false">MIN(E$16,ROUND(E368*(1+E$15),2))</f>
        <v>0</v>
      </c>
      <c r="L368" s="21" t="n">
        <f aca="false">MIN(F$16,ROUND(F368*(1+F$15),2))</f>
        <v>0</v>
      </c>
      <c r="M368" s="21" t="n">
        <f aca="false">MIN(G$16,ROUND(G368*(1+G$15),2))</f>
        <v>0</v>
      </c>
      <c r="N368" s="21" t="n">
        <f aca="false">B$20-SUM(H368:M368)</f>
        <v>1170</v>
      </c>
      <c r="O368" s="21" t="n">
        <f aca="false">MIN(ROUND(B368*(1+B$15),2),H368+MAX(0,N368))</f>
        <v>0</v>
      </c>
      <c r="P368" s="21" t="n">
        <f aca="false">MIN(ROUND(C368*(1+C$15),2),I368+MAX(0,N368-O368+H368))</f>
        <v>0</v>
      </c>
      <c r="Q368" s="21" t="n">
        <f aca="false">MIN(ROUND(D368*(1+D$15),2),J368+MAX(0,N368-O368+H368-P368+I368))</f>
        <v>0</v>
      </c>
      <c r="R368" s="21" t="n">
        <f aca="false">MIN(ROUND(E368*(1+E$15),2),K368+MAX(0,N368-O368+H368-P368+I368-Q368+J368))</f>
        <v>0</v>
      </c>
      <c r="S368" s="21" t="n">
        <f aca="false">MIN(ROUND(F368*(1+F$15),2),L368+MAX(0,N368-O368+H368-P368+I368-Q368+J368-R368+K368))</f>
        <v>0</v>
      </c>
      <c r="T368" s="21" t="n">
        <f aca="false">MIN(ROUND(G368*(1+G$15),2),M368+MAX(0,N368-O368+H368-P368+I368-Q368+J368-R368+K368-S368+L368))</f>
        <v>0</v>
      </c>
      <c r="U368" s="21" t="n">
        <f aca="false">SUM(B368:G368)</f>
        <v>0</v>
      </c>
      <c r="V368" s="21" t="n">
        <f aca="false">SUM(O368:T368)</f>
        <v>0</v>
      </c>
      <c r="X368" s="25" t="n">
        <f aca="false">X367+1</f>
        <v>342</v>
      </c>
      <c r="Y368" s="21" t="n">
        <f aca="false">MAX(0,ROUND(Y367*(1+Y$15),2)-AL367)</f>
        <v>0</v>
      </c>
      <c r="Z368" s="21" t="n">
        <f aca="false">MAX(0,ROUND(Z367*(1+Z$15),2)-AM367)</f>
        <v>0</v>
      </c>
      <c r="AA368" s="21" t="n">
        <f aca="false">MAX(0,ROUND(AA367*(1+AA$15),2)-AN367)</f>
        <v>0</v>
      </c>
      <c r="AB368" s="21" t="n">
        <f aca="false">MAX(0,ROUND(AB367*(1+AB$15),2)-AO367)</f>
        <v>0</v>
      </c>
      <c r="AC368" s="21" t="n">
        <f aca="false">MAX(0,ROUND(AC367*(1+AC$15),2)-AP367)</f>
        <v>0</v>
      </c>
      <c r="AD368" s="21" t="n">
        <f aca="false">MAX(0,ROUND(AD367*(1+AD$15),2)-AQ367)</f>
        <v>0</v>
      </c>
      <c r="AE368" s="21" t="n">
        <f aca="false">MIN(Y$16,ROUND(Y368*(1+Y$15),2))</f>
        <v>0</v>
      </c>
      <c r="AF368" s="21" t="n">
        <f aca="false">MIN(Z$16,ROUND(Z368*(1+Z$15),2))</f>
        <v>0</v>
      </c>
      <c r="AG368" s="21" t="n">
        <f aca="false">MIN(AA$16,ROUND(AA368*(1+AA$15),2))</f>
        <v>0</v>
      </c>
      <c r="AH368" s="21" t="n">
        <f aca="false">MIN(AB$16,ROUND(AB368*(1+AB$15),2))</f>
        <v>0</v>
      </c>
      <c r="AI368" s="21" t="n">
        <f aca="false">MIN(AC$16,ROUND(AC368*(1+AC$15),2))</f>
        <v>0</v>
      </c>
      <c r="AJ368" s="21" t="n">
        <f aca="false">MIN(AD$16,ROUND(AD368*(1+AD$15),2))</f>
        <v>0</v>
      </c>
      <c r="AK368" s="21" t="n">
        <f aca="false">Y$20-SUM(AE368:AJ368)</f>
        <v>1170</v>
      </c>
      <c r="AL368" s="21" t="n">
        <f aca="false">MIN(ROUND(Y368*(1+Y$15),2),AE368+MAX(0,AK368))</f>
        <v>0</v>
      </c>
      <c r="AM368" s="21" t="n">
        <f aca="false">MIN(ROUND(Z368*(1+Z$15),2),AF368+MAX(0,AK368-AL368+AE368))</f>
        <v>0</v>
      </c>
      <c r="AN368" s="21" t="n">
        <f aca="false">MIN(ROUND(AA368*(1+AA$15),2),AG368+MAX(0,AK368-AL368+AE368-AM368+AF368))</f>
        <v>0</v>
      </c>
      <c r="AO368" s="21" t="n">
        <f aca="false">MIN(ROUND(AB368*(1+AB$15),2),AH368+MAX(0,AK368-AL368+AE368-AM368+AF368-AN368+AG368))</f>
        <v>0</v>
      </c>
      <c r="AP368" s="21" t="n">
        <f aca="false">MIN(ROUND(AC368*(1+AC$15),2),AI368+MAX(0,AK368-AL368+AE368-AM368+AF368-AN368+AG368-AO368+AH368))</f>
        <v>0</v>
      </c>
      <c r="AQ368" s="21" t="n">
        <f aca="false">MIN(ROUND(AD368*(1+AD$15),2),AJ368+MAX(0,AK368-AL368+AE368-AM368+AF368-AN368+AG368-AO368+AH368-AP368+AI368))</f>
        <v>0</v>
      </c>
      <c r="AR368" s="21" t="n">
        <f aca="false">SUM(Y368:AD368)</f>
        <v>0</v>
      </c>
      <c r="AS368" s="21" t="n">
        <f aca="false">SUM(AL368:AQ368)</f>
        <v>0</v>
      </c>
    </row>
    <row r="369" customFormat="false" ht="15" hidden="false" customHeight="false" outlineLevel="0" collapsed="false">
      <c r="A369" s="25" t="n">
        <f aca="false">A368+1</f>
        <v>343</v>
      </c>
      <c r="B369" s="21" t="n">
        <f aca="false">MAX(0,ROUND(B368*(1+B$15),2)-O368)</f>
        <v>0</v>
      </c>
      <c r="C369" s="21" t="n">
        <f aca="false">MAX(0,ROUND(C368*(1+C$15),2)-P368)</f>
        <v>0</v>
      </c>
      <c r="D369" s="21" t="n">
        <f aca="false">MAX(0,ROUND(D368*(1+D$15),2)-Q368)</f>
        <v>0</v>
      </c>
      <c r="E369" s="21" t="n">
        <f aca="false">MAX(0,ROUND(E368*(1+E$15),2)-R368)</f>
        <v>0</v>
      </c>
      <c r="F369" s="21" t="n">
        <f aca="false">MAX(0,ROUND(F368*(1+F$15),2)-S368)</f>
        <v>0</v>
      </c>
      <c r="G369" s="21" t="n">
        <f aca="false">MAX(0,ROUND(G368*(1+G$15),2)-T368)</f>
        <v>0</v>
      </c>
      <c r="H369" s="21" t="n">
        <f aca="false">MIN(B$16,ROUND(B369*(1+B$15),2))</f>
        <v>0</v>
      </c>
      <c r="I369" s="21" t="n">
        <f aca="false">MIN(C$16,ROUND(C369*(1+C$15),2))</f>
        <v>0</v>
      </c>
      <c r="J369" s="21" t="n">
        <f aca="false">MIN(D$16,ROUND(D369*(1+D$15),2))</f>
        <v>0</v>
      </c>
      <c r="K369" s="21" t="n">
        <f aca="false">MIN(E$16,ROUND(E369*(1+E$15),2))</f>
        <v>0</v>
      </c>
      <c r="L369" s="21" t="n">
        <f aca="false">MIN(F$16,ROUND(F369*(1+F$15),2))</f>
        <v>0</v>
      </c>
      <c r="M369" s="21" t="n">
        <f aca="false">MIN(G$16,ROUND(G369*(1+G$15),2))</f>
        <v>0</v>
      </c>
      <c r="N369" s="21" t="n">
        <f aca="false">B$20-SUM(H369:M369)</f>
        <v>1170</v>
      </c>
      <c r="O369" s="21" t="n">
        <f aca="false">MIN(ROUND(B369*(1+B$15),2),H369+MAX(0,N369))</f>
        <v>0</v>
      </c>
      <c r="P369" s="21" t="n">
        <f aca="false">MIN(ROUND(C369*(1+C$15),2),I369+MAX(0,N369-O369+H369))</f>
        <v>0</v>
      </c>
      <c r="Q369" s="21" t="n">
        <f aca="false">MIN(ROUND(D369*(1+D$15),2),J369+MAX(0,N369-O369+H369-P369+I369))</f>
        <v>0</v>
      </c>
      <c r="R369" s="21" t="n">
        <f aca="false">MIN(ROUND(E369*(1+E$15),2),K369+MAX(0,N369-O369+H369-P369+I369-Q369+J369))</f>
        <v>0</v>
      </c>
      <c r="S369" s="21" t="n">
        <f aca="false">MIN(ROUND(F369*(1+F$15),2),L369+MAX(0,N369-O369+H369-P369+I369-Q369+J369-R369+K369))</f>
        <v>0</v>
      </c>
      <c r="T369" s="21" t="n">
        <f aca="false">MIN(ROUND(G369*(1+G$15),2),M369+MAX(0,N369-O369+H369-P369+I369-Q369+J369-R369+K369-S369+L369))</f>
        <v>0</v>
      </c>
      <c r="U369" s="21" t="n">
        <f aca="false">SUM(B369:G369)</f>
        <v>0</v>
      </c>
      <c r="V369" s="21" t="n">
        <f aca="false">SUM(O369:T369)</f>
        <v>0</v>
      </c>
      <c r="X369" s="25" t="n">
        <f aca="false">X368+1</f>
        <v>343</v>
      </c>
      <c r="Y369" s="21" t="n">
        <f aca="false">MAX(0,ROUND(Y368*(1+Y$15),2)-AL368)</f>
        <v>0</v>
      </c>
      <c r="Z369" s="21" t="n">
        <f aca="false">MAX(0,ROUND(Z368*(1+Z$15),2)-AM368)</f>
        <v>0</v>
      </c>
      <c r="AA369" s="21" t="n">
        <f aca="false">MAX(0,ROUND(AA368*(1+AA$15),2)-AN368)</f>
        <v>0</v>
      </c>
      <c r="AB369" s="21" t="n">
        <f aca="false">MAX(0,ROUND(AB368*(1+AB$15),2)-AO368)</f>
        <v>0</v>
      </c>
      <c r="AC369" s="21" t="n">
        <f aca="false">MAX(0,ROUND(AC368*(1+AC$15),2)-AP368)</f>
        <v>0</v>
      </c>
      <c r="AD369" s="21" t="n">
        <f aca="false">MAX(0,ROUND(AD368*(1+AD$15),2)-AQ368)</f>
        <v>0</v>
      </c>
      <c r="AE369" s="21" t="n">
        <f aca="false">MIN(Y$16,ROUND(Y369*(1+Y$15),2))</f>
        <v>0</v>
      </c>
      <c r="AF369" s="21" t="n">
        <f aca="false">MIN(Z$16,ROUND(Z369*(1+Z$15),2))</f>
        <v>0</v>
      </c>
      <c r="AG369" s="21" t="n">
        <f aca="false">MIN(AA$16,ROUND(AA369*(1+AA$15),2))</f>
        <v>0</v>
      </c>
      <c r="AH369" s="21" t="n">
        <f aca="false">MIN(AB$16,ROUND(AB369*(1+AB$15),2))</f>
        <v>0</v>
      </c>
      <c r="AI369" s="21" t="n">
        <f aca="false">MIN(AC$16,ROUND(AC369*(1+AC$15),2))</f>
        <v>0</v>
      </c>
      <c r="AJ369" s="21" t="n">
        <f aca="false">MIN(AD$16,ROUND(AD369*(1+AD$15),2))</f>
        <v>0</v>
      </c>
      <c r="AK369" s="21" t="n">
        <f aca="false">Y$20-SUM(AE369:AJ369)</f>
        <v>1170</v>
      </c>
      <c r="AL369" s="21" t="n">
        <f aca="false">MIN(ROUND(Y369*(1+Y$15),2),AE369+MAX(0,AK369))</f>
        <v>0</v>
      </c>
      <c r="AM369" s="21" t="n">
        <f aca="false">MIN(ROUND(Z369*(1+Z$15),2),AF369+MAX(0,AK369-AL369+AE369))</f>
        <v>0</v>
      </c>
      <c r="AN369" s="21" t="n">
        <f aca="false">MIN(ROUND(AA369*(1+AA$15),2),AG369+MAX(0,AK369-AL369+AE369-AM369+AF369))</f>
        <v>0</v>
      </c>
      <c r="AO369" s="21" t="n">
        <f aca="false">MIN(ROUND(AB369*(1+AB$15),2),AH369+MAX(0,AK369-AL369+AE369-AM369+AF369-AN369+AG369))</f>
        <v>0</v>
      </c>
      <c r="AP369" s="21" t="n">
        <f aca="false">MIN(ROUND(AC369*(1+AC$15),2),AI369+MAX(0,AK369-AL369+AE369-AM369+AF369-AN369+AG369-AO369+AH369))</f>
        <v>0</v>
      </c>
      <c r="AQ369" s="21" t="n">
        <f aca="false">MIN(ROUND(AD369*(1+AD$15),2),AJ369+MAX(0,AK369-AL369+AE369-AM369+AF369-AN369+AG369-AO369+AH369-AP369+AI369))</f>
        <v>0</v>
      </c>
      <c r="AR369" s="21" t="n">
        <f aca="false">SUM(Y369:AD369)</f>
        <v>0</v>
      </c>
      <c r="AS369" s="21" t="n">
        <f aca="false">SUM(AL369:AQ369)</f>
        <v>0</v>
      </c>
    </row>
    <row r="370" customFormat="false" ht="15" hidden="false" customHeight="false" outlineLevel="0" collapsed="false">
      <c r="A370" s="25" t="n">
        <f aca="false">A369+1</f>
        <v>344</v>
      </c>
      <c r="B370" s="21" t="n">
        <f aca="false">MAX(0,ROUND(B369*(1+B$15),2)-O369)</f>
        <v>0</v>
      </c>
      <c r="C370" s="21" t="n">
        <f aca="false">MAX(0,ROUND(C369*(1+C$15),2)-P369)</f>
        <v>0</v>
      </c>
      <c r="D370" s="21" t="n">
        <f aca="false">MAX(0,ROUND(D369*(1+D$15),2)-Q369)</f>
        <v>0</v>
      </c>
      <c r="E370" s="21" t="n">
        <f aca="false">MAX(0,ROUND(E369*(1+E$15),2)-R369)</f>
        <v>0</v>
      </c>
      <c r="F370" s="21" t="n">
        <f aca="false">MAX(0,ROUND(F369*(1+F$15),2)-S369)</f>
        <v>0</v>
      </c>
      <c r="G370" s="21" t="n">
        <f aca="false">MAX(0,ROUND(G369*(1+G$15),2)-T369)</f>
        <v>0</v>
      </c>
      <c r="H370" s="21" t="n">
        <f aca="false">MIN(B$16,ROUND(B370*(1+B$15),2))</f>
        <v>0</v>
      </c>
      <c r="I370" s="21" t="n">
        <f aca="false">MIN(C$16,ROUND(C370*(1+C$15),2))</f>
        <v>0</v>
      </c>
      <c r="J370" s="21" t="n">
        <f aca="false">MIN(D$16,ROUND(D370*(1+D$15),2))</f>
        <v>0</v>
      </c>
      <c r="K370" s="21" t="n">
        <f aca="false">MIN(E$16,ROUND(E370*(1+E$15),2))</f>
        <v>0</v>
      </c>
      <c r="L370" s="21" t="n">
        <f aca="false">MIN(F$16,ROUND(F370*(1+F$15),2))</f>
        <v>0</v>
      </c>
      <c r="M370" s="21" t="n">
        <f aca="false">MIN(G$16,ROUND(G370*(1+G$15),2))</f>
        <v>0</v>
      </c>
      <c r="N370" s="21" t="n">
        <f aca="false">B$20-SUM(H370:M370)</f>
        <v>1170</v>
      </c>
      <c r="O370" s="21" t="n">
        <f aca="false">MIN(ROUND(B370*(1+B$15),2),H370+MAX(0,N370))</f>
        <v>0</v>
      </c>
      <c r="P370" s="21" t="n">
        <f aca="false">MIN(ROUND(C370*(1+C$15),2),I370+MAX(0,N370-O370+H370))</f>
        <v>0</v>
      </c>
      <c r="Q370" s="21" t="n">
        <f aca="false">MIN(ROUND(D370*(1+D$15),2),J370+MAX(0,N370-O370+H370-P370+I370))</f>
        <v>0</v>
      </c>
      <c r="R370" s="21" t="n">
        <f aca="false">MIN(ROUND(E370*(1+E$15),2),K370+MAX(0,N370-O370+H370-P370+I370-Q370+J370))</f>
        <v>0</v>
      </c>
      <c r="S370" s="21" t="n">
        <f aca="false">MIN(ROUND(F370*(1+F$15),2),L370+MAX(0,N370-O370+H370-P370+I370-Q370+J370-R370+K370))</f>
        <v>0</v>
      </c>
      <c r="T370" s="21" t="n">
        <f aca="false">MIN(ROUND(G370*(1+G$15),2),M370+MAX(0,N370-O370+H370-P370+I370-Q370+J370-R370+K370-S370+L370))</f>
        <v>0</v>
      </c>
      <c r="U370" s="21" t="n">
        <f aca="false">SUM(B370:G370)</f>
        <v>0</v>
      </c>
      <c r="V370" s="21" t="n">
        <f aca="false">SUM(O370:T370)</f>
        <v>0</v>
      </c>
      <c r="X370" s="25" t="n">
        <f aca="false">X369+1</f>
        <v>344</v>
      </c>
      <c r="Y370" s="21" t="n">
        <f aca="false">MAX(0,ROUND(Y369*(1+Y$15),2)-AL369)</f>
        <v>0</v>
      </c>
      <c r="Z370" s="21" t="n">
        <f aca="false">MAX(0,ROUND(Z369*(1+Z$15),2)-AM369)</f>
        <v>0</v>
      </c>
      <c r="AA370" s="21" t="n">
        <f aca="false">MAX(0,ROUND(AA369*(1+AA$15),2)-AN369)</f>
        <v>0</v>
      </c>
      <c r="AB370" s="21" t="n">
        <f aca="false">MAX(0,ROUND(AB369*(1+AB$15),2)-AO369)</f>
        <v>0</v>
      </c>
      <c r="AC370" s="21" t="n">
        <f aca="false">MAX(0,ROUND(AC369*(1+AC$15),2)-AP369)</f>
        <v>0</v>
      </c>
      <c r="AD370" s="21" t="n">
        <f aca="false">MAX(0,ROUND(AD369*(1+AD$15),2)-AQ369)</f>
        <v>0</v>
      </c>
      <c r="AE370" s="21" t="n">
        <f aca="false">MIN(Y$16,ROUND(Y370*(1+Y$15),2))</f>
        <v>0</v>
      </c>
      <c r="AF370" s="21" t="n">
        <f aca="false">MIN(Z$16,ROUND(Z370*(1+Z$15),2))</f>
        <v>0</v>
      </c>
      <c r="AG370" s="21" t="n">
        <f aca="false">MIN(AA$16,ROUND(AA370*(1+AA$15),2))</f>
        <v>0</v>
      </c>
      <c r="AH370" s="21" t="n">
        <f aca="false">MIN(AB$16,ROUND(AB370*(1+AB$15),2))</f>
        <v>0</v>
      </c>
      <c r="AI370" s="21" t="n">
        <f aca="false">MIN(AC$16,ROUND(AC370*(1+AC$15),2))</f>
        <v>0</v>
      </c>
      <c r="AJ370" s="21" t="n">
        <f aca="false">MIN(AD$16,ROUND(AD370*(1+AD$15),2))</f>
        <v>0</v>
      </c>
      <c r="AK370" s="21" t="n">
        <f aca="false">Y$20-SUM(AE370:AJ370)</f>
        <v>1170</v>
      </c>
      <c r="AL370" s="21" t="n">
        <f aca="false">MIN(ROUND(Y370*(1+Y$15),2),AE370+MAX(0,AK370))</f>
        <v>0</v>
      </c>
      <c r="AM370" s="21" t="n">
        <f aca="false">MIN(ROUND(Z370*(1+Z$15),2),AF370+MAX(0,AK370-AL370+AE370))</f>
        <v>0</v>
      </c>
      <c r="AN370" s="21" t="n">
        <f aca="false">MIN(ROUND(AA370*(1+AA$15),2),AG370+MAX(0,AK370-AL370+AE370-AM370+AF370))</f>
        <v>0</v>
      </c>
      <c r="AO370" s="21" t="n">
        <f aca="false">MIN(ROUND(AB370*(1+AB$15),2),AH370+MAX(0,AK370-AL370+AE370-AM370+AF370-AN370+AG370))</f>
        <v>0</v>
      </c>
      <c r="AP370" s="21" t="n">
        <f aca="false">MIN(ROUND(AC370*(1+AC$15),2),AI370+MAX(0,AK370-AL370+AE370-AM370+AF370-AN370+AG370-AO370+AH370))</f>
        <v>0</v>
      </c>
      <c r="AQ370" s="21" t="n">
        <f aca="false">MIN(ROUND(AD370*(1+AD$15),2),AJ370+MAX(0,AK370-AL370+AE370-AM370+AF370-AN370+AG370-AO370+AH370-AP370+AI370))</f>
        <v>0</v>
      </c>
      <c r="AR370" s="21" t="n">
        <f aca="false">SUM(Y370:AD370)</f>
        <v>0</v>
      </c>
      <c r="AS370" s="21" t="n">
        <f aca="false">SUM(AL370:AQ370)</f>
        <v>0</v>
      </c>
    </row>
    <row r="371" customFormat="false" ht="15" hidden="false" customHeight="false" outlineLevel="0" collapsed="false">
      <c r="A371" s="25" t="n">
        <f aca="false">A370+1</f>
        <v>345</v>
      </c>
      <c r="B371" s="21" t="n">
        <f aca="false">MAX(0,ROUND(B370*(1+B$15),2)-O370)</f>
        <v>0</v>
      </c>
      <c r="C371" s="21" t="n">
        <f aca="false">MAX(0,ROUND(C370*(1+C$15),2)-P370)</f>
        <v>0</v>
      </c>
      <c r="D371" s="21" t="n">
        <f aca="false">MAX(0,ROUND(D370*(1+D$15),2)-Q370)</f>
        <v>0</v>
      </c>
      <c r="E371" s="21" t="n">
        <f aca="false">MAX(0,ROUND(E370*(1+E$15),2)-R370)</f>
        <v>0</v>
      </c>
      <c r="F371" s="21" t="n">
        <f aca="false">MAX(0,ROUND(F370*(1+F$15),2)-S370)</f>
        <v>0</v>
      </c>
      <c r="G371" s="21" t="n">
        <f aca="false">MAX(0,ROUND(G370*(1+G$15),2)-T370)</f>
        <v>0</v>
      </c>
      <c r="H371" s="21" t="n">
        <f aca="false">MIN(B$16,ROUND(B371*(1+B$15),2))</f>
        <v>0</v>
      </c>
      <c r="I371" s="21" t="n">
        <f aca="false">MIN(C$16,ROUND(C371*(1+C$15),2))</f>
        <v>0</v>
      </c>
      <c r="J371" s="21" t="n">
        <f aca="false">MIN(D$16,ROUND(D371*(1+D$15),2))</f>
        <v>0</v>
      </c>
      <c r="K371" s="21" t="n">
        <f aca="false">MIN(E$16,ROUND(E371*(1+E$15),2))</f>
        <v>0</v>
      </c>
      <c r="L371" s="21" t="n">
        <f aca="false">MIN(F$16,ROUND(F371*(1+F$15),2))</f>
        <v>0</v>
      </c>
      <c r="M371" s="21" t="n">
        <f aca="false">MIN(G$16,ROUND(G371*(1+G$15),2))</f>
        <v>0</v>
      </c>
      <c r="N371" s="21" t="n">
        <f aca="false">B$20-SUM(H371:M371)</f>
        <v>1170</v>
      </c>
      <c r="O371" s="21" t="n">
        <f aca="false">MIN(ROUND(B371*(1+B$15),2),H371+MAX(0,N371))</f>
        <v>0</v>
      </c>
      <c r="P371" s="21" t="n">
        <f aca="false">MIN(ROUND(C371*(1+C$15),2),I371+MAX(0,N371-O371+H371))</f>
        <v>0</v>
      </c>
      <c r="Q371" s="21" t="n">
        <f aca="false">MIN(ROUND(D371*(1+D$15),2),J371+MAX(0,N371-O371+H371-P371+I371))</f>
        <v>0</v>
      </c>
      <c r="R371" s="21" t="n">
        <f aca="false">MIN(ROUND(E371*(1+E$15),2),K371+MAX(0,N371-O371+H371-P371+I371-Q371+J371))</f>
        <v>0</v>
      </c>
      <c r="S371" s="21" t="n">
        <f aca="false">MIN(ROUND(F371*(1+F$15),2),L371+MAX(0,N371-O371+H371-P371+I371-Q371+J371-R371+K371))</f>
        <v>0</v>
      </c>
      <c r="T371" s="21" t="n">
        <f aca="false">MIN(ROUND(G371*(1+G$15),2),M371+MAX(0,N371-O371+H371-P371+I371-Q371+J371-R371+K371-S371+L371))</f>
        <v>0</v>
      </c>
      <c r="U371" s="21" t="n">
        <f aca="false">SUM(B371:G371)</f>
        <v>0</v>
      </c>
      <c r="V371" s="21" t="n">
        <f aca="false">SUM(O371:T371)</f>
        <v>0</v>
      </c>
      <c r="X371" s="25" t="n">
        <f aca="false">X370+1</f>
        <v>345</v>
      </c>
      <c r="Y371" s="21" t="n">
        <f aca="false">MAX(0,ROUND(Y370*(1+Y$15),2)-AL370)</f>
        <v>0</v>
      </c>
      <c r="Z371" s="21" t="n">
        <f aca="false">MAX(0,ROUND(Z370*(1+Z$15),2)-AM370)</f>
        <v>0</v>
      </c>
      <c r="AA371" s="21" t="n">
        <f aca="false">MAX(0,ROUND(AA370*(1+AA$15),2)-AN370)</f>
        <v>0</v>
      </c>
      <c r="AB371" s="21" t="n">
        <f aca="false">MAX(0,ROUND(AB370*(1+AB$15),2)-AO370)</f>
        <v>0</v>
      </c>
      <c r="AC371" s="21" t="n">
        <f aca="false">MAX(0,ROUND(AC370*(1+AC$15),2)-AP370)</f>
        <v>0</v>
      </c>
      <c r="AD371" s="21" t="n">
        <f aca="false">MAX(0,ROUND(AD370*(1+AD$15),2)-AQ370)</f>
        <v>0</v>
      </c>
      <c r="AE371" s="21" t="n">
        <f aca="false">MIN(Y$16,ROUND(Y371*(1+Y$15),2))</f>
        <v>0</v>
      </c>
      <c r="AF371" s="21" t="n">
        <f aca="false">MIN(Z$16,ROUND(Z371*(1+Z$15),2))</f>
        <v>0</v>
      </c>
      <c r="AG371" s="21" t="n">
        <f aca="false">MIN(AA$16,ROUND(AA371*(1+AA$15),2))</f>
        <v>0</v>
      </c>
      <c r="AH371" s="21" t="n">
        <f aca="false">MIN(AB$16,ROUND(AB371*(1+AB$15),2))</f>
        <v>0</v>
      </c>
      <c r="AI371" s="21" t="n">
        <f aca="false">MIN(AC$16,ROUND(AC371*(1+AC$15),2))</f>
        <v>0</v>
      </c>
      <c r="AJ371" s="21" t="n">
        <f aca="false">MIN(AD$16,ROUND(AD371*(1+AD$15),2))</f>
        <v>0</v>
      </c>
      <c r="AK371" s="21" t="n">
        <f aca="false">Y$20-SUM(AE371:AJ371)</f>
        <v>1170</v>
      </c>
      <c r="AL371" s="21" t="n">
        <f aca="false">MIN(ROUND(Y371*(1+Y$15),2),AE371+MAX(0,AK371))</f>
        <v>0</v>
      </c>
      <c r="AM371" s="21" t="n">
        <f aca="false">MIN(ROUND(Z371*(1+Z$15),2),AF371+MAX(0,AK371-AL371+AE371))</f>
        <v>0</v>
      </c>
      <c r="AN371" s="21" t="n">
        <f aca="false">MIN(ROUND(AA371*(1+AA$15),2),AG371+MAX(0,AK371-AL371+AE371-AM371+AF371))</f>
        <v>0</v>
      </c>
      <c r="AO371" s="21" t="n">
        <f aca="false">MIN(ROUND(AB371*(1+AB$15),2),AH371+MAX(0,AK371-AL371+AE371-AM371+AF371-AN371+AG371))</f>
        <v>0</v>
      </c>
      <c r="AP371" s="21" t="n">
        <f aca="false">MIN(ROUND(AC371*(1+AC$15),2),AI371+MAX(0,AK371-AL371+AE371-AM371+AF371-AN371+AG371-AO371+AH371))</f>
        <v>0</v>
      </c>
      <c r="AQ371" s="21" t="n">
        <f aca="false">MIN(ROUND(AD371*(1+AD$15),2),AJ371+MAX(0,AK371-AL371+AE371-AM371+AF371-AN371+AG371-AO371+AH371-AP371+AI371))</f>
        <v>0</v>
      </c>
      <c r="AR371" s="21" t="n">
        <f aca="false">SUM(Y371:AD371)</f>
        <v>0</v>
      </c>
      <c r="AS371" s="21" t="n">
        <f aca="false">SUM(AL371:AQ371)</f>
        <v>0</v>
      </c>
    </row>
    <row r="372" customFormat="false" ht="15" hidden="false" customHeight="false" outlineLevel="0" collapsed="false">
      <c r="A372" s="25" t="n">
        <f aca="false">A371+1</f>
        <v>346</v>
      </c>
      <c r="B372" s="21" t="n">
        <f aca="false">MAX(0,ROUND(B371*(1+B$15),2)-O371)</f>
        <v>0</v>
      </c>
      <c r="C372" s="21" t="n">
        <f aca="false">MAX(0,ROUND(C371*(1+C$15),2)-P371)</f>
        <v>0</v>
      </c>
      <c r="D372" s="21" t="n">
        <f aca="false">MAX(0,ROUND(D371*(1+D$15),2)-Q371)</f>
        <v>0</v>
      </c>
      <c r="E372" s="21" t="n">
        <f aca="false">MAX(0,ROUND(E371*(1+E$15),2)-R371)</f>
        <v>0</v>
      </c>
      <c r="F372" s="21" t="n">
        <f aca="false">MAX(0,ROUND(F371*(1+F$15),2)-S371)</f>
        <v>0</v>
      </c>
      <c r="G372" s="21" t="n">
        <f aca="false">MAX(0,ROUND(G371*(1+G$15),2)-T371)</f>
        <v>0</v>
      </c>
      <c r="H372" s="21" t="n">
        <f aca="false">MIN(B$16,ROUND(B372*(1+B$15),2))</f>
        <v>0</v>
      </c>
      <c r="I372" s="21" t="n">
        <f aca="false">MIN(C$16,ROUND(C372*(1+C$15),2))</f>
        <v>0</v>
      </c>
      <c r="J372" s="21" t="n">
        <f aca="false">MIN(D$16,ROUND(D372*(1+D$15),2))</f>
        <v>0</v>
      </c>
      <c r="K372" s="21" t="n">
        <f aca="false">MIN(E$16,ROUND(E372*(1+E$15),2))</f>
        <v>0</v>
      </c>
      <c r="L372" s="21" t="n">
        <f aca="false">MIN(F$16,ROUND(F372*(1+F$15),2))</f>
        <v>0</v>
      </c>
      <c r="M372" s="21" t="n">
        <f aca="false">MIN(G$16,ROUND(G372*(1+G$15),2))</f>
        <v>0</v>
      </c>
      <c r="N372" s="21" t="n">
        <f aca="false">B$20-SUM(H372:M372)</f>
        <v>1170</v>
      </c>
      <c r="O372" s="21" t="n">
        <f aca="false">MIN(ROUND(B372*(1+B$15),2),H372+MAX(0,N372))</f>
        <v>0</v>
      </c>
      <c r="P372" s="21" t="n">
        <f aca="false">MIN(ROUND(C372*(1+C$15),2),I372+MAX(0,N372-O372+H372))</f>
        <v>0</v>
      </c>
      <c r="Q372" s="21" t="n">
        <f aca="false">MIN(ROUND(D372*(1+D$15),2),J372+MAX(0,N372-O372+H372-P372+I372))</f>
        <v>0</v>
      </c>
      <c r="R372" s="21" t="n">
        <f aca="false">MIN(ROUND(E372*(1+E$15),2),K372+MAX(0,N372-O372+H372-P372+I372-Q372+J372))</f>
        <v>0</v>
      </c>
      <c r="S372" s="21" t="n">
        <f aca="false">MIN(ROUND(F372*(1+F$15),2),L372+MAX(0,N372-O372+H372-P372+I372-Q372+J372-R372+K372))</f>
        <v>0</v>
      </c>
      <c r="T372" s="21" t="n">
        <f aca="false">MIN(ROUND(G372*(1+G$15),2),M372+MAX(0,N372-O372+H372-P372+I372-Q372+J372-R372+K372-S372+L372))</f>
        <v>0</v>
      </c>
      <c r="U372" s="21" t="n">
        <f aca="false">SUM(B372:G372)</f>
        <v>0</v>
      </c>
      <c r="V372" s="21" t="n">
        <f aca="false">SUM(O372:T372)</f>
        <v>0</v>
      </c>
      <c r="X372" s="25" t="n">
        <f aca="false">X371+1</f>
        <v>346</v>
      </c>
      <c r="Y372" s="21" t="n">
        <f aca="false">MAX(0,ROUND(Y371*(1+Y$15),2)-AL371)</f>
        <v>0</v>
      </c>
      <c r="Z372" s="21" t="n">
        <f aca="false">MAX(0,ROUND(Z371*(1+Z$15),2)-AM371)</f>
        <v>0</v>
      </c>
      <c r="AA372" s="21" t="n">
        <f aca="false">MAX(0,ROUND(AA371*(1+AA$15),2)-AN371)</f>
        <v>0</v>
      </c>
      <c r="AB372" s="21" t="n">
        <f aca="false">MAX(0,ROUND(AB371*(1+AB$15),2)-AO371)</f>
        <v>0</v>
      </c>
      <c r="AC372" s="21" t="n">
        <f aca="false">MAX(0,ROUND(AC371*(1+AC$15),2)-AP371)</f>
        <v>0</v>
      </c>
      <c r="AD372" s="21" t="n">
        <f aca="false">MAX(0,ROUND(AD371*(1+AD$15),2)-AQ371)</f>
        <v>0</v>
      </c>
      <c r="AE372" s="21" t="n">
        <f aca="false">MIN(Y$16,ROUND(Y372*(1+Y$15),2))</f>
        <v>0</v>
      </c>
      <c r="AF372" s="21" t="n">
        <f aca="false">MIN(Z$16,ROUND(Z372*(1+Z$15),2))</f>
        <v>0</v>
      </c>
      <c r="AG372" s="21" t="n">
        <f aca="false">MIN(AA$16,ROUND(AA372*(1+AA$15),2))</f>
        <v>0</v>
      </c>
      <c r="AH372" s="21" t="n">
        <f aca="false">MIN(AB$16,ROUND(AB372*(1+AB$15),2))</f>
        <v>0</v>
      </c>
      <c r="AI372" s="21" t="n">
        <f aca="false">MIN(AC$16,ROUND(AC372*(1+AC$15),2))</f>
        <v>0</v>
      </c>
      <c r="AJ372" s="21" t="n">
        <f aca="false">MIN(AD$16,ROUND(AD372*(1+AD$15),2))</f>
        <v>0</v>
      </c>
      <c r="AK372" s="21" t="n">
        <f aca="false">Y$20-SUM(AE372:AJ372)</f>
        <v>1170</v>
      </c>
      <c r="AL372" s="21" t="n">
        <f aca="false">MIN(ROUND(Y372*(1+Y$15),2),AE372+MAX(0,AK372))</f>
        <v>0</v>
      </c>
      <c r="AM372" s="21" t="n">
        <f aca="false">MIN(ROUND(Z372*(1+Z$15),2),AF372+MAX(0,AK372-AL372+AE372))</f>
        <v>0</v>
      </c>
      <c r="AN372" s="21" t="n">
        <f aca="false">MIN(ROUND(AA372*(1+AA$15),2),AG372+MAX(0,AK372-AL372+AE372-AM372+AF372))</f>
        <v>0</v>
      </c>
      <c r="AO372" s="21" t="n">
        <f aca="false">MIN(ROUND(AB372*(1+AB$15),2),AH372+MAX(0,AK372-AL372+AE372-AM372+AF372-AN372+AG372))</f>
        <v>0</v>
      </c>
      <c r="AP372" s="21" t="n">
        <f aca="false">MIN(ROUND(AC372*(1+AC$15),2),AI372+MAX(0,AK372-AL372+AE372-AM372+AF372-AN372+AG372-AO372+AH372))</f>
        <v>0</v>
      </c>
      <c r="AQ372" s="21" t="n">
        <f aca="false">MIN(ROUND(AD372*(1+AD$15),2),AJ372+MAX(0,AK372-AL372+AE372-AM372+AF372-AN372+AG372-AO372+AH372-AP372+AI372))</f>
        <v>0</v>
      </c>
      <c r="AR372" s="21" t="n">
        <f aca="false">SUM(Y372:AD372)</f>
        <v>0</v>
      </c>
      <c r="AS372" s="21" t="n">
        <f aca="false">SUM(AL372:AQ372)</f>
        <v>0</v>
      </c>
    </row>
    <row r="373" customFormat="false" ht="15" hidden="false" customHeight="false" outlineLevel="0" collapsed="false">
      <c r="A373" s="25" t="n">
        <f aca="false">A372+1</f>
        <v>347</v>
      </c>
      <c r="B373" s="21" t="n">
        <f aca="false">MAX(0,ROUND(B372*(1+B$15),2)-O372)</f>
        <v>0</v>
      </c>
      <c r="C373" s="21" t="n">
        <f aca="false">MAX(0,ROUND(C372*(1+C$15),2)-P372)</f>
        <v>0</v>
      </c>
      <c r="D373" s="21" t="n">
        <f aca="false">MAX(0,ROUND(D372*(1+D$15),2)-Q372)</f>
        <v>0</v>
      </c>
      <c r="E373" s="21" t="n">
        <f aca="false">MAX(0,ROUND(E372*(1+E$15),2)-R372)</f>
        <v>0</v>
      </c>
      <c r="F373" s="21" t="n">
        <f aca="false">MAX(0,ROUND(F372*(1+F$15),2)-S372)</f>
        <v>0</v>
      </c>
      <c r="G373" s="21" t="n">
        <f aca="false">MAX(0,ROUND(G372*(1+G$15),2)-T372)</f>
        <v>0</v>
      </c>
      <c r="H373" s="21" t="n">
        <f aca="false">MIN(B$16,ROUND(B373*(1+B$15),2))</f>
        <v>0</v>
      </c>
      <c r="I373" s="21" t="n">
        <f aca="false">MIN(C$16,ROUND(C373*(1+C$15),2))</f>
        <v>0</v>
      </c>
      <c r="J373" s="21" t="n">
        <f aca="false">MIN(D$16,ROUND(D373*(1+D$15),2))</f>
        <v>0</v>
      </c>
      <c r="K373" s="21" t="n">
        <f aca="false">MIN(E$16,ROUND(E373*(1+E$15),2))</f>
        <v>0</v>
      </c>
      <c r="L373" s="21" t="n">
        <f aca="false">MIN(F$16,ROUND(F373*(1+F$15),2))</f>
        <v>0</v>
      </c>
      <c r="M373" s="21" t="n">
        <f aca="false">MIN(G$16,ROUND(G373*(1+G$15),2))</f>
        <v>0</v>
      </c>
      <c r="N373" s="21" t="n">
        <f aca="false">B$20-SUM(H373:M373)</f>
        <v>1170</v>
      </c>
      <c r="O373" s="21" t="n">
        <f aca="false">MIN(ROUND(B373*(1+B$15),2),H373+MAX(0,N373))</f>
        <v>0</v>
      </c>
      <c r="P373" s="21" t="n">
        <f aca="false">MIN(ROUND(C373*(1+C$15),2),I373+MAX(0,N373-O373+H373))</f>
        <v>0</v>
      </c>
      <c r="Q373" s="21" t="n">
        <f aca="false">MIN(ROUND(D373*(1+D$15),2),J373+MAX(0,N373-O373+H373-P373+I373))</f>
        <v>0</v>
      </c>
      <c r="R373" s="21" t="n">
        <f aca="false">MIN(ROUND(E373*(1+E$15),2),K373+MAX(0,N373-O373+H373-P373+I373-Q373+J373))</f>
        <v>0</v>
      </c>
      <c r="S373" s="21" t="n">
        <f aca="false">MIN(ROUND(F373*(1+F$15),2),L373+MAX(0,N373-O373+H373-P373+I373-Q373+J373-R373+K373))</f>
        <v>0</v>
      </c>
      <c r="T373" s="21" t="n">
        <f aca="false">MIN(ROUND(G373*(1+G$15),2),M373+MAX(0,N373-O373+H373-P373+I373-Q373+J373-R373+K373-S373+L373))</f>
        <v>0</v>
      </c>
      <c r="U373" s="21" t="n">
        <f aca="false">SUM(B373:G373)</f>
        <v>0</v>
      </c>
      <c r="V373" s="21" t="n">
        <f aca="false">SUM(O373:T373)</f>
        <v>0</v>
      </c>
      <c r="X373" s="25" t="n">
        <f aca="false">X372+1</f>
        <v>347</v>
      </c>
      <c r="Y373" s="21" t="n">
        <f aca="false">MAX(0,ROUND(Y372*(1+Y$15),2)-AL372)</f>
        <v>0</v>
      </c>
      <c r="Z373" s="21" t="n">
        <f aca="false">MAX(0,ROUND(Z372*(1+Z$15),2)-AM372)</f>
        <v>0</v>
      </c>
      <c r="AA373" s="21" t="n">
        <f aca="false">MAX(0,ROUND(AA372*(1+AA$15),2)-AN372)</f>
        <v>0</v>
      </c>
      <c r="AB373" s="21" t="n">
        <f aca="false">MAX(0,ROUND(AB372*(1+AB$15),2)-AO372)</f>
        <v>0</v>
      </c>
      <c r="AC373" s="21" t="n">
        <f aca="false">MAX(0,ROUND(AC372*(1+AC$15),2)-AP372)</f>
        <v>0</v>
      </c>
      <c r="AD373" s="21" t="n">
        <f aca="false">MAX(0,ROUND(AD372*(1+AD$15),2)-AQ372)</f>
        <v>0</v>
      </c>
      <c r="AE373" s="21" t="n">
        <f aca="false">MIN(Y$16,ROUND(Y373*(1+Y$15),2))</f>
        <v>0</v>
      </c>
      <c r="AF373" s="21" t="n">
        <f aca="false">MIN(Z$16,ROUND(Z373*(1+Z$15),2))</f>
        <v>0</v>
      </c>
      <c r="AG373" s="21" t="n">
        <f aca="false">MIN(AA$16,ROUND(AA373*(1+AA$15),2))</f>
        <v>0</v>
      </c>
      <c r="AH373" s="21" t="n">
        <f aca="false">MIN(AB$16,ROUND(AB373*(1+AB$15),2))</f>
        <v>0</v>
      </c>
      <c r="AI373" s="21" t="n">
        <f aca="false">MIN(AC$16,ROUND(AC373*(1+AC$15),2))</f>
        <v>0</v>
      </c>
      <c r="AJ373" s="21" t="n">
        <f aca="false">MIN(AD$16,ROUND(AD373*(1+AD$15),2))</f>
        <v>0</v>
      </c>
      <c r="AK373" s="21" t="n">
        <f aca="false">Y$20-SUM(AE373:AJ373)</f>
        <v>1170</v>
      </c>
      <c r="AL373" s="21" t="n">
        <f aca="false">MIN(ROUND(Y373*(1+Y$15),2),AE373+MAX(0,AK373))</f>
        <v>0</v>
      </c>
      <c r="AM373" s="21" t="n">
        <f aca="false">MIN(ROUND(Z373*(1+Z$15),2),AF373+MAX(0,AK373-AL373+AE373))</f>
        <v>0</v>
      </c>
      <c r="AN373" s="21" t="n">
        <f aca="false">MIN(ROUND(AA373*(1+AA$15),2),AG373+MAX(0,AK373-AL373+AE373-AM373+AF373))</f>
        <v>0</v>
      </c>
      <c r="AO373" s="21" t="n">
        <f aca="false">MIN(ROUND(AB373*(1+AB$15),2),AH373+MAX(0,AK373-AL373+AE373-AM373+AF373-AN373+AG373))</f>
        <v>0</v>
      </c>
      <c r="AP373" s="21" t="n">
        <f aca="false">MIN(ROUND(AC373*(1+AC$15),2),AI373+MAX(0,AK373-AL373+AE373-AM373+AF373-AN373+AG373-AO373+AH373))</f>
        <v>0</v>
      </c>
      <c r="AQ373" s="21" t="n">
        <f aca="false">MIN(ROUND(AD373*(1+AD$15),2),AJ373+MAX(0,AK373-AL373+AE373-AM373+AF373-AN373+AG373-AO373+AH373-AP373+AI373))</f>
        <v>0</v>
      </c>
      <c r="AR373" s="21" t="n">
        <f aca="false">SUM(Y373:AD373)</f>
        <v>0</v>
      </c>
      <c r="AS373" s="21" t="n">
        <f aca="false">SUM(AL373:AQ373)</f>
        <v>0</v>
      </c>
    </row>
    <row r="374" customFormat="false" ht="15" hidden="false" customHeight="false" outlineLevel="0" collapsed="false">
      <c r="A374" s="25" t="n">
        <f aca="false">A373+1</f>
        <v>348</v>
      </c>
      <c r="B374" s="21" t="n">
        <f aca="false">MAX(0,ROUND(B373*(1+B$15),2)-O373)</f>
        <v>0</v>
      </c>
      <c r="C374" s="21" t="n">
        <f aca="false">MAX(0,ROUND(C373*(1+C$15),2)-P373)</f>
        <v>0</v>
      </c>
      <c r="D374" s="21" t="n">
        <f aca="false">MAX(0,ROUND(D373*(1+D$15),2)-Q373)</f>
        <v>0</v>
      </c>
      <c r="E374" s="21" t="n">
        <f aca="false">MAX(0,ROUND(E373*(1+E$15),2)-R373)</f>
        <v>0</v>
      </c>
      <c r="F374" s="21" t="n">
        <f aca="false">MAX(0,ROUND(F373*(1+F$15),2)-S373)</f>
        <v>0</v>
      </c>
      <c r="G374" s="21" t="n">
        <f aca="false">MAX(0,ROUND(G373*(1+G$15),2)-T373)</f>
        <v>0</v>
      </c>
      <c r="H374" s="21" t="n">
        <f aca="false">MIN(B$16,ROUND(B374*(1+B$15),2))</f>
        <v>0</v>
      </c>
      <c r="I374" s="21" t="n">
        <f aca="false">MIN(C$16,ROUND(C374*(1+C$15),2))</f>
        <v>0</v>
      </c>
      <c r="J374" s="21" t="n">
        <f aca="false">MIN(D$16,ROUND(D374*(1+D$15),2))</f>
        <v>0</v>
      </c>
      <c r="K374" s="21" t="n">
        <f aca="false">MIN(E$16,ROUND(E374*(1+E$15),2))</f>
        <v>0</v>
      </c>
      <c r="L374" s="21" t="n">
        <f aca="false">MIN(F$16,ROUND(F374*(1+F$15),2))</f>
        <v>0</v>
      </c>
      <c r="M374" s="21" t="n">
        <f aca="false">MIN(G$16,ROUND(G374*(1+G$15),2))</f>
        <v>0</v>
      </c>
      <c r="N374" s="21" t="n">
        <f aca="false">B$20-SUM(H374:M374)</f>
        <v>1170</v>
      </c>
      <c r="O374" s="21" t="n">
        <f aca="false">MIN(ROUND(B374*(1+B$15),2),H374+MAX(0,N374))</f>
        <v>0</v>
      </c>
      <c r="P374" s="21" t="n">
        <f aca="false">MIN(ROUND(C374*(1+C$15),2),I374+MAX(0,N374-O374+H374))</f>
        <v>0</v>
      </c>
      <c r="Q374" s="21" t="n">
        <f aca="false">MIN(ROUND(D374*(1+D$15),2),J374+MAX(0,N374-O374+H374-P374+I374))</f>
        <v>0</v>
      </c>
      <c r="R374" s="21" t="n">
        <f aca="false">MIN(ROUND(E374*(1+E$15),2),K374+MAX(0,N374-O374+H374-P374+I374-Q374+J374))</f>
        <v>0</v>
      </c>
      <c r="S374" s="21" t="n">
        <f aca="false">MIN(ROUND(F374*(1+F$15),2),L374+MAX(0,N374-O374+H374-P374+I374-Q374+J374-R374+K374))</f>
        <v>0</v>
      </c>
      <c r="T374" s="21" t="n">
        <f aca="false">MIN(ROUND(G374*(1+G$15),2),M374+MAX(0,N374-O374+H374-P374+I374-Q374+J374-R374+K374-S374+L374))</f>
        <v>0</v>
      </c>
      <c r="U374" s="21" t="n">
        <f aca="false">SUM(B374:G374)</f>
        <v>0</v>
      </c>
      <c r="V374" s="21" t="n">
        <f aca="false">SUM(O374:T374)</f>
        <v>0</v>
      </c>
      <c r="X374" s="25" t="n">
        <f aca="false">X373+1</f>
        <v>348</v>
      </c>
      <c r="Y374" s="21" t="n">
        <f aca="false">MAX(0,ROUND(Y373*(1+Y$15),2)-AL373)</f>
        <v>0</v>
      </c>
      <c r="Z374" s="21" t="n">
        <f aca="false">MAX(0,ROUND(Z373*(1+Z$15),2)-AM373)</f>
        <v>0</v>
      </c>
      <c r="AA374" s="21" t="n">
        <f aca="false">MAX(0,ROUND(AA373*(1+AA$15),2)-AN373)</f>
        <v>0</v>
      </c>
      <c r="AB374" s="21" t="n">
        <f aca="false">MAX(0,ROUND(AB373*(1+AB$15),2)-AO373)</f>
        <v>0</v>
      </c>
      <c r="AC374" s="21" t="n">
        <f aca="false">MAX(0,ROUND(AC373*(1+AC$15),2)-AP373)</f>
        <v>0</v>
      </c>
      <c r="AD374" s="21" t="n">
        <f aca="false">MAX(0,ROUND(AD373*(1+AD$15),2)-AQ373)</f>
        <v>0</v>
      </c>
      <c r="AE374" s="21" t="n">
        <f aca="false">MIN(Y$16,ROUND(Y374*(1+Y$15),2))</f>
        <v>0</v>
      </c>
      <c r="AF374" s="21" t="n">
        <f aca="false">MIN(Z$16,ROUND(Z374*(1+Z$15),2))</f>
        <v>0</v>
      </c>
      <c r="AG374" s="21" t="n">
        <f aca="false">MIN(AA$16,ROUND(AA374*(1+AA$15),2))</f>
        <v>0</v>
      </c>
      <c r="AH374" s="21" t="n">
        <f aca="false">MIN(AB$16,ROUND(AB374*(1+AB$15),2))</f>
        <v>0</v>
      </c>
      <c r="AI374" s="21" t="n">
        <f aca="false">MIN(AC$16,ROUND(AC374*(1+AC$15),2))</f>
        <v>0</v>
      </c>
      <c r="AJ374" s="21" t="n">
        <f aca="false">MIN(AD$16,ROUND(AD374*(1+AD$15),2))</f>
        <v>0</v>
      </c>
      <c r="AK374" s="21" t="n">
        <f aca="false">Y$20-SUM(AE374:AJ374)</f>
        <v>1170</v>
      </c>
      <c r="AL374" s="21" t="n">
        <f aca="false">MIN(ROUND(Y374*(1+Y$15),2),AE374+MAX(0,AK374))</f>
        <v>0</v>
      </c>
      <c r="AM374" s="21" t="n">
        <f aca="false">MIN(ROUND(Z374*(1+Z$15),2),AF374+MAX(0,AK374-AL374+AE374))</f>
        <v>0</v>
      </c>
      <c r="AN374" s="21" t="n">
        <f aca="false">MIN(ROUND(AA374*(1+AA$15),2),AG374+MAX(0,AK374-AL374+AE374-AM374+AF374))</f>
        <v>0</v>
      </c>
      <c r="AO374" s="21" t="n">
        <f aca="false">MIN(ROUND(AB374*(1+AB$15),2),AH374+MAX(0,AK374-AL374+AE374-AM374+AF374-AN374+AG374))</f>
        <v>0</v>
      </c>
      <c r="AP374" s="21" t="n">
        <f aca="false">MIN(ROUND(AC374*(1+AC$15),2),AI374+MAX(0,AK374-AL374+AE374-AM374+AF374-AN374+AG374-AO374+AH374))</f>
        <v>0</v>
      </c>
      <c r="AQ374" s="21" t="n">
        <f aca="false">MIN(ROUND(AD374*(1+AD$15),2),AJ374+MAX(0,AK374-AL374+AE374-AM374+AF374-AN374+AG374-AO374+AH374-AP374+AI374))</f>
        <v>0</v>
      </c>
      <c r="AR374" s="21" t="n">
        <f aca="false">SUM(Y374:AD374)</f>
        <v>0</v>
      </c>
      <c r="AS374" s="21" t="n">
        <f aca="false">SUM(AL374:AQ374)</f>
        <v>0</v>
      </c>
    </row>
    <row r="375" customFormat="false" ht="15" hidden="false" customHeight="false" outlineLevel="0" collapsed="false">
      <c r="A375" s="25" t="n">
        <f aca="false">A374+1</f>
        <v>349</v>
      </c>
      <c r="B375" s="21" t="n">
        <f aca="false">MAX(0,ROUND(B374*(1+B$15),2)-O374)</f>
        <v>0</v>
      </c>
      <c r="C375" s="21" t="n">
        <f aca="false">MAX(0,ROUND(C374*(1+C$15),2)-P374)</f>
        <v>0</v>
      </c>
      <c r="D375" s="21" t="n">
        <f aca="false">MAX(0,ROUND(D374*(1+D$15),2)-Q374)</f>
        <v>0</v>
      </c>
      <c r="E375" s="21" t="n">
        <f aca="false">MAX(0,ROUND(E374*(1+E$15),2)-R374)</f>
        <v>0</v>
      </c>
      <c r="F375" s="21" t="n">
        <f aca="false">MAX(0,ROUND(F374*(1+F$15),2)-S374)</f>
        <v>0</v>
      </c>
      <c r="G375" s="21" t="n">
        <f aca="false">MAX(0,ROUND(G374*(1+G$15),2)-T374)</f>
        <v>0</v>
      </c>
      <c r="H375" s="21" t="n">
        <f aca="false">MIN(B$16,ROUND(B375*(1+B$15),2))</f>
        <v>0</v>
      </c>
      <c r="I375" s="21" t="n">
        <f aca="false">MIN(C$16,ROUND(C375*(1+C$15),2))</f>
        <v>0</v>
      </c>
      <c r="J375" s="21" t="n">
        <f aca="false">MIN(D$16,ROUND(D375*(1+D$15),2))</f>
        <v>0</v>
      </c>
      <c r="K375" s="21" t="n">
        <f aca="false">MIN(E$16,ROUND(E375*(1+E$15),2))</f>
        <v>0</v>
      </c>
      <c r="L375" s="21" t="n">
        <f aca="false">MIN(F$16,ROUND(F375*(1+F$15),2))</f>
        <v>0</v>
      </c>
      <c r="M375" s="21" t="n">
        <f aca="false">MIN(G$16,ROUND(G375*(1+G$15),2))</f>
        <v>0</v>
      </c>
      <c r="N375" s="21" t="n">
        <f aca="false">B$20-SUM(H375:M375)</f>
        <v>1170</v>
      </c>
      <c r="O375" s="21" t="n">
        <f aca="false">MIN(ROUND(B375*(1+B$15),2),H375+MAX(0,N375))</f>
        <v>0</v>
      </c>
      <c r="P375" s="21" t="n">
        <f aca="false">MIN(ROUND(C375*(1+C$15),2),I375+MAX(0,N375-O375+H375))</f>
        <v>0</v>
      </c>
      <c r="Q375" s="21" t="n">
        <f aca="false">MIN(ROUND(D375*(1+D$15),2),J375+MAX(0,N375-O375+H375-P375+I375))</f>
        <v>0</v>
      </c>
      <c r="R375" s="21" t="n">
        <f aca="false">MIN(ROUND(E375*(1+E$15),2),K375+MAX(0,N375-O375+H375-P375+I375-Q375+J375))</f>
        <v>0</v>
      </c>
      <c r="S375" s="21" t="n">
        <f aca="false">MIN(ROUND(F375*(1+F$15),2),L375+MAX(0,N375-O375+H375-P375+I375-Q375+J375-R375+K375))</f>
        <v>0</v>
      </c>
      <c r="T375" s="21" t="n">
        <f aca="false">MIN(ROUND(G375*(1+G$15),2),M375+MAX(0,N375-O375+H375-P375+I375-Q375+J375-R375+K375-S375+L375))</f>
        <v>0</v>
      </c>
      <c r="U375" s="21" t="n">
        <f aca="false">SUM(B375:G375)</f>
        <v>0</v>
      </c>
      <c r="V375" s="21" t="n">
        <f aca="false">SUM(O375:T375)</f>
        <v>0</v>
      </c>
      <c r="X375" s="25" t="n">
        <f aca="false">X374+1</f>
        <v>349</v>
      </c>
      <c r="Y375" s="21" t="n">
        <f aca="false">MAX(0,ROUND(Y374*(1+Y$15),2)-AL374)</f>
        <v>0</v>
      </c>
      <c r="Z375" s="21" t="n">
        <f aca="false">MAX(0,ROUND(Z374*(1+Z$15),2)-AM374)</f>
        <v>0</v>
      </c>
      <c r="AA375" s="21" t="n">
        <f aca="false">MAX(0,ROUND(AA374*(1+AA$15),2)-AN374)</f>
        <v>0</v>
      </c>
      <c r="AB375" s="21" t="n">
        <f aca="false">MAX(0,ROUND(AB374*(1+AB$15),2)-AO374)</f>
        <v>0</v>
      </c>
      <c r="AC375" s="21" t="n">
        <f aca="false">MAX(0,ROUND(AC374*(1+AC$15),2)-AP374)</f>
        <v>0</v>
      </c>
      <c r="AD375" s="21" t="n">
        <f aca="false">MAX(0,ROUND(AD374*(1+AD$15),2)-AQ374)</f>
        <v>0</v>
      </c>
      <c r="AE375" s="21" t="n">
        <f aca="false">MIN(Y$16,ROUND(Y375*(1+Y$15),2))</f>
        <v>0</v>
      </c>
      <c r="AF375" s="21" t="n">
        <f aca="false">MIN(Z$16,ROUND(Z375*(1+Z$15),2))</f>
        <v>0</v>
      </c>
      <c r="AG375" s="21" t="n">
        <f aca="false">MIN(AA$16,ROUND(AA375*(1+AA$15),2))</f>
        <v>0</v>
      </c>
      <c r="AH375" s="21" t="n">
        <f aca="false">MIN(AB$16,ROUND(AB375*(1+AB$15),2))</f>
        <v>0</v>
      </c>
      <c r="AI375" s="21" t="n">
        <f aca="false">MIN(AC$16,ROUND(AC375*(1+AC$15),2))</f>
        <v>0</v>
      </c>
      <c r="AJ375" s="21" t="n">
        <f aca="false">MIN(AD$16,ROUND(AD375*(1+AD$15),2))</f>
        <v>0</v>
      </c>
      <c r="AK375" s="21" t="n">
        <f aca="false">Y$20-SUM(AE375:AJ375)</f>
        <v>1170</v>
      </c>
      <c r="AL375" s="21" t="n">
        <f aca="false">MIN(ROUND(Y375*(1+Y$15),2),AE375+MAX(0,AK375))</f>
        <v>0</v>
      </c>
      <c r="AM375" s="21" t="n">
        <f aca="false">MIN(ROUND(Z375*(1+Z$15),2),AF375+MAX(0,AK375-AL375+AE375))</f>
        <v>0</v>
      </c>
      <c r="AN375" s="21" t="n">
        <f aca="false">MIN(ROUND(AA375*(1+AA$15),2),AG375+MAX(0,AK375-AL375+AE375-AM375+AF375))</f>
        <v>0</v>
      </c>
      <c r="AO375" s="21" t="n">
        <f aca="false">MIN(ROUND(AB375*(1+AB$15),2),AH375+MAX(0,AK375-AL375+AE375-AM375+AF375-AN375+AG375))</f>
        <v>0</v>
      </c>
      <c r="AP375" s="21" t="n">
        <f aca="false">MIN(ROUND(AC375*(1+AC$15),2),AI375+MAX(0,AK375-AL375+AE375-AM375+AF375-AN375+AG375-AO375+AH375))</f>
        <v>0</v>
      </c>
      <c r="AQ375" s="21" t="n">
        <f aca="false">MIN(ROUND(AD375*(1+AD$15),2),AJ375+MAX(0,AK375-AL375+AE375-AM375+AF375-AN375+AG375-AO375+AH375-AP375+AI375))</f>
        <v>0</v>
      </c>
      <c r="AR375" s="21" t="n">
        <f aca="false">SUM(Y375:AD375)</f>
        <v>0</v>
      </c>
      <c r="AS375" s="21" t="n">
        <f aca="false">SUM(AL375:AQ375)</f>
        <v>0</v>
      </c>
    </row>
    <row r="376" customFormat="false" ht="15" hidden="false" customHeight="false" outlineLevel="0" collapsed="false">
      <c r="A376" s="25" t="n">
        <f aca="false">A375+1</f>
        <v>350</v>
      </c>
      <c r="B376" s="21" t="n">
        <f aca="false">MAX(0,ROUND(B375*(1+B$15),2)-O375)</f>
        <v>0</v>
      </c>
      <c r="C376" s="21" t="n">
        <f aca="false">MAX(0,ROUND(C375*(1+C$15),2)-P375)</f>
        <v>0</v>
      </c>
      <c r="D376" s="21" t="n">
        <f aca="false">MAX(0,ROUND(D375*(1+D$15),2)-Q375)</f>
        <v>0</v>
      </c>
      <c r="E376" s="21" t="n">
        <f aca="false">MAX(0,ROUND(E375*(1+E$15),2)-R375)</f>
        <v>0</v>
      </c>
      <c r="F376" s="21" t="n">
        <f aca="false">MAX(0,ROUND(F375*(1+F$15),2)-S375)</f>
        <v>0</v>
      </c>
      <c r="G376" s="21" t="n">
        <f aca="false">MAX(0,ROUND(G375*(1+G$15),2)-T375)</f>
        <v>0</v>
      </c>
      <c r="H376" s="21" t="n">
        <f aca="false">MIN(B$16,ROUND(B376*(1+B$15),2))</f>
        <v>0</v>
      </c>
      <c r="I376" s="21" t="n">
        <f aca="false">MIN(C$16,ROUND(C376*(1+C$15),2))</f>
        <v>0</v>
      </c>
      <c r="J376" s="21" t="n">
        <f aca="false">MIN(D$16,ROUND(D376*(1+D$15),2))</f>
        <v>0</v>
      </c>
      <c r="K376" s="21" t="n">
        <f aca="false">MIN(E$16,ROUND(E376*(1+E$15),2))</f>
        <v>0</v>
      </c>
      <c r="L376" s="21" t="n">
        <f aca="false">MIN(F$16,ROUND(F376*(1+F$15),2))</f>
        <v>0</v>
      </c>
      <c r="M376" s="21" t="n">
        <f aca="false">MIN(G$16,ROUND(G376*(1+G$15),2))</f>
        <v>0</v>
      </c>
      <c r="N376" s="21" t="n">
        <f aca="false">B$20-SUM(H376:M376)</f>
        <v>1170</v>
      </c>
      <c r="O376" s="21" t="n">
        <f aca="false">MIN(ROUND(B376*(1+B$15),2),H376+MAX(0,N376))</f>
        <v>0</v>
      </c>
      <c r="P376" s="21" t="n">
        <f aca="false">MIN(ROUND(C376*(1+C$15),2),I376+MAX(0,N376-O376+H376))</f>
        <v>0</v>
      </c>
      <c r="Q376" s="21" t="n">
        <f aca="false">MIN(ROUND(D376*(1+D$15),2),J376+MAX(0,N376-O376+H376-P376+I376))</f>
        <v>0</v>
      </c>
      <c r="R376" s="21" t="n">
        <f aca="false">MIN(ROUND(E376*(1+E$15),2),K376+MAX(0,N376-O376+H376-P376+I376-Q376+J376))</f>
        <v>0</v>
      </c>
      <c r="S376" s="21" t="n">
        <f aca="false">MIN(ROUND(F376*(1+F$15),2),L376+MAX(0,N376-O376+H376-P376+I376-Q376+J376-R376+K376))</f>
        <v>0</v>
      </c>
      <c r="T376" s="21" t="n">
        <f aca="false">MIN(ROUND(G376*(1+G$15),2),M376+MAX(0,N376-O376+H376-P376+I376-Q376+J376-R376+K376-S376+L376))</f>
        <v>0</v>
      </c>
      <c r="U376" s="21" t="n">
        <f aca="false">SUM(B376:G376)</f>
        <v>0</v>
      </c>
      <c r="V376" s="21" t="n">
        <f aca="false">SUM(O376:T376)</f>
        <v>0</v>
      </c>
      <c r="X376" s="25" t="n">
        <f aca="false">X375+1</f>
        <v>350</v>
      </c>
      <c r="Y376" s="21" t="n">
        <f aca="false">MAX(0,ROUND(Y375*(1+Y$15),2)-AL375)</f>
        <v>0</v>
      </c>
      <c r="Z376" s="21" t="n">
        <f aca="false">MAX(0,ROUND(Z375*(1+Z$15),2)-AM375)</f>
        <v>0</v>
      </c>
      <c r="AA376" s="21" t="n">
        <f aca="false">MAX(0,ROUND(AA375*(1+AA$15),2)-AN375)</f>
        <v>0</v>
      </c>
      <c r="AB376" s="21" t="n">
        <f aca="false">MAX(0,ROUND(AB375*(1+AB$15),2)-AO375)</f>
        <v>0</v>
      </c>
      <c r="AC376" s="21" t="n">
        <f aca="false">MAX(0,ROUND(AC375*(1+AC$15),2)-AP375)</f>
        <v>0</v>
      </c>
      <c r="AD376" s="21" t="n">
        <f aca="false">MAX(0,ROUND(AD375*(1+AD$15),2)-AQ375)</f>
        <v>0</v>
      </c>
      <c r="AE376" s="21" t="n">
        <f aca="false">MIN(Y$16,ROUND(Y376*(1+Y$15),2))</f>
        <v>0</v>
      </c>
      <c r="AF376" s="21" t="n">
        <f aca="false">MIN(Z$16,ROUND(Z376*(1+Z$15),2))</f>
        <v>0</v>
      </c>
      <c r="AG376" s="21" t="n">
        <f aca="false">MIN(AA$16,ROUND(AA376*(1+AA$15),2))</f>
        <v>0</v>
      </c>
      <c r="AH376" s="21" t="n">
        <f aca="false">MIN(AB$16,ROUND(AB376*(1+AB$15),2))</f>
        <v>0</v>
      </c>
      <c r="AI376" s="21" t="n">
        <f aca="false">MIN(AC$16,ROUND(AC376*(1+AC$15),2))</f>
        <v>0</v>
      </c>
      <c r="AJ376" s="21" t="n">
        <f aca="false">MIN(AD$16,ROUND(AD376*(1+AD$15),2))</f>
        <v>0</v>
      </c>
      <c r="AK376" s="21" t="n">
        <f aca="false">Y$20-SUM(AE376:AJ376)</f>
        <v>1170</v>
      </c>
      <c r="AL376" s="21" t="n">
        <f aca="false">MIN(ROUND(Y376*(1+Y$15),2),AE376+MAX(0,AK376))</f>
        <v>0</v>
      </c>
      <c r="AM376" s="21" t="n">
        <f aca="false">MIN(ROUND(Z376*(1+Z$15),2),AF376+MAX(0,AK376-AL376+AE376))</f>
        <v>0</v>
      </c>
      <c r="AN376" s="21" t="n">
        <f aca="false">MIN(ROUND(AA376*(1+AA$15),2),AG376+MAX(0,AK376-AL376+AE376-AM376+AF376))</f>
        <v>0</v>
      </c>
      <c r="AO376" s="21" t="n">
        <f aca="false">MIN(ROUND(AB376*(1+AB$15),2),AH376+MAX(0,AK376-AL376+AE376-AM376+AF376-AN376+AG376))</f>
        <v>0</v>
      </c>
      <c r="AP376" s="21" t="n">
        <f aca="false">MIN(ROUND(AC376*(1+AC$15),2),AI376+MAX(0,AK376-AL376+AE376-AM376+AF376-AN376+AG376-AO376+AH376))</f>
        <v>0</v>
      </c>
      <c r="AQ376" s="21" t="n">
        <f aca="false">MIN(ROUND(AD376*(1+AD$15),2),AJ376+MAX(0,AK376-AL376+AE376-AM376+AF376-AN376+AG376-AO376+AH376-AP376+AI376))</f>
        <v>0</v>
      </c>
      <c r="AR376" s="21" t="n">
        <f aca="false">SUM(Y376:AD376)</f>
        <v>0</v>
      </c>
      <c r="AS376" s="21" t="n">
        <f aca="false">SUM(AL376:AQ376)</f>
        <v>0</v>
      </c>
    </row>
    <row r="377" customFormat="false" ht="15" hidden="false" customHeight="false" outlineLevel="0" collapsed="false">
      <c r="A377" s="25" t="n">
        <f aca="false">A376+1</f>
        <v>351</v>
      </c>
      <c r="B377" s="21" t="n">
        <f aca="false">MAX(0,ROUND(B376*(1+B$15),2)-O376)</f>
        <v>0</v>
      </c>
      <c r="C377" s="21" t="n">
        <f aca="false">MAX(0,ROUND(C376*(1+C$15),2)-P376)</f>
        <v>0</v>
      </c>
      <c r="D377" s="21" t="n">
        <f aca="false">MAX(0,ROUND(D376*(1+D$15),2)-Q376)</f>
        <v>0</v>
      </c>
      <c r="E377" s="21" t="n">
        <f aca="false">MAX(0,ROUND(E376*(1+E$15),2)-R376)</f>
        <v>0</v>
      </c>
      <c r="F377" s="21" t="n">
        <f aca="false">MAX(0,ROUND(F376*(1+F$15),2)-S376)</f>
        <v>0</v>
      </c>
      <c r="G377" s="21" t="n">
        <f aca="false">MAX(0,ROUND(G376*(1+G$15),2)-T376)</f>
        <v>0</v>
      </c>
      <c r="H377" s="21" t="n">
        <f aca="false">MIN(B$16,ROUND(B377*(1+B$15),2))</f>
        <v>0</v>
      </c>
      <c r="I377" s="21" t="n">
        <f aca="false">MIN(C$16,ROUND(C377*(1+C$15),2))</f>
        <v>0</v>
      </c>
      <c r="J377" s="21" t="n">
        <f aca="false">MIN(D$16,ROUND(D377*(1+D$15),2))</f>
        <v>0</v>
      </c>
      <c r="K377" s="21" t="n">
        <f aca="false">MIN(E$16,ROUND(E377*(1+E$15),2))</f>
        <v>0</v>
      </c>
      <c r="L377" s="21" t="n">
        <f aca="false">MIN(F$16,ROUND(F377*(1+F$15),2))</f>
        <v>0</v>
      </c>
      <c r="M377" s="21" t="n">
        <f aca="false">MIN(G$16,ROUND(G377*(1+G$15),2))</f>
        <v>0</v>
      </c>
      <c r="N377" s="21" t="n">
        <f aca="false">B$20-SUM(H377:M377)</f>
        <v>1170</v>
      </c>
      <c r="O377" s="21" t="n">
        <f aca="false">MIN(ROUND(B377*(1+B$15),2),H377+MAX(0,N377))</f>
        <v>0</v>
      </c>
      <c r="P377" s="21" t="n">
        <f aca="false">MIN(ROUND(C377*(1+C$15),2),I377+MAX(0,N377-O377+H377))</f>
        <v>0</v>
      </c>
      <c r="Q377" s="21" t="n">
        <f aca="false">MIN(ROUND(D377*(1+D$15),2),J377+MAX(0,N377-O377+H377-P377+I377))</f>
        <v>0</v>
      </c>
      <c r="R377" s="21" t="n">
        <f aca="false">MIN(ROUND(E377*(1+E$15),2),K377+MAX(0,N377-O377+H377-P377+I377-Q377+J377))</f>
        <v>0</v>
      </c>
      <c r="S377" s="21" t="n">
        <f aca="false">MIN(ROUND(F377*(1+F$15),2),L377+MAX(0,N377-O377+H377-P377+I377-Q377+J377-R377+K377))</f>
        <v>0</v>
      </c>
      <c r="T377" s="21" t="n">
        <f aca="false">MIN(ROUND(G377*(1+G$15),2),M377+MAX(0,N377-O377+H377-P377+I377-Q377+J377-R377+K377-S377+L377))</f>
        <v>0</v>
      </c>
      <c r="U377" s="21" t="n">
        <f aca="false">SUM(B377:G377)</f>
        <v>0</v>
      </c>
      <c r="V377" s="21" t="n">
        <f aca="false">SUM(O377:T377)</f>
        <v>0</v>
      </c>
      <c r="X377" s="25" t="n">
        <f aca="false">X376+1</f>
        <v>351</v>
      </c>
      <c r="Y377" s="21" t="n">
        <f aca="false">MAX(0,ROUND(Y376*(1+Y$15),2)-AL376)</f>
        <v>0</v>
      </c>
      <c r="Z377" s="21" t="n">
        <f aca="false">MAX(0,ROUND(Z376*(1+Z$15),2)-AM376)</f>
        <v>0</v>
      </c>
      <c r="AA377" s="21" t="n">
        <f aca="false">MAX(0,ROUND(AA376*(1+AA$15),2)-AN376)</f>
        <v>0</v>
      </c>
      <c r="AB377" s="21" t="n">
        <f aca="false">MAX(0,ROUND(AB376*(1+AB$15),2)-AO376)</f>
        <v>0</v>
      </c>
      <c r="AC377" s="21" t="n">
        <f aca="false">MAX(0,ROUND(AC376*(1+AC$15),2)-AP376)</f>
        <v>0</v>
      </c>
      <c r="AD377" s="21" t="n">
        <f aca="false">MAX(0,ROUND(AD376*(1+AD$15),2)-AQ376)</f>
        <v>0</v>
      </c>
      <c r="AE377" s="21" t="n">
        <f aca="false">MIN(Y$16,ROUND(Y377*(1+Y$15),2))</f>
        <v>0</v>
      </c>
      <c r="AF377" s="21" t="n">
        <f aca="false">MIN(Z$16,ROUND(Z377*(1+Z$15),2))</f>
        <v>0</v>
      </c>
      <c r="AG377" s="21" t="n">
        <f aca="false">MIN(AA$16,ROUND(AA377*(1+AA$15),2))</f>
        <v>0</v>
      </c>
      <c r="AH377" s="21" t="n">
        <f aca="false">MIN(AB$16,ROUND(AB377*(1+AB$15),2))</f>
        <v>0</v>
      </c>
      <c r="AI377" s="21" t="n">
        <f aca="false">MIN(AC$16,ROUND(AC377*(1+AC$15),2))</f>
        <v>0</v>
      </c>
      <c r="AJ377" s="21" t="n">
        <f aca="false">MIN(AD$16,ROUND(AD377*(1+AD$15),2))</f>
        <v>0</v>
      </c>
      <c r="AK377" s="21" t="n">
        <f aca="false">Y$20-SUM(AE377:AJ377)</f>
        <v>1170</v>
      </c>
      <c r="AL377" s="21" t="n">
        <f aca="false">MIN(ROUND(Y377*(1+Y$15),2),AE377+MAX(0,AK377))</f>
        <v>0</v>
      </c>
      <c r="AM377" s="21" t="n">
        <f aca="false">MIN(ROUND(Z377*(1+Z$15),2),AF377+MAX(0,AK377-AL377+AE377))</f>
        <v>0</v>
      </c>
      <c r="AN377" s="21" t="n">
        <f aca="false">MIN(ROUND(AA377*(1+AA$15),2),AG377+MAX(0,AK377-AL377+AE377-AM377+AF377))</f>
        <v>0</v>
      </c>
      <c r="AO377" s="21" t="n">
        <f aca="false">MIN(ROUND(AB377*(1+AB$15),2),AH377+MAX(0,AK377-AL377+AE377-AM377+AF377-AN377+AG377))</f>
        <v>0</v>
      </c>
      <c r="AP377" s="21" t="n">
        <f aca="false">MIN(ROUND(AC377*(1+AC$15),2),AI377+MAX(0,AK377-AL377+AE377-AM377+AF377-AN377+AG377-AO377+AH377))</f>
        <v>0</v>
      </c>
      <c r="AQ377" s="21" t="n">
        <f aca="false">MIN(ROUND(AD377*(1+AD$15),2),AJ377+MAX(0,AK377-AL377+AE377-AM377+AF377-AN377+AG377-AO377+AH377-AP377+AI377))</f>
        <v>0</v>
      </c>
      <c r="AR377" s="21" t="n">
        <f aca="false">SUM(Y377:AD377)</f>
        <v>0</v>
      </c>
      <c r="AS377" s="21" t="n">
        <f aca="false">SUM(AL377:AQ377)</f>
        <v>0</v>
      </c>
    </row>
    <row r="378" customFormat="false" ht="15" hidden="false" customHeight="false" outlineLevel="0" collapsed="false">
      <c r="A378" s="25" t="n">
        <f aca="false">A377+1</f>
        <v>352</v>
      </c>
      <c r="B378" s="21" t="n">
        <f aca="false">MAX(0,ROUND(B377*(1+B$15),2)-O377)</f>
        <v>0</v>
      </c>
      <c r="C378" s="21" t="n">
        <f aca="false">MAX(0,ROUND(C377*(1+C$15),2)-P377)</f>
        <v>0</v>
      </c>
      <c r="D378" s="21" t="n">
        <f aca="false">MAX(0,ROUND(D377*(1+D$15),2)-Q377)</f>
        <v>0</v>
      </c>
      <c r="E378" s="21" t="n">
        <f aca="false">MAX(0,ROUND(E377*(1+E$15),2)-R377)</f>
        <v>0</v>
      </c>
      <c r="F378" s="21" t="n">
        <f aca="false">MAX(0,ROUND(F377*(1+F$15),2)-S377)</f>
        <v>0</v>
      </c>
      <c r="G378" s="21" t="n">
        <f aca="false">MAX(0,ROUND(G377*(1+G$15),2)-T377)</f>
        <v>0</v>
      </c>
      <c r="H378" s="21" t="n">
        <f aca="false">MIN(B$16,ROUND(B378*(1+B$15),2))</f>
        <v>0</v>
      </c>
      <c r="I378" s="21" t="n">
        <f aca="false">MIN(C$16,ROUND(C378*(1+C$15),2))</f>
        <v>0</v>
      </c>
      <c r="J378" s="21" t="n">
        <f aca="false">MIN(D$16,ROUND(D378*(1+D$15),2))</f>
        <v>0</v>
      </c>
      <c r="K378" s="21" t="n">
        <f aca="false">MIN(E$16,ROUND(E378*(1+E$15),2))</f>
        <v>0</v>
      </c>
      <c r="L378" s="21" t="n">
        <f aca="false">MIN(F$16,ROUND(F378*(1+F$15),2))</f>
        <v>0</v>
      </c>
      <c r="M378" s="21" t="n">
        <f aca="false">MIN(G$16,ROUND(G378*(1+G$15),2))</f>
        <v>0</v>
      </c>
      <c r="N378" s="21" t="n">
        <f aca="false">B$20-SUM(H378:M378)</f>
        <v>1170</v>
      </c>
      <c r="O378" s="21" t="n">
        <f aca="false">MIN(ROUND(B378*(1+B$15),2),H378+MAX(0,N378))</f>
        <v>0</v>
      </c>
      <c r="P378" s="21" t="n">
        <f aca="false">MIN(ROUND(C378*(1+C$15),2),I378+MAX(0,N378-O378+H378))</f>
        <v>0</v>
      </c>
      <c r="Q378" s="21" t="n">
        <f aca="false">MIN(ROUND(D378*(1+D$15),2),J378+MAX(0,N378-O378+H378-P378+I378))</f>
        <v>0</v>
      </c>
      <c r="R378" s="21" t="n">
        <f aca="false">MIN(ROUND(E378*(1+E$15),2),K378+MAX(0,N378-O378+H378-P378+I378-Q378+J378))</f>
        <v>0</v>
      </c>
      <c r="S378" s="21" t="n">
        <f aca="false">MIN(ROUND(F378*(1+F$15),2),L378+MAX(0,N378-O378+H378-P378+I378-Q378+J378-R378+K378))</f>
        <v>0</v>
      </c>
      <c r="T378" s="21" t="n">
        <f aca="false">MIN(ROUND(G378*(1+G$15),2),M378+MAX(0,N378-O378+H378-P378+I378-Q378+J378-R378+K378-S378+L378))</f>
        <v>0</v>
      </c>
      <c r="U378" s="21" t="n">
        <f aca="false">SUM(B378:G378)</f>
        <v>0</v>
      </c>
      <c r="V378" s="21" t="n">
        <f aca="false">SUM(O378:T378)</f>
        <v>0</v>
      </c>
      <c r="X378" s="25" t="n">
        <f aca="false">X377+1</f>
        <v>352</v>
      </c>
      <c r="Y378" s="21" t="n">
        <f aca="false">MAX(0,ROUND(Y377*(1+Y$15),2)-AL377)</f>
        <v>0</v>
      </c>
      <c r="Z378" s="21" t="n">
        <f aca="false">MAX(0,ROUND(Z377*(1+Z$15),2)-AM377)</f>
        <v>0</v>
      </c>
      <c r="AA378" s="21" t="n">
        <f aca="false">MAX(0,ROUND(AA377*(1+AA$15),2)-AN377)</f>
        <v>0</v>
      </c>
      <c r="AB378" s="21" t="n">
        <f aca="false">MAX(0,ROUND(AB377*(1+AB$15),2)-AO377)</f>
        <v>0</v>
      </c>
      <c r="AC378" s="21" t="n">
        <f aca="false">MAX(0,ROUND(AC377*(1+AC$15),2)-AP377)</f>
        <v>0</v>
      </c>
      <c r="AD378" s="21" t="n">
        <f aca="false">MAX(0,ROUND(AD377*(1+AD$15),2)-AQ377)</f>
        <v>0</v>
      </c>
      <c r="AE378" s="21" t="n">
        <f aca="false">MIN(Y$16,ROUND(Y378*(1+Y$15),2))</f>
        <v>0</v>
      </c>
      <c r="AF378" s="21" t="n">
        <f aca="false">MIN(Z$16,ROUND(Z378*(1+Z$15),2))</f>
        <v>0</v>
      </c>
      <c r="AG378" s="21" t="n">
        <f aca="false">MIN(AA$16,ROUND(AA378*(1+AA$15),2))</f>
        <v>0</v>
      </c>
      <c r="AH378" s="21" t="n">
        <f aca="false">MIN(AB$16,ROUND(AB378*(1+AB$15),2))</f>
        <v>0</v>
      </c>
      <c r="AI378" s="21" t="n">
        <f aca="false">MIN(AC$16,ROUND(AC378*(1+AC$15),2))</f>
        <v>0</v>
      </c>
      <c r="AJ378" s="21" t="n">
        <f aca="false">MIN(AD$16,ROUND(AD378*(1+AD$15),2))</f>
        <v>0</v>
      </c>
      <c r="AK378" s="21" t="n">
        <f aca="false">Y$20-SUM(AE378:AJ378)</f>
        <v>1170</v>
      </c>
      <c r="AL378" s="21" t="n">
        <f aca="false">MIN(ROUND(Y378*(1+Y$15),2),AE378+MAX(0,AK378))</f>
        <v>0</v>
      </c>
      <c r="AM378" s="21" t="n">
        <f aca="false">MIN(ROUND(Z378*(1+Z$15),2),AF378+MAX(0,AK378-AL378+AE378))</f>
        <v>0</v>
      </c>
      <c r="AN378" s="21" t="n">
        <f aca="false">MIN(ROUND(AA378*(1+AA$15),2),AG378+MAX(0,AK378-AL378+AE378-AM378+AF378))</f>
        <v>0</v>
      </c>
      <c r="AO378" s="21" t="n">
        <f aca="false">MIN(ROUND(AB378*(1+AB$15),2),AH378+MAX(0,AK378-AL378+AE378-AM378+AF378-AN378+AG378))</f>
        <v>0</v>
      </c>
      <c r="AP378" s="21" t="n">
        <f aca="false">MIN(ROUND(AC378*(1+AC$15),2),AI378+MAX(0,AK378-AL378+AE378-AM378+AF378-AN378+AG378-AO378+AH378))</f>
        <v>0</v>
      </c>
      <c r="AQ378" s="21" t="n">
        <f aca="false">MIN(ROUND(AD378*(1+AD$15),2),AJ378+MAX(0,AK378-AL378+AE378-AM378+AF378-AN378+AG378-AO378+AH378-AP378+AI378))</f>
        <v>0</v>
      </c>
      <c r="AR378" s="21" t="n">
        <f aca="false">SUM(Y378:AD378)</f>
        <v>0</v>
      </c>
      <c r="AS378" s="21" t="n">
        <f aca="false">SUM(AL378:AQ378)</f>
        <v>0</v>
      </c>
    </row>
    <row r="379" customFormat="false" ht="15" hidden="false" customHeight="false" outlineLevel="0" collapsed="false">
      <c r="A379" s="25" t="n">
        <f aca="false">A378+1</f>
        <v>353</v>
      </c>
      <c r="B379" s="21" t="n">
        <f aca="false">MAX(0,ROUND(B378*(1+B$15),2)-O378)</f>
        <v>0</v>
      </c>
      <c r="C379" s="21" t="n">
        <f aca="false">MAX(0,ROUND(C378*(1+C$15),2)-P378)</f>
        <v>0</v>
      </c>
      <c r="D379" s="21" t="n">
        <f aca="false">MAX(0,ROUND(D378*(1+D$15),2)-Q378)</f>
        <v>0</v>
      </c>
      <c r="E379" s="21" t="n">
        <f aca="false">MAX(0,ROUND(E378*(1+E$15),2)-R378)</f>
        <v>0</v>
      </c>
      <c r="F379" s="21" t="n">
        <f aca="false">MAX(0,ROUND(F378*(1+F$15),2)-S378)</f>
        <v>0</v>
      </c>
      <c r="G379" s="21" t="n">
        <f aca="false">MAX(0,ROUND(G378*(1+G$15),2)-T378)</f>
        <v>0</v>
      </c>
      <c r="H379" s="21" t="n">
        <f aca="false">MIN(B$16,ROUND(B379*(1+B$15),2))</f>
        <v>0</v>
      </c>
      <c r="I379" s="21" t="n">
        <f aca="false">MIN(C$16,ROUND(C379*(1+C$15),2))</f>
        <v>0</v>
      </c>
      <c r="J379" s="21" t="n">
        <f aca="false">MIN(D$16,ROUND(D379*(1+D$15),2))</f>
        <v>0</v>
      </c>
      <c r="K379" s="21" t="n">
        <f aca="false">MIN(E$16,ROUND(E379*(1+E$15),2))</f>
        <v>0</v>
      </c>
      <c r="L379" s="21" t="n">
        <f aca="false">MIN(F$16,ROUND(F379*(1+F$15),2))</f>
        <v>0</v>
      </c>
      <c r="M379" s="21" t="n">
        <f aca="false">MIN(G$16,ROUND(G379*(1+G$15),2))</f>
        <v>0</v>
      </c>
      <c r="N379" s="21" t="n">
        <f aca="false">B$20-SUM(H379:M379)</f>
        <v>1170</v>
      </c>
      <c r="O379" s="21" t="n">
        <f aca="false">MIN(ROUND(B379*(1+B$15),2),H379+MAX(0,N379))</f>
        <v>0</v>
      </c>
      <c r="P379" s="21" t="n">
        <f aca="false">MIN(ROUND(C379*(1+C$15),2),I379+MAX(0,N379-O379+H379))</f>
        <v>0</v>
      </c>
      <c r="Q379" s="21" t="n">
        <f aca="false">MIN(ROUND(D379*(1+D$15),2),J379+MAX(0,N379-O379+H379-P379+I379))</f>
        <v>0</v>
      </c>
      <c r="R379" s="21" t="n">
        <f aca="false">MIN(ROUND(E379*(1+E$15),2),K379+MAX(0,N379-O379+H379-P379+I379-Q379+J379))</f>
        <v>0</v>
      </c>
      <c r="S379" s="21" t="n">
        <f aca="false">MIN(ROUND(F379*(1+F$15),2),L379+MAX(0,N379-O379+H379-P379+I379-Q379+J379-R379+K379))</f>
        <v>0</v>
      </c>
      <c r="T379" s="21" t="n">
        <f aca="false">MIN(ROUND(G379*(1+G$15),2),M379+MAX(0,N379-O379+H379-P379+I379-Q379+J379-R379+K379-S379+L379))</f>
        <v>0</v>
      </c>
      <c r="U379" s="21" t="n">
        <f aca="false">SUM(B379:G379)</f>
        <v>0</v>
      </c>
      <c r="V379" s="21" t="n">
        <f aca="false">SUM(O379:T379)</f>
        <v>0</v>
      </c>
      <c r="X379" s="25" t="n">
        <f aca="false">X378+1</f>
        <v>353</v>
      </c>
      <c r="Y379" s="21" t="n">
        <f aca="false">MAX(0,ROUND(Y378*(1+Y$15),2)-AL378)</f>
        <v>0</v>
      </c>
      <c r="Z379" s="21" t="n">
        <f aca="false">MAX(0,ROUND(Z378*(1+Z$15),2)-AM378)</f>
        <v>0</v>
      </c>
      <c r="AA379" s="21" t="n">
        <f aca="false">MAX(0,ROUND(AA378*(1+AA$15),2)-AN378)</f>
        <v>0</v>
      </c>
      <c r="AB379" s="21" t="n">
        <f aca="false">MAX(0,ROUND(AB378*(1+AB$15),2)-AO378)</f>
        <v>0</v>
      </c>
      <c r="AC379" s="21" t="n">
        <f aca="false">MAX(0,ROUND(AC378*(1+AC$15),2)-AP378)</f>
        <v>0</v>
      </c>
      <c r="AD379" s="21" t="n">
        <f aca="false">MAX(0,ROUND(AD378*(1+AD$15),2)-AQ378)</f>
        <v>0</v>
      </c>
      <c r="AE379" s="21" t="n">
        <f aca="false">MIN(Y$16,ROUND(Y379*(1+Y$15),2))</f>
        <v>0</v>
      </c>
      <c r="AF379" s="21" t="n">
        <f aca="false">MIN(Z$16,ROUND(Z379*(1+Z$15),2))</f>
        <v>0</v>
      </c>
      <c r="AG379" s="21" t="n">
        <f aca="false">MIN(AA$16,ROUND(AA379*(1+AA$15),2))</f>
        <v>0</v>
      </c>
      <c r="AH379" s="21" t="n">
        <f aca="false">MIN(AB$16,ROUND(AB379*(1+AB$15),2))</f>
        <v>0</v>
      </c>
      <c r="AI379" s="21" t="n">
        <f aca="false">MIN(AC$16,ROUND(AC379*(1+AC$15),2))</f>
        <v>0</v>
      </c>
      <c r="AJ379" s="21" t="n">
        <f aca="false">MIN(AD$16,ROUND(AD379*(1+AD$15),2))</f>
        <v>0</v>
      </c>
      <c r="AK379" s="21" t="n">
        <f aca="false">Y$20-SUM(AE379:AJ379)</f>
        <v>1170</v>
      </c>
      <c r="AL379" s="21" t="n">
        <f aca="false">MIN(ROUND(Y379*(1+Y$15),2),AE379+MAX(0,AK379))</f>
        <v>0</v>
      </c>
      <c r="AM379" s="21" t="n">
        <f aca="false">MIN(ROUND(Z379*(1+Z$15),2),AF379+MAX(0,AK379-AL379+AE379))</f>
        <v>0</v>
      </c>
      <c r="AN379" s="21" t="n">
        <f aca="false">MIN(ROUND(AA379*(1+AA$15),2),AG379+MAX(0,AK379-AL379+AE379-AM379+AF379))</f>
        <v>0</v>
      </c>
      <c r="AO379" s="21" t="n">
        <f aca="false">MIN(ROUND(AB379*(1+AB$15),2),AH379+MAX(0,AK379-AL379+AE379-AM379+AF379-AN379+AG379))</f>
        <v>0</v>
      </c>
      <c r="AP379" s="21" t="n">
        <f aca="false">MIN(ROUND(AC379*(1+AC$15),2),AI379+MAX(0,AK379-AL379+AE379-AM379+AF379-AN379+AG379-AO379+AH379))</f>
        <v>0</v>
      </c>
      <c r="AQ379" s="21" t="n">
        <f aca="false">MIN(ROUND(AD379*(1+AD$15),2),AJ379+MAX(0,AK379-AL379+AE379-AM379+AF379-AN379+AG379-AO379+AH379-AP379+AI379))</f>
        <v>0</v>
      </c>
      <c r="AR379" s="21" t="n">
        <f aca="false">SUM(Y379:AD379)</f>
        <v>0</v>
      </c>
      <c r="AS379" s="21" t="n">
        <f aca="false">SUM(AL379:AQ379)</f>
        <v>0</v>
      </c>
    </row>
    <row r="380" customFormat="false" ht="15" hidden="false" customHeight="false" outlineLevel="0" collapsed="false">
      <c r="A380" s="25" t="n">
        <f aca="false">A379+1</f>
        <v>354</v>
      </c>
      <c r="B380" s="21" t="n">
        <f aca="false">MAX(0,ROUND(B379*(1+B$15),2)-O379)</f>
        <v>0</v>
      </c>
      <c r="C380" s="21" t="n">
        <f aca="false">MAX(0,ROUND(C379*(1+C$15),2)-P379)</f>
        <v>0</v>
      </c>
      <c r="D380" s="21" t="n">
        <f aca="false">MAX(0,ROUND(D379*(1+D$15),2)-Q379)</f>
        <v>0</v>
      </c>
      <c r="E380" s="21" t="n">
        <f aca="false">MAX(0,ROUND(E379*(1+E$15),2)-R379)</f>
        <v>0</v>
      </c>
      <c r="F380" s="21" t="n">
        <f aca="false">MAX(0,ROUND(F379*(1+F$15),2)-S379)</f>
        <v>0</v>
      </c>
      <c r="G380" s="21" t="n">
        <f aca="false">MAX(0,ROUND(G379*(1+G$15),2)-T379)</f>
        <v>0</v>
      </c>
      <c r="H380" s="21" t="n">
        <f aca="false">MIN(B$16,ROUND(B380*(1+B$15),2))</f>
        <v>0</v>
      </c>
      <c r="I380" s="21" t="n">
        <f aca="false">MIN(C$16,ROUND(C380*(1+C$15),2))</f>
        <v>0</v>
      </c>
      <c r="J380" s="21" t="n">
        <f aca="false">MIN(D$16,ROUND(D380*(1+D$15),2))</f>
        <v>0</v>
      </c>
      <c r="K380" s="21" t="n">
        <f aca="false">MIN(E$16,ROUND(E380*(1+E$15),2))</f>
        <v>0</v>
      </c>
      <c r="L380" s="21" t="n">
        <f aca="false">MIN(F$16,ROUND(F380*(1+F$15),2))</f>
        <v>0</v>
      </c>
      <c r="M380" s="21" t="n">
        <f aca="false">MIN(G$16,ROUND(G380*(1+G$15),2))</f>
        <v>0</v>
      </c>
      <c r="N380" s="21" t="n">
        <f aca="false">B$20-SUM(H380:M380)</f>
        <v>1170</v>
      </c>
      <c r="O380" s="21" t="n">
        <f aca="false">MIN(ROUND(B380*(1+B$15),2),H380+MAX(0,N380))</f>
        <v>0</v>
      </c>
      <c r="P380" s="21" t="n">
        <f aca="false">MIN(ROUND(C380*(1+C$15),2),I380+MAX(0,N380-O380+H380))</f>
        <v>0</v>
      </c>
      <c r="Q380" s="21" t="n">
        <f aca="false">MIN(ROUND(D380*(1+D$15),2),J380+MAX(0,N380-O380+H380-P380+I380))</f>
        <v>0</v>
      </c>
      <c r="R380" s="21" t="n">
        <f aca="false">MIN(ROUND(E380*(1+E$15),2),K380+MAX(0,N380-O380+H380-P380+I380-Q380+J380))</f>
        <v>0</v>
      </c>
      <c r="S380" s="21" t="n">
        <f aca="false">MIN(ROUND(F380*(1+F$15),2),L380+MAX(0,N380-O380+H380-P380+I380-Q380+J380-R380+K380))</f>
        <v>0</v>
      </c>
      <c r="T380" s="21" t="n">
        <f aca="false">MIN(ROUND(G380*(1+G$15),2),M380+MAX(0,N380-O380+H380-P380+I380-Q380+J380-R380+K380-S380+L380))</f>
        <v>0</v>
      </c>
      <c r="U380" s="21" t="n">
        <f aca="false">SUM(B380:G380)</f>
        <v>0</v>
      </c>
      <c r="V380" s="21" t="n">
        <f aca="false">SUM(O380:T380)</f>
        <v>0</v>
      </c>
      <c r="X380" s="25" t="n">
        <f aca="false">X379+1</f>
        <v>354</v>
      </c>
      <c r="Y380" s="21" t="n">
        <f aca="false">MAX(0,ROUND(Y379*(1+Y$15),2)-AL379)</f>
        <v>0</v>
      </c>
      <c r="Z380" s="21" t="n">
        <f aca="false">MAX(0,ROUND(Z379*(1+Z$15),2)-AM379)</f>
        <v>0</v>
      </c>
      <c r="AA380" s="21" t="n">
        <f aca="false">MAX(0,ROUND(AA379*(1+AA$15),2)-AN379)</f>
        <v>0</v>
      </c>
      <c r="AB380" s="21" t="n">
        <f aca="false">MAX(0,ROUND(AB379*(1+AB$15),2)-AO379)</f>
        <v>0</v>
      </c>
      <c r="AC380" s="21" t="n">
        <f aca="false">MAX(0,ROUND(AC379*(1+AC$15),2)-AP379)</f>
        <v>0</v>
      </c>
      <c r="AD380" s="21" t="n">
        <f aca="false">MAX(0,ROUND(AD379*(1+AD$15),2)-AQ379)</f>
        <v>0</v>
      </c>
      <c r="AE380" s="21" t="n">
        <f aca="false">MIN(Y$16,ROUND(Y380*(1+Y$15),2))</f>
        <v>0</v>
      </c>
      <c r="AF380" s="21" t="n">
        <f aca="false">MIN(Z$16,ROUND(Z380*(1+Z$15),2))</f>
        <v>0</v>
      </c>
      <c r="AG380" s="21" t="n">
        <f aca="false">MIN(AA$16,ROUND(AA380*(1+AA$15),2))</f>
        <v>0</v>
      </c>
      <c r="AH380" s="21" t="n">
        <f aca="false">MIN(AB$16,ROUND(AB380*(1+AB$15),2))</f>
        <v>0</v>
      </c>
      <c r="AI380" s="21" t="n">
        <f aca="false">MIN(AC$16,ROUND(AC380*(1+AC$15),2))</f>
        <v>0</v>
      </c>
      <c r="AJ380" s="21" t="n">
        <f aca="false">MIN(AD$16,ROUND(AD380*(1+AD$15),2))</f>
        <v>0</v>
      </c>
      <c r="AK380" s="21" t="n">
        <f aca="false">Y$20-SUM(AE380:AJ380)</f>
        <v>1170</v>
      </c>
      <c r="AL380" s="21" t="n">
        <f aca="false">MIN(ROUND(Y380*(1+Y$15),2),AE380+MAX(0,AK380))</f>
        <v>0</v>
      </c>
      <c r="AM380" s="21" t="n">
        <f aca="false">MIN(ROUND(Z380*(1+Z$15),2),AF380+MAX(0,AK380-AL380+AE380))</f>
        <v>0</v>
      </c>
      <c r="AN380" s="21" t="n">
        <f aca="false">MIN(ROUND(AA380*(1+AA$15),2),AG380+MAX(0,AK380-AL380+AE380-AM380+AF380))</f>
        <v>0</v>
      </c>
      <c r="AO380" s="21" t="n">
        <f aca="false">MIN(ROUND(AB380*(1+AB$15),2),AH380+MAX(0,AK380-AL380+AE380-AM380+AF380-AN380+AG380))</f>
        <v>0</v>
      </c>
      <c r="AP380" s="21" t="n">
        <f aca="false">MIN(ROUND(AC380*(1+AC$15),2),AI380+MAX(0,AK380-AL380+AE380-AM380+AF380-AN380+AG380-AO380+AH380))</f>
        <v>0</v>
      </c>
      <c r="AQ380" s="21" t="n">
        <f aca="false">MIN(ROUND(AD380*(1+AD$15),2),AJ380+MAX(0,AK380-AL380+AE380-AM380+AF380-AN380+AG380-AO380+AH380-AP380+AI380))</f>
        <v>0</v>
      </c>
      <c r="AR380" s="21" t="n">
        <f aca="false">SUM(Y380:AD380)</f>
        <v>0</v>
      </c>
      <c r="AS380" s="21" t="n">
        <f aca="false">SUM(AL380:AQ380)</f>
        <v>0</v>
      </c>
    </row>
    <row r="381" customFormat="false" ht="15" hidden="false" customHeight="false" outlineLevel="0" collapsed="false">
      <c r="A381" s="25" t="n">
        <f aca="false">A380+1</f>
        <v>355</v>
      </c>
      <c r="B381" s="21" t="n">
        <f aca="false">MAX(0,ROUND(B380*(1+B$15),2)-O380)</f>
        <v>0</v>
      </c>
      <c r="C381" s="21" t="n">
        <f aca="false">MAX(0,ROUND(C380*(1+C$15),2)-P380)</f>
        <v>0</v>
      </c>
      <c r="D381" s="21" t="n">
        <f aca="false">MAX(0,ROUND(D380*(1+D$15),2)-Q380)</f>
        <v>0</v>
      </c>
      <c r="E381" s="21" t="n">
        <f aca="false">MAX(0,ROUND(E380*(1+E$15),2)-R380)</f>
        <v>0</v>
      </c>
      <c r="F381" s="21" t="n">
        <f aca="false">MAX(0,ROUND(F380*(1+F$15),2)-S380)</f>
        <v>0</v>
      </c>
      <c r="G381" s="21" t="n">
        <f aca="false">MAX(0,ROUND(G380*(1+G$15),2)-T380)</f>
        <v>0</v>
      </c>
      <c r="H381" s="21" t="n">
        <f aca="false">MIN(B$16,ROUND(B381*(1+B$15),2))</f>
        <v>0</v>
      </c>
      <c r="I381" s="21" t="n">
        <f aca="false">MIN(C$16,ROUND(C381*(1+C$15),2))</f>
        <v>0</v>
      </c>
      <c r="J381" s="21" t="n">
        <f aca="false">MIN(D$16,ROUND(D381*(1+D$15),2))</f>
        <v>0</v>
      </c>
      <c r="K381" s="21" t="n">
        <f aca="false">MIN(E$16,ROUND(E381*(1+E$15),2))</f>
        <v>0</v>
      </c>
      <c r="L381" s="21" t="n">
        <f aca="false">MIN(F$16,ROUND(F381*(1+F$15),2))</f>
        <v>0</v>
      </c>
      <c r="M381" s="21" t="n">
        <f aca="false">MIN(G$16,ROUND(G381*(1+G$15),2))</f>
        <v>0</v>
      </c>
      <c r="N381" s="21" t="n">
        <f aca="false">B$20-SUM(H381:M381)</f>
        <v>1170</v>
      </c>
      <c r="O381" s="21" t="n">
        <f aca="false">MIN(ROUND(B381*(1+B$15),2),H381+MAX(0,N381))</f>
        <v>0</v>
      </c>
      <c r="P381" s="21" t="n">
        <f aca="false">MIN(ROUND(C381*(1+C$15),2),I381+MAX(0,N381-O381+H381))</f>
        <v>0</v>
      </c>
      <c r="Q381" s="21" t="n">
        <f aca="false">MIN(ROUND(D381*(1+D$15),2),J381+MAX(0,N381-O381+H381-P381+I381))</f>
        <v>0</v>
      </c>
      <c r="R381" s="21" t="n">
        <f aca="false">MIN(ROUND(E381*(1+E$15),2),K381+MAX(0,N381-O381+H381-P381+I381-Q381+J381))</f>
        <v>0</v>
      </c>
      <c r="S381" s="21" t="n">
        <f aca="false">MIN(ROUND(F381*(1+F$15),2),L381+MAX(0,N381-O381+H381-P381+I381-Q381+J381-R381+K381))</f>
        <v>0</v>
      </c>
      <c r="T381" s="21" t="n">
        <f aca="false">MIN(ROUND(G381*(1+G$15),2),M381+MAX(0,N381-O381+H381-P381+I381-Q381+J381-R381+K381-S381+L381))</f>
        <v>0</v>
      </c>
      <c r="U381" s="21" t="n">
        <f aca="false">SUM(B381:G381)</f>
        <v>0</v>
      </c>
      <c r="V381" s="21" t="n">
        <f aca="false">SUM(O381:T381)</f>
        <v>0</v>
      </c>
      <c r="X381" s="25" t="n">
        <f aca="false">X380+1</f>
        <v>355</v>
      </c>
      <c r="Y381" s="21" t="n">
        <f aca="false">MAX(0,ROUND(Y380*(1+Y$15),2)-AL380)</f>
        <v>0</v>
      </c>
      <c r="Z381" s="21" t="n">
        <f aca="false">MAX(0,ROUND(Z380*(1+Z$15),2)-AM380)</f>
        <v>0</v>
      </c>
      <c r="AA381" s="21" t="n">
        <f aca="false">MAX(0,ROUND(AA380*(1+AA$15),2)-AN380)</f>
        <v>0</v>
      </c>
      <c r="AB381" s="21" t="n">
        <f aca="false">MAX(0,ROUND(AB380*(1+AB$15),2)-AO380)</f>
        <v>0</v>
      </c>
      <c r="AC381" s="21" t="n">
        <f aca="false">MAX(0,ROUND(AC380*(1+AC$15),2)-AP380)</f>
        <v>0</v>
      </c>
      <c r="AD381" s="21" t="n">
        <f aca="false">MAX(0,ROUND(AD380*(1+AD$15),2)-AQ380)</f>
        <v>0</v>
      </c>
      <c r="AE381" s="21" t="n">
        <f aca="false">MIN(Y$16,ROUND(Y381*(1+Y$15),2))</f>
        <v>0</v>
      </c>
      <c r="AF381" s="21" t="n">
        <f aca="false">MIN(Z$16,ROUND(Z381*(1+Z$15),2))</f>
        <v>0</v>
      </c>
      <c r="AG381" s="21" t="n">
        <f aca="false">MIN(AA$16,ROUND(AA381*(1+AA$15),2))</f>
        <v>0</v>
      </c>
      <c r="AH381" s="21" t="n">
        <f aca="false">MIN(AB$16,ROUND(AB381*(1+AB$15),2))</f>
        <v>0</v>
      </c>
      <c r="AI381" s="21" t="n">
        <f aca="false">MIN(AC$16,ROUND(AC381*(1+AC$15),2))</f>
        <v>0</v>
      </c>
      <c r="AJ381" s="21" t="n">
        <f aca="false">MIN(AD$16,ROUND(AD381*(1+AD$15),2))</f>
        <v>0</v>
      </c>
      <c r="AK381" s="21" t="n">
        <f aca="false">Y$20-SUM(AE381:AJ381)</f>
        <v>1170</v>
      </c>
      <c r="AL381" s="21" t="n">
        <f aca="false">MIN(ROUND(Y381*(1+Y$15),2),AE381+MAX(0,AK381))</f>
        <v>0</v>
      </c>
      <c r="AM381" s="21" t="n">
        <f aca="false">MIN(ROUND(Z381*(1+Z$15),2),AF381+MAX(0,AK381-AL381+AE381))</f>
        <v>0</v>
      </c>
      <c r="AN381" s="21" t="n">
        <f aca="false">MIN(ROUND(AA381*(1+AA$15),2),AG381+MAX(0,AK381-AL381+AE381-AM381+AF381))</f>
        <v>0</v>
      </c>
      <c r="AO381" s="21" t="n">
        <f aca="false">MIN(ROUND(AB381*(1+AB$15),2),AH381+MAX(0,AK381-AL381+AE381-AM381+AF381-AN381+AG381))</f>
        <v>0</v>
      </c>
      <c r="AP381" s="21" t="n">
        <f aca="false">MIN(ROUND(AC381*(1+AC$15),2),AI381+MAX(0,AK381-AL381+AE381-AM381+AF381-AN381+AG381-AO381+AH381))</f>
        <v>0</v>
      </c>
      <c r="AQ381" s="21" t="n">
        <f aca="false">MIN(ROUND(AD381*(1+AD$15),2),AJ381+MAX(0,AK381-AL381+AE381-AM381+AF381-AN381+AG381-AO381+AH381-AP381+AI381))</f>
        <v>0</v>
      </c>
      <c r="AR381" s="21" t="n">
        <f aca="false">SUM(Y381:AD381)</f>
        <v>0</v>
      </c>
      <c r="AS381" s="21" t="n">
        <f aca="false">SUM(AL381:AQ381)</f>
        <v>0</v>
      </c>
    </row>
    <row r="382" customFormat="false" ht="15" hidden="false" customHeight="false" outlineLevel="0" collapsed="false">
      <c r="A382" s="25" t="n">
        <f aca="false">A381+1</f>
        <v>356</v>
      </c>
      <c r="B382" s="21" t="n">
        <f aca="false">MAX(0,ROUND(B381*(1+B$15),2)-O381)</f>
        <v>0</v>
      </c>
      <c r="C382" s="21" t="n">
        <f aca="false">MAX(0,ROUND(C381*(1+C$15),2)-P381)</f>
        <v>0</v>
      </c>
      <c r="D382" s="21" t="n">
        <f aca="false">MAX(0,ROUND(D381*(1+D$15),2)-Q381)</f>
        <v>0</v>
      </c>
      <c r="E382" s="21" t="n">
        <f aca="false">MAX(0,ROUND(E381*(1+E$15),2)-R381)</f>
        <v>0</v>
      </c>
      <c r="F382" s="21" t="n">
        <f aca="false">MAX(0,ROUND(F381*(1+F$15),2)-S381)</f>
        <v>0</v>
      </c>
      <c r="G382" s="21" t="n">
        <f aca="false">MAX(0,ROUND(G381*(1+G$15),2)-T381)</f>
        <v>0</v>
      </c>
      <c r="H382" s="21" t="n">
        <f aca="false">MIN(B$16,ROUND(B382*(1+B$15),2))</f>
        <v>0</v>
      </c>
      <c r="I382" s="21" t="n">
        <f aca="false">MIN(C$16,ROUND(C382*(1+C$15),2))</f>
        <v>0</v>
      </c>
      <c r="J382" s="21" t="n">
        <f aca="false">MIN(D$16,ROUND(D382*(1+D$15),2))</f>
        <v>0</v>
      </c>
      <c r="K382" s="21" t="n">
        <f aca="false">MIN(E$16,ROUND(E382*(1+E$15),2))</f>
        <v>0</v>
      </c>
      <c r="L382" s="21" t="n">
        <f aca="false">MIN(F$16,ROUND(F382*(1+F$15),2))</f>
        <v>0</v>
      </c>
      <c r="M382" s="21" t="n">
        <f aca="false">MIN(G$16,ROUND(G382*(1+G$15),2))</f>
        <v>0</v>
      </c>
      <c r="N382" s="21" t="n">
        <f aca="false">B$20-SUM(H382:M382)</f>
        <v>1170</v>
      </c>
      <c r="O382" s="21" t="n">
        <f aca="false">MIN(ROUND(B382*(1+B$15),2),H382+MAX(0,N382))</f>
        <v>0</v>
      </c>
      <c r="P382" s="21" t="n">
        <f aca="false">MIN(ROUND(C382*(1+C$15),2),I382+MAX(0,N382-O382+H382))</f>
        <v>0</v>
      </c>
      <c r="Q382" s="21" t="n">
        <f aca="false">MIN(ROUND(D382*(1+D$15),2),J382+MAX(0,N382-O382+H382-P382+I382))</f>
        <v>0</v>
      </c>
      <c r="R382" s="21" t="n">
        <f aca="false">MIN(ROUND(E382*(1+E$15),2),K382+MAX(0,N382-O382+H382-P382+I382-Q382+J382))</f>
        <v>0</v>
      </c>
      <c r="S382" s="21" t="n">
        <f aca="false">MIN(ROUND(F382*(1+F$15),2),L382+MAX(0,N382-O382+H382-P382+I382-Q382+J382-R382+K382))</f>
        <v>0</v>
      </c>
      <c r="T382" s="21" t="n">
        <f aca="false">MIN(ROUND(G382*(1+G$15),2),M382+MAX(0,N382-O382+H382-P382+I382-Q382+J382-R382+K382-S382+L382))</f>
        <v>0</v>
      </c>
      <c r="U382" s="21" t="n">
        <f aca="false">SUM(B382:G382)</f>
        <v>0</v>
      </c>
      <c r="V382" s="21" t="n">
        <f aca="false">SUM(O382:T382)</f>
        <v>0</v>
      </c>
      <c r="X382" s="25" t="n">
        <f aca="false">X381+1</f>
        <v>356</v>
      </c>
      <c r="Y382" s="21" t="n">
        <f aca="false">MAX(0,ROUND(Y381*(1+Y$15),2)-AL381)</f>
        <v>0</v>
      </c>
      <c r="Z382" s="21" t="n">
        <f aca="false">MAX(0,ROUND(Z381*(1+Z$15),2)-AM381)</f>
        <v>0</v>
      </c>
      <c r="AA382" s="21" t="n">
        <f aca="false">MAX(0,ROUND(AA381*(1+AA$15),2)-AN381)</f>
        <v>0</v>
      </c>
      <c r="AB382" s="21" t="n">
        <f aca="false">MAX(0,ROUND(AB381*(1+AB$15),2)-AO381)</f>
        <v>0</v>
      </c>
      <c r="AC382" s="21" t="n">
        <f aca="false">MAX(0,ROUND(AC381*(1+AC$15),2)-AP381)</f>
        <v>0</v>
      </c>
      <c r="AD382" s="21" t="n">
        <f aca="false">MAX(0,ROUND(AD381*(1+AD$15),2)-AQ381)</f>
        <v>0</v>
      </c>
      <c r="AE382" s="21" t="n">
        <f aca="false">MIN(Y$16,ROUND(Y382*(1+Y$15),2))</f>
        <v>0</v>
      </c>
      <c r="AF382" s="21" t="n">
        <f aca="false">MIN(Z$16,ROUND(Z382*(1+Z$15),2))</f>
        <v>0</v>
      </c>
      <c r="AG382" s="21" t="n">
        <f aca="false">MIN(AA$16,ROUND(AA382*(1+AA$15),2))</f>
        <v>0</v>
      </c>
      <c r="AH382" s="21" t="n">
        <f aca="false">MIN(AB$16,ROUND(AB382*(1+AB$15),2))</f>
        <v>0</v>
      </c>
      <c r="AI382" s="21" t="n">
        <f aca="false">MIN(AC$16,ROUND(AC382*(1+AC$15),2))</f>
        <v>0</v>
      </c>
      <c r="AJ382" s="21" t="n">
        <f aca="false">MIN(AD$16,ROUND(AD382*(1+AD$15),2))</f>
        <v>0</v>
      </c>
      <c r="AK382" s="21" t="n">
        <f aca="false">Y$20-SUM(AE382:AJ382)</f>
        <v>1170</v>
      </c>
      <c r="AL382" s="21" t="n">
        <f aca="false">MIN(ROUND(Y382*(1+Y$15),2),AE382+MAX(0,AK382))</f>
        <v>0</v>
      </c>
      <c r="AM382" s="21" t="n">
        <f aca="false">MIN(ROUND(Z382*(1+Z$15),2),AF382+MAX(0,AK382-AL382+AE382))</f>
        <v>0</v>
      </c>
      <c r="AN382" s="21" t="n">
        <f aca="false">MIN(ROUND(AA382*(1+AA$15),2),AG382+MAX(0,AK382-AL382+AE382-AM382+AF382))</f>
        <v>0</v>
      </c>
      <c r="AO382" s="21" t="n">
        <f aca="false">MIN(ROUND(AB382*(1+AB$15),2),AH382+MAX(0,AK382-AL382+AE382-AM382+AF382-AN382+AG382))</f>
        <v>0</v>
      </c>
      <c r="AP382" s="21" t="n">
        <f aca="false">MIN(ROUND(AC382*(1+AC$15),2),AI382+MAX(0,AK382-AL382+AE382-AM382+AF382-AN382+AG382-AO382+AH382))</f>
        <v>0</v>
      </c>
      <c r="AQ382" s="21" t="n">
        <f aca="false">MIN(ROUND(AD382*(1+AD$15),2),AJ382+MAX(0,AK382-AL382+AE382-AM382+AF382-AN382+AG382-AO382+AH382-AP382+AI382))</f>
        <v>0</v>
      </c>
      <c r="AR382" s="21" t="n">
        <f aca="false">SUM(Y382:AD382)</f>
        <v>0</v>
      </c>
      <c r="AS382" s="21" t="n">
        <f aca="false">SUM(AL382:AQ382)</f>
        <v>0</v>
      </c>
    </row>
    <row r="383" customFormat="false" ht="15" hidden="false" customHeight="false" outlineLevel="0" collapsed="false">
      <c r="A383" s="25" t="n">
        <f aca="false">A382+1</f>
        <v>357</v>
      </c>
      <c r="B383" s="21" t="n">
        <f aca="false">MAX(0,ROUND(B382*(1+B$15),2)-O382)</f>
        <v>0</v>
      </c>
      <c r="C383" s="21" t="n">
        <f aca="false">MAX(0,ROUND(C382*(1+C$15),2)-P382)</f>
        <v>0</v>
      </c>
      <c r="D383" s="21" t="n">
        <f aca="false">MAX(0,ROUND(D382*(1+D$15),2)-Q382)</f>
        <v>0</v>
      </c>
      <c r="E383" s="21" t="n">
        <f aca="false">MAX(0,ROUND(E382*(1+E$15),2)-R382)</f>
        <v>0</v>
      </c>
      <c r="F383" s="21" t="n">
        <f aca="false">MAX(0,ROUND(F382*(1+F$15),2)-S382)</f>
        <v>0</v>
      </c>
      <c r="G383" s="21" t="n">
        <f aca="false">MAX(0,ROUND(G382*(1+G$15),2)-T382)</f>
        <v>0</v>
      </c>
      <c r="H383" s="21" t="n">
        <f aca="false">MIN(B$16,ROUND(B383*(1+B$15),2))</f>
        <v>0</v>
      </c>
      <c r="I383" s="21" t="n">
        <f aca="false">MIN(C$16,ROUND(C383*(1+C$15),2))</f>
        <v>0</v>
      </c>
      <c r="J383" s="21" t="n">
        <f aca="false">MIN(D$16,ROUND(D383*(1+D$15),2))</f>
        <v>0</v>
      </c>
      <c r="K383" s="21" t="n">
        <f aca="false">MIN(E$16,ROUND(E383*(1+E$15),2))</f>
        <v>0</v>
      </c>
      <c r="L383" s="21" t="n">
        <f aca="false">MIN(F$16,ROUND(F383*(1+F$15),2))</f>
        <v>0</v>
      </c>
      <c r="M383" s="21" t="n">
        <f aca="false">MIN(G$16,ROUND(G383*(1+G$15),2))</f>
        <v>0</v>
      </c>
      <c r="N383" s="21" t="n">
        <f aca="false">B$20-SUM(H383:M383)</f>
        <v>1170</v>
      </c>
      <c r="O383" s="21" t="n">
        <f aca="false">MIN(ROUND(B383*(1+B$15),2),H383+MAX(0,N383))</f>
        <v>0</v>
      </c>
      <c r="P383" s="21" t="n">
        <f aca="false">MIN(ROUND(C383*(1+C$15),2),I383+MAX(0,N383-O383+H383))</f>
        <v>0</v>
      </c>
      <c r="Q383" s="21" t="n">
        <f aca="false">MIN(ROUND(D383*(1+D$15),2),J383+MAX(0,N383-O383+H383-P383+I383))</f>
        <v>0</v>
      </c>
      <c r="R383" s="21" t="n">
        <f aca="false">MIN(ROUND(E383*(1+E$15),2),K383+MAX(0,N383-O383+H383-P383+I383-Q383+J383))</f>
        <v>0</v>
      </c>
      <c r="S383" s="21" t="n">
        <f aca="false">MIN(ROUND(F383*(1+F$15),2),L383+MAX(0,N383-O383+H383-P383+I383-Q383+J383-R383+K383))</f>
        <v>0</v>
      </c>
      <c r="T383" s="21" t="n">
        <f aca="false">MIN(ROUND(G383*(1+G$15),2),M383+MAX(0,N383-O383+H383-P383+I383-Q383+J383-R383+K383-S383+L383))</f>
        <v>0</v>
      </c>
      <c r="U383" s="21" t="n">
        <f aca="false">SUM(B383:G383)</f>
        <v>0</v>
      </c>
      <c r="V383" s="21" t="n">
        <f aca="false">SUM(O383:T383)</f>
        <v>0</v>
      </c>
      <c r="X383" s="25" t="n">
        <f aca="false">X382+1</f>
        <v>357</v>
      </c>
      <c r="Y383" s="21" t="n">
        <f aca="false">MAX(0,ROUND(Y382*(1+Y$15),2)-AL382)</f>
        <v>0</v>
      </c>
      <c r="Z383" s="21" t="n">
        <f aca="false">MAX(0,ROUND(Z382*(1+Z$15),2)-AM382)</f>
        <v>0</v>
      </c>
      <c r="AA383" s="21" t="n">
        <f aca="false">MAX(0,ROUND(AA382*(1+AA$15),2)-AN382)</f>
        <v>0</v>
      </c>
      <c r="AB383" s="21" t="n">
        <f aca="false">MAX(0,ROUND(AB382*(1+AB$15),2)-AO382)</f>
        <v>0</v>
      </c>
      <c r="AC383" s="21" t="n">
        <f aca="false">MAX(0,ROUND(AC382*(1+AC$15),2)-AP382)</f>
        <v>0</v>
      </c>
      <c r="AD383" s="21" t="n">
        <f aca="false">MAX(0,ROUND(AD382*(1+AD$15),2)-AQ382)</f>
        <v>0</v>
      </c>
      <c r="AE383" s="21" t="n">
        <f aca="false">MIN(Y$16,ROUND(Y383*(1+Y$15),2))</f>
        <v>0</v>
      </c>
      <c r="AF383" s="21" t="n">
        <f aca="false">MIN(Z$16,ROUND(Z383*(1+Z$15),2))</f>
        <v>0</v>
      </c>
      <c r="AG383" s="21" t="n">
        <f aca="false">MIN(AA$16,ROUND(AA383*(1+AA$15),2))</f>
        <v>0</v>
      </c>
      <c r="AH383" s="21" t="n">
        <f aca="false">MIN(AB$16,ROUND(AB383*(1+AB$15),2))</f>
        <v>0</v>
      </c>
      <c r="AI383" s="21" t="n">
        <f aca="false">MIN(AC$16,ROUND(AC383*(1+AC$15),2))</f>
        <v>0</v>
      </c>
      <c r="AJ383" s="21" t="n">
        <f aca="false">MIN(AD$16,ROUND(AD383*(1+AD$15),2))</f>
        <v>0</v>
      </c>
      <c r="AK383" s="21" t="n">
        <f aca="false">Y$20-SUM(AE383:AJ383)</f>
        <v>1170</v>
      </c>
      <c r="AL383" s="21" t="n">
        <f aca="false">MIN(ROUND(Y383*(1+Y$15),2),AE383+MAX(0,AK383))</f>
        <v>0</v>
      </c>
      <c r="AM383" s="21" t="n">
        <f aca="false">MIN(ROUND(Z383*(1+Z$15),2),AF383+MAX(0,AK383-AL383+AE383))</f>
        <v>0</v>
      </c>
      <c r="AN383" s="21" t="n">
        <f aca="false">MIN(ROUND(AA383*(1+AA$15),2),AG383+MAX(0,AK383-AL383+AE383-AM383+AF383))</f>
        <v>0</v>
      </c>
      <c r="AO383" s="21" t="n">
        <f aca="false">MIN(ROUND(AB383*(1+AB$15),2),AH383+MAX(0,AK383-AL383+AE383-AM383+AF383-AN383+AG383))</f>
        <v>0</v>
      </c>
      <c r="AP383" s="21" t="n">
        <f aca="false">MIN(ROUND(AC383*(1+AC$15),2),AI383+MAX(0,AK383-AL383+AE383-AM383+AF383-AN383+AG383-AO383+AH383))</f>
        <v>0</v>
      </c>
      <c r="AQ383" s="21" t="n">
        <f aca="false">MIN(ROUND(AD383*(1+AD$15),2),AJ383+MAX(0,AK383-AL383+AE383-AM383+AF383-AN383+AG383-AO383+AH383-AP383+AI383))</f>
        <v>0</v>
      </c>
      <c r="AR383" s="21" t="n">
        <f aca="false">SUM(Y383:AD383)</f>
        <v>0</v>
      </c>
      <c r="AS383" s="21" t="n">
        <f aca="false">SUM(AL383:AQ383)</f>
        <v>0</v>
      </c>
    </row>
    <row r="384" customFormat="false" ht="15" hidden="false" customHeight="false" outlineLevel="0" collapsed="false">
      <c r="A384" s="25" t="n">
        <f aca="false">A383+1</f>
        <v>358</v>
      </c>
      <c r="B384" s="21" t="n">
        <f aca="false">MAX(0,ROUND(B383*(1+B$15),2)-O383)</f>
        <v>0</v>
      </c>
      <c r="C384" s="21" t="n">
        <f aca="false">MAX(0,ROUND(C383*(1+C$15),2)-P383)</f>
        <v>0</v>
      </c>
      <c r="D384" s="21" t="n">
        <f aca="false">MAX(0,ROUND(D383*(1+D$15),2)-Q383)</f>
        <v>0</v>
      </c>
      <c r="E384" s="21" t="n">
        <f aca="false">MAX(0,ROUND(E383*(1+E$15),2)-R383)</f>
        <v>0</v>
      </c>
      <c r="F384" s="21" t="n">
        <f aca="false">MAX(0,ROUND(F383*(1+F$15),2)-S383)</f>
        <v>0</v>
      </c>
      <c r="G384" s="21" t="n">
        <f aca="false">MAX(0,ROUND(G383*(1+G$15),2)-T383)</f>
        <v>0</v>
      </c>
      <c r="H384" s="21" t="n">
        <f aca="false">MIN(B$16,ROUND(B384*(1+B$15),2))</f>
        <v>0</v>
      </c>
      <c r="I384" s="21" t="n">
        <f aca="false">MIN(C$16,ROUND(C384*(1+C$15),2))</f>
        <v>0</v>
      </c>
      <c r="J384" s="21" t="n">
        <f aca="false">MIN(D$16,ROUND(D384*(1+D$15),2))</f>
        <v>0</v>
      </c>
      <c r="K384" s="21" t="n">
        <f aca="false">MIN(E$16,ROUND(E384*(1+E$15),2))</f>
        <v>0</v>
      </c>
      <c r="L384" s="21" t="n">
        <f aca="false">MIN(F$16,ROUND(F384*(1+F$15),2))</f>
        <v>0</v>
      </c>
      <c r="M384" s="21" t="n">
        <f aca="false">MIN(G$16,ROUND(G384*(1+G$15),2))</f>
        <v>0</v>
      </c>
      <c r="N384" s="21" t="n">
        <f aca="false">B$20-SUM(H384:M384)</f>
        <v>1170</v>
      </c>
      <c r="O384" s="21" t="n">
        <f aca="false">MIN(ROUND(B384*(1+B$15),2),H384+MAX(0,N384))</f>
        <v>0</v>
      </c>
      <c r="P384" s="21" t="n">
        <f aca="false">MIN(ROUND(C384*(1+C$15),2),I384+MAX(0,N384-O384+H384))</f>
        <v>0</v>
      </c>
      <c r="Q384" s="21" t="n">
        <f aca="false">MIN(ROUND(D384*(1+D$15),2),J384+MAX(0,N384-O384+H384-P384+I384))</f>
        <v>0</v>
      </c>
      <c r="R384" s="21" t="n">
        <f aca="false">MIN(ROUND(E384*(1+E$15),2),K384+MAX(0,N384-O384+H384-P384+I384-Q384+J384))</f>
        <v>0</v>
      </c>
      <c r="S384" s="21" t="n">
        <f aca="false">MIN(ROUND(F384*(1+F$15),2),L384+MAX(0,N384-O384+H384-P384+I384-Q384+J384-R384+K384))</f>
        <v>0</v>
      </c>
      <c r="T384" s="21" t="n">
        <f aca="false">MIN(ROUND(G384*(1+G$15),2),M384+MAX(0,N384-O384+H384-P384+I384-Q384+J384-R384+K384-S384+L384))</f>
        <v>0</v>
      </c>
      <c r="U384" s="21" t="n">
        <f aca="false">SUM(B384:G384)</f>
        <v>0</v>
      </c>
      <c r="V384" s="21" t="n">
        <f aca="false">SUM(O384:T384)</f>
        <v>0</v>
      </c>
      <c r="X384" s="25" t="n">
        <f aca="false">X383+1</f>
        <v>358</v>
      </c>
      <c r="Y384" s="21" t="n">
        <f aca="false">MAX(0,ROUND(Y383*(1+Y$15),2)-AL383)</f>
        <v>0</v>
      </c>
      <c r="Z384" s="21" t="n">
        <f aca="false">MAX(0,ROUND(Z383*(1+Z$15),2)-AM383)</f>
        <v>0</v>
      </c>
      <c r="AA384" s="21" t="n">
        <f aca="false">MAX(0,ROUND(AA383*(1+AA$15),2)-AN383)</f>
        <v>0</v>
      </c>
      <c r="AB384" s="21" t="n">
        <f aca="false">MAX(0,ROUND(AB383*(1+AB$15),2)-AO383)</f>
        <v>0</v>
      </c>
      <c r="AC384" s="21" t="n">
        <f aca="false">MAX(0,ROUND(AC383*(1+AC$15),2)-AP383)</f>
        <v>0</v>
      </c>
      <c r="AD384" s="21" t="n">
        <f aca="false">MAX(0,ROUND(AD383*(1+AD$15),2)-AQ383)</f>
        <v>0</v>
      </c>
      <c r="AE384" s="21" t="n">
        <f aca="false">MIN(Y$16,ROUND(Y384*(1+Y$15),2))</f>
        <v>0</v>
      </c>
      <c r="AF384" s="21" t="n">
        <f aca="false">MIN(Z$16,ROUND(Z384*(1+Z$15),2))</f>
        <v>0</v>
      </c>
      <c r="AG384" s="21" t="n">
        <f aca="false">MIN(AA$16,ROUND(AA384*(1+AA$15),2))</f>
        <v>0</v>
      </c>
      <c r="AH384" s="21" t="n">
        <f aca="false">MIN(AB$16,ROUND(AB384*(1+AB$15),2))</f>
        <v>0</v>
      </c>
      <c r="AI384" s="21" t="n">
        <f aca="false">MIN(AC$16,ROUND(AC384*(1+AC$15),2))</f>
        <v>0</v>
      </c>
      <c r="AJ384" s="21" t="n">
        <f aca="false">MIN(AD$16,ROUND(AD384*(1+AD$15),2))</f>
        <v>0</v>
      </c>
      <c r="AK384" s="21" t="n">
        <f aca="false">Y$20-SUM(AE384:AJ384)</f>
        <v>1170</v>
      </c>
      <c r="AL384" s="21" t="n">
        <f aca="false">MIN(ROUND(Y384*(1+Y$15),2),AE384+MAX(0,AK384))</f>
        <v>0</v>
      </c>
      <c r="AM384" s="21" t="n">
        <f aca="false">MIN(ROUND(Z384*(1+Z$15),2),AF384+MAX(0,AK384-AL384+AE384))</f>
        <v>0</v>
      </c>
      <c r="AN384" s="21" t="n">
        <f aca="false">MIN(ROUND(AA384*(1+AA$15),2),AG384+MAX(0,AK384-AL384+AE384-AM384+AF384))</f>
        <v>0</v>
      </c>
      <c r="AO384" s="21" t="n">
        <f aca="false">MIN(ROUND(AB384*(1+AB$15),2),AH384+MAX(0,AK384-AL384+AE384-AM384+AF384-AN384+AG384))</f>
        <v>0</v>
      </c>
      <c r="AP384" s="21" t="n">
        <f aca="false">MIN(ROUND(AC384*(1+AC$15),2),AI384+MAX(0,AK384-AL384+AE384-AM384+AF384-AN384+AG384-AO384+AH384))</f>
        <v>0</v>
      </c>
      <c r="AQ384" s="21" t="n">
        <f aca="false">MIN(ROUND(AD384*(1+AD$15),2),AJ384+MAX(0,AK384-AL384+AE384-AM384+AF384-AN384+AG384-AO384+AH384-AP384+AI384))</f>
        <v>0</v>
      </c>
      <c r="AR384" s="21" t="n">
        <f aca="false">SUM(Y384:AD384)</f>
        <v>0</v>
      </c>
      <c r="AS384" s="21" t="n">
        <f aca="false">SUM(AL384:AQ384)</f>
        <v>0</v>
      </c>
    </row>
    <row r="385" customFormat="false" ht="15" hidden="false" customHeight="false" outlineLevel="0" collapsed="false">
      <c r="A385" s="25" t="n">
        <f aca="false">A384+1</f>
        <v>359</v>
      </c>
      <c r="B385" s="21" t="n">
        <f aca="false">MAX(0,ROUND(B384*(1+B$15),2)-O384)</f>
        <v>0</v>
      </c>
      <c r="C385" s="21" t="n">
        <f aca="false">MAX(0,ROUND(C384*(1+C$15),2)-P384)</f>
        <v>0</v>
      </c>
      <c r="D385" s="21" t="n">
        <f aca="false">MAX(0,ROUND(D384*(1+D$15),2)-Q384)</f>
        <v>0</v>
      </c>
      <c r="E385" s="21" t="n">
        <f aca="false">MAX(0,ROUND(E384*(1+E$15),2)-R384)</f>
        <v>0</v>
      </c>
      <c r="F385" s="21" t="n">
        <f aca="false">MAX(0,ROUND(F384*(1+F$15),2)-S384)</f>
        <v>0</v>
      </c>
      <c r="G385" s="21" t="n">
        <f aca="false">MAX(0,ROUND(G384*(1+G$15),2)-T384)</f>
        <v>0</v>
      </c>
      <c r="H385" s="21" t="n">
        <f aca="false">MIN(B$16,ROUND(B385*(1+B$15),2))</f>
        <v>0</v>
      </c>
      <c r="I385" s="21" t="n">
        <f aca="false">MIN(C$16,ROUND(C385*(1+C$15),2))</f>
        <v>0</v>
      </c>
      <c r="J385" s="21" t="n">
        <f aca="false">MIN(D$16,ROUND(D385*(1+D$15),2))</f>
        <v>0</v>
      </c>
      <c r="K385" s="21" t="n">
        <f aca="false">MIN(E$16,ROUND(E385*(1+E$15),2))</f>
        <v>0</v>
      </c>
      <c r="L385" s="21" t="n">
        <f aca="false">MIN(F$16,ROUND(F385*(1+F$15),2))</f>
        <v>0</v>
      </c>
      <c r="M385" s="21" t="n">
        <f aca="false">MIN(G$16,ROUND(G385*(1+G$15),2))</f>
        <v>0</v>
      </c>
      <c r="N385" s="21" t="n">
        <f aca="false">B$20-SUM(H385:M385)</f>
        <v>1170</v>
      </c>
      <c r="O385" s="21" t="n">
        <f aca="false">MIN(ROUND(B385*(1+B$15),2),H385+MAX(0,N385))</f>
        <v>0</v>
      </c>
      <c r="P385" s="21" t="n">
        <f aca="false">MIN(ROUND(C385*(1+C$15),2),I385+MAX(0,N385-O385+H385))</f>
        <v>0</v>
      </c>
      <c r="Q385" s="21" t="n">
        <f aca="false">MIN(ROUND(D385*(1+D$15),2),J385+MAX(0,N385-O385+H385-P385+I385))</f>
        <v>0</v>
      </c>
      <c r="R385" s="21" t="n">
        <f aca="false">MIN(ROUND(E385*(1+E$15),2),K385+MAX(0,N385-O385+H385-P385+I385-Q385+J385))</f>
        <v>0</v>
      </c>
      <c r="S385" s="21" t="n">
        <f aca="false">MIN(ROUND(F385*(1+F$15),2),L385+MAX(0,N385-O385+H385-P385+I385-Q385+J385-R385+K385))</f>
        <v>0</v>
      </c>
      <c r="T385" s="21" t="n">
        <f aca="false">MIN(ROUND(G385*(1+G$15),2),M385+MAX(0,N385-O385+H385-P385+I385-Q385+J385-R385+K385-S385+L385))</f>
        <v>0</v>
      </c>
      <c r="U385" s="21" t="n">
        <f aca="false">SUM(B385:G385)</f>
        <v>0</v>
      </c>
      <c r="V385" s="21" t="n">
        <f aca="false">SUM(O385:T385)</f>
        <v>0</v>
      </c>
      <c r="X385" s="25" t="n">
        <f aca="false">X384+1</f>
        <v>359</v>
      </c>
      <c r="Y385" s="21" t="n">
        <f aca="false">MAX(0,ROUND(Y384*(1+Y$15),2)-AL384)</f>
        <v>0</v>
      </c>
      <c r="Z385" s="21" t="n">
        <f aca="false">MAX(0,ROUND(Z384*(1+Z$15),2)-AM384)</f>
        <v>0</v>
      </c>
      <c r="AA385" s="21" t="n">
        <f aca="false">MAX(0,ROUND(AA384*(1+AA$15),2)-AN384)</f>
        <v>0</v>
      </c>
      <c r="AB385" s="21" t="n">
        <f aca="false">MAX(0,ROUND(AB384*(1+AB$15),2)-AO384)</f>
        <v>0</v>
      </c>
      <c r="AC385" s="21" t="n">
        <f aca="false">MAX(0,ROUND(AC384*(1+AC$15),2)-AP384)</f>
        <v>0</v>
      </c>
      <c r="AD385" s="21" t="n">
        <f aca="false">MAX(0,ROUND(AD384*(1+AD$15),2)-AQ384)</f>
        <v>0</v>
      </c>
      <c r="AE385" s="21" t="n">
        <f aca="false">MIN(Y$16,ROUND(Y385*(1+Y$15),2))</f>
        <v>0</v>
      </c>
      <c r="AF385" s="21" t="n">
        <f aca="false">MIN(Z$16,ROUND(Z385*(1+Z$15),2))</f>
        <v>0</v>
      </c>
      <c r="AG385" s="21" t="n">
        <f aca="false">MIN(AA$16,ROUND(AA385*(1+AA$15),2))</f>
        <v>0</v>
      </c>
      <c r="AH385" s="21" t="n">
        <f aca="false">MIN(AB$16,ROUND(AB385*(1+AB$15),2))</f>
        <v>0</v>
      </c>
      <c r="AI385" s="21" t="n">
        <f aca="false">MIN(AC$16,ROUND(AC385*(1+AC$15),2))</f>
        <v>0</v>
      </c>
      <c r="AJ385" s="21" t="n">
        <f aca="false">MIN(AD$16,ROUND(AD385*(1+AD$15),2))</f>
        <v>0</v>
      </c>
      <c r="AK385" s="21" t="n">
        <f aca="false">Y$20-SUM(AE385:AJ385)</f>
        <v>1170</v>
      </c>
      <c r="AL385" s="21" t="n">
        <f aca="false">MIN(ROUND(Y385*(1+Y$15),2),AE385+MAX(0,AK385))</f>
        <v>0</v>
      </c>
      <c r="AM385" s="21" t="n">
        <f aca="false">MIN(ROUND(Z385*(1+Z$15),2),AF385+MAX(0,AK385-AL385+AE385))</f>
        <v>0</v>
      </c>
      <c r="AN385" s="21" t="n">
        <f aca="false">MIN(ROUND(AA385*(1+AA$15),2),AG385+MAX(0,AK385-AL385+AE385-AM385+AF385))</f>
        <v>0</v>
      </c>
      <c r="AO385" s="21" t="n">
        <f aca="false">MIN(ROUND(AB385*(1+AB$15),2),AH385+MAX(0,AK385-AL385+AE385-AM385+AF385-AN385+AG385))</f>
        <v>0</v>
      </c>
      <c r="AP385" s="21" t="n">
        <f aca="false">MIN(ROUND(AC385*(1+AC$15),2),AI385+MAX(0,AK385-AL385+AE385-AM385+AF385-AN385+AG385-AO385+AH385))</f>
        <v>0</v>
      </c>
      <c r="AQ385" s="21" t="n">
        <f aca="false">MIN(ROUND(AD385*(1+AD$15),2),AJ385+MAX(0,AK385-AL385+AE385-AM385+AF385-AN385+AG385-AO385+AH385-AP385+AI385))</f>
        <v>0</v>
      </c>
      <c r="AR385" s="21" t="n">
        <f aca="false">SUM(Y385:AD385)</f>
        <v>0</v>
      </c>
      <c r="AS385" s="21" t="n">
        <f aca="false">SUM(AL385:AQ385)</f>
        <v>0</v>
      </c>
    </row>
    <row r="386" customFormat="false" ht="15" hidden="false" customHeight="false" outlineLevel="0" collapsed="false">
      <c r="A386" s="25" t="n">
        <f aca="false">A385+1</f>
        <v>360</v>
      </c>
      <c r="B386" s="21" t="n">
        <f aca="false">MAX(0,ROUND(B385*(1+B$15),2)-O385)</f>
        <v>0</v>
      </c>
      <c r="C386" s="21" t="n">
        <f aca="false">MAX(0,ROUND(C385*(1+C$15),2)-P385)</f>
        <v>0</v>
      </c>
      <c r="D386" s="21" t="n">
        <f aca="false">MAX(0,ROUND(D385*(1+D$15),2)-Q385)</f>
        <v>0</v>
      </c>
      <c r="E386" s="21" t="n">
        <f aca="false">MAX(0,ROUND(E385*(1+E$15),2)-R385)</f>
        <v>0</v>
      </c>
      <c r="F386" s="21" t="n">
        <f aca="false">MAX(0,ROUND(F385*(1+F$15),2)-S385)</f>
        <v>0</v>
      </c>
      <c r="G386" s="21" t="n">
        <f aca="false">MAX(0,ROUND(G385*(1+G$15),2)-T385)</f>
        <v>0</v>
      </c>
      <c r="H386" s="21" t="n">
        <f aca="false">MIN(B$16,ROUND(B386*(1+B$15),2))</f>
        <v>0</v>
      </c>
      <c r="I386" s="21" t="n">
        <f aca="false">MIN(C$16,ROUND(C386*(1+C$15),2))</f>
        <v>0</v>
      </c>
      <c r="J386" s="21" t="n">
        <f aca="false">MIN(D$16,ROUND(D386*(1+D$15),2))</f>
        <v>0</v>
      </c>
      <c r="K386" s="21" t="n">
        <f aca="false">MIN(E$16,ROUND(E386*(1+E$15),2))</f>
        <v>0</v>
      </c>
      <c r="L386" s="21" t="n">
        <f aca="false">MIN(F$16,ROUND(F386*(1+F$15),2))</f>
        <v>0</v>
      </c>
      <c r="M386" s="21" t="n">
        <f aca="false">MIN(G$16,ROUND(G386*(1+G$15),2))</f>
        <v>0</v>
      </c>
      <c r="N386" s="21" t="n">
        <f aca="false">B$20-SUM(H386:M386)</f>
        <v>1170</v>
      </c>
      <c r="O386" s="21" t="n">
        <f aca="false">MIN(ROUND(B386*(1+B$15),2),H386+MAX(0,N386))</f>
        <v>0</v>
      </c>
      <c r="P386" s="21" t="n">
        <f aca="false">MIN(ROUND(C386*(1+C$15),2),I386+MAX(0,N386-O386+H386))</f>
        <v>0</v>
      </c>
      <c r="Q386" s="21" t="n">
        <f aca="false">MIN(ROUND(D386*(1+D$15),2),J386+MAX(0,N386-O386+H386-P386+I386))</f>
        <v>0</v>
      </c>
      <c r="R386" s="21" t="n">
        <f aca="false">MIN(ROUND(E386*(1+E$15),2),K386+MAX(0,N386-O386+H386-P386+I386-Q386+J386))</f>
        <v>0</v>
      </c>
      <c r="S386" s="21" t="n">
        <f aca="false">MIN(ROUND(F386*(1+F$15),2),L386+MAX(0,N386-O386+H386-P386+I386-Q386+J386-R386+K386))</f>
        <v>0</v>
      </c>
      <c r="T386" s="21" t="n">
        <f aca="false">MIN(ROUND(G386*(1+G$15),2),M386+MAX(0,N386-O386+H386-P386+I386-Q386+J386-R386+K386-S386+L386))</f>
        <v>0</v>
      </c>
      <c r="U386" s="21" t="n">
        <f aca="false">SUM(B386:G386)</f>
        <v>0</v>
      </c>
      <c r="V386" s="21" t="n">
        <f aca="false">SUM(O386:T386)</f>
        <v>0</v>
      </c>
      <c r="X386" s="25" t="n">
        <f aca="false">X385+1</f>
        <v>360</v>
      </c>
      <c r="Y386" s="21" t="n">
        <f aca="false">MAX(0,ROUND(Y385*(1+Y$15),2)-AL385)</f>
        <v>0</v>
      </c>
      <c r="Z386" s="21" t="n">
        <f aca="false">MAX(0,ROUND(Z385*(1+Z$15),2)-AM385)</f>
        <v>0</v>
      </c>
      <c r="AA386" s="21" t="n">
        <f aca="false">MAX(0,ROUND(AA385*(1+AA$15),2)-AN385)</f>
        <v>0</v>
      </c>
      <c r="AB386" s="21" t="n">
        <f aca="false">MAX(0,ROUND(AB385*(1+AB$15),2)-AO385)</f>
        <v>0</v>
      </c>
      <c r="AC386" s="21" t="n">
        <f aca="false">MAX(0,ROUND(AC385*(1+AC$15),2)-AP385)</f>
        <v>0</v>
      </c>
      <c r="AD386" s="21" t="n">
        <f aca="false">MAX(0,ROUND(AD385*(1+AD$15),2)-AQ385)</f>
        <v>0</v>
      </c>
      <c r="AE386" s="21" t="n">
        <f aca="false">MIN(Y$16,ROUND(Y386*(1+Y$15),2))</f>
        <v>0</v>
      </c>
      <c r="AF386" s="21" t="n">
        <f aca="false">MIN(Z$16,ROUND(Z386*(1+Z$15),2))</f>
        <v>0</v>
      </c>
      <c r="AG386" s="21" t="n">
        <f aca="false">MIN(AA$16,ROUND(AA386*(1+AA$15),2))</f>
        <v>0</v>
      </c>
      <c r="AH386" s="21" t="n">
        <f aca="false">MIN(AB$16,ROUND(AB386*(1+AB$15),2))</f>
        <v>0</v>
      </c>
      <c r="AI386" s="21" t="n">
        <f aca="false">MIN(AC$16,ROUND(AC386*(1+AC$15),2))</f>
        <v>0</v>
      </c>
      <c r="AJ386" s="21" t="n">
        <f aca="false">MIN(AD$16,ROUND(AD386*(1+AD$15),2))</f>
        <v>0</v>
      </c>
      <c r="AK386" s="21" t="n">
        <f aca="false">Y$20-SUM(AE386:AJ386)</f>
        <v>1170</v>
      </c>
      <c r="AL386" s="21" t="n">
        <f aca="false">MIN(ROUND(Y386*(1+Y$15),2),AE386+MAX(0,AK386))</f>
        <v>0</v>
      </c>
      <c r="AM386" s="21" t="n">
        <f aca="false">MIN(ROUND(Z386*(1+Z$15),2),AF386+MAX(0,AK386-AL386+AE386))</f>
        <v>0</v>
      </c>
      <c r="AN386" s="21" t="n">
        <f aca="false">MIN(ROUND(AA386*(1+AA$15),2),AG386+MAX(0,AK386-AL386+AE386-AM386+AF386))</f>
        <v>0</v>
      </c>
      <c r="AO386" s="21" t="n">
        <f aca="false">MIN(ROUND(AB386*(1+AB$15),2),AH386+MAX(0,AK386-AL386+AE386-AM386+AF386-AN386+AG386))</f>
        <v>0</v>
      </c>
      <c r="AP386" s="21" t="n">
        <f aca="false">MIN(ROUND(AC386*(1+AC$15),2),AI386+MAX(0,AK386-AL386+AE386-AM386+AF386-AN386+AG386-AO386+AH386))</f>
        <v>0</v>
      </c>
      <c r="AQ386" s="21" t="n">
        <f aca="false">MIN(ROUND(AD386*(1+AD$15),2),AJ386+MAX(0,AK386-AL386+AE386-AM386+AF386-AN386+AG386-AO386+AH386-AP386+AI386))</f>
        <v>0</v>
      </c>
      <c r="AR386" s="21" t="n">
        <f aca="false">SUM(Y386:AD386)</f>
        <v>0</v>
      </c>
      <c r="AS386" s="21" t="n">
        <f aca="false">SUM(AL386:AQ386)</f>
        <v>0</v>
      </c>
    </row>
  </sheetData>
  <mergeCells count="5">
    <mergeCell ref="A1:V1"/>
    <mergeCell ref="A2:V2"/>
    <mergeCell ref="A4:C4"/>
    <mergeCell ref="A13:V13"/>
    <mergeCell ref="X13:AS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2026-09-17T09:02:45Z</dcterms:created>
  <dc:creator>openpyxl</dc:creator>
  <dc:description/>
  <dc:language>en-US</dc:language>
  <cp:lastModifiedBy/>
  <dcterms:modified xsi:type="dcterms:W3CDTF">2026-09-20T13:09:52Z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