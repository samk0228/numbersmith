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Transactions" sheetId="3" state="visible" r:id="rId5"/>
    <sheet name="Monthly Budget" sheetId="4" state="visible" r:id="rId6"/>
    <sheet name="Net Worth" sheetId="5" state="visible" r:id="rId7"/>
    <sheet name="Debt Payoff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Numbersmith</author>
  </authors>
  <commentList>
    <comment ref="A22" authorId="0">
      <text>
        <r>
          <rPr>
            <sz val="10"/>
            <rFont val="Arial"/>
            <family val="2"/>
          </rPr>
          <t xml:space="preserve">This row feeds Total Income into Monthly Budget and into the Transactions category dropdown. Keep the category name as Income.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<sst xmlns="http://schemas.openxmlformats.org/spreadsheetml/2006/main" count="454" uniqueCount="207">
  <si>
    <t xml:space="preserve">Numbersmith - Annual Budget and Net Worth Tracker</t>
  </si>
  <si>
    <t xml:space="preserve">A friendly, formula-open workbook for planning a household budget, tracking spending, and watching net worth grow over a year.</t>
  </si>
  <si>
    <t xml:space="preserve">HOW TO USE THIS WORKBOOK, 5 STEPS</t>
  </si>
  <si>
    <t xml:space="preserve">1.</t>
  </si>
  <si>
    <t xml:space="preserve">Open Setup and enter your income sources, expense budgets by category, savings rate target, and starting cash and month.</t>
  </si>
  <si>
    <t xml:space="preserve">2.</t>
  </si>
  <si>
    <t xml:space="preserve">Log every purchase on Transactions. Pick a category from the dropdown, and the date fills in the Month and Year helper columns on its own.</t>
  </si>
  <si>
    <t xml:space="preserve">3.</t>
  </si>
  <si>
    <t xml:space="preserve">Open Monthly Budget to see Budget versus Actual for every category, filled in automatically from your Transactions log. A red cell means that category went over budget that month.</t>
  </si>
  <si>
    <t xml:space="preserve">4.</t>
  </si>
  <si>
    <t xml:space="preserve">Update Net Worth once a month with your account balances: cash, savings, investments, retirement, home, vehicles, and loans. Net worth and the month-over-month change calculate on their own.</t>
  </si>
  <si>
    <t xml:space="preserve">5.</t>
  </si>
  <si>
    <t xml:space="preserve">Use Debt Payoff to compare the avalanche and snowball payoff order, then check Dashboard for a one-page view of income versus expenses, spending by category, net worth, and savings rate.</t>
  </si>
  <si>
    <t xml:space="preserve">COLOR LEGEND</t>
  </si>
  <si>
    <t xml:space="preserve">Blue text = you type this (an input).</t>
  </si>
  <si>
    <t xml:space="preserve">Black text = calculated automatically. Do not overwrite it, or the formula is lost.</t>
  </si>
  <si>
    <t xml:space="preserve">WHAT IS INSIDE</t>
  </si>
  <si>
    <t xml:space="preserve">• Setup - income sources, expense budgets by grouped category, savings rate target, and starting cash and month.</t>
  </si>
  <si>
    <t xml:space="preserve">• Monthly Budget - Budget, Actual, and Difference for every category across all 12 months, plus income, expenses, net, savings rate, and a year-to-date column.</t>
  </si>
  <si>
    <t xml:space="preserve">• Transactions - a 500-row log with a category dropdown. This is the only place you type your spending; Monthly Budget reads from it automatically.</t>
  </si>
  <si>
    <t xml:space="preserve">• Net Worth - assets and liabilities by month, with net worth and month-over-month change calculated for you.</t>
  </si>
  <si>
    <t xml:space="preserve">• Debt Payoff - up to 6 debts compared under the avalanche and snowball payoff strategies, with months to payoff and total interest.</t>
  </si>
  <si>
    <t xml:space="preserve">• Dashboard - one page of charts: income versus expenses, spending by category, net worth over the year, and savings rate versus your target.</t>
  </si>
  <si>
    <t xml:space="preserve">This workbook is for personal planning only. It is not tax, legal, or investment advice.</t>
  </si>
  <si>
    <t xml:space="preserve">Built by Numbersmith with AI assistance. Formulas are open, nothing is hidden or locked.</t>
  </si>
  <si>
    <t xml:space="preserve">For education and planning only, not financial advice.</t>
  </si>
  <si>
    <t xml:space="preserve">Setup</t>
  </si>
  <si>
    <t xml:space="preserve">Type your numbers here. Every other tab reads from this one.</t>
  </si>
  <si>
    <t xml:space="preserve">INCOME SOURCES (up to 6)</t>
  </si>
  <si>
    <t xml:space="preserve">Source Name</t>
  </si>
  <si>
    <t xml:space="preserve">Expected Monthly Amount</t>
  </si>
  <si>
    <t xml:space="preserve">Primary Job Salary</t>
  </si>
  <si>
    <t xml:space="preserve">Side Freelance Income</t>
  </si>
  <si>
    <t xml:space="preserve">Total Monthly Income</t>
  </si>
  <si>
    <t xml:space="preserve">SAVINGS TARGET AND STARTING BALANCES</t>
  </si>
  <si>
    <t xml:space="preserve">Savings rate target (percent of income)</t>
  </si>
  <si>
    <t xml:space="preserve">Starting cash</t>
  </si>
  <si>
    <t xml:space="preserve">Starting month</t>
  </si>
  <si>
    <t xml:space="preserve">EXPENSE CATEGORIES, GROUPED (up to 25, plus Income)</t>
  </si>
  <si>
    <t xml:space="preserve">Category</t>
  </si>
  <si>
    <t xml:space="preserve">Group</t>
  </si>
  <si>
    <t xml:space="preserve">Monthly Budget</t>
  </si>
  <si>
    <t xml:space="preserve">Income</t>
  </si>
  <si>
    <t xml:space="preserve">Rent or Mortgage</t>
  </si>
  <si>
    <t xml:space="preserve">Housing</t>
  </si>
  <si>
    <t xml:space="preserve">Electric and Gas</t>
  </si>
  <si>
    <t xml:space="preserve">Internet and Phone</t>
  </si>
  <si>
    <t xml:space="preserve">Car Payment</t>
  </si>
  <si>
    <t xml:space="preserve">Transport</t>
  </si>
  <si>
    <t xml:space="preserve">Fuel</t>
  </si>
  <si>
    <t xml:space="preserve">Public Transit and Rideshare</t>
  </si>
  <si>
    <t xml:space="preserve">Groceries</t>
  </si>
  <si>
    <t xml:space="preserve">Food</t>
  </si>
  <si>
    <t xml:space="preserve">Dining Out</t>
  </si>
  <si>
    <t xml:space="preserve">Health Insurance</t>
  </si>
  <si>
    <t xml:space="preserve">Insurance</t>
  </si>
  <si>
    <t xml:space="preserve">Auto Insurance</t>
  </si>
  <si>
    <t xml:space="preserve">Life Insurance</t>
  </si>
  <si>
    <t xml:space="preserve">Credit Card Payment</t>
  </si>
  <si>
    <t xml:space="preserve">Debt</t>
  </si>
  <si>
    <t xml:space="preserve">Student Loan Payment</t>
  </si>
  <si>
    <t xml:space="preserve">Emergency Fund</t>
  </si>
  <si>
    <t xml:space="preserve">Savings and Investing</t>
  </si>
  <si>
    <t xml:space="preserve">Retirement 401k or IRA</t>
  </si>
  <si>
    <t xml:space="preserve">Brokerage Investing</t>
  </si>
  <si>
    <t xml:space="preserve">Entertainment</t>
  </si>
  <si>
    <t xml:space="preserve">Personal</t>
  </si>
  <si>
    <t xml:space="preserve">Subscriptions</t>
  </si>
  <si>
    <t xml:space="preserve">Personal Care</t>
  </si>
  <si>
    <t xml:space="preserve">Clothing</t>
  </si>
  <si>
    <t xml:space="preserve">Gifts and Donations</t>
  </si>
  <si>
    <t xml:space="preserve">Other</t>
  </si>
  <si>
    <t xml:space="preserve">Miscellaneous</t>
  </si>
  <si>
    <t xml:space="preserve">Total Monthly Expense Budget</t>
  </si>
  <si>
    <t xml:space="preserve">Sample data describes a fictional household earning about $7,800 a month. Replace every blue cell with your own numbers.</t>
  </si>
  <si>
    <t xml:space="preserve">Transactions</t>
  </si>
  <si>
    <t xml:space="preserve">Log every purchase and deposit here. Category comes from a dropdown; Month and Year fill in on their own. Monthly Budget reads Actual figures straight from this log.</t>
  </si>
  <si>
    <t xml:space="preserve">Date</t>
  </si>
  <si>
    <t xml:space="preserve">Description</t>
  </si>
  <si>
    <t xml:space="preserve">Amount</t>
  </si>
  <si>
    <t xml:space="preserve">Notes</t>
  </si>
  <si>
    <t xml:space="preserve">Month (auto)</t>
  </si>
  <si>
    <t xml:space="preserve">Year (auto)</t>
  </si>
  <si>
    <t xml:space="preserve">Primary job paycheck</t>
  </si>
  <si>
    <t xml:space="preserve">Direct deposit</t>
  </si>
  <si>
    <t xml:space="preserve">Rent payment</t>
  </si>
  <si>
    <t xml:space="preserve">Autopay</t>
  </si>
  <si>
    <t xml:space="preserve">401k contribution</t>
  </si>
  <si>
    <t xml:space="preserve">Payroll deferral</t>
  </si>
  <si>
    <t xml:space="preserve">Health insurance premium</t>
  </si>
  <si>
    <t xml:space="preserve">Payroll deduction</t>
  </si>
  <si>
    <t xml:space="preserve">Transfer to emergency savings</t>
  </si>
  <si>
    <t xml:space="preserve">Automatic transfer</t>
  </si>
  <si>
    <t xml:space="preserve">Auto loan payment</t>
  </si>
  <si>
    <t xml:space="preserve">Internet and phone bill</t>
  </si>
  <si>
    <t xml:space="preserve">Electric and gas bill</t>
  </si>
  <si>
    <t xml:space="preserve">Streaming and software subscriptions</t>
  </si>
  <si>
    <t xml:space="preserve">Debit card</t>
  </si>
  <si>
    <t xml:space="preserve">Grocery shopping</t>
  </si>
  <si>
    <t xml:space="preserve">Student loan payment</t>
  </si>
  <si>
    <t xml:space="preserve">Gas station fill-up</t>
  </si>
  <si>
    <t xml:space="preserve">Freelance client payment</t>
  </si>
  <si>
    <t xml:space="preserve">Credit card statement balance</t>
  </si>
  <si>
    <t xml:space="preserve">Life insurance premium</t>
  </si>
  <si>
    <t xml:space="preserve">Haircut and personal care</t>
  </si>
  <si>
    <t xml:space="preserve">Charitable donation</t>
  </si>
  <si>
    <t xml:space="preserve">Credit card</t>
  </si>
  <si>
    <t xml:space="preserve">Freelance client payment plus bonus project</t>
  </si>
  <si>
    <t xml:space="preserve">Movie night</t>
  </si>
  <si>
    <t xml:space="preserve">Auto insurance premium</t>
  </si>
  <si>
    <t xml:space="preserve">Restaurant</t>
  </si>
  <si>
    <t xml:space="preserve">Rideshare and transit passes</t>
  </si>
  <si>
    <t xml:space="preserve">Miscellaneous purchase</t>
  </si>
  <si>
    <t xml:space="preserve">New work clothes</t>
  </si>
  <si>
    <t xml:space="preserve">Brokerage account transfer</t>
  </si>
  <si>
    <t xml:space="preserve">Budget pulls straight from Setup. Actual pulls straight from Transactions. Nothing on this tab needs to be typed.</t>
  </si>
  <si>
    <t xml:space="preserve">Line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</si>
  <si>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</si>
  <si>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</si>
  <si>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</si>
  <si>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</si>
  <si>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</si>
  <si>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</si>
  <si>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</si>
  <si>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</si>
  <si>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</si>
  <si>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</si>
  <si>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</si>
  <si>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</si>
  <si>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</t>
  </si>
  <si>
    <t xml:space="preserve">Budget</t>
  </si>
  <si>
    <t xml:space="preserve">Actual</t>
  </si>
  <si>
    <t xml:space="preserve">Difference</t>
  </si>
  <si>
    <t xml:space="preserve">HOUSING</t>
  </si>
  <si>
    <t xml:space="preserve">Housing Total</t>
  </si>
  <si>
    <t xml:space="preserve">TRANSPORT</t>
  </si>
  <si>
    <t xml:space="preserve">Transport Total</t>
  </si>
  <si>
    <t xml:space="preserve">FOOD</t>
  </si>
  <si>
    <t xml:space="preserve">Food Total</t>
  </si>
  <si>
    <t xml:space="preserve">INSURANCE</t>
  </si>
  <si>
    <t xml:space="preserve">Insurance Total</t>
  </si>
  <si>
    <t xml:space="preserve">DEBT</t>
  </si>
  <si>
    <t xml:space="preserve">Debt Total</t>
  </si>
  <si>
    <t xml:space="preserve">SAVINGS AND INVESTING</t>
  </si>
  <si>
    <t xml:space="preserve">Savings and Investing Total</t>
  </si>
  <si>
    <t xml:space="preserve">PERSONAL</t>
  </si>
  <si>
    <t xml:space="preserve">Personal Total</t>
  </si>
  <si>
    <t xml:space="preserve">OTHER</t>
  </si>
  <si>
    <t xml:space="preserve">Other Total</t>
  </si>
  <si>
    <t xml:space="preserve">SUMMARY</t>
  </si>
  <si>
    <t xml:space="preserve">Total Expenses</t>
  </si>
  <si>
    <t xml:space="preserve">Net (Income minus Expenses), Budget</t>
  </si>
  <si>
    <t xml:space="preserve">Net (Income minus Expenses), Actual</t>
  </si>
  <si>
    <t xml:space="preserve">Savings Rate, Budget</t>
  </si>
  <si>
    <t xml:space="preserve">Savings Rate, Actual</t>
  </si>
  <si>
    <t xml:space="preserve">Savings Rate Target</t>
  </si>
  <si>
    <t xml:space="preserve">Red Actual cells mean that category went over budget for the month. Budget and Actual figures for Income do not trigger the red highlight.</t>
  </si>
  <si>
    <t xml:space="preserve">Net Worth</t>
  </si>
  <si>
    <t xml:space="preserve">Type each account balance at month end. Totals, net worth, and month-over-month change calculate on their own.</t>
  </si>
  <si>
    <t xml:space="preserve">ASSETS</t>
  </si>
  <si>
    <t xml:space="preserve">Cash</t>
  </si>
  <si>
    <t xml:space="preserve">Savings</t>
  </si>
  <si>
    <t xml:space="preserve">Investments (brokerage)</t>
  </si>
  <si>
    <t xml:space="preserve">Retirement (401k or IRA)</t>
  </si>
  <si>
    <t xml:space="preserve">Home Value</t>
  </si>
  <si>
    <t xml:space="preserve">Vehicles</t>
  </si>
  <si>
    <t xml:space="preserve">Other Assets</t>
  </si>
  <si>
    <t xml:space="preserve">Total Assets</t>
  </si>
  <si>
    <t xml:space="preserve">LIABILITIES</t>
  </si>
  <si>
    <t xml:space="preserve">Mortgage Balance</t>
  </si>
  <si>
    <t xml:space="preserve">Auto Loan Balance</t>
  </si>
  <si>
    <t xml:space="preserve">Student Loan Balance</t>
  </si>
  <si>
    <t xml:space="preserve">Credit Card Balance</t>
  </si>
  <si>
    <t xml:space="preserve">Other Liabilities</t>
  </si>
  <si>
    <t xml:space="preserve">Total Liabilities</t>
  </si>
  <si>
    <t xml:space="preserve">Month-over-Month Change</t>
  </si>
  <si>
    <t xml:space="preserve">Sample balances describe the same fictional household earning about $7,800 a month. Replace every blue cell with your own account balances.</t>
  </si>
  <si>
    <t xml:space="preserve">Debt Payoff</t>
  </si>
  <si>
    <t xml:space="preserve">Compare paying debts fastest by highest interest rate (avalanche) against smallest balance first (snowball).</t>
  </si>
  <si>
    <t xml:space="preserve">DEBTS (up to 6)</t>
  </si>
  <si>
    <t xml:space="preserve">Debt Name</t>
  </si>
  <si>
    <t xml:space="preserve">Balance</t>
  </si>
  <si>
    <t xml:space="preserve">Annual Rate %</t>
  </si>
  <si>
    <t xml:space="preserve">Minimum Payment</t>
  </si>
  <si>
    <t xml:space="preserve">Avalanche Rank</t>
  </si>
  <si>
    <t xml:space="preserve">Snowball Rank</t>
  </si>
  <si>
    <t xml:space="preserve">Credit Card A</t>
  </si>
  <si>
    <t xml:space="preserve">Credit Card B</t>
  </si>
  <si>
    <t xml:space="preserve">Auto Loan</t>
  </si>
  <si>
    <t xml:space="preserve">Student Loan</t>
  </si>
  <si>
    <t xml:space="preserve">Personal Loan</t>
  </si>
  <si>
    <t xml:space="preserve">Extra Monthly Payment (goes to the top-ranked debt in each strategy)</t>
  </si>
  <si>
    <t xml:space="preserve">Avalanche Strategy (highest interest rate first)</t>
  </si>
  <si>
    <t xml:space="preserve">Payment Used</t>
  </si>
  <si>
    <t xml:space="preserve">Months to Payoff</t>
  </si>
  <si>
    <t xml:space="preserve">Total Interest Paid</t>
  </si>
  <si>
    <t xml:space="preserve">Avalanche Strategy (highest interest rate first) Totals</t>
  </si>
  <si>
    <t xml:space="preserve">Snowball Strategy (smallest balance first)</t>
  </si>
  <si>
    <t xml:space="preserve">Snowball Strategy (smallest balance first) Totals</t>
  </si>
  <si>
    <t xml:space="preserve">Interest Saved by Using Avalanche Instead of Snowball</t>
  </si>
  <si>
    <t xml:space="preserve">How this is simplified: each debt's months to payoff and interest are calculated on their own with the NPER function, assuming that debt's payment amount never changes.</t>
  </si>
  <si>
    <t xml:space="preserve">A true avalanche or snowball plan rolls a paid-off debt's payment into the next debt once it is gone, which clears the whole portfolio faster than the totals shown here. Treat these numbers as a conservative estimate, not an exact payoff date.</t>
  </si>
  <si>
    <t xml:space="preserve">Dashboard</t>
  </si>
  <si>
    <t xml:space="preserve">A one-page view, built from the Monthly Budget and Net Worth tabs. Nothing here needs to be typed.</t>
  </si>
  <si>
    <t xml:space="preserve">Category Group</t>
  </si>
  <si>
    <t xml:space="preserve">YTD Actual Spending</t>
  </si>
  <si>
    <t xml:space="preserve">Chart data above is calculated automatically. Leave it as 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</si>
</sst>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"/>
    <numFmt numFmtId="166" formatCode="0.0%"/>
    <numFmt numFmtId="167" formatCode="mmm\ yyyy"/>
    <numFmt numFmtId="168" formatCode="mm/dd/yyyy"/>
    <numFmt numFmtId="169" formatCode="\$#,##0.00;&quot;($&quot;#,##0.00\)"/>
    <numFmt numFmtId="170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.5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i val="true"/>
      <sz val="8.5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C6494"/>
      </patternFill>
    </fill>
    <fill>
      <patternFill patternType="solid">
        <fgColor rgb="FFDCE6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C07332"/>
      <rgbColor rgb="FF89A54E"/>
      <rgbColor rgb="FF0000FF"/>
      <rgbColor rgb="FFF6C4AE"/>
      <rgbColor rgb="FFCC8F8E"/>
      <rgbColor rgb="FF7C9AC6"/>
      <rgbColor rgb="FF9C0006"/>
      <rgbColor rgb="FF006100"/>
      <rgbColor rgb="FFF5A574"/>
      <rgbColor rgb="FF799245"/>
      <rgbColor rgb="FFC77978"/>
      <rgbColor rgb="FF4571A7"/>
      <rgbColor rgb="FFC1B8CE"/>
      <rgbColor rgb="FF878787"/>
      <rgbColor rgb="FF91A8CD"/>
      <rgbColor rgb="FF963D3A"/>
      <rgbColor rgb="FFF2F2F2"/>
      <rgbColor rgb="FFDCE6FF"/>
      <rgbColor rgb="FFDC853E"/>
      <rgbColor rgb="FFE78C41"/>
      <rgbColor rgb="FF3C6494"/>
      <rgbColor rgb="FFD9D9D9"/>
      <rgbColor rgb="FFF5B089"/>
      <rgbColor rgb="FFD09493"/>
      <rgbColor rgb="FFAEC785"/>
      <rgbColor rgb="FFB3C2DA"/>
      <rgbColor rgb="FFCA7E7D"/>
      <rgbColor rgb="FFC27637"/>
      <rgbColor rgb="FF4098B0"/>
      <rgbColor rgb="FFFFC7CE"/>
      <rgbColor rgb="FF7FBBD0"/>
      <rgbColor rgb="FFCCDAB7"/>
      <rgbColor rgb="FFC6EFCE"/>
      <rgbColor rgb="FFC7D6B1"/>
      <rgbColor rgb="FFB3D3DF"/>
      <rgbColor rgb="FFD9B0B0"/>
      <rgbColor rgb="FFDDB5B5"/>
      <rgbColor rgb="FFFACAB4"/>
      <rgbColor rgb="FF4777B1"/>
      <rgbColor rgb="FF44A0B8"/>
      <rgbColor rgb="FF90AE52"/>
      <rgbColor rgb="FFF8AA7A"/>
      <rgbColor rgb="FFE5883B"/>
      <rgbColor rgb="FFDB8238"/>
      <rgbColor rgb="FF775D97"/>
      <rgbColor rgb="FF9C8BB3"/>
      <rgbColor rgb="FF1F3864"/>
      <rgbColor rgb="FF39869B"/>
      <rgbColor rgb="FF4F81BD"/>
      <rgbColor rgb="FF725890"/>
      <rgbColor rgb="FFB34A48"/>
      <rgbColor rgb="FFAD4642"/>
      <rgbColor rgb="FF644D7E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Income vs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"Income (Actual)"</c:f>
              <c:strCache>
                <c:ptCount val="1"/>
                <c:pt idx="0">
                  <c:v>Income (Actual)</c:v>
                </c:pt>
              </c:strCache>
            </c:strRef>
          </c:tx>
          <c:spPr>
            <a:solidFill>
              <a:srgbClr val="3E659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Budget'!$C$6</c:f>
              <c:numCache>
                <c:formatCode>\$#,##0;"($"#,##0\)</c:formatCode>
                <c:ptCount val="1"/>
                <c:pt idx="0">
                  <c:v>7800</c:v>
                </c:pt>
              </c:numCache>
            </c:numRef>
          </c:val>
        </c:ser>
        <c:ser>
          <c:idx val="1"/>
          <c:order val="1"/>
          <c:tx>
            <c:strRef>
              <c:f>"Expenses (Actual)"</c:f>
              <c:strCache>
                <c:ptCount val="1"/>
                <c:pt idx="0">
                  <c:v>Expenses (Actual)</c:v>
                </c:pt>
              </c:strCache>
            </c:strRef>
          </c:tx>
          <c:spPr>
            <a:solidFill>
              <a:srgbClr val="973F3C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Budget'!$D$6</c:f>
              <c:numCache>
                <c:formatCode>\$#,##0;"($"#,##0\)</c:formatCode>
                <c:ptCount val="1"/>
                <c:pt idx="0">
                  <c:v>7950</c:v>
                </c:pt>
              </c:numCache>
            </c:numRef>
          </c:val>
        </c:ser>
        <c:ser>
          <c:idx val="2"/>
          <c:order val="2"/>
          <c:spPr>
            <a:solidFill>
              <a:srgbClr val="7A9346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Budget'!$E$6</c:f>
              <c:numCache>
                <c:formatCode>\$#,##0;"($"#,##0\)</c:formatCode>
                <c:ptCount val="1"/>
                <c:pt idx="0">
                  <c:v>7600</c:v>
                </c:pt>
              </c:numCache>
            </c:numRef>
          </c:val>
        </c:ser>
        <c:ser>
          <c:idx val="3"/>
          <c:order val="3"/>
          <c:spPr>
            <a:solidFill>
              <a:srgbClr val="654E7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Budget'!$F$6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3B879C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Budget'!$G$6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C27637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Budget'!$H$6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rgbClr val="4978B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Budget'!$I$6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rgbClr val="B34A48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Budget'!$J$6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rgbClr val="91AF5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Budget'!$K$6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rgbClr val="775D97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Budget'!$L$6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rgbClr val="46A1B9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Budget'!$M$6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rgbClr val="E78C4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Budget'!$N$6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2"/>
          <c:order val="12"/>
          <c:spPr>
            <a:solidFill>
              <a:srgbClr val="7E9BC7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Budget'!$C$117</c:f>
              <c:numCache>
                <c:formatCode>\$#,##0;"($"#,##0\)</c:formatCode>
                <c:ptCount val="1"/>
                <c:pt idx="0">
                  <c:v>4472</c:v>
                </c:pt>
              </c:numCache>
            </c:numRef>
          </c:val>
        </c:ser>
        <c:ser>
          <c:idx val="13"/>
          <c:order val="13"/>
          <c:spPr>
            <a:solidFill>
              <a:srgbClr val="CA7E7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Budget'!$D$117</c:f>
              <c:numCache>
                <c:formatCode>\$#,##0;"($"#,##0\)</c:formatCode>
                <c:ptCount val="1"/>
                <c:pt idx="0">
                  <c:v>3872</c:v>
                </c:pt>
              </c:numCache>
            </c:numRef>
          </c:val>
        </c:ser>
        <c:ser>
          <c:idx val="14"/>
          <c:order val="14"/>
          <c:spPr>
            <a:solidFill>
              <a:srgbClr val="ADC68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Budget'!$E$117</c:f>
              <c:numCache>
                <c:formatCode>\$#,##0;"($"#,##0\)</c:formatCode>
                <c:ptCount val="1"/>
                <c:pt idx="0">
                  <c:v>4561</c:v>
                </c:pt>
              </c:numCache>
            </c:numRef>
          </c:val>
        </c:ser>
        <c:ser>
          <c:idx val="15"/>
          <c:order val="15"/>
          <c:spPr>
            <a:solidFill>
              <a:srgbClr val="9A89B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Budget'!$F$117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rgbClr val="7CBAC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Budget'!$G$117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rgbClr val="F8AA7A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Budget'!$H$117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rgbClr val="B5C3DB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Budget'!$I$117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rgbClr val="DDB5B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Budget'!$J$117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rgbClr val="CCDAB7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Budget'!$K$117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rgbClr val="C2BAC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Budget'!$L$117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rgbClr val="B5D4E0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Budget'!$M$117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rgbClr val="FACAB4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Budget'!$N$117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94519156"/>
        <c:axId val="69908349"/>
      </c:barChart>
      <c:catAx>
        <c:axId val="945191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908349"/>
        <c:crosses val="autoZero"/>
        <c:auto val="1"/>
        <c:lblAlgn val="ctr"/>
        <c:lblOffset val="100"/>
        <c:noMultiLvlLbl val="0"/>
      </c:catAx>
      <c:valAx>
        <c:axId val="69908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5191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Spending by Category Group (Year to Date)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Dashboard!B44</c:f>
              <c:strCache>
                <c:ptCount val="1"/>
                <c:pt idx="0">
                  <c:v>YTD Actual Spending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Lbls>
            <c:dLbl>
              <c:idx val="0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\$#,##0;&quot;($&quot;#,##0\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\$#,##0;&quot;($&quot;#,##0\)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Dashboard!$A$45:$A$52</c:f>
              <c:strCache>
                <c:ptCount val="8"/>
                <c:pt idx="0">
                  <c:v>Housing</c:v>
                </c:pt>
                <c:pt idx="1">
                  <c:v>Transport</c:v>
                </c:pt>
                <c:pt idx="2">
                  <c:v>Food</c:v>
                </c:pt>
                <c:pt idx="3">
                  <c:v>Insurance</c:v>
                </c:pt>
                <c:pt idx="4">
                  <c:v>Debt</c:v>
                </c:pt>
                <c:pt idx="5">
                  <c:v>Savings and Investing</c:v>
                </c:pt>
                <c:pt idx="6">
                  <c:v>Personal</c:v>
                </c:pt>
                <c:pt idx="7">
                  <c:v>Other</c:v>
                </c:pt>
              </c:strCache>
            </c:strRef>
          </c:cat>
          <c:val>
            <c:numRef>
              <c:f>Dashboard!$B$45:$B$52</c:f>
              <c:numCache>
                <c:formatCode>\$#,##0;"($"#,##0\)</c:formatCode>
                <c:ptCount val="8"/>
                <c:pt idx="0">
                  <c:v>6029</c:v>
                </c:pt>
                <c:pt idx="1">
                  <c:v>1293</c:v>
                </c:pt>
                <c:pt idx="2">
                  <c:v>1190</c:v>
                </c:pt>
                <c:pt idx="3">
                  <c:v>1305</c:v>
                </c:pt>
                <c:pt idx="4">
                  <c:v>1125</c:v>
                </c:pt>
                <c:pt idx="5">
                  <c:v>1500</c:v>
                </c:pt>
                <c:pt idx="6">
                  <c:v>308</c:v>
                </c:pt>
                <c:pt idx="7">
                  <c:v>155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Worth"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Worth'!$B$23</c:f>
              <c:numCache>
                <c:formatCode>\$#,##0;"($"#,##0\)</c:formatCode>
                <c:ptCount val="1"/>
                <c:pt idx="0">
                  <c:v>162800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Worth'!$C$23</c:f>
              <c:numCache>
                <c:formatCode>\$#,##0;"($"#,##0\)</c:formatCode>
                <c:ptCount val="1"/>
                <c:pt idx="0">
                  <c:v>165400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Worth'!$D$23</c:f>
              <c:numCache>
                <c:formatCode>\$#,##0;"($"#,##0\)</c:formatCode>
                <c:ptCount val="1"/>
                <c:pt idx="0">
                  <c:v>167414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Worth'!$E$23</c:f>
              <c:numCache>
                <c:formatCode>\$#,##0;"($"#,##0\)</c:formatCode>
                <c:ptCount val="1"/>
                <c:pt idx="0">
                  <c:v>169602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Worth'!$F$23</c:f>
              <c:numCache>
                <c:formatCode>\$#,##0;"($"#,##0\)</c:formatCode>
                <c:ptCount val="1"/>
                <c:pt idx="0">
                  <c:v>172844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Worth'!$G$23</c:f>
              <c:numCache>
                <c:formatCode>\$#,##0;"($"#,##0\)</c:formatCode>
                <c:ptCount val="1"/>
                <c:pt idx="0">
                  <c:v>174890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Worth'!$H$23</c:f>
              <c:numCache>
                <c:formatCode>\$#,##0;"($"#,##0\)</c:formatCode>
                <c:ptCount val="1"/>
                <c:pt idx="0">
                  <c:v>177740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Worth'!$I$23</c:f>
              <c:numCache>
                <c:formatCode>\$#,##0;"($"#,##0\)</c:formatCode>
                <c:ptCount val="1"/>
                <c:pt idx="0">
                  <c:v>179844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Worth'!$J$23</c:f>
              <c:numCache>
                <c:formatCode>\$#,##0;"($"#,##0\)</c:formatCode>
                <c:ptCount val="1"/>
                <c:pt idx="0">
                  <c:v>182752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Worth'!$K$23</c:f>
              <c:numCache>
                <c:formatCode>\$#,##0;"($"#,##0\)</c:formatCode>
                <c:ptCount val="1"/>
                <c:pt idx="0">
                  <c:v>185164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Worth'!$L$23</c:f>
              <c:numCache>
                <c:formatCode>\$#,##0;"($"#,##0\)</c:formatCode>
                <c:ptCount val="1"/>
                <c:pt idx="0">
                  <c:v>188330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'Net Worth'!$B$4:$M$4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'Net Worth'!$M$23</c:f>
              <c:numCache>
                <c:formatCode>\$#,##0;"($"#,##0\)</c:formatCode>
                <c:ptCount val="1"/>
                <c:pt idx="0">
                  <c:v>191800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34497"/>
        <c:axId val="88790348"/>
      </c:lineChart>
      <c:catAx>
        <c:axId val="463344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790348"/>
        <c:crosses val="autoZero"/>
        <c:auto val="1"/>
        <c:lblAlgn val="ctr"/>
        <c:lblOffset val="100"/>
        <c:noMultiLvlLbl val="0"/>
      </c:catAx>
      <c:valAx>
        <c:axId val="88790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Net Worth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3344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Savings Rate by Month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"Savings Rate (Actual)"</c:f>
              <c:strCache>
                <c:ptCount val="1"/>
                <c:pt idx="0">
                  <c:v>Savings Rate (Actual)</c:v>
                </c:pt>
              </c:strCache>
            </c:strRef>
          </c:tx>
          <c:spPr>
            <a:solidFill>
              <a:srgbClr val="3A6293"/>
            </a:solidFill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Budget'!$C$122</c:f>
              <c:numCache>
                <c:formatCode>0.0%</c:formatCode>
                <c:ptCount val="1"/>
                <c:pt idx="0">
                  <c:v>0.426666666666667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"Savings Rate Target"</c:f>
              <c:strCache>
                <c:ptCount val="1"/>
                <c:pt idx="0">
                  <c:v>Savings Rate Target</c:v>
                </c:pt>
              </c:strCache>
            </c:strRef>
          </c:tx>
          <c:spPr>
            <a:solidFill>
              <a:srgbClr val="953B38"/>
            </a:solidFill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Budget'!$D$122</c:f>
              <c:numCache>
                <c:formatCode>0.0%</c:formatCode>
                <c:ptCount val="1"/>
                <c:pt idx="0">
                  <c:v>0.512955974842767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89142"/>
            </a:solidFill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Budget'!$E$122</c:f>
              <c:numCache>
                <c:formatCode>0.0%</c:formatCode>
                <c:ptCount val="1"/>
                <c:pt idx="0">
                  <c:v>0.399868421052632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24B7D"/>
            </a:solidFill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Budget'!$F$122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7859A"/>
            </a:solidFill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Budget'!$G$122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07332"/>
            </a:solidFill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Budget'!$H$122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475B0"/>
            </a:solidFill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Budget'!$I$122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24543"/>
            </a:solidFill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Budget'!$J$122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8EAD4F"/>
            </a:solidFill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Budget'!$K$122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45994"/>
            </a:solidFill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Budget'!$L$122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19FB7"/>
            </a:solidFill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Budget'!$M$122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5883B"/>
            </a:solidFill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Budget'!$N$122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7997C4"/>
            </a:solidFill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Budget'!$C$123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C77978"/>
            </a:solidFill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Budget'!$D$123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A9C37E"/>
            </a:solidFill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Budget'!$E$123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9684AF"/>
            </a:solidFill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Budget'!$F$123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77B6CC"/>
            </a:solidFill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Budget'!$G$123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5A574"/>
            </a:solidFill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Budget'!$H$123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B0BED7"/>
            </a:solidFill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Budget'!$I$123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D9B0B0"/>
            </a:solidFill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Budget'!$J$123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C7D6B1"/>
            </a:solidFill>
            <a:ln w="1260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Budget'!$K$123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BDB4CB"/>
            </a:solidFill>
            <a:ln w="12600">
              <a:solidFill>
                <a:srgbClr val="BDB4C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Budget'!$L$123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B0CFDC"/>
            </a:solidFill>
            <a:ln w="12600">
              <a:solidFill>
                <a:srgbClr val="B0CFD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Budget'!$M$123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6C4AE"/>
            </a:solidFill>
            <a:ln w="12600">
              <a:solidFill>
                <a:srgbClr val="F6C4A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Budget'!$C$4:$N$4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'Monthly Budget'!$N$123</c:f>
              <c:numCache>
                <c:formatCode>0.0%</c:formatCode>
                <c:ptCount val="1"/>
                <c:pt idx="0">
                  <c:v>0.2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1014"/>
        <c:axId val="45573342"/>
      </c:lineChart>
      <c:catAx>
        <c:axId val="8610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73342"/>
        <c:crosses val="autoZero"/>
        <c:auto val="1"/>
        <c:lblAlgn val="ctr"/>
        <c:lblOffset val="100"/>
        <c:noMultiLvlLbl val="0"/>
      </c:catAx>
      <c:valAx>
        <c:axId val="45573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Savings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10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9</xdr:col>
      <xdr:colOff>480600</xdr:colOff>
      <xdr:row>20</xdr:row>
      <xdr:rowOff>1080</xdr:rowOff>
    </xdr:to>
    <xdr:graphicFrame>
      <xdr:nvGraphicFramePr>
        <xdr:cNvPr id="1" name="Chart 1"/>
        <xdr:cNvGraphicFramePr/>
      </xdr:nvGraphicFramePr>
      <xdr:xfrm>
        <a:off x="704880" y="65736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17</xdr:col>
      <xdr:colOff>480240</xdr:colOff>
      <xdr:row>20</xdr:row>
      <xdr:rowOff>1080</xdr:rowOff>
    </xdr:to>
    <xdr:graphicFrame>
      <xdr:nvGraphicFramePr>
        <xdr:cNvPr id="2" name="Chart 2"/>
        <xdr:cNvGraphicFramePr/>
      </xdr:nvGraphicFramePr>
      <xdr:xfrm>
        <a:off x="6343560" y="65736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9</xdr:col>
      <xdr:colOff>480600</xdr:colOff>
      <xdr:row>40</xdr:row>
      <xdr:rowOff>720</xdr:rowOff>
    </xdr:to>
    <xdr:graphicFrame>
      <xdr:nvGraphicFramePr>
        <xdr:cNvPr id="3" name="Chart 3"/>
        <xdr:cNvGraphicFramePr/>
      </xdr:nvGraphicFramePr>
      <xdr:xfrm>
        <a:off x="704880" y="446724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17</xdr:col>
      <xdr:colOff>480240</xdr:colOff>
      <xdr:row>40</xdr:row>
      <xdr:rowOff>720</xdr:rowOff>
    </xdr:to>
    <xdr:graphicFrame>
      <xdr:nvGraphicFramePr>
        <xdr:cNvPr id="4" name="Chart 4"/>
        <xdr:cNvGraphicFramePr/>
      </xdr:nvGraphicFramePr>
      <xdr:xfrm>
        <a:off x="6343560" y="446724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66"/>
    <col collapsed="false" customWidth="true" hidden="false" outlineLevel="0" max="8" min="4" style="1" width="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5" customFormat="false" ht="15" hidden="false" customHeight="true" outlineLevel="0" collapsed="false">
      <c r="B5" s="4" t="s">
        <v>2</v>
      </c>
    </row>
    <row r="7" customFormat="false" ht="31.5" hidden="false" customHeight="true" outlineLevel="0" collapsed="false">
      <c r="B7" s="5" t="s">
        <v>3</v>
      </c>
      <c r="C7" s="6" t="s">
        <v>4</v>
      </c>
    </row>
    <row r="8" customFormat="false" ht="31.5" hidden="false" customHeight="true" outlineLevel="0" collapsed="false">
      <c r="B8" s="5" t="s">
        <v>5</v>
      </c>
      <c r="C8" s="6" t="s">
        <v>6</v>
      </c>
    </row>
    <row r="9" customFormat="false" ht="31.5" hidden="false" customHeight="true" outlineLevel="0" collapsed="false">
      <c r="B9" s="5" t="s">
        <v>7</v>
      </c>
      <c r="C9" s="6" t="s">
        <v>8</v>
      </c>
    </row>
    <row r="10" customFormat="false" ht="31.5" hidden="false" customHeight="true" outlineLevel="0" collapsed="false">
      <c r="B10" s="5" t="s">
        <v>9</v>
      </c>
      <c r="C10" s="6" t="s">
        <v>10</v>
      </c>
    </row>
    <row r="11" customFormat="false" ht="31.5" hidden="false" customHeight="true" outlineLevel="0" collapsed="false">
      <c r="B11" s="5" t="s">
        <v>11</v>
      </c>
      <c r="C11" s="6" t="s">
        <v>12</v>
      </c>
    </row>
    <row r="13" customFormat="false" ht="15" hidden="false" customHeight="true" outlineLevel="0" collapsed="false">
      <c r="B13" s="4" t="s">
        <v>13</v>
      </c>
    </row>
    <row r="15" customFormat="false" ht="15" hidden="false" customHeight="true" outlineLevel="0" collapsed="false">
      <c r="B15" s="7"/>
      <c r="C15" s="8" t="s">
        <v>14</v>
      </c>
    </row>
    <row r="16" customFormat="false" ht="15" hidden="false" customHeight="true" outlineLevel="0" collapsed="false">
      <c r="B16" s="9"/>
      <c r="C16" s="10" t="s">
        <v>15</v>
      </c>
    </row>
    <row r="18" customFormat="false" ht="15" hidden="false" customHeight="true" outlineLevel="0" collapsed="false">
      <c r="B18" s="4" t="s">
        <v>16</v>
      </c>
    </row>
    <row r="19" customFormat="false" ht="25.5" hidden="false" customHeight="true" outlineLevel="0" collapsed="false">
      <c r="B19" s="11" t="s">
        <v>17</v>
      </c>
    </row>
    <row r="20" customFormat="false" ht="25.5" hidden="false" customHeight="true" outlineLevel="0" collapsed="false">
      <c r="B20" s="11" t="s">
        <v>18</v>
      </c>
    </row>
    <row r="21" customFormat="false" ht="25.5" hidden="false" customHeight="true" outlineLevel="0" collapsed="false">
      <c r="B21" s="11" t="s">
        <v>19</v>
      </c>
    </row>
    <row r="22" customFormat="false" ht="25.5" hidden="false" customHeight="true" outlineLevel="0" collapsed="false">
      <c r="B22" s="11" t="s">
        <v>20</v>
      </c>
    </row>
    <row r="23" customFormat="false" ht="25.5" hidden="false" customHeight="true" outlineLevel="0" collapsed="false">
      <c r="B23" s="11" t="s">
        <v>21</v>
      </c>
    </row>
    <row r="24" customFormat="false" ht="25.5" hidden="false" customHeight="true" outlineLevel="0" collapsed="false">
      <c r="B24" s="11" t="s">
        <v>22</v>
      </c>
    </row>
    <row r="26" customFormat="false" ht="15" hidden="false" customHeight="true" outlineLevel="0" collapsed="false">
      <c r="B26" s="12" t="s">
        <v>23</v>
      </c>
    </row>
    <row r="28" customFormat="false" ht="15" hidden="false" customHeight="true" outlineLevel="0" collapsed="false">
      <c r="B28" s="4" t="s">
        <v>24</v>
      </c>
    </row>
    <row r="30" customFormat="false" ht="15" hidden="false" customHeight="false" outlineLevel="0" collapsed="false">
      <c r="B30" s="4" t="s">
        <v>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3"/>
  </cols>
  <sheetData>
    <row r="1" customFormat="false" ht="21.75" hidden="false" customHeight="true" outlineLevel="0" collapsed="false">
      <c r="A1" s="2" t="s">
        <v>26</v>
      </c>
      <c r="B1" s="2"/>
      <c r="C1" s="2"/>
    </row>
    <row r="2" customFormat="false" ht="15" hidden="false" customHeight="true" outlineLevel="0" collapsed="false">
      <c r="A2" s="3" t="s">
        <v>27</v>
      </c>
      <c r="B2" s="3"/>
      <c r="C2" s="3"/>
    </row>
    <row r="4" customFormat="false" ht="15" hidden="false" customHeight="true" outlineLevel="0" collapsed="false">
      <c r="A4" s="13" t="s">
        <v>28</v>
      </c>
      <c r="B4" s="13"/>
    </row>
    <row r="5" customFormat="false" ht="27.75" hidden="false" customHeight="true" outlineLevel="0" collapsed="false">
      <c r="A5" s="14" t="s">
        <v>29</v>
      </c>
      <c r="B5" s="15" t="s">
        <v>30</v>
      </c>
    </row>
    <row r="6" customFormat="false" ht="15" hidden="false" customHeight="true" outlineLevel="0" collapsed="false">
      <c r="A6" s="8" t="s">
        <v>31</v>
      </c>
      <c r="B6" s="16" t="n">
        <v>6500</v>
      </c>
    </row>
    <row r="7" customFormat="false" ht="15" hidden="false" customHeight="true" outlineLevel="0" collapsed="false">
      <c r="A7" s="8" t="s">
        <v>32</v>
      </c>
      <c r="B7" s="16" t="n">
        <v>1300</v>
      </c>
    </row>
    <row r="8" customFormat="false" ht="15" hidden="false" customHeight="true" outlineLevel="0" collapsed="false">
      <c r="A8" s="8"/>
      <c r="B8" s="16"/>
    </row>
    <row r="9" customFormat="false" ht="15" hidden="false" customHeight="true" outlineLevel="0" collapsed="false">
      <c r="A9" s="8"/>
      <c r="B9" s="16"/>
    </row>
    <row r="10" customFormat="false" ht="15" hidden="false" customHeight="true" outlineLevel="0" collapsed="false">
      <c r="A10" s="8"/>
      <c r="B10" s="16"/>
    </row>
    <row r="11" customFormat="false" ht="15" hidden="false" customHeight="true" outlineLevel="0" collapsed="false">
      <c r="A11" s="8"/>
      <c r="B11" s="16"/>
    </row>
    <row r="13" customFormat="false" ht="15" hidden="false" customHeight="true" outlineLevel="0" collapsed="false">
      <c r="A13" s="17" t="s">
        <v>33</v>
      </c>
      <c r="B13" s="18" t="n">
        <f aca="false">SUM(B6:B11)</f>
        <v>7800</v>
      </c>
    </row>
    <row r="15" customFormat="false" ht="15" hidden="false" customHeight="true" outlineLevel="0" collapsed="false">
      <c r="A15" s="13" t="s">
        <v>34</v>
      </c>
      <c r="B15" s="13"/>
    </row>
    <row r="16" customFormat="false" ht="15" hidden="false" customHeight="true" outlineLevel="0" collapsed="false">
      <c r="A16" s="10" t="s">
        <v>35</v>
      </c>
      <c r="B16" s="19" t="n">
        <v>0.2</v>
      </c>
    </row>
    <row r="17" customFormat="false" ht="15" hidden="false" customHeight="true" outlineLevel="0" collapsed="false">
      <c r="A17" s="10" t="s">
        <v>36</v>
      </c>
      <c r="B17" s="16" t="n">
        <v>8500</v>
      </c>
    </row>
    <row r="18" customFormat="false" ht="15" hidden="false" customHeight="true" outlineLevel="0" collapsed="false">
      <c r="A18" s="10" t="s">
        <v>37</v>
      </c>
      <c r="B18" s="20" t="n">
        <v>46023</v>
      </c>
    </row>
    <row r="20" customFormat="false" ht="15" hidden="false" customHeight="true" outlineLevel="0" collapsed="false">
      <c r="A20" s="13" t="s">
        <v>38</v>
      </c>
      <c r="B20" s="13"/>
      <c r="C20" s="13"/>
    </row>
    <row r="21" customFormat="false" ht="27.75" hidden="false" customHeight="true" outlineLevel="0" collapsed="false">
      <c r="A21" s="14" t="s">
        <v>39</v>
      </c>
      <c r="B21" s="15" t="s">
        <v>40</v>
      </c>
      <c r="C21" s="15" t="s">
        <v>41</v>
      </c>
    </row>
    <row r="22" customFormat="false" ht="15" hidden="false" customHeight="true" outlineLevel="0" collapsed="false">
      <c r="A22" s="17" t="s">
        <v>42</v>
      </c>
      <c r="B22" s="10" t="s">
        <v>42</v>
      </c>
      <c r="C22" s="21" t="n">
        <f aca="false">B13</f>
        <v>7800</v>
      </c>
    </row>
    <row r="23" customFormat="false" ht="15" hidden="false" customHeight="true" outlineLevel="0" collapsed="false">
      <c r="A23" s="8" t="s">
        <v>43</v>
      </c>
      <c r="B23" s="8" t="s">
        <v>44</v>
      </c>
      <c r="C23" s="16" t="n">
        <v>1800</v>
      </c>
    </row>
    <row r="24" customFormat="false" ht="15" hidden="false" customHeight="true" outlineLevel="0" collapsed="false">
      <c r="A24" s="8" t="s">
        <v>45</v>
      </c>
      <c r="B24" s="8" t="s">
        <v>44</v>
      </c>
      <c r="C24" s="16" t="n">
        <v>150</v>
      </c>
    </row>
    <row r="25" customFormat="false" ht="15" hidden="false" customHeight="true" outlineLevel="0" collapsed="false">
      <c r="A25" s="8" t="s">
        <v>46</v>
      </c>
      <c r="B25" s="8" t="s">
        <v>44</v>
      </c>
      <c r="C25" s="16" t="n">
        <v>90</v>
      </c>
    </row>
    <row r="26" customFormat="false" ht="15" hidden="false" customHeight="true" outlineLevel="0" collapsed="false">
      <c r="A26" s="8" t="s">
        <v>47</v>
      </c>
      <c r="B26" s="8" t="s">
        <v>48</v>
      </c>
      <c r="C26" s="16" t="n">
        <v>350</v>
      </c>
    </row>
    <row r="27" customFormat="false" ht="15" hidden="false" customHeight="true" outlineLevel="0" collapsed="false">
      <c r="A27" s="8" t="s">
        <v>49</v>
      </c>
      <c r="B27" s="8" t="s">
        <v>48</v>
      </c>
      <c r="C27" s="16" t="n">
        <v>160</v>
      </c>
    </row>
    <row r="28" customFormat="false" ht="15" hidden="false" customHeight="true" outlineLevel="0" collapsed="false">
      <c r="A28" s="8" t="s">
        <v>50</v>
      </c>
      <c r="B28" s="8" t="s">
        <v>48</v>
      </c>
      <c r="C28" s="16" t="n">
        <v>60</v>
      </c>
    </row>
    <row r="29" customFormat="false" ht="15" hidden="false" customHeight="true" outlineLevel="0" collapsed="false">
      <c r="A29" s="8" t="s">
        <v>51</v>
      </c>
      <c r="B29" s="8" t="s">
        <v>52</v>
      </c>
      <c r="C29" s="16" t="n">
        <v>650</v>
      </c>
    </row>
    <row r="30" customFormat="false" ht="15" hidden="false" customHeight="true" outlineLevel="0" collapsed="false">
      <c r="A30" s="8" t="s">
        <v>53</v>
      </c>
      <c r="B30" s="8" t="s">
        <v>52</v>
      </c>
      <c r="C30" s="16" t="n">
        <v>220</v>
      </c>
    </row>
    <row r="31" customFormat="false" ht="15" hidden="false" customHeight="true" outlineLevel="0" collapsed="false">
      <c r="A31" s="8" t="s">
        <v>54</v>
      </c>
      <c r="B31" s="8" t="s">
        <v>55</v>
      </c>
      <c r="C31" s="16" t="n">
        <v>340</v>
      </c>
    </row>
    <row r="32" customFormat="false" ht="15" hidden="false" customHeight="true" outlineLevel="0" collapsed="false">
      <c r="A32" s="8" t="s">
        <v>56</v>
      </c>
      <c r="B32" s="8" t="s">
        <v>55</v>
      </c>
      <c r="C32" s="16" t="n">
        <v>120</v>
      </c>
    </row>
    <row r="33" customFormat="false" ht="15" hidden="false" customHeight="true" outlineLevel="0" collapsed="false">
      <c r="A33" s="8" t="s">
        <v>57</v>
      </c>
      <c r="B33" s="8" t="s">
        <v>55</v>
      </c>
      <c r="C33" s="16" t="n">
        <v>45</v>
      </c>
    </row>
    <row r="34" customFormat="false" ht="15" hidden="false" customHeight="true" outlineLevel="0" collapsed="false">
      <c r="A34" s="8" t="s">
        <v>58</v>
      </c>
      <c r="B34" s="8" t="s">
        <v>59</v>
      </c>
      <c r="C34" s="16" t="n">
        <v>150</v>
      </c>
    </row>
    <row r="35" customFormat="false" ht="15" hidden="false" customHeight="true" outlineLevel="0" collapsed="false">
      <c r="A35" s="8" t="s">
        <v>60</v>
      </c>
      <c r="B35" s="8" t="s">
        <v>59</v>
      </c>
      <c r="C35" s="16" t="n">
        <v>220</v>
      </c>
    </row>
    <row r="36" customFormat="false" ht="15" hidden="false" customHeight="true" outlineLevel="0" collapsed="false">
      <c r="A36" s="8" t="s">
        <v>61</v>
      </c>
      <c r="B36" s="8" t="s">
        <v>62</v>
      </c>
      <c r="C36" s="16" t="n">
        <v>200</v>
      </c>
    </row>
    <row r="37" customFormat="false" ht="15" hidden="false" customHeight="true" outlineLevel="0" collapsed="false">
      <c r="A37" s="8" t="s">
        <v>63</v>
      </c>
      <c r="B37" s="8" t="s">
        <v>62</v>
      </c>
      <c r="C37" s="16" t="n">
        <v>500</v>
      </c>
    </row>
    <row r="38" customFormat="false" ht="15" hidden="false" customHeight="true" outlineLevel="0" collapsed="false">
      <c r="A38" s="8" t="s">
        <v>64</v>
      </c>
      <c r="B38" s="8" t="s">
        <v>62</v>
      </c>
      <c r="C38" s="16" t="n">
        <v>300</v>
      </c>
    </row>
    <row r="39" customFormat="false" ht="15" hidden="false" customHeight="true" outlineLevel="0" collapsed="false">
      <c r="A39" s="8" t="s">
        <v>65</v>
      </c>
      <c r="B39" s="8" t="s">
        <v>66</v>
      </c>
      <c r="C39" s="16" t="n">
        <v>120</v>
      </c>
    </row>
    <row r="40" customFormat="false" ht="15" hidden="false" customHeight="true" outlineLevel="0" collapsed="false">
      <c r="A40" s="8" t="s">
        <v>67</v>
      </c>
      <c r="B40" s="8" t="s">
        <v>66</v>
      </c>
      <c r="C40" s="16" t="n">
        <v>60</v>
      </c>
    </row>
    <row r="41" customFormat="false" ht="15" hidden="false" customHeight="true" outlineLevel="0" collapsed="false">
      <c r="A41" s="8" t="s">
        <v>68</v>
      </c>
      <c r="B41" s="8" t="s">
        <v>66</v>
      </c>
      <c r="C41" s="16" t="n">
        <v>80</v>
      </c>
    </row>
    <row r="42" customFormat="false" ht="15" hidden="false" customHeight="true" outlineLevel="0" collapsed="false">
      <c r="A42" s="8" t="s">
        <v>69</v>
      </c>
      <c r="B42" s="8" t="s">
        <v>66</v>
      </c>
      <c r="C42" s="16" t="n">
        <v>100</v>
      </c>
    </row>
    <row r="43" customFormat="false" ht="15" hidden="false" customHeight="true" outlineLevel="0" collapsed="false">
      <c r="A43" s="8" t="s">
        <v>70</v>
      </c>
      <c r="B43" s="8" t="s">
        <v>71</v>
      </c>
      <c r="C43" s="16" t="n">
        <v>100</v>
      </c>
    </row>
    <row r="44" customFormat="false" ht="15" hidden="false" customHeight="true" outlineLevel="0" collapsed="false">
      <c r="A44" s="8" t="s">
        <v>72</v>
      </c>
      <c r="B44" s="8" t="s">
        <v>71</v>
      </c>
      <c r="C44" s="16" t="n">
        <v>80</v>
      </c>
    </row>
    <row r="45" customFormat="false" ht="15" hidden="false" customHeight="true" outlineLevel="0" collapsed="false">
      <c r="A45" s="8"/>
      <c r="B45" s="8"/>
      <c r="C45" s="16"/>
    </row>
    <row r="46" customFormat="false" ht="15" hidden="false" customHeight="true" outlineLevel="0" collapsed="false">
      <c r="A46" s="8"/>
      <c r="B46" s="8"/>
      <c r="C46" s="16"/>
    </row>
    <row r="47" customFormat="false" ht="15" hidden="false" customHeight="true" outlineLevel="0" collapsed="false">
      <c r="A47" s="8"/>
      <c r="B47" s="8"/>
      <c r="C47" s="16"/>
    </row>
    <row r="49" customFormat="false" ht="15" hidden="false" customHeight="true" outlineLevel="0" collapsed="false">
      <c r="A49" s="17" t="s">
        <v>73</v>
      </c>
      <c r="C49" s="18" t="n">
        <f aca="false">SUM(C23:C47)</f>
        <v>5895</v>
      </c>
    </row>
    <row r="51" customFormat="false" ht="15" hidden="false" customHeight="true" outlineLevel="0" collapsed="false">
      <c r="A51" s="22" t="s">
        <v>74</v>
      </c>
      <c r="B51" s="22"/>
      <c r="C51" s="22"/>
    </row>
  </sheetData>
  <mergeCells count="6">
    <mergeCell ref="A1:C1"/>
    <mergeCell ref="A2:C2"/>
    <mergeCell ref="A4:B4"/>
    <mergeCell ref="A15:B15"/>
    <mergeCell ref="A20:C20"/>
    <mergeCell ref="A51:C51"/>
  </mergeCells>
  <dataValidations count="1">
    <dataValidation allowBlank="true" errorStyle="stop" operator="between" showDropDown="false" showErrorMessage="false" showInputMessage="false" sqref="B23:B47" type="list">
      <formula1>"Housing,Transport,Food,Insurance,Debt,Savings and Investing,Personal,Other"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11"/>
    <col collapsed="false" customWidth="true" hidden="false" outlineLevel="0" max="7" min="7" style="1" width="9"/>
  </cols>
  <sheetData>
    <row r="1" customFormat="false" ht="21.75" hidden="false" customHeight="true" outlineLevel="0" collapsed="false">
      <c r="A1" s="2" t="s">
        <v>75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76</v>
      </c>
      <c r="B2" s="3"/>
      <c r="C2" s="3"/>
      <c r="D2" s="3"/>
      <c r="E2" s="3"/>
      <c r="F2" s="3"/>
      <c r="G2" s="3"/>
    </row>
    <row r="4" customFormat="false" ht="27.75" hidden="false" customHeight="true" outlineLevel="0" collapsed="false">
      <c r="A4" s="14" t="s">
        <v>77</v>
      </c>
      <c r="B4" s="15" t="s">
        <v>78</v>
      </c>
      <c r="C4" s="15" t="s">
        <v>39</v>
      </c>
      <c r="D4" s="15" t="s">
        <v>79</v>
      </c>
      <c r="E4" s="15" t="s">
        <v>80</v>
      </c>
      <c r="F4" s="15" t="s">
        <v>81</v>
      </c>
      <c r="G4" s="15" t="s">
        <v>82</v>
      </c>
    </row>
    <row r="5" customFormat="false" ht="15" hidden="false" customHeight="true" outlineLevel="0" collapsed="false">
      <c r="A5" s="23" t="n">
        <v>46023</v>
      </c>
      <c r="B5" s="8" t="s">
        <v>83</v>
      </c>
      <c r="C5" s="8" t="s">
        <v>42</v>
      </c>
      <c r="D5" s="24" t="n">
        <v>6500</v>
      </c>
      <c r="E5" s="8" t="s">
        <v>84</v>
      </c>
      <c r="F5" s="25" t="n">
        <f aca="false">IF($A5="","",MONTH($A5))</f>
        <v>1</v>
      </c>
      <c r="G5" s="25" t="n">
        <f aca="false">IF($A5="","",YEAR($A5))</f>
        <v>2026</v>
      </c>
    </row>
    <row r="6" customFormat="false" ht="15" hidden="false" customHeight="true" outlineLevel="0" collapsed="false">
      <c r="A6" s="23" t="n">
        <v>46023</v>
      </c>
      <c r="B6" s="8" t="s">
        <v>85</v>
      </c>
      <c r="C6" s="8" t="s">
        <v>43</v>
      </c>
      <c r="D6" s="24" t="n">
        <v>1800</v>
      </c>
      <c r="E6" s="8" t="s">
        <v>86</v>
      </c>
      <c r="F6" s="25" t="n">
        <f aca="false">IF($A6="","",MONTH($A6))</f>
        <v>1</v>
      </c>
      <c r="G6" s="25" t="n">
        <f aca="false">IF($A6="","",YEAR($A6))</f>
        <v>2026</v>
      </c>
    </row>
    <row r="7" customFormat="false" ht="15" hidden="false" customHeight="true" outlineLevel="0" collapsed="false">
      <c r="A7" s="23" t="n">
        <v>46024</v>
      </c>
      <c r="B7" s="8" t="s">
        <v>87</v>
      </c>
      <c r="C7" s="8" t="s">
        <v>63</v>
      </c>
      <c r="D7" s="24" t="n">
        <v>500</v>
      </c>
      <c r="E7" s="8" t="s">
        <v>88</v>
      </c>
      <c r="F7" s="25" t="n">
        <f aca="false">IF($A7="","",MONTH($A7))</f>
        <v>1</v>
      </c>
      <c r="G7" s="25" t="n">
        <f aca="false">IF($A7="","",YEAR($A7))</f>
        <v>2026</v>
      </c>
    </row>
    <row r="8" customFormat="false" ht="15" hidden="false" customHeight="true" outlineLevel="0" collapsed="false">
      <c r="A8" s="23" t="n">
        <v>46025</v>
      </c>
      <c r="B8" s="8" t="s">
        <v>89</v>
      </c>
      <c r="C8" s="8" t="s">
        <v>54</v>
      </c>
      <c r="D8" s="24" t="n">
        <v>340</v>
      </c>
      <c r="E8" s="8" t="s">
        <v>90</v>
      </c>
      <c r="F8" s="25" t="n">
        <f aca="false">IF($A8="","",MONTH($A8))</f>
        <v>1</v>
      </c>
      <c r="G8" s="25" t="n">
        <f aca="false">IF($A8="","",YEAR($A8))</f>
        <v>2026</v>
      </c>
    </row>
    <row r="9" customFormat="false" ht="15" hidden="false" customHeight="true" outlineLevel="0" collapsed="false">
      <c r="A9" s="23" t="n">
        <v>46026</v>
      </c>
      <c r="B9" s="8" t="s">
        <v>91</v>
      </c>
      <c r="C9" s="8" t="s">
        <v>61</v>
      </c>
      <c r="D9" s="24" t="n">
        <v>200</v>
      </c>
      <c r="E9" s="8" t="s">
        <v>92</v>
      </c>
      <c r="F9" s="25" t="n">
        <f aca="false">IF($A9="","",MONTH($A9))</f>
        <v>1</v>
      </c>
      <c r="G9" s="25" t="n">
        <f aca="false">IF($A9="","",YEAR($A9))</f>
        <v>2026</v>
      </c>
    </row>
    <row r="10" customFormat="false" ht="15" hidden="false" customHeight="true" outlineLevel="0" collapsed="false">
      <c r="A10" s="23" t="n">
        <v>46027</v>
      </c>
      <c r="B10" s="8" t="s">
        <v>93</v>
      </c>
      <c r="C10" s="8" t="s">
        <v>47</v>
      </c>
      <c r="D10" s="24" t="n">
        <v>350</v>
      </c>
      <c r="E10" s="8" t="s">
        <v>86</v>
      </c>
      <c r="F10" s="25" t="n">
        <f aca="false">IF($A10="","",MONTH($A10))</f>
        <v>1</v>
      </c>
      <c r="G10" s="25" t="n">
        <f aca="false">IF($A10="","",YEAR($A10))</f>
        <v>2026</v>
      </c>
    </row>
    <row r="11" customFormat="false" ht="15" hidden="false" customHeight="true" outlineLevel="0" collapsed="false">
      <c r="A11" s="23" t="n">
        <v>46028</v>
      </c>
      <c r="B11" s="8" t="s">
        <v>94</v>
      </c>
      <c r="C11" s="8" t="s">
        <v>46</v>
      </c>
      <c r="D11" s="24" t="n">
        <v>89</v>
      </c>
      <c r="E11" s="8" t="s">
        <v>86</v>
      </c>
      <c r="F11" s="25" t="n">
        <f aca="false">IF($A11="","",MONTH($A11))</f>
        <v>1</v>
      </c>
      <c r="G11" s="25" t="n">
        <f aca="false">IF($A11="","",YEAR($A11))</f>
        <v>2026</v>
      </c>
    </row>
    <row r="12" customFormat="false" ht="15" hidden="false" customHeight="true" outlineLevel="0" collapsed="false">
      <c r="A12" s="23" t="n">
        <v>46030</v>
      </c>
      <c r="B12" s="8" t="s">
        <v>95</v>
      </c>
      <c r="C12" s="8" t="s">
        <v>45</v>
      </c>
      <c r="D12" s="24" t="n">
        <v>145</v>
      </c>
      <c r="E12" s="8" t="s">
        <v>86</v>
      </c>
      <c r="F12" s="25" t="n">
        <f aca="false">IF($A12="","",MONTH($A12))</f>
        <v>1</v>
      </c>
      <c r="G12" s="25" t="n">
        <f aca="false">IF($A12="","",YEAR($A12))</f>
        <v>2026</v>
      </c>
    </row>
    <row r="13" customFormat="false" ht="15" hidden="false" customHeight="true" outlineLevel="0" collapsed="false">
      <c r="A13" s="23" t="n">
        <v>46031</v>
      </c>
      <c r="B13" s="8" t="s">
        <v>96</v>
      </c>
      <c r="C13" s="8" t="s">
        <v>67</v>
      </c>
      <c r="D13" s="24" t="n">
        <v>58</v>
      </c>
      <c r="E13" s="8" t="s">
        <v>97</v>
      </c>
      <c r="F13" s="25" t="n">
        <f aca="false">IF($A13="","",MONTH($A13))</f>
        <v>1</v>
      </c>
      <c r="G13" s="25" t="n">
        <f aca="false">IF($A13="","",YEAR($A13))</f>
        <v>2026</v>
      </c>
    </row>
    <row r="14" customFormat="false" ht="15" hidden="false" customHeight="true" outlineLevel="0" collapsed="false">
      <c r="A14" s="23" t="n">
        <v>46032</v>
      </c>
      <c r="B14" s="8" t="s">
        <v>98</v>
      </c>
      <c r="C14" s="8" t="s">
        <v>51</v>
      </c>
      <c r="D14" s="24" t="n">
        <v>315</v>
      </c>
      <c r="E14" s="8" t="s">
        <v>97</v>
      </c>
      <c r="F14" s="25" t="n">
        <f aca="false">IF($A14="","",MONTH($A14))</f>
        <v>1</v>
      </c>
      <c r="G14" s="25" t="n">
        <f aca="false">IF($A14="","",YEAR($A14))</f>
        <v>2026</v>
      </c>
    </row>
    <row r="15" customFormat="false" ht="15" hidden="false" customHeight="true" outlineLevel="0" collapsed="false">
      <c r="A15" s="23" t="n">
        <v>46034</v>
      </c>
      <c r="B15" s="8" t="s">
        <v>99</v>
      </c>
      <c r="C15" s="8" t="s">
        <v>60</v>
      </c>
      <c r="D15" s="24" t="n">
        <v>220</v>
      </c>
      <c r="E15" s="8" t="s">
        <v>86</v>
      </c>
      <c r="F15" s="25" t="n">
        <f aca="false">IF($A15="","",MONTH($A15))</f>
        <v>1</v>
      </c>
      <c r="G15" s="25" t="n">
        <f aca="false">IF($A15="","",YEAR($A15))</f>
        <v>2026</v>
      </c>
    </row>
    <row r="16" customFormat="false" ht="15" hidden="false" customHeight="true" outlineLevel="0" collapsed="false">
      <c r="A16" s="23" t="n">
        <v>46036</v>
      </c>
      <c r="B16" s="8" t="s">
        <v>100</v>
      </c>
      <c r="C16" s="8" t="s">
        <v>49</v>
      </c>
      <c r="D16" s="24" t="n">
        <v>85</v>
      </c>
      <c r="E16" s="8" t="s">
        <v>97</v>
      </c>
      <c r="F16" s="25" t="n">
        <f aca="false">IF($A16="","",MONTH($A16))</f>
        <v>1</v>
      </c>
      <c r="G16" s="25" t="n">
        <f aca="false">IF($A16="","",YEAR($A16))</f>
        <v>2026</v>
      </c>
    </row>
    <row r="17" customFormat="false" ht="15" hidden="false" customHeight="true" outlineLevel="0" collapsed="false">
      <c r="A17" s="23" t="n">
        <v>46037</v>
      </c>
      <c r="B17" s="8" t="s">
        <v>101</v>
      </c>
      <c r="C17" s="8" t="s">
        <v>42</v>
      </c>
      <c r="D17" s="24" t="n">
        <v>1300</v>
      </c>
      <c r="E17" s="8" t="s">
        <v>84</v>
      </c>
      <c r="F17" s="25" t="n">
        <f aca="false">IF($A17="","",MONTH($A17))</f>
        <v>1</v>
      </c>
      <c r="G17" s="25" t="n">
        <f aca="false">IF($A17="","",YEAR($A17))</f>
        <v>2026</v>
      </c>
    </row>
    <row r="18" customFormat="false" ht="15" hidden="false" customHeight="true" outlineLevel="0" collapsed="false">
      <c r="A18" s="23" t="n">
        <v>46042</v>
      </c>
      <c r="B18" s="8" t="s">
        <v>102</v>
      </c>
      <c r="C18" s="8" t="s">
        <v>58</v>
      </c>
      <c r="D18" s="24" t="n">
        <v>150</v>
      </c>
      <c r="E18" s="8" t="s">
        <v>86</v>
      </c>
      <c r="F18" s="25" t="n">
        <f aca="false">IF($A18="","",MONTH($A18))</f>
        <v>1</v>
      </c>
      <c r="G18" s="25" t="n">
        <f aca="false">IF($A18="","",YEAR($A18))</f>
        <v>2026</v>
      </c>
    </row>
    <row r="19" customFormat="false" ht="15" hidden="false" customHeight="true" outlineLevel="0" collapsed="false">
      <c r="A19" s="23" t="n">
        <v>46047</v>
      </c>
      <c r="B19" s="8" t="s">
        <v>103</v>
      </c>
      <c r="C19" s="8" t="s">
        <v>57</v>
      </c>
      <c r="D19" s="24" t="n">
        <v>45</v>
      </c>
      <c r="E19" s="8" t="s">
        <v>86</v>
      </c>
      <c r="F19" s="25" t="n">
        <f aca="false">IF($A19="","",MONTH($A19))</f>
        <v>1</v>
      </c>
      <c r="G19" s="25" t="n">
        <f aca="false">IF($A19="","",YEAR($A19))</f>
        <v>2026</v>
      </c>
    </row>
    <row r="20" customFormat="false" ht="15" hidden="false" customHeight="true" outlineLevel="0" collapsed="false">
      <c r="A20" s="23" t="n">
        <v>46050</v>
      </c>
      <c r="B20" s="8" t="s">
        <v>104</v>
      </c>
      <c r="C20" s="8" t="s">
        <v>68</v>
      </c>
      <c r="D20" s="24" t="n">
        <v>75</v>
      </c>
      <c r="E20" s="8" t="s">
        <v>97</v>
      </c>
      <c r="F20" s="25" t="n">
        <f aca="false">IF($A20="","",MONTH($A20))</f>
        <v>1</v>
      </c>
      <c r="G20" s="25" t="n">
        <f aca="false">IF($A20="","",YEAR($A20))</f>
        <v>2026</v>
      </c>
    </row>
    <row r="21" customFormat="false" ht="15" hidden="false" customHeight="true" outlineLevel="0" collapsed="false">
      <c r="A21" s="23" t="n">
        <v>46052</v>
      </c>
      <c r="B21" s="8" t="s">
        <v>105</v>
      </c>
      <c r="C21" s="8" t="s">
        <v>70</v>
      </c>
      <c r="D21" s="24" t="n">
        <v>100</v>
      </c>
      <c r="E21" s="8" t="s">
        <v>106</v>
      </c>
      <c r="F21" s="25" t="n">
        <f aca="false">IF($A21="","",MONTH($A21))</f>
        <v>1</v>
      </c>
      <c r="G21" s="25" t="n">
        <f aca="false">IF($A21="","",YEAR($A21))</f>
        <v>2026</v>
      </c>
    </row>
    <row r="22" customFormat="false" ht="15" hidden="false" customHeight="true" outlineLevel="0" collapsed="false">
      <c r="A22" s="23" t="n">
        <v>46054</v>
      </c>
      <c r="B22" s="8" t="s">
        <v>83</v>
      </c>
      <c r="C22" s="8" t="s">
        <v>42</v>
      </c>
      <c r="D22" s="24" t="n">
        <v>6500</v>
      </c>
      <c r="E22" s="8" t="s">
        <v>84</v>
      </c>
      <c r="F22" s="25" t="n">
        <f aca="false">IF($A22="","",MONTH($A22))</f>
        <v>2</v>
      </c>
      <c r="G22" s="25" t="n">
        <f aca="false">IF($A22="","",YEAR($A22))</f>
        <v>2026</v>
      </c>
    </row>
    <row r="23" customFormat="false" ht="15" hidden="false" customHeight="true" outlineLevel="0" collapsed="false">
      <c r="A23" s="23" t="n">
        <v>46054</v>
      </c>
      <c r="B23" s="8" t="s">
        <v>85</v>
      </c>
      <c r="C23" s="8" t="s">
        <v>43</v>
      </c>
      <c r="D23" s="24" t="n">
        <v>1800</v>
      </c>
      <c r="E23" s="8" t="s">
        <v>86</v>
      </c>
      <c r="F23" s="25" t="n">
        <f aca="false">IF($A23="","",MONTH($A23))</f>
        <v>2</v>
      </c>
      <c r="G23" s="25" t="n">
        <f aca="false">IF($A23="","",YEAR($A23))</f>
        <v>2026</v>
      </c>
    </row>
    <row r="24" customFormat="false" ht="15" hidden="false" customHeight="true" outlineLevel="0" collapsed="false">
      <c r="A24" s="23" t="n">
        <v>46056</v>
      </c>
      <c r="B24" s="8" t="s">
        <v>89</v>
      </c>
      <c r="C24" s="8" t="s">
        <v>54</v>
      </c>
      <c r="D24" s="24" t="n">
        <v>340</v>
      </c>
      <c r="E24" s="8" t="s">
        <v>90</v>
      </c>
      <c r="F24" s="25" t="n">
        <f aca="false">IF($A24="","",MONTH($A24))</f>
        <v>2</v>
      </c>
      <c r="G24" s="25" t="n">
        <f aca="false">IF($A24="","",YEAR($A24))</f>
        <v>2026</v>
      </c>
    </row>
    <row r="25" customFormat="false" ht="15" hidden="false" customHeight="true" outlineLevel="0" collapsed="false">
      <c r="A25" s="23" t="n">
        <v>46058</v>
      </c>
      <c r="B25" s="8" t="s">
        <v>93</v>
      </c>
      <c r="C25" s="8" t="s">
        <v>47</v>
      </c>
      <c r="D25" s="24" t="n">
        <v>350</v>
      </c>
      <c r="E25" s="8" t="s">
        <v>86</v>
      </c>
      <c r="F25" s="25" t="n">
        <f aca="false">IF($A25="","",MONTH($A25))</f>
        <v>2</v>
      </c>
      <c r="G25" s="25" t="n">
        <f aca="false">IF($A25="","",YEAR($A25))</f>
        <v>2026</v>
      </c>
    </row>
    <row r="26" customFormat="false" ht="15" hidden="false" customHeight="true" outlineLevel="0" collapsed="false">
      <c r="A26" s="23" t="n">
        <v>46062</v>
      </c>
      <c r="B26" s="8" t="s">
        <v>95</v>
      </c>
      <c r="C26" s="8" t="s">
        <v>45</v>
      </c>
      <c r="D26" s="24" t="n">
        <v>162</v>
      </c>
      <c r="E26" s="8" t="s">
        <v>86</v>
      </c>
      <c r="F26" s="25" t="n">
        <f aca="false">IF($A26="","",MONTH($A26))</f>
        <v>2</v>
      </c>
      <c r="G26" s="25" t="n">
        <f aca="false">IF($A26="","",YEAR($A26))</f>
        <v>2026</v>
      </c>
    </row>
    <row r="27" customFormat="false" ht="15" hidden="false" customHeight="true" outlineLevel="0" collapsed="false">
      <c r="A27" s="23" t="n">
        <v>46064</v>
      </c>
      <c r="B27" s="8" t="s">
        <v>98</v>
      </c>
      <c r="C27" s="8" t="s">
        <v>51</v>
      </c>
      <c r="D27" s="24" t="n">
        <v>342</v>
      </c>
      <c r="E27" s="8" t="s">
        <v>97</v>
      </c>
      <c r="F27" s="25" t="n">
        <f aca="false">IF($A27="","",MONTH($A27))</f>
        <v>2</v>
      </c>
      <c r="G27" s="25" t="n">
        <f aca="false">IF($A27="","",YEAR($A27))</f>
        <v>2026</v>
      </c>
    </row>
    <row r="28" customFormat="false" ht="15" hidden="false" customHeight="true" outlineLevel="0" collapsed="false">
      <c r="A28" s="23" t="n">
        <v>46065</v>
      </c>
      <c r="B28" s="8" t="s">
        <v>99</v>
      </c>
      <c r="C28" s="8" t="s">
        <v>60</v>
      </c>
      <c r="D28" s="24" t="n">
        <v>220</v>
      </c>
      <c r="E28" s="8" t="s">
        <v>86</v>
      </c>
      <c r="F28" s="25" t="n">
        <f aca="false">IF($A28="","",MONTH($A28))</f>
        <v>2</v>
      </c>
      <c r="G28" s="25" t="n">
        <f aca="false">IF($A28="","",YEAR($A28))</f>
        <v>2026</v>
      </c>
    </row>
    <row r="29" customFormat="false" ht="15" hidden="false" customHeight="true" outlineLevel="0" collapsed="false">
      <c r="A29" s="23" t="n">
        <v>46067</v>
      </c>
      <c r="B29" s="8" t="s">
        <v>107</v>
      </c>
      <c r="C29" s="8" t="s">
        <v>42</v>
      </c>
      <c r="D29" s="24" t="n">
        <v>1450</v>
      </c>
      <c r="E29" s="8" t="s">
        <v>84</v>
      </c>
      <c r="F29" s="25" t="n">
        <f aca="false">IF($A29="","",MONTH($A29))</f>
        <v>2</v>
      </c>
      <c r="G29" s="25" t="n">
        <f aca="false">IF($A29="","",YEAR($A29))</f>
        <v>2026</v>
      </c>
    </row>
    <row r="30" customFormat="false" ht="15" hidden="false" customHeight="true" outlineLevel="0" collapsed="false">
      <c r="A30" s="23" t="n">
        <v>46067</v>
      </c>
      <c r="B30" s="8" t="s">
        <v>108</v>
      </c>
      <c r="C30" s="8" t="s">
        <v>65</v>
      </c>
      <c r="D30" s="24" t="n">
        <v>65</v>
      </c>
      <c r="E30" s="8" t="s">
        <v>106</v>
      </c>
      <c r="F30" s="25" t="n">
        <f aca="false">IF($A30="","",MONTH($A30))</f>
        <v>2</v>
      </c>
      <c r="G30" s="25" t="n">
        <f aca="false">IF($A30="","",YEAR($A30))</f>
        <v>2026</v>
      </c>
    </row>
    <row r="31" customFormat="false" ht="15" hidden="false" customHeight="true" outlineLevel="0" collapsed="false">
      <c r="A31" s="23" t="n">
        <v>46069</v>
      </c>
      <c r="B31" s="8" t="s">
        <v>100</v>
      </c>
      <c r="C31" s="8" t="s">
        <v>49</v>
      </c>
      <c r="D31" s="24" t="n">
        <v>98</v>
      </c>
      <c r="E31" s="8" t="s">
        <v>97</v>
      </c>
      <c r="F31" s="25" t="n">
        <f aca="false">IF($A31="","",MONTH($A31))</f>
        <v>2</v>
      </c>
      <c r="G31" s="25" t="n">
        <f aca="false">IF($A31="","",YEAR($A31))</f>
        <v>2026</v>
      </c>
    </row>
    <row r="32" customFormat="false" ht="15" hidden="false" customHeight="true" outlineLevel="0" collapsed="false">
      <c r="A32" s="23" t="n">
        <v>46071</v>
      </c>
      <c r="B32" s="8" t="s">
        <v>109</v>
      </c>
      <c r="C32" s="8" t="s">
        <v>56</v>
      </c>
      <c r="D32" s="24" t="n">
        <v>120</v>
      </c>
      <c r="E32" s="8" t="s">
        <v>86</v>
      </c>
      <c r="F32" s="25" t="n">
        <f aca="false">IF($A32="","",MONTH($A32))</f>
        <v>2</v>
      </c>
      <c r="G32" s="25" t="n">
        <f aca="false">IF($A32="","",YEAR($A32))</f>
        <v>2026</v>
      </c>
    </row>
    <row r="33" customFormat="false" ht="15" hidden="false" customHeight="true" outlineLevel="0" collapsed="false">
      <c r="A33" s="23" t="n">
        <v>46073</v>
      </c>
      <c r="B33" s="8" t="s">
        <v>102</v>
      </c>
      <c r="C33" s="8" t="s">
        <v>58</v>
      </c>
      <c r="D33" s="24" t="n">
        <v>165</v>
      </c>
      <c r="E33" s="8" t="s">
        <v>86</v>
      </c>
      <c r="F33" s="25" t="n">
        <f aca="false">IF($A33="","",MONTH($A33))</f>
        <v>2</v>
      </c>
      <c r="G33" s="25" t="n">
        <f aca="false">IF($A33="","",YEAR($A33))</f>
        <v>2026</v>
      </c>
    </row>
    <row r="34" customFormat="false" ht="15" hidden="false" customHeight="true" outlineLevel="0" collapsed="false">
      <c r="A34" s="23" t="n">
        <v>46075</v>
      </c>
      <c r="B34" s="8" t="s">
        <v>110</v>
      </c>
      <c r="C34" s="8" t="s">
        <v>53</v>
      </c>
      <c r="D34" s="24" t="n">
        <v>95</v>
      </c>
      <c r="E34" s="8" t="s">
        <v>106</v>
      </c>
      <c r="F34" s="25" t="n">
        <f aca="false">IF($A34="","",MONTH($A34))</f>
        <v>2</v>
      </c>
      <c r="G34" s="25" t="n">
        <f aca="false">IF($A34="","",YEAR($A34))</f>
        <v>2026</v>
      </c>
    </row>
    <row r="35" customFormat="false" ht="15" hidden="false" customHeight="true" outlineLevel="0" collapsed="false">
      <c r="A35" s="23" t="n">
        <v>46078</v>
      </c>
      <c r="B35" s="8" t="s">
        <v>111</v>
      </c>
      <c r="C35" s="8" t="s">
        <v>50</v>
      </c>
      <c r="D35" s="24" t="n">
        <v>60</v>
      </c>
      <c r="E35" s="8" t="s">
        <v>97</v>
      </c>
      <c r="F35" s="25" t="n">
        <f aca="false">IF($A35="","",MONTH($A35))</f>
        <v>2</v>
      </c>
      <c r="G35" s="25" t="n">
        <f aca="false">IF($A35="","",YEAR($A35))</f>
        <v>2026</v>
      </c>
    </row>
    <row r="36" customFormat="false" ht="15" hidden="false" customHeight="true" outlineLevel="0" collapsed="false">
      <c r="A36" s="23" t="n">
        <v>46080</v>
      </c>
      <c r="B36" s="8" t="s">
        <v>112</v>
      </c>
      <c r="C36" s="8" t="s">
        <v>72</v>
      </c>
      <c r="D36" s="24" t="n">
        <v>55</v>
      </c>
      <c r="E36" s="8" t="s">
        <v>97</v>
      </c>
      <c r="F36" s="25" t="n">
        <f aca="false">IF($A36="","",MONTH($A36))</f>
        <v>2</v>
      </c>
      <c r="G36" s="25" t="n">
        <f aca="false">IF($A36="","",YEAR($A36))</f>
        <v>2026</v>
      </c>
    </row>
    <row r="37" customFormat="false" ht="15" hidden="false" customHeight="true" outlineLevel="0" collapsed="false">
      <c r="A37" s="23" t="n">
        <v>46082</v>
      </c>
      <c r="B37" s="8" t="s">
        <v>83</v>
      </c>
      <c r="C37" s="8" t="s">
        <v>42</v>
      </c>
      <c r="D37" s="24" t="n">
        <v>6500</v>
      </c>
      <c r="E37" s="8" t="s">
        <v>84</v>
      </c>
      <c r="F37" s="25" t="n">
        <f aca="false">IF($A37="","",MONTH($A37))</f>
        <v>3</v>
      </c>
      <c r="G37" s="25" t="n">
        <f aca="false">IF($A37="","",YEAR($A37))</f>
        <v>2026</v>
      </c>
    </row>
    <row r="38" customFormat="false" ht="15" hidden="false" customHeight="true" outlineLevel="0" collapsed="false">
      <c r="A38" s="23" t="n">
        <v>46082</v>
      </c>
      <c r="B38" s="8" t="s">
        <v>85</v>
      </c>
      <c r="C38" s="8" t="s">
        <v>43</v>
      </c>
      <c r="D38" s="24" t="n">
        <v>1800</v>
      </c>
      <c r="E38" s="8" t="s">
        <v>86</v>
      </c>
      <c r="F38" s="25" t="n">
        <f aca="false">IF($A38="","",MONTH($A38))</f>
        <v>3</v>
      </c>
      <c r="G38" s="25" t="n">
        <f aca="false">IF($A38="","",YEAR($A38))</f>
        <v>2026</v>
      </c>
    </row>
    <row r="39" customFormat="false" ht="15" hidden="false" customHeight="true" outlineLevel="0" collapsed="false">
      <c r="A39" s="23" t="n">
        <v>46083</v>
      </c>
      <c r="B39" s="8" t="s">
        <v>87</v>
      </c>
      <c r="C39" s="8" t="s">
        <v>63</v>
      </c>
      <c r="D39" s="24" t="n">
        <v>500</v>
      </c>
      <c r="E39" s="8" t="s">
        <v>88</v>
      </c>
      <c r="F39" s="25" t="n">
        <f aca="false">IF($A39="","",MONTH($A39))</f>
        <v>3</v>
      </c>
      <c r="G39" s="25" t="n">
        <f aca="false">IF($A39="","",YEAR($A39))</f>
        <v>2026</v>
      </c>
    </row>
    <row r="40" customFormat="false" ht="15" hidden="false" customHeight="true" outlineLevel="0" collapsed="false">
      <c r="A40" s="23" t="n">
        <v>46084</v>
      </c>
      <c r="B40" s="8" t="s">
        <v>89</v>
      </c>
      <c r="C40" s="8" t="s">
        <v>54</v>
      </c>
      <c r="D40" s="24" t="n">
        <v>340</v>
      </c>
      <c r="E40" s="8" t="s">
        <v>90</v>
      </c>
      <c r="F40" s="25" t="n">
        <f aca="false">IF($A40="","",MONTH($A40))</f>
        <v>3</v>
      </c>
      <c r="G40" s="25" t="n">
        <f aca="false">IF($A40="","",YEAR($A40))</f>
        <v>2026</v>
      </c>
    </row>
    <row r="41" customFormat="false" ht="15" hidden="false" customHeight="true" outlineLevel="0" collapsed="false">
      <c r="A41" s="23" t="n">
        <v>46086</v>
      </c>
      <c r="B41" s="8" t="s">
        <v>93</v>
      </c>
      <c r="C41" s="8" t="s">
        <v>47</v>
      </c>
      <c r="D41" s="24" t="n">
        <v>350</v>
      </c>
      <c r="E41" s="8" t="s">
        <v>86</v>
      </c>
      <c r="F41" s="25" t="n">
        <f aca="false">IF($A41="","",MONTH($A41))</f>
        <v>3</v>
      </c>
      <c r="G41" s="25" t="n">
        <f aca="false">IF($A41="","",YEAR($A41))</f>
        <v>2026</v>
      </c>
    </row>
    <row r="42" customFormat="false" ht="15" hidden="false" customHeight="true" outlineLevel="0" collapsed="false">
      <c r="A42" s="23" t="n">
        <v>46087</v>
      </c>
      <c r="B42" s="8" t="s">
        <v>94</v>
      </c>
      <c r="C42" s="8" t="s">
        <v>46</v>
      </c>
      <c r="D42" s="24" t="n">
        <v>95</v>
      </c>
      <c r="E42" s="8" t="s">
        <v>86</v>
      </c>
      <c r="F42" s="25" t="n">
        <f aca="false">IF($A42="","",MONTH($A42))</f>
        <v>3</v>
      </c>
      <c r="G42" s="25" t="n">
        <f aca="false">IF($A42="","",YEAR($A42))</f>
        <v>2026</v>
      </c>
    </row>
    <row r="43" customFormat="false" ht="15" hidden="false" customHeight="true" outlineLevel="0" collapsed="false">
      <c r="A43" s="23" t="n">
        <v>46088</v>
      </c>
      <c r="B43" s="8" t="s">
        <v>95</v>
      </c>
      <c r="C43" s="8" t="s">
        <v>45</v>
      </c>
      <c r="D43" s="24" t="n">
        <v>138</v>
      </c>
      <c r="E43" s="8" t="s">
        <v>86</v>
      </c>
      <c r="F43" s="25" t="n">
        <f aca="false">IF($A43="","",MONTH($A43))</f>
        <v>3</v>
      </c>
      <c r="G43" s="25" t="n">
        <f aca="false">IF($A43="","",YEAR($A43))</f>
        <v>2026</v>
      </c>
    </row>
    <row r="44" customFormat="false" ht="15" hidden="false" customHeight="true" outlineLevel="0" collapsed="false">
      <c r="A44" s="23" t="n">
        <v>46089</v>
      </c>
      <c r="B44" s="8" t="s">
        <v>110</v>
      </c>
      <c r="C44" s="8" t="s">
        <v>53</v>
      </c>
      <c r="D44" s="24" t="n">
        <v>140</v>
      </c>
      <c r="E44" s="8" t="s">
        <v>106</v>
      </c>
      <c r="F44" s="25" t="n">
        <f aca="false">IF($A44="","",MONTH($A44))</f>
        <v>3</v>
      </c>
      <c r="G44" s="25" t="n">
        <f aca="false">IF($A44="","",YEAR($A44))</f>
        <v>2026</v>
      </c>
    </row>
    <row r="45" customFormat="false" ht="15" hidden="false" customHeight="true" outlineLevel="0" collapsed="false">
      <c r="A45" s="23" t="n">
        <v>46090</v>
      </c>
      <c r="B45" s="8" t="s">
        <v>98</v>
      </c>
      <c r="C45" s="8" t="s">
        <v>51</v>
      </c>
      <c r="D45" s="24" t="n">
        <v>298</v>
      </c>
      <c r="E45" s="8" t="s">
        <v>97</v>
      </c>
      <c r="F45" s="25" t="n">
        <f aca="false">IF($A45="","",MONTH($A45))</f>
        <v>3</v>
      </c>
      <c r="G45" s="25" t="n">
        <f aca="false">IF($A45="","",YEAR($A45))</f>
        <v>2026</v>
      </c>
    </row>
    <row r="46" customFormat="false" ht="15" hidden="false" customHeight="true" outlineLevel="0" collapsed="false">
      <c r="A46" s="23" t="n">
        <v>46093</v>
      </c>
      <c r="B46" s="8" t="s">
        <v>99</v>
      </c>
      <c r="C46" s="8" t="s">
        <v>60</v>
      </c>
      <c r="D46" s="24" t="n">
        <v>220</v>
      </c>
      <c r="E46" s="8" t="s">
        <v>86</v>
      </c>
      <c r="F46" s="25" t="n">
        <f aca="false">IF($A46="","",MONTH($A46))</f>
        <v>3</v>
      </c>
      <c r="G46" s="25" t="n">
        <f aca="false">IF($A46="","",YEAR($A46))</f>
        <v>2026</v>
      </c>
    </row>
    <row r="47" customFormat="false" ht="15" hidden="false" customHeight="true" outlineLevel="0" collapsed="false">
      <c r="A47" s="23" t="n">
        <v>46096</v>
      </c>
      <c r="B47" s="8" t="s">
        <v>113</v>
      </c>
      <c r="C47" s="8" t="s">
        <v>69</v>
      </c>
      <c r="D47" s="24" t="n">
        <v>110</v>
      </c>
      <c r="E47" s="8" t="s">
        <v>106</v>
      </c>
      <c r="F47" s="25" t="n">
        <f aca="false">IF($A47="","",MONTH($A47))</f>
        <v>3</v>
      </c>
      <c r="G47" s="25" t="n">
        <f aca="false">IF($A47="","",YEAR($A47))</f>
        <v>2026</v>
      </c>
    </row>
    <row r="48" customFormat="false" ht="15" hidden="false" customHeight="true" outlineLevel="0" collapsed="false">
      <c r="A48" s="23" t="n">
        <v>46097</v>
      </c>
      <c r="B48" s="8" t="s">
        <v>101</v>
      </c>
      <c r="C48" s="8" t="s">
        <v>42</v>
      </c>
      <c r="D48" s="24" t="n">
        <v>1100</v>
      </c>
      <c r="E48" s="8" t="s">
        <v>84</v>
      </c>
      <c r="F48" s="25" t="n">
        <f aca="false">IF($A48="","",MONTH($A48))</f>
        <v>3</v>
      </c>
      <c r="G48" s="25" t="n">
        <f aca="false">IF($A48="","",YEAR($A48))</f>
        <v>2026</v>
      </c>
    </row>
    <row r="49" customFormat="false" ht="15" hidden="false" customHeight="true" outlineLevel="0" collapsed="false">
      <c r="A49" s="23" t="n">
        <v>46099</v>
      </c>
      <c r="B49" s="8" t="s">
        <v>109</v>
      </c>
      <c r="C49" s="8" t="s">
        <v>56</v>
      </c>
      <c r="D49" s="24" t="n">
        <v>120</v>
      </c>
      <c r="E49" s="8" t="s">
        <v>86</v>
      </c>
      <c r="F49" s="25" t="n">
        <f aca="false">IF($A49="","",MONTH($A49))</f>
        <v>3</v>
      </c>
      <c r="G49" s="25" t="n">
        <f aca="false">IF($A49="","",YEAR($A49))</f>
        <v>2026</v>
      </c>
    </row>
    <row r="50" customFormat="false" ht="15" hidden="false" customHeight="true" outlineLevel="0" collapsed="false">
      <c r="A50" s="23" t="n">
        <v>46101</v>
      </c>
      <c r="B50" s="8" t="s">
        <v>102</v>
      </c>
      <c r="C50" s="8" t="s">
        <v>58</v>
      </c>
      <c r="D50" s="24" t="n">
        <v>150</v>
      </c>
      <c r="E50" s="8" t="s">
        <v>86</v>
      </c>
      <c r="F50" s="25" t="n">
        <f aca="false">IF($A50="","",MONTH($A50))</f>
        <v>3</v>
      </c>
      <c r="G50" s="25" t="n">
        <f aca="false">IF($A50="","",YEAR($A50))</f>
        <v>2026</v>
      </c>
    </row>
    <row r="51" customFormat="false" ht="15" hidden="false" customHeight="true" outlineLevel="0" collapsed="false">
      <c r="A51" s="23" t="n">
        <v>46109</v>
      </c>
      <c r="B51" s="8" t="s">
        <v>114</v>
      </c>
      <c r="C51" s="8" t="s">
        <v>64</v>
      </c>
      <c r="D51" s="24" t="n">
        <v>300</v>
      </c>
      <c r="E51" s="8" t="s">
        <v>92</v>
      </c>
      <c r="F51" s="25" t="n">
        <f aca="false">IF($A51="","",MONTH($A51))</f>
        <v>3</v>
      </c>
      <c r="G51" s="25" t="n">
        <f aca="false">IF($A51="","",YEAR($A51))</f>
        <v>2026</v>
      </c>
    </row>
    <row r="52" customFormat="false" ht="15" hidden="false" customHeight="true" outlineLevel="0" collapsed="false">
      <c r="A52" s="23"/>
      <c r="B52" s="8"/>
      <c r="C52" s="8"/>
      <c r="D52" s="24"/>
      <c r="E52" s="8"/>
      <c r="F52" s="25" t="str">
        <f aca="false">IF($A52="","",MONTH($A52))</f>
        <v/>
      </c>
      <c r="G52" s="25" t="str">
        <f aca="false">IF($A52="","",YEAR($A52))</f>
        <v/>
      </c>
    </row>
    <row r="53" customFormat="false" ht="15" hidden="false" customHeight="true" outlineLevel="0" collapsed="false">
      <c r="A53" s="23"/>
      <c r="B53" s="8"/>
      <c r="C53" s="8"/>
      <c r="D53" s="24"/>
      <c r="E53" s="8"/>
      <c r="F53" s="25" t="str">
        <f aca="false">IF($A53="","",MONTH($A53))</f>
        <v/>
      </c>
      <c r="G53" s="25" t="str">
        <f aca="false">IF($A53="","",YEAR($A53))</f>
        <v/>
      </c>
    </row>
    <row r="54" customFormat="false" ht="15" hidden="false" customHeight="true" outlineLevel="0" collapsed="false">
      <c r="A54" s="23"/>
      <c r="B54" s="8"/>
      <c r="C54" s="8"/>
      <c r="D54" s="24"/>
      <c r="E54" s="8"/>
      <c r="F54" s="25" t="str">
        <f aca="false">IF($A54="","",MONTH($A54))</f>
        <v/>
      </c>
      <c r="G54" s="25" t="str">
        <f aca="false">IF($A54="","",YEAR($A54))</f>
        <v/>
      </c>
    </row>
    <row r="55" customFormat="false" ht="15" hidden="false" customHeight="true" outlineLevel="0" collapsed="false">
      <c r="A55" s="23"/>
      <c r="B55" s="8"/>
      <c r="C55" s="8"/>
      <c r="D55" s="24"/>
      <c r="E55" s="8"/>
      <c r="F55" s="25" t="str">
        <f aca="false">IF($A55="","",MONTH($A55))</f>
        <v/>
      </c>
      <c r="G55" s="25" t="str">
        <f aca="false">IF($A55="","",YEAR($A55))</f>
        <v/>
      </c>
    </row>
    <row r="56" customFormat="false" ht="15" hidden="false" customHeight="true" outlineLevel="0" collapsed="false">
      <c r="A56" s="23"/>
      <c r="B56" s="8"/>
      <c r="C56" s="8"/>
      <c r="D56" s="24"/>
      <c r="E56" s="8"/>
      <c r="F56" s="25" t="str">
        <f aca="false">IF($A56="","",MONTH($A56))</f>
        <v/>
      </c>
      <c r="G56" s="25" t="str">
        <f aca="false">IF($A56="","",YEAR($A56))</f>
        <v/>
      </c>
    </row>
    <row r="57" customFormat="false" ht="15" hidden="false" customHeight="true" outlineLevel="0" collapsed="false">
      <c r="A57" s="23"/>
      <c r="B57" s="8"/>
      <c r="C57" s="8"/>
      <c r="D57" s="24"/>
      <c r="E57" s="8"/>
      <c r="F57" s="25" t="str">
        <f aca="false">IF($A57="","",MONTH($A57))</f>
        <v/>
      </c>
      <c r="G57" s="25" t="str">
        <f aca="false">IF($A57="","",YEAR($A57))</f>
        <v/>
      </c>
    </row>
    <row r="58" customFormat="false" ht="15" hidden="false" customHeight="true" outlineLevel="0" collapsed="false">
      <c r="A58" s="23"/>
      <c r="B58" s="8"/>
      <c r="C58" s="8"/>
      <c r="D58" s="24"/>
      <c r="E58" s="8"/>
      <c r="F58" s="25" t="str">
        <f aca="false">IF($A58="","",MONTH($A58))</f>
        <v/>
      </c>
      <c r="G58" s="25" t="str">
        <f aca="false">IF($A58="","",YEAR($A58))</f>
        <v/>
      </c>
    </row>
    <row r="59" customFormat="false" ht="15" hidden="false" customHeight="true" outlineLevel="0" collapsed="false">
      <c r="A59" s="23"/>
      <c r="B59" s="8"/>
      <c r="C59" s="8"/>
      <c r="D59" s="24"/>
      <c r="E59" s="8"/>
      <c r="F59" s="25" t="str">
        <f aca="false">IF($A59="","",MONTH($A59))</f>
        <v/>
      </c>
      <c r="G59" s="25" t="str">
        <f aca="false">IF($A59="","",YEAR($A59))</f>
        <v/>
      </c>
    </row>
    <row r="60" customFormat="false" ht="15" hidden="false" customHeight="true" outlineLevel="0" collapsed="false">
      <c r="A60" s="23"/>
      <c r="B60" s="8"/>
      <c r="C60" s="8"/>
      <c r="D60" s="24"/>
      <c r="E60" s="8"/>
      <c r="F60" s="25" t="str">
        <f aca="false">IF($A60="","",MONTH($A60))</f>
        <v/>
      </c>
      <c r="G60" s="25" t="str">
        <f aca="false">IF($A60="","",YEAR($A60))</f>
        <v/>
      </c>
    </row>
    <row r="61" customFormat="false" ht="15" hidden="false" customHeight="true" outlineLevel="0" collapsed="false">
      <c r="A61" s="23"/>
      <c r="B61" s="8"/>
      <c r="C61" s="8"/>
      <c r="D61" s="24"/>
      <c r="E61" s="8"/>
      <c r="F61" s="25" t="str">
        <f aca="false">IF($A61="","",MONTH($A61))</f>
        <v/>
      </c>
      <c r="G61" s="25" t="str">
        <f aca="false">IF($A61="","",YEAR($A61))</f>
        <v/>
      </c>
    </row>
    <row r="62" customFormat="false" ht="15" hidden="false" customHeight="true" outlineLevel="0" collapsed="false">
      <c r="A62" s="23"/>
      <c r="B62" s="8"/>
      <c r="C62" s="8"/>
      <c r="D62" s="24"/>
      <c r="E62" s="8"/>
      <c r="F62" s="25" t="str">
        <f aca="false">IF($A62="","",MONTH($A62))</f>
        <v/>
      </c>
      <c r="G62" s="25" t="str">
        <f aca="false">IF($A62="","",YEAR($A62))</f>
        <v/>
      </c>
    </row>
    <row r="63" customFormat="false" ht="15" hidden="false" customHeight="true" outlineLevel="0" collapsed="false">
      <c r="A63" s="23"/>
      <c r="B63" s="8"/>
      <c r="C63" s="8"/>
      <c r="D63" s="24"/>
      <c r="E63" s="8"/>
      <c r="F63" s="25" t="str">
        <f aca="false">IF($A63="","",MONTH($A63))</f>
        <v/>
      </c>
      <c r="G63" s="25" t="str">
        <f aca="false">IF($A63="","",YEAR($A63))</f>
        <v/>
      </c>
    </row>
    <row r="64" customFormat="false" ht="15" hidden="false" customHeight="true" outlineLevel="0" collapsed="false">
      <c r="A64" s="23"/>
      <c r="B64" s="8"/>
      <c r="C64" s="8"/>
      <c r="D64" s="24"/>
      <c r="E64" s="8"/>
      <c r="F64" s="25" t="str">
        <f aca="false">IF($A64="","",MONTH($A64))</f>
        <v/>
      </c>
      <c r="G64" s="25" t="str">
        <f aca="false">IF($A64="","",YEAR($A64))</f>
        <v/>
      </c>
    </row>
    <row r="65" customFormat="false" ht="15" hidden="false" customHeight="true" outlineLevel="0" collapsed="false">
      <c r="A65" s="23"/>
      <c r="B65" s="8"/>
      <c r="C65" s="8"/>
      <c r="D65" s="24"/>
      <c r="E65" s="8"/>
      <c r="F65" s="25" t="str">
        <f aca="false">IF($A65="","",MONTH($A65))</f>
        <v/>
      </c>
      <c r="G65" s="25" t="str">
        <f aca="false">IF($A65="","",YEAR($A65))</f>
        <v/>
      </c>
    </row>
    <row r="66" customFormat="false" ht="15" hidden="false" customHeight="true" outlineLevel="0" collapsed="false">
      <c r="A66" s="23"/>
      <c r="B66" s="8"/>
      <c r="C66" s="8"/>
      <c r="D66" s="24"/>
      <c r="E66" s="8"/>
      <c r="F66" s="25" t="str">
        <f aca="false">IF($A66="","",MONTH($A66))</f>
        <v/>
      </c>
      <c r="G66" s="25" t="str">
        <f aca="false">IF($A66="","",YEAR($A66))</f>
        <v/>
      </c>
    </row>
    <row r="67" customFormat="false" ht="15" hidden="false" customHeight="true" outlineLevel="0" collapsed="false">
      <c r="A67" s="23"/>
      <c r="B67" s="8"/>
      <c r="C67" s="8"/>
      <c r="D67" s="24"/>
      <c r="E67" s="8"/>
      <c r="F67" s="25" t="str">
        <f aca="false">IF($A67="","",MONTH($A67))</f>
        <v/>
      </c>
      <c r="G67" s="25" t="str">
        <f aca="false">IF($A67="","",YEAR($A67))</f>
        <v/>
      </c>
    </row>
    <row r="68" customFormat="false" ht="15" hidden="false" customHeight="true" outlineLevel="0" collapsed="false">
      <c r="A68" s="23"/>
      <c r="B68" s="8"/>
      <c r="C68" s="8"/>
      <c r="D68" s="24"/>
      <c r="E68" s="8"/>
      <c r="F68" s="25" t="str">
        <f aca="false">IF($A68="","",MONTH($A68))</f>
        <v/>
      </c>
      <c r="G68" s="25" t="str">
        <f aca="false">IF($A68="","",YEAR($A68))</f>
        <v/>
      </c>
    </row>
    <row r="69" customFormat="false" ht="15" hidden="false" customHeight="true" outlineLevel="0" collapsed="false">
      <c r="A69" s="23"/>
      <c r="B69" s="8"/>
      <c r="C69" s="8"/>
      <c r="D69" s="24"/>
      <c r="E69" s="8"/>
      <c r="F69" s="25" t="str">
        <f aca="false">IF($A69="","",MONTH($A69))</f>
        <v/>
      </c>
      <c r="G69" s="25" t="str">
        <f aca="false">IF($A69="","",YEAR($A69))</f>
        <v/>
      </c>
    </row>
    <row r="70" customFormat="false" ht="15" hidden="false" customHeight="true" outlineLevel="0" collapsed="false">
      <c r="A70" s="23"/>
      <c r="B70" s="8"/>
      <c r="C70" s="8"/>
      <c r="D70" s="24"/>
      <c r="E70" s="8"/>
      <c r="F70" s="25" t="str">
        <f aca="false">IF($A70="","",MONTH($A70))</f>
        <v/>
      </c>
      <c r="G70" s="25" t="str">
        <f aca="false">IF($A70="","",YEAR($A70))</f>
        <v/>
      </c>
    </row>
    <row r="71" customFormat="false" ht="15" hidden="false" customHeight="true" outlineLevel="0" collapsed="false">
      <c r="A71" s="23"/>
      <c r="B71" s="8"/>
      <c r="C71" s="8"/>
      <c r="D71" s="24"/>
      <c r="E71" s="8"/>
      <c r="F71" s="25" t="str">
        <f aca="false">IF($A71="","",MONTH($A71))</f>
        <v/>
      </c>
      <c r="G71" s="25" t="str">
        <f aca="false">IF($A71="","",YEAR($A71))</f>
        <v/>
      </c>
    </row>
    <row r="72" customFormat="false" ht="15" hidden="false" customHeight="true" outlineLevel="0" collapsed="false">
      <c r="A72" s="23"/>
      <c r="B72" s="8"/>
      <c r="C72" s="8"/>
      <c r="D72" s="24"/>
      <c r="E72" s="8"/>
      <c r="F72" s="25" t="str">
        <f aca="false">IF($A72="","",MONTH($A72))</f>
        <v/>
      </c>
      <c r="G72" s="25" t="str">
        <f aca="false">IF($A72="","",YEAR($A72))</f>
        <v/>
      </c>
    </row>
    <row r="73" customFormat="false" ht="15" hidden="false" customHeight="true" outlineLevel="0" collapsed="false">
      <c r="A73" s="23"/>
      <c r="B73" s="8"/>
      <c r="C73" s="8"/>
      <c r="D73" s="24"/>
      <c r="E73" s="8"/>
      <c r="F73" s="25" t="str">
        <f aca="false">IF($A73="","",MONTH($A73))</f>
        <v/>
      </c>
      <c r="G73" s="25" t="str">
        <f aca="false">IF($A73="","",YEAR($A73))</f>
        <v/>
      </c>
    </row>
    <row r="74" customFormat="false" ht="15" hidden="false" customHeight="true" outlineLevel="0" collapsed="false">
      <c r="A74" s="23"/>
      <c r="B74" s="8"/>
      <c r="C74" s="8"/>
      <c r="D74" s="24"/>
      <c r="E74" s="8"/>
      <c r="F74" s="25" t="str">
        <f aca="false">IF($A74="","",MONTH($A74))</f>
        <v/>
      </c>
      <c r="G74" s="25" t="str">
        <f aca="false">IF($A74="","",YEAR($A74))</f>
        <v/>
      </c>
    </row>
    <row r="75" customFormat="false" ht="15" hidden="false" customHeight="true" outlineLevel="0" collapsed="false">
      <c r="A75" s="23"/>
      <c r="B75" s="8"/>
      <c r="C75" s="8"/>
      <c r="D75" s="24"/>
      <c r="E75" s="8"/>
      <c r="F75" s="25" t="str">
        <f aca="false">IF($A75="","",MONTH($A75))</f>
        <v/>
      </c>
      <c r="G75" s="25" t="str">
        <f aca="false">IF($A75="","",YEAR($A75))</f>
        <v/>
      </c>
    </row>
    <row r="76" customFormat="false" ht="15" hidden="false" customHeight="true" outlineLevel="0" collapsed="false">
      <c r="A76" s="23"/>
      <c r="B76" s="8"/>
      <c r="C76" s="8"/>
      <c r="D76" s="24"/>
      <c r="E76" s="8"/>
      <c r="F76" s="25" t="str">
        <f aca="false">IF($A76="","",MONTH($A76))</f>
        <v/>
      </c>
      <c r="G76" s="25" t="str">
        <f aca="false">IF($A76="","",YEAR($A76))</f>
        <v/>
      </c>
    </row>
    <row r="77" customFormat="false" ht="15" hidden="false" customHeight="true" outlineLevel="0" collapsed="false">
      <c r="A77" s="23"/>
      <c r="B77" s="8"/>
      <c r="C77" s="8"/>
      <c r="D77" s="24"/>
      <c r="E77" s="8"/>
      <c r="F77" s="25" t="str">
        <f aca="false">IF($A77="","",MONTH($A77))</f>
        <v/>
      </c>
      <c r="G77" s="25" t="str">
        <f aca="false">IF($A77="","",YEAR($A77))</f>
        <v/>
      </c>
    </row>
    <row r="78" customFormat="false" ht="15" hidden="false" customHeight="true" outlineLevel="0" collapsed="false">
      <c r="A78" s="23"/>
      <c r="B78" s="8"/>
      <c r="C78" s="8"/>
      <c r="D78" s="24"/>
      <c r="E78" s="8"/>
      <c r="F78" s="25" t="str">
        <f aca="false">IF($A78="","",MONTH($A78))</f>
        <v/>
      </c>
      <c r="G78" s="25" t="str">
        <f aca="false">IF($A78="","",YEAR($A78))</f>
        <v/>
      </c>
    </row>
    <row r="79" customFormat="false" ht="15" hidden="false" customHeight="true" outlineLevel="0" collapsed="false">
      <c r="A79" s="23"/>
      <c r="B79" s="8"/>
      <c r="C79" s="8"/>
      <c r="D79" s="24"/>
      <c r="E79" s="8"/>
      <c r="F79" s="25" t="str">
        <f aca="false">IF($A79="","",MONTH($A79))</f>
        <v/>
      </c>
      <c r="G79" s="25" t="str">
        <f aca="false">IF($A79="","",YEAR($A79))</f>
        <v/>
      </c>
    </row>
    <row r="80" customFormat="false" ht="15" hidden="false" customHeight="true" outlineLevel="0" collapsed="false">
      <c r="A80" s="23"/>
      <c r="B80" s="8"/>
      <c r="C80" s="8"/>
      <c r="D80" s="24"/>
      <c r="E80" s="8"/>
      <c r="F80" s="25" t="str">
        <f aca="false">IF($A80="","",MONTH($A80))</f>
        <v/>
      </c>
      <c r="G80" s="25" t="str">
        <f aca="false">IF($A80="","",YEAR($A80))</f>
        <v/>
      </c>
    </row>
    <row r="81" customFormat="false" ht="15" hidden="false" customHeight="true" outlineLevel="0" collapsed="false">
      <c r="A81" s="23"/>
      <c r="B81" s="8"/>
      <c r="C81" s="8"/>
      <c r="D81" s="24"/>
      <c r="E81" s="8"/>
      <c r="F81" s="25" t="str">
        <f aca="false">IF($A81="","",MONTH($A81))</f>
        <v/>
      </c>
      <c r="G81" s="25" t="str">
        <f aca="false">IF($A81="","",YEAR($A81))</f>
        <v/>
      </c>
    </row>
    <row r="82" customFormat="false" ht="15" hidden="false" customHeight="true" outlineLevel="0" collapsed="false">
      <c r="A82" s="23"/>
      <c r="B82" s="8"/>
      <c r="C82" s="8"/>
      <c r="D82" s="24"/>
      <c r="E82" s="8"/>
      <c r="F82" s="25" t="str">
        <f aca="false">IF($A82="","",MONTH($A82))</f>
        <v/>
      </c>
      <c r="G82" s="25" t="str">
        <f aca="false">IF($A82="","",YEAR($A82))</f>
        <v/>
      </c>
    </row>
    <row r="83" customFormat="false" ht="15" hidden="false" customHeight="true" outlineLevel="0" collapsed="false">
      <c r="A83" s="23"/>
      <c r="B83" s="8"/>
      <c r="C83" s="8"/>
      <c r="D83" s="24"/>
      <c r="E83" s="8"/>
      <c r="F83" s="25" t="str">
        <f aca="false">IF($A83="","",MONTH($A83))</f>
        <v/>
      </c>
      <c r="G83" s="25" t="str">
        <f aca="false">IF($A83="","",YEAR($A83))</f>
        <v/>
      </c>
    </row>
    <row r="84" customFormat="false" ht="15" hidden="false" customHeight="true" outlineLevel="0" collapsed="false">
      <c r="A84" s="23"/>
      <c r="B84" s="8"/>
      <c r="C84" s="8"/>
      <c r="D84" s="24"/>
      <c r="E84" s="8"/>
      <c r="F84" s="25" t="str">
        <f aca="false">IF($A84="","",MONTH($A84))</f>
        <v/>
      </c>
      <c r="G84" s="25" t="str">
        <f aca="false">IF($A84="","",YEAR($A84))</f>
        <v/>
      </c>
    </row>
    <row r="85" customFormat="false" ht="15" hidden="false" customHeight="true" outlineLevel="0" collapsed="false">
      <c r="A85" s="23"/>
      <c r="B85" s="8"/>
      <c r="C85" s="8"/>
      <c r="D85" s="24"/>
      <c r="E85" s="8"/>
      <c r="F85" s="25" t="str">
        <f aca="false">IF($A85="","",MONTH($A85))</f>
        <v/>
      </c>
      <c r="G85" s="25" t="str">
        <f aca="false">IF($A85="","",YEAR($A85))</f>
        <v/>
      </c>
    </row>
    <row r="86" customFormat="false" ht="15" hidden="false" customHeight="true" outlineLevel="0" collapsed="false">
      <c r="A86" s="23"/>
      <c r="B86" s="8"/>
      <c r="C86" s="8"/>
      <c r="D86" s="24"/>
      <c r="E86" s="8"/>
      <c r="F86" s="25" t="str">
        <f aca="false">IF($A86="","",MONTH($A86))</f>
        <v/>
      </c>
      <c r="G86" s="25" t="str">
        <f aca="false">IF($A86="","",YEAR($A86))</f>
        <v/>
      </c>
    </row>
    <row r="87" customFormat="false" ht="15" hidden="false" customHeight="true" outlineLevel="0" collapsed="false">
      <c r="A87" s="23"/>
      <c r="B87" s="8"/>
      <c r="C87" s="8"/>
      <c r="D87" s="24"/>
      <c r="E87" s="8"/>
      <c r="F87" s="25" t="str">
        <f aca="false">IF($A87="","",MONTH($A87))</f>
        <v/>
      </c>
      <c r="G87" s="25" t="str">
        <f aca="false">IF($A87="","",YEAR($A87))</f>
        <v/>
      </c>
    </row>
    <row r="88" customFormat="false" ht="15" hidden="false" customHeight="true" outlineLevel="0" collapsed="false">
      <c r="A88" s="23"/>
      <c r="B88" s="8"/>
      <c r="C88" s="8"/>
      <c r="D88" s="24"/>
      <c r="E88" s="8"/>
      <c r="F88" s="25" t="str">
        <f aca="false">IF($A88="","",MONTH($A88))</f>
        <v/>
      </c>
      <c r="G88" s="25" t="str">
        <f aca="false">IF($A88="","",YEAR($A88))</f>
        <v/>
      </c>
    </row>
    <row r="89" customFormat="false" ht="15" hidden="false" customHeight="true" outlineLevel="0" collapsed="false">
      <c r="A89" s="23"/>
      <c r="B89" s="8"/>
      <c r="C89" s="8"/>
      <c r="D89" s="24"/>
      <c r="E89" s="8"/>
      <c r="F89" s="25" t="str">
        <f aca="false">IF($A89="","",MONTH($A89))</f>
        <v/>
      </c>
      <c r="G89" s="25" t="str">
        <f aca="false">IF($A89="","",YEAR($A89))</f>
        <v/>
      </c>
    </row>
    <row r="90" customFormat="false" ht="15" hidden="false" customHeight="true" outlineLevel="0" collapsed="false">
      <c r="A90" s="23"/>
      <c r="B90" s="8"/>
      <c r="C90" s="8"/>
      <c r="D90" s="24"/>
      <c r="E90" s="8"/>
      <c r="F90" s="25" t="str">
        <f aca="false">IF($A90="","",MONTH($A90))</f>
        <v/>
      </c>
      <c r="G90" s="25" t="str">
        <f aca="false">IF($A90="","",YEAR($A90))</f>
        <v/>
      </c>
    </row>
    <row r="91" customFormat="false" ht="15" hidden="false" customHeight="true" outlineLevel="0" collapsed="false">
      <c r="A91" s="23"/>
      <c r="B91" s="8"/>
      <c r="C91" s="8"/>
      <c r="D91" s="24"/>
      <c r="E91" s="8"/>
      <c r="F91" s="25" t="str">
        <f aca="false">IF($A91="","",MONTH($A91))</f>
        <v/>
      </c>
      <c r="G91" s="25" t="str">
        <f aca="false">IF($A91="","",YEAR($A91))</f>
        <v/>
      </c>
    </row>
    <row r="92" customFormat="false" ht="15" hidden="false" customHeight="true" outlineLevel="0" collapsed="false">
      <c r="A92" s="23"/>
      <c r="B92" s="8"/>
      <c r="C92" s="8"/>
      <c r="D92" s="24"/>
      <c r="E92" s="8"/>
      <c r="F92" s="25" t="str">
        <f aca="false">IF($A92="","",MONTH($A92))</f>
        <v/>
      </c>
      <c r="G92" s="25" t="str">
        <f aca="false">IF($A92="","",YEAR($A92))</f>
        <v/>
      </c>
    </row>
    <row r="93" customFormat="false" ht="15" hidden="false" customHeight="true" outlineLevel="0" collapsed="false">
      <c r="A93" s="23"/>
      <c r="B93" s="8"/>
      <c r="C93" s="8"/>
      <c r="D93" s="24"/>
      <c r="E93" s="8"/>
      <c r="F93" s="25" t="str">
        <f aca="false">IF($A93="","",MONTH($A93))</f>
        <v/>
      </c>
      <c r="G93" s="25" t="str">
        <f aca="false">IF($A93="","",YEAR($A93))</f>
        <v/>
      </c>
    </row>
    <row r="94" customFormat="false" ht="15" hidden="false" customHeight="true" outlineLevel="0" collapsed="false">
      <c r="A94" s="23"/>
      <c r="B94" s="8"/>
      <c r="C94" s="8"/>
      <c r="D94" s="24"/>
      <c r="E94" s="8"/>
      <c r="F94" s="25" t="str">
        <f aca="false">IF($A94="","",MONTH($A94))</f>
        <v/>
      </c>
      <c r="G94" s="25" t="str">
        <f aca="false">IF($A94="","",YEAR($A94))</f>
        <v/>
      </c>
    </row>
    <row r="95" customFormat="false" ht="15" hidden="false" customHeight="true" outlineLevel="0" collapsed="false">
      <c r="A95" s="23"/>
      <c r="B95" s="8"/>
      <c r="C95" s="8"/>
      <c r="D95" s="24"/>
      <c r="E95" s="8"/>
      <c r="F95" s="25" t="str">
        <f aca="false">IF($A95="","",MONTH($A95))</f>
        <v/>
      </c>
      <c r="G95" s="25" t="str">
        <f aca="false">IF($A95="","",YEAR($A95))</f>
        <v/>
      </c>
    </row>
    <row r="96" customFormat="false" ht="15" hidden="false" customHeight="true" outlineLevel="0" collapsed="false">
      <c r="A96" s="23"/>
      <c r="B96" s="8"/>
      <c r="C96" s="8"/>
      <c r="D96" s="24"/>
      <c r="E96" s="8"/>
      <c r="F96" s="25" t="str">
        <f aca="false">IF($A96="","",MONTH($A96))</f>
        <v/>
      </c>
      <c r="G96" s="25" t="str">
        <f aca="false">IF($A96="","",YEAR($A96))</f>
        <v/>
      </c>
    </row>
    <row r="97" customFormat="false" ht="15" hidden="false" customHeight="true" outlineLevel="0" collapsed="false">
      <c r="A97" s="23"/>
      <c r="B97" s="8"/>
      <c r="C97" s="8"/>
      <c r="D97" s="24"/>
      <c r="E97" s="8"/>
      <c r="F97" s="25" t="str">
        <f aca="false">IF($A97="","",MONTH($A97))</f>
        <v/>
      </c>
      <c r="G97" s="25" t="str">
        <f aca="false">IF($A97="","",YEAR($A97))</f>
        <v/>
      </c>
    </row>
    <row r="98" customFormat="false" ht="15" hidden="false" customHeight="true" outlineLevel="0" collapsed="false">
      <c r="A98" s="23"/>
      <c r="B98" s="8"/>
      <c r="C98" s="8"/>
      <c r="D98" s="24"/>
      <c r="E98" s="8"/>
      <c r="F98" s="25" t="str">
        <f aca="false">IF($A98="","",MONTH($A98))</f>
        <v/>
      </c>
      <c r="G98" s="25" t="str">
        <f aca="false">IF($A98="","",YEAR($A98))</f>
        <v/>
      </c>
    </row>
    <row r="99" customFormat="false" ht="15" hidden="false" customHeight="true" outlineLevel="0" collapsed="false">
      <c r="A99" s="23"/>
      <c r="B99" s="8"/>
      <c r="C99" s="8"/>
      <c r="D99" s="24"/>
      <c r="E99" s="8"/>
      <c r="F99" s="25" t="str">
        <f aca="false">IF($A99="","",MONTH($A99))</f>
        <v/>
      </c>
      <c r="G99" s="25" t="str">
        <f aca="false">IF($A99="","",YEAR($A99))</f>
        <v/>
      </c>
    </row>
    <row r="100" customFormat="false" ht="15" hidden="false" customHeight="true" outlineLevel="0" collapsed="false">
      <c r="A100" s="23"/>
      <c r="B100" s="8"/>
      <c r="C100" s="8"/>
      <c r="D100" s="24"/>
      <c r="E100" s="8"/>
      <c r="F100" s="25" t="str">
        <f aca="false">IF($A100="","",MONTH($A100))</f>
        <v/>
      </c>
      <c r="G100" s="25" t="str">
        <f aca="false">IF($A100="","",YEAR($A100))</f>
        <v/>
      </c>
    </row>
    <row r="101" customFormat="false" ht="15" hidden="false" customHeight="true" outlineLevel="0" collapsed="false">
      <c r="A101" s="23"/>
      <c r="B101" s="8"/>
      <c r="C101" s="8"/>
      <c r="D101" s="24"/>
      <c r="E101" s="8"/>
      <c r="F101" s="25" t="str">
        <f aca="false">IF($A101="","",MONTH($A101))</f>
        <v/>
      </c>
      <c r="G101" s="25" t="str">
        <f aca="false">IF($A101="","",YEAR($A101))</f>
        <v/>
      </c>
    </row>
    <row r="102" customFormat="false" ht="15" hidden="false" customHeight="true" outlineLevel="0" collapsed="false">
      <c r="A102" s="23"/>
      <c r="B102" s="8"/>
      <c r="C102" s="8"/>
      <c r="D102" s="24"/>
      <c r="E102" s="8"/>
      <c r="F102" s="25" t="str">
        <f aca="false">IF($A102="","",MONTH($A102))</f>
        <v/>
      </c>
      <c r="G102" s="25" t="str">
        <f aca="false">IF($A102="","",YEAR($A102))</f>
        <v/>
      </c>
    </row>
    <row r="103" customFormat="false" ht="15" hidden="false" customHeight="true" outlineLevel="0" collapsed="false">
      <c r="A103" s="23"/>
      <c r="B103" s="8"/>
      <c r="C103" s="8"/>
      <c r="D103" s="24"/>
      <c r="E103" s="8"/>
      <c r="F103" s="25" t="str">
        <f aca="false">IF($A103="","",MONTH($A103))</f>
        <v/>
      </c>
      <c r="G103" s="25" t="str">
        <f aca="false">IF($A103="","",YEAR($A103))</f>
        <v/>
      </c>
    </row>
    <row r="104" customFormat="false" ht="15" hidden="false" customHeight="true" outlineLevel="0" collapsed="false">
      <c r="A104" s="23"/>
      <c r="B104" s="8"/>
      <c r="C104" s="8"/>
      <c r="D104" s="24"/>
      <c r="E104" s="8"/>
      <c r="F104" s="25" t="str">
        <f aca="false">IF($A104="","",MONTH($A104))</f>
        <v/>
      </c>
      <c r="G104" s="25" t="str">
        <f aca="false">IF($A104="","",YEAR($A104))</f>
        <v/>
      </c>
    </row>
    <row r="105" customFormat="false" ht="15" hidden="false" customHeight="true" outlineLevel="0" collapsed="false">
      <c r="A105" s="23"/>
      <c r="B105" s="8"/>
      <c r="C105" s="8"/>
      <c r="D105" s="24"/>
      <c r="E105" s="8"/>
      <c r="F105" s="25" t="str">
        <f aca="false">IF($A105="","",MONTH($A105))</f>
        <v/>
      </c>
      <c r="G105" s="25" t="str">
        <f aca="false">IF($A105="","",YEAR($A105))</f>
        <v/>
      </c>
    </row>
    <row r="106" customFormat="false" ht="15" hidden="false" customHeight="true" outlineLevel="0" collapsed="false">
      <c r="A106" s="23"/>
      <c r="B106" s="8"/>
      <c r="C106" s="8"/>
      <c r="D106" s="24"/>
      <c r="E106" s="8"/>
      <c r="F106" s="25" t="str">
        <f aca="false">IF($A106="","",MONTH($A106))</f>
        <v/>
      </c>
      <c r="G106" s="25" t="str">
        <f aca="false">IF($A106="","",YEAR($A106))</f>
        <v/>
      </c>
    </row>
    <row r="107" customFormat="false" ht="15" hidden="false" customHeight="true" outlineLevel="0" collapsed="false">
      <c r="A107" s="23"/>
      <c r="B107" s="8"/>
      <c r="C107" s="8"/>
      <c r="D107" s="24"/>
      <c r="E107" s="8"/>
      <c r="F107" s="25" t="str">
        <f aca="false">IF($A107="","",MONTH($A107))</f>
        <v/>
      </c>
      <c r="G107" s="25" t="str">
        <f aca="false">IF($A107="","",YEAR($A107))</f>
        <v/>
      </c>
    </row>
    <row r="108" customFormat="false" ht="15" hidden="false" customHeight="true" outlineLevel="0" collapsed="false">
      <c r="A108" s="23"/>
      <c r="B108" s="8"/>
      <c r="C108" s="8"/>
      <c r="D108" s="24"/>
      <c r="E108" s="8"/>
      <c r="F108" s="25" t="str">
        <f aca="false">IF($A108="","",MONTH($A108))</f>
        <v/>
      </c>
      <c r="G108" s="25" t="str">
        <f aca="false">IF($A108="","",YEAR($A108))</f>
        <v/>
      </c>
    </row>
    <row r="109" customFormat="false" ht="15" hidden="false" customHeight="true" outlineLevel="0" collapsed="false">
      <c r="A109" s="23"/>
      <c r="B109" s="8"/>
      <c r="C109" s="8"/>
      <c r="D109" s="24"/>
      <c r="E109" s="8"/>
      <c r="F109" s="25" t="str">
        <f aca="false">IF($A109="","",MONTH($A109))</f>
        <v/>
      </c>
      <c r="G109" s="25" t="str">
        <f aca="false">IF($A109="","",YEAR($A109))</f>
        <v/>
      </c>
    </row>
    <row r="110" customFormat="false" ht="15" hidden="false" customHeight="true" outlineLevel="0" collapsed="false">
      <c r="A110" s="23"/>
      <c r="B110" s="8"/>
      <c r="C110" s="8"/>
      <c r="D110" s="24"/>
      <c r="E110" s="8"/>
      <c r="F110" s="25" t="str">
        <f aca="false">IF($A110="","",MONTH($A110))</f>
        <v/>
      </c>
      <c r="G110" s="25" t="str">
        <f aca="false">IF($A110="","",YEAR($A110))</f>
        <v/>
      </c>
    </row>
    <row r="111" customFormat="false" ht="15" hidden="false" customHeight="true" outlineLevel="0" collapsed="false">
      <c r="A111" s="23"/>
      <c r="B111" s="8"/>
      <c r="C111" s="8"/>
      <c r="D111" s="24"/>
      <c r="E111" s="8"/>
      <c r="F111" s="25" t="str">
        <f aca="false">IF($A111="","",MONTH($A111))</f>
        <v/>
      </c>
      <c r="G111" s="25" t="str">
        <f aca="false">IF($A111="","",YEAR($A111))</f>
        <v/>
      </c>
    </row>
    <row r="112" customFormat="false" ht="15" hidden="false" customHeight="true" outlineLevel="0" collapsed="false">
      <c r="A112" s="23"/>
      <c r="B112" s="8"/>
      <c r="C112" s="8"/>
      <c r="D112" s="24"/>
      <c r="E112" s="8"/>
      <c r="F112" s="25" t="str">
        <f aca="false">IF($A112="","",MONTH($A112))</f>
        <v/>
      </c>
      <c r="G112" s="25" t="str">
        <f aca="false">IF($A112="","",YEAR($A112))</f>
        <v/>
      </c>
    </row>
    <row r="113" customFormat="false" ht="15" hidden="false" customHeight="true" outlineLevel="0" collapsed="false">
      <c r="A113" s="23"/>
      <c r="B113" s="8"/>
      <c r="C113" s="8"/>
      <c r="D113" s="24"/>
      <c r="E113" s="8"/>
      <c r="F113" s="25" t="str">
        <f aca="false">IF($A113="","",MONTH($A113))</f>
        <v/>
      </c>
      <c r="G113" s="25" t="str">
        <f aca="false">IF($A113="","",YEAR($A113))</f>
        <v/>
      </c>
    </row>
    <row r="114" customFormat="false" ht="15" hidden="false" customHeight="true" outlineLevel="0" collapsed="false">
      <c r="A114" s="23"/>
      <c r="B114" s="8"/>
      <c r="C114" s="8"/>
      <c r="D114" s="24"/>
      <c r="E114" s="8"/>
      <c r="F114" s="25" t="str">
        <f aca="false">IF($A114="","",MONTH($A114))</f>
        <v/>
      </c>
      <c r="G114" s="25" t="str">
        <f aca="false">IF($A114="","",YEAR($A114))</f>
        <v/>
      </c>
    </row>
    <row r="115" customFormat="false" ht="15" hidden="false" customHeight="true" outlineLevel="0" collapsed="false">
      <c r="A115" s="23"/>
      <c r="B115" s="8"/>
      <c r="C115" s="8"/>
      <c r="D115" s="24"/>
      <c r="E115" s="8"/>
      <c r="F115" s="25" t="str">
        <f aca="false">IF($A115="","",MONTH($A115))</f>
        <v/>
      </c>
      <c r="G115" s="25" t="str">
        <f aca="false">IF($A115="","",YEAR($A115))</f>
        <v/>
      </c>
    </row>
    <row r="116" customFormat="false" ht="15" hidden="false" customHeight="true" outlineLevel="0" collapsed="false">
      <c r="A116" s="23"/>
      <c r="B116" s="8"/>
      <c r="C116" s="8"/>
      <c r="D116" s="24"/>
      <c r="E116" s="8"/>
      <c r="F116" s="25" t="str">
        <f aca="false">IF($A116="","",MONTH($A116))</f>
        <v/>
      </c>
      <c r="G116" s="25" t="str">
        <f aca="false">IF($A116="","",YEAR($A116))</f>
        <v/>
      </c>
    </row>
    <row r="117" customFormat="false" ht="15" hidden="false" customHeight="true" outlineLevel="0" collapsed="false">
      <c r="A117" s="23"/>
      <c r="B117" s="8"/>
      <c r="C117" s="8"/>
      <c r="D117" s="24"/>
      <c r="E117" s="8"/>
      <c r="F117" s="25" t="str">
        <f aca="false">IF($A117="","",MONTH($A117))</f>
        <v/>
      </c>
      <c r="G117" s="25" t="str">
        <f aca="false">IF($A117="","",YEAR($A117))</f>
        <v/>
      </c>
    </row>
    <row r="118" customFormat="false" ht="15" hidden="false" customHeight="true" outlineLevel="0" collapsed="false">
      <c r="A118" s="23"/>
      <c r="B118" s="8"/>
      <c r="C118" s="8"/>
      <c r="D118" s="24"/>
      <c r="E118" s="8"/>
      <c r="F118" s="25" t="str">
        <f aca="false">IF($A118="","",MONTH($A118))</f>
        <v/>
      </c>
      <c r="G118" s="25" t="str">
        <f aca="false">IF($A118="","",YEAR($A118))</f>
        <v/>
      </c>
    </row>
    <row r="119" customFormat="false" ht="15" hidden="false" customHeight="true" outlineLevel="0" collapsed="false">
      <c r="A119" s="23"/>
      <c r="B119" s="8"/>
      <c r="C119" s="8"/>
      <c r="D119" s="24"/>
      <c r="E119" s="8"/>
      <c r="F119" s="25" t="str">
        <f aca="false">IF($A119="","",MONTH($A119))</f>
        <v/>
      </c>
      <c r="G119" s="25" t="str">
        <f aca="false">IF($A119="","",YEAR($A119))</f>
        <v/>
      </c>
    </row>
    <row r="120" customFormat="false" ht="15" hidden="false" customHeight="true" outlineLevel="0" collapsed="false">
      <c r="A120" s="23"/>
      <c r="B120" s="8"/>
      <c r="C120" s="8"/>
      <c r="D120" s="24"/>
      <c r="E120" s="8"/>
      <c r="F120" s="25" t="str">
        <f aca="false">IF($A120="","",MONTH($A120))</f>
        <v/>
      </c>
      <c r="G120" s="25" t="str">
        <f aca="false">IF($A120="","",YEAR($A120))</f>
        <v/>
      </c>
    </row>
    <row r="121" customFormat="false" ht="15" hidden="false" customHeight="true" outlineLevel="0" collapsed="false">
      <c r="A121" s="23"/>
      <c r="B121" s="8"/>
      <c r="C121" s="8"/>
      <c r="D121" s="24"/>
      <c r="E121" s="8"/>
      <c r="F121" s="25" t="str">
        <f aca="false">IF($A121="","",MONTH($A121))</f>
        <v/>
      </c>
      <c r="G121" s="25" t="str">
        <f aca="false">IF($A121="","",YEAR($A121))</f>
        <v/>
      </c>
    </row>
    <row r="122" customFormat="false" ht="15" hidden="false" customHeight="true" outlineLevel="0" collapsed="false">
      <c r="A122" s="23"/>
      <c r="B122" s="8"/>
      <c r="C122" s="8"/>
      <c r="D122" s="24"/>
      <c r="E122" s="8"/>
      <c r="F122" s="25" t="str">
        <f aca="false">IF($A122="","",MONTH($A122))</f>
        <v/>
      </c>
      <c r="G122" s="25" t="str">
        <f aca="false">IF($A122="","",YEAR($A122))</f>
        <v/>
      </c>
    </row>
    <row r="123" customFormat="false" ht="15" hidden="false" customHeight="true" outlineLevel="0" collapsed="false">
      <c r="A123" s="23"/>
      <c r="B123" s="8"/>
      <c r="C123" s="8"/>
      <c r="D123" s="24"/>
      <c r="E123" s="8"/>
      <c r="F123" s="25" t="str">
        <f aca="false">IF($A123="","",MONTH($A123))</f>
        <v/>
      </c>
      <c r="G123" s="25" t="str">
        <f aca="false">IF($A123="","",YEAR($A123))</f>
        <v/>
      </c>
    </row>
    <row r="124" customFormat="false" ht="15" hidden="false" customHeight="true" outlineLevel="0" collapsed="false">
      <c r="A124" s="23"/>
      <c r="B124" s="8"/>
      <c r="C124" s="8"/>
      <c r="D124" s="24"/>
      <c r="E124" s="8"/>
      <c r="F124" s="25" t="str">
        <f aca="false">IF($A124="","",MONTH($A124))</f>
        <v/>
      </c>
      <c r="G124" s="25" t="str">
        <f aca="false">IF($A124="","",YEAR($A124))</f>
        <v/>
      </c>
    </row>
    <row r="125" customFormat="false" ht="15" hidden="false" customHeight="true" outlineLevel="0" collapsed="false">
      <c r="A125" s="23"/>
      <c r="B125" s="8"/>
      <c r="C125" s="8"/>
      <c r="D125" s="24"/>
      <c r="E125" s="8"/>
      <c r="F125" s="25" t="str">
        <f aca="false">IF($A125="","",MONTH($A125))</f>
        <v/>
      </c>
      <c r="G125" s="25" t="str">
        <f aca="false">IF($A125="","",YEAR($A125))</f>
        <v/>
      </c>
    </row>
    <row r="126" customFormat="false" ht="15" hidden="false" customHeight="true" outlineLevel="0" collapsed="false">
      <c r="A126" s="23"/>
      <c r="B126" s="8"/>
      <c r="C126" s="8"/>
      <c r="D126" s="24"/>
      <c r="E126" s="8"/>
      <c r="F126" s="25" t="str">
        <f aca="false">IF($A126="","",MONTH($A126))</f>
        <v/>
      </c>
      <c r="G126" s="25" t="str">
        <f aca="false">IF($A126="","",YEAR($A126))</f>
        <v/>
      </c>
    </row>
    <row r="127" customFormat="false" ht="15" hidden="false" customHeight="true" outlineLevel="0" collapsed="false">
      <c r="A127" s="23"/>
      <c r="B127" s="8"/>
      <c r="C127" s="8"/>
      <c r="D127" s="24"/>
      <c r="E127" s="8"/>
      <c r="F127" s="25" t="str">
        <f aca="false">IF($A127="","",MONTH($A127))</f>
        <v/>
      </c>
      <c r="G127" s="25" t="str">
        <f aca="false">IF($A127="","",YEAR($A127))</f>
        <v/>
      </c>
    </row>
    <row r="128" customFormat="false" ht="15" hidden="false" customHeight="true" outlineLevel="0" collapsed="false">
      <c r="A128" s="23"/>
      <c r="B128" s="8"/>
      <c r="C128" s="8"/>
      <c r="D128" s="24"/>
      <c r="E128" s="8"/>
      <c r="F128" s="25" t="str">
        <f aca="false">IF($A128="","",MONTH($A128))</f>
        <v/>
      </c>
      <c r="G128" s="25" t="str">
        <f aca="false">IF($A128="","",YEAR($A128))</f>
        <v/>
      </c>
    </row>
    <row r="129" customFormat="false" ht="15" hidden="false" customHeight="true" outlineLevel="0" collapsed="false">
      <c r="A129" s="23"/>
      <c r="B129" s="8"/>
      <c r="C129" s="8"/>
      <c r="D129" s="24"/>
      <c r="E129" s="8"/>
      <c r="F129" s="25" t="str">
        <f aca="false">IF($A129="","",MONTH($A129))</f>
        <v/>
      </c>
      <c r="G129" s="25" t="str">
        <f aca="false">IF($A129="","",YEAR($A129))</f>
        <v/>
      </c>
    </row>
    <row r="130" customFormat="false" ht="15" hidden="false" customHeight="true" outlineLevel="0" collapsed="false">
      <c r="A130" s="23"/>
      <c r="B130" s="8"/>
      <c r="C130" s="8"/>
      <c r="D130" s="24"/>
      <c r="E130" s="8"/>
      <c r="F130" s="25" t="str">
        <f aca="false">IF($A130="","",MONTH($A130))</f>
        <v/>
      </c>
      <c r="G130" s="25" t="str">
        <f aca="false">IF($A130="","",YEAR($A130))</f>
        <v/>
      </c>
    </row>
    <row r="131" customFormat="false" ht="15" hidden="false" customHeight="true" outlineLevel="0" collapsed="false">
      <c r="A131" s="23"/>
      <c r="B131" s="8"/>
      <c r="C131" s="8"/>
      <c r="D131" s="24"/>
      <c r="E131" s="8"/>
      <c r="F131" s="25" t="str">
        <f aca="false">IF($A131="","",MONTH($A131))</f>
        <v/>
      </c>
      <c r="G131" s="25" t="str">
        <f aca="false">IF($A131="","",YEAR($A131))</f>
        <v/>
      </c>
    </row>
    <row r="132" customFormat="false" ht="15" hidden="false" customHeight="true" outlineLevel="0" collapsed="false">
      <c r="A132" s="23"/>
      <c r="B132" s="8"/>
      <c r="C132" s="8"/>
      <c r="D132" s="24"/>
      <c r="E132" s="8"/>
      <c r="F132" s="25" t="str">
        <f aca="false">IF($A132="","",MONTH($A132))</f>
        <v/>
      </c>
      <c r="G132" s="25" t="str">
        <f aca="false">IF($A132="","",YEAR($A132))</f>
        <v/>
      </c>
    </row>
    <row r="133" customFormat="false" ht="15" hidden="false" customHeight="true" outlineLevel="0" collapsed="false">
      <c r="A133" s="23"/>
      <c r="B133" s="8"/>
      <c r="C133" s="8"/>
      <c r="D133" s="24"/>
      <c r="E133" s="8"/>
      <c r="F133" s="25" t="str">
        <f aca="false">IF($A133="","",MONTH($A133))</f>
        <v/>
      </c>
      <c r="G133" s="25" t="str">
        <f aca="false">IF($A133="","",YEAR($A133))</f>
        <v/>
      </c>
    </row>
    <row r="134" customFormat="false" ht="15" hidden="false" customHeight="true" outlineLevel="0" collapsed="false">
      <c r="A134" s="23"/>
      <c r="B134" s="8"/>
      <c r="C134" s="8"/>
      <c r="D134" s="24"/>
      <c r="E134" s="8"/>
      <c r="F134" s="25" t="str">
        <f aca="false">IF($A134="","",MONTH($A134))</f>
        <v/>
      </c>
      <c r="G134" s="25" t="str">
        <f aca="false">IF($A134="","",YEAR($A134))</f>
        <v/>
      </c>
    </row>
    <row r="135" customFormat="false" ht="15" hidden="false" customHeight="true" outlineLevel="0" collapsed="false">
      <c r="A135" s="23"/>
      <c r="B135" s="8"/>
      <c r="C135" s="8"/>
      <c r="D135" s="24"/>
      <c r="E135" s="8"/>
      <c r="F135" s="25" t="str">
        <f aca="false">IF($A135="","",MONTH($A135))</f>
        <v/>
      </c>
      <c r="G135" s="25" t="str">
        <f aca="false">IF($A135="","",YEAR($A135))</f>
        <v/>
      </c>
    </row>
    <row r="136" customFormat="false" ht="15" hidden="false" customHeight="true" outlineLevel="0" collapsed="false">
      <c r="A136" s="23"/>
      <c r="B136" s="8"/>
      <c r="C136" s="8"/>
      <c r="D136" s="24"/>
      <c r="E136" s="8"/>
      <c r="F136" s="25" t="str">
        <f aca="false">IF($A136="","",MONTH($A136))</f>
        <v/>
      </c>
      <c r="G136" s="25" t="str">
        <f aca="false">IF($A136="","",YEAR($A136))</f>
        <v/>
      </c>
    </row>
    <row r="137" customFormat="false" ht="15" hidden="false" customHeight="true" outlineLevel="0" collapsed="false">
      <c r="A137" s="23"/>
      <c r="B137" s="8"/>
      <c r="C137" s="8"/>
      <c r="D137" s="24"/>
      <c r="E137" s="8"/>
      <c r="F137" s="25" t="str">
        <f aca="false">IF($A137="","",MONTH($A137))</f>
        <v/>
      </c>
      <c r="G137" s="25" t="str">
        <f aca="false">IF($A137="","",YEAR($A137))</f>
        <v/>
      </c>
    </row>
    <row r="138" customFormat="false" ht="15" hidden="false" customHeight="true" outlineLevel="0" collapsed="false">
      <c r="A138" s="23"/>
      <c r="B138" s="8"/>
      <c r="C138" s="8"/>
      <c r="D138" s="24"/>
      <c r="E138" s="8"/>
      <c r="F138" s="25" t="str">
        <f aca="false">IF($A138="","",MONTH($A138))</f>
        <v/>
      </c>
      <c r="G138" s="25" t="str">
        <f aca="false">IF($A138="","",YEAR($A138))</f>
        <v/>
      </c>
    </row>
    <row r="139" customFormat="false" ht="15" hidden="false" customHeight="true" outlineLevel="0" collapsed="false">
      <c r="A139" s="23"/>
      <c r="B139" s="8"/>
      <c r="C139" s="8"/>
      <c r="D139" s="24"/>
      <c r="E139" s="8"/>
      <c r="F139" s="25" t="str">
        <f aca="false">IF($A139="","",MONTH($A139))</f>
        <v/>
      </c>
      <c r="G139" s="25" t="str">
        <f aca="false">IF($A139="","",YEAR($A139))</f>
        <v/>
      </c>
    </row>
    <row r="140" customFormat="false" ht="15" hidden="false" customHeight="true" outlineLevel="0" collapsed="false">
      <c r="A140" s="23"/>
      <c r="B140" s="8"/>
      <c r="C140" s="8"/>
      <c r="D140" s="24"/>
      <c r="E140" s="8"/>
      <c r="F140" s="25" t="str">
        <f aca="false">IF($A140="","",MONTH($A140))</f>
        <v/>
      </c>
      <c r="G140" s="25" t="str">
        <f aca="false">IF($A140="","",YEAR($A140))</f>
        <v/>
      </c>
    </row>
    <row r="141" customFormat="false" ht="15" hidden="false" customHeight="true" outlineLevel="0" collapsed="false">
      <c r="A141" s="23"/>
      <c r="B141" s="8"/>
      <c r="C141" s="8"/>
      <c r="D141" s="24"/>
      <c r="E141" s="8"/>
      <c r="F141" s="25" t="str">
        <f aca="false">IF($A141="","",MONTH($A141))</f>
        <v/>
      </c>
      <c r="G141" s="25" t="str">
        <f aca="false">IF($A141="","",YEAR($A141))</f>
        <v/>
      </c>
    </row>
    <row r="142" customFormat="false" ht="15" hidden="false" customHeight="true" outlineLevel="0" collapsed="false">
      <c r="A142" s="23"/>
      <c r="B142" s="8"/>
      <c r="C142" s="8"/>
      <c r="D142" s="24"/>
      <c r="E142" s="8"/>
      <c r="F142" s="25" t="str">
        <f aca="false">IF($A142="","",MONTH($A142))</f>
        <v/>
      </c>
      <c r="G142" s="25" t="str">
        <f aca="false">IF($A142="","",YEAR($A142))</f>
        <v/>
      </c>
    </row>
    <row r="143" customFormat="false" ht="15" hidden="false" customHeight="true" outlineLevel="0" collapsed="false">
      <c r="A143" s="23"/>
      <c r="B143" s="8"/>
      <c r="C143" s="8"/>
      <c r="D143" s="24"/>
      <c r="E143" s="8"/>
      <c r="F143" s="25" t="str">
        <f aca="false">IF($A143="","",MONTH($A143))</f>
        <v/>
      </c>
      <c r="G143" s="25" t="str">
        <f aca="false">IF($A143="","",YEAR($A143))</f>
        <v/>
      </c>
    </row>
    <row r="144" customFormat="false" ht="15" hidden="false" customHeight="true" outlineLevel="0" collapsed="false">
      <c r="A144" s="23"/>
      <c r="B144" s="8"/>
      <c r="C144" s="8"/>
      <c r="D144" s="24"/>
      <c r="E144" s="8"/>
      <c r="F144" s="25" t="str">
        <f aca="false">IF($A144="","",MONTH($A144))</f>
        <v/>
      </c>
      <c r="G144" s="25" t="str">
        <f aca="false">IF($A144="","",YEAR($A144))</f>
        <v/>
      </c>
    </row>
    <row r="145" customFormat="false" ht="15" hidden="false" customHeight="true" outlineLevel="0" collapsed="false">
      <c r="A145" s="23"/>
      <c r="B145" s="8"/>
      <c r="C145" s="8"/>
      <c r="D145" s="24"/>
      <c r="E145" s="8"/>
      <c r="F145" s="25" t="str">
        <f aca="false">IF($A145="","",MONTH($A145))</f>
        <v/>
      </c>
      <c r="G145" s="25" t="str">
        <f aca="false">IF($A145="","",YEAR($A145))</f>
        <v/>
      </c>
    </row>
    <row r="146" customFormat="false" ht="15" hidden="false" customHeight="true" outlineLevel="0" collapsed="false">
      <c r="A146" s="23"/>
      <c r="B146" s="8"/>
      <c r="C146" s="8"/>
      <c r="D146" s="24"/>
      <c r="E146" s="8"/>
      <c r="F146" s="25" t="str">
        <f aca="false">IF($A146="","",MONTH($A146))</f>
        <v/>
      </c>
      <c r="G146" s="25" t="str">
        <f aca="false">IF($A146="","",YEAR($A146))</f>
        <v/>
      </c>
    </row>
    <row r="147" customFormat="false" ht="15" hidden="false" customHeight="true" outlineLevel="0" collapsed="false">
      <c r="A147" s="23"/>
      <c r="B147" s="8"/>
      <c r="C147" s="8"/>
      <c r="D147" s="24"/>
      <c r="E147" s="8"/>
      <c r="F147" s="25" t="str">
        <f aca="false">IF($A147="","",MONTH($A147))</f>
        <v/>
      </c>
      <c r="G147" s="25" t="str">
        <f aca="false">IF($A147="","",YEAR($A147))</f>
        <v/>
      </c>
    </row>
    <row r="148" customFormat="false" ht="15" hidden="false" customHeight="true" outlineLevel="0" collapsed="false">
      <c r="A148" s="23"/>
      <c r="B148" s="8"/>
      <c r="C148" s="8"/>
      <c r="D148" s="24"/>
      <c r="E148" s="8"/>
      <c r="F148" s="25" t="str">
        <f aca="false">IF($A148="","",MONTH($A148))</f>
        <v/>
      </c>
      <c r="G148" s="25" t="str">
        <f aca="false">IF($A148="","",YEAR($A148))</f>
        <v/>
      </c>
    </row>
    <row r="149" customFormat="false" ht="15" hidden="false" customHeight="true" outlineLevel="0" collapsed="false">
      <c r="A149" s="23"/>
      <c r="B149" s="8"/>
      <c r="C149" s="8"/>
      <c r="D149" s="24"/>
      <c r="E149" s="8"/>
      <c r="F149" s="25" t="str">
        <f aca="false">IF($A149="","",MONTH($A149))</f>
        <v/>
      </c>
      <c r="G149" s="25" t="str">
        <f aca="false">IF($A149="","",YEAR($A149))</f>
        <v/>
      </c>
    </row>
    <row r="150" customFormat="false" ht="15" hidden="false" customHeight="true" outlineLevel="0" collapsed="false">
      <c r="A150" s="23"/>
      <c r="B150" s="8"/>
      <c r="C150" s="8"/>
      <c r="D150" s="24"/>
      <c r="E150" s="8"/>
      <c r="F150" s="25" t="str">
        <f aca="false">IF($A150="","",MONTH($A150))</f>
        <v/>
      </c>
      <c r="G150" s="25" t="str">
        <f aca="false">IF($A150="","",YEAR($A150))</f>
        <v/>
      </c>
    </row>
    <row r="151" customFormat="false" ht="15" hidden="false" customHeight="true" outlineLevel="0" collapsed="false">
      <c r="A151" s="23"/>
      <c r="B151" s="8"/>
      <c r="C151" s="8"/>
      <c r="D151" s="24"/>
      <c r="E151" s="8"/>
      <c r="F151" s="25" t="str">
        <f aca="false">IF($A151="","",MONTH($A151))</f>
        <v/>
      </c>
      <c r="G151" s="25" t="str">
        <f aca="false">IF($A151="","",YEAR($A151))</f>
        <v/>
      </c>
    </row>
    <row r="152" customFormat="false" ht="15" hidden="false" customHeight="true" outlineLevel="0" collapsed="false">
      <c r="A152" s="23"/>
      <c r="B152" s="8"/>
      <c r="C152" s="8"/>
      <c r="D152" s="24"/>
      <c r="E152" s="8"/>
      <c r="F152" s="25" t="str">
        <f aca="false">IF($A152="","",MONTH($A152))</f>
        <v/>
      </c>
      <c r="G152" s="25" t="str">
        <f aca="false">IF($A152="","",YEAR($A152))</f>
        <v/>
      </c>
    </row>
    <row r="153" customFormat="false" ht="15" hidden="false" customHeight="true" outlineLevel="0" collapsed="false">
      <c r="A153" s="23"/>
      <c r="B153" s="8"/>
      <c r="C153" s="8"/>
      <c r="D153" s="24"/>
      <c r="E153" s="8"/>
      <c r="F153" s="25" t="str">
        <f aca="false">IF($A153="","",MONTH($A153))</f>
        <v/>
      </c>
      <c r="G153" s="25" t="str">
        <f aca="false">IF($A153="","",YEAR($A153))</f>
        <v/>
      </c>
    </row>
    <row r="154" customFormat="false" ht="15" hidden="false" customHeight="true" outlineLevel="0" collapsed="false">
      <c r="A154" s="23"/>
      <c r="B154" s="8"/>
      <c r="C154" s="8"/>
      <c r="D154" s="24"/>
      <c r="E154" s="8"/>
      <c r="F154" s="25" t="str">
        <f aca="false">IF($A154="","",MONTH($A154))</f>
        <v/>
      </c>
      <c r="G154" s="25" t="str">
        <f aca="false">IF($A154="","",YEAR($A154))</f>
        <v/>
      </c>
    </row>
    <row r="155" customFormat="false" ht="15" hidden="false" customHeight="true" outlineLevel="0" collapsed="false">
      <c r="A155" s="23"/>
      <c r="B155" s="8"/>
      <c r="C155" s="8"/>
      <c r="D155" s="24"/>
      <c r="E155" s="8"/>
      <c r="F155" s="25" t="str">
        <f aca="false">IF($A155="","",MONTH($A155))</f>
        <v/>
      </c>
      <c r="G155" s="25" t="str">
        <f aca="false">IF($A155="","",YEAR($A155))</f>
        <v/>
      </c>
    </row>
    <row r="156" customFormat="false" ht="15" hidden="false" customHeight="true" outlineLevel="0" collapsed="false">
      <c r="A156" s="23"/>
      <c r="B156" s="8"/>
      <c r="C156" s="8"/>
      <c r="D156" s="24"/>
      <c r="E156" s="8"/>
      <c r="F156" s="25" t="str">
        <f aca="false">IF($A156="","",MONTH($A156))</f>
        <v/>
      </c>
      <c r="G156" s="25" t="str">
        <f aca="false">IF($A156="","",YEAR($A156))</f>
        <v/>
      </c>
    </row>
    <row r="157" customFormat="false" ht="15" hidden="false" customHeight="true" outlineLevel="0" collapsed="false">
      <c r="A157" s="23"/>
      <c r="B157" s="8"/>
      <c r="C157" s="8"/>
      <c r="D157" s="24"/>
      <c r="E157" s="8"/>
      <c r="F157" s="25" t="str">
        <f aca="false">IF($A157="","",MONTH($A157))</f>
        <v/>
      </c>
      <c r="G157" s="25" t="str">
        <f aca="false">IF($A157="","",YEAR($A157))</f>
        <v/>
      </c>
    </row>
    <row r="158" customFormat="false" ht="15" hidden="false" customHeight="true" outlineLevel="0" collapsed="false">
      <c r="A158" s="23"/>
      <c r="B158" s="8"/>
      <c r="C158" s="8"/>
      <c r="D158" s="24"/>
      <c r="E158" s="8"/>
      <c r="F158" s="25" t="str">
        <f aca="false">IF($A158="","",MONTH($A158))</f>
        <v/>
      </c>
      <c r="G158" s="25" t="str">
        <f aca="false">IF($A158="","",YEAR($A158))</f>
        <v/>
      </c>
    </row>
    <row r="159" customFormat="false" ht="15" hidden="false" customHeight="true" outlineLevel="0" collapsed="false">
      <c r="A159" s="23"/>
      <c r="B159" s="8"/>
      <c r="C159" s="8"/>
      <c r="D159" s="24"/>
      <c r="E159" s="8"/>
      <c r="F159" s="25" t="str">
        <f aca="false">IF($A159="","",MONTH($A159))</f>
        <v/>
      </c>
      <c r="G159" s="25" t="str">
        <f aca="false">IF($A159="","",YEAR($A159))</f>
        <v/>
      </c>
    </row>
    <row r="160" customFormat="false" ht="15" hidden="false" customHeight="true" outlineLevel="0" collapsed="false">
      <c r="A160" s="23"/>
      <c r="B160" s="8"/>
      <c r="C160" s="8"/>
      <c r="D160" s="24"/>
      <c r="E160" s="8"/>
      <c r="F160" s="25" t="str">
        <f aca="false">IF($A160="","",MONTH($A160))</f>
        <v/>
      </c>
      <c r="G160" s="25" t="str">
        <f aca="false">IF($A160="","",YEAR($A160))</f>
        <v/>
      </c>
    </row>
    <row r="161" customFormat="false" ht="15" hidden="false" customHeight="true" outlineLevel="0" collapsed="false">
      <c r="A161" s="23"/>
      <c r="B161" s="8"/>
      <c r="C161" s="8"/>
      <c r="D161" s="24"/>
      <c r="E161" s="8"/>
      <c r="F161" s="25" t="str">
        <f aca="false">IF($A161="","",MONTH($A161))</f>
        <v/>
      </c>
      <c r="G161" s="25" t="str">
        <f aca="false">IF($A161="","",YEAR($A161))</f>
        <v/>
      </c>
    </row>
    <row r="162" customFormat="false" ht="15" hidden="false" customHeight="true" outlineLevel="0" collapsed="false">
      <c r="A162" s="23"/>
      <c r="B162" s="8"/>
      <c r="C162" s="8"/>
      <c r="D162" s="24"/>
      <c r="E162" s="8"/>
      <c r="F162" s="25" t="str">
        <f aca="false">IF($A162="","",MONTH($A162))</f>
        <v/>
      </c>
      <c r="G162" s="25" t="str">
        <f aca="false">IF($A162="","",YEAR($A162))</f>
        <v/>
      </c>
    </row>
    <row r="163" customFormat="false" ht="15" hidden="false" customHeight="true" outlineLevel="0" collapsed="false">
      <c r="A163" s="23"/>
      <c r="B163" s="8"/>
      <c r="C163" s="8"/>
      <c r="D163" s="24"/>
      <c r="E163" s="8"/>
      <c r="F163" s="25" t="str">
        <f aca="false">IF($A163="","",MONTH($A163))</f>
        <v/>
      </c>
      <c r="G163" s="25" t="str">
        <f aca="false">IF($A163="","",YEAR($A163))</f>
        <v/>
      </c>
    </row>
    <row r="164" customFormat="false" ht="15" hidden="false" customHeight="true" outlineLevel="0" collapsed="false">
      <c r="A164" s="23"/>
      <c r="B164" s="8"/>
      <c r="C164" s="8"/>
      <c r="D164" s="24"/>
      <c r="E164" s="8"/>
      <c r="F164" s="25" t="str">
        <f aca="false">IF($A164="","",MONTH($A164))</f>
        <v/>
      </c>
      <c r="G164" s="25" t="str">
        <f aca="false">IF($A164="","",YEAR($A164))</f>
        <v/>
      </c>
    </row>
    <row r="165" customFormat="false" ht="15" hidden="false" customHeight="true" outlineLevel="0" collapsed="false">
      <c r="A165" s="23"/>
      <c r="B165" s="8"/>
      <c r="C165" s="8"/>
      <c r="D165" s="24"/>
      <c r="E165" s="8"/>
      <c r="F165" s="25" t="str">
        <f aca="false">IF($A165="","",MONTH($A165))</f>
        <v/>
      </c>
      <c r="G165" s="25" t="str">
        <f aca="false">IF($A165="","",YEAR($A165))</f>
        <v/>
      </c>
    </row>
    <row r="166" customFormat="false" ht="15" hidden="false" customHeight="true" outlineLevel="0" collapsed="false">
      <c r="A166" s="23"/>
      <c r="B166" s="8"/>
      <c r="C166" s="8"/>
      <c r="D166" s="24"/>
      <c r="E166" s="8"/>
      <c r="F166" s="25" t="str">
        <f aca="false">IF($A166="","",MONTH($A166))</f>
        <v/>
      </c>
      <c r="G166" s="25" t="str">
        <f aca="false">IF($A166="","",YEAR($A166))</f>
        <v/>
      </c>
    </row>
    <row r="167" customFormat="false" ht="15" hidden="false" customHeight="true" outlineLevel="0" collapsed="false">
      <c r="A167" s="23"/>
      <c r="B167" s="8"/>
      <c r="C167" s="8"/>
      <c r="D167" s="24"/>
      <c r="E167" s="8"/>
      <c r="F167" s="25" t="str">
        <f aca="false">IF($A167="","",MONTH($A167))</f>
        <v/>
      </c>
      <c r="G167" s="25" t="str">
        <f aca="false">IF($A167="","",YEAR($A167))</f>
        <v/>
      </c>
    </row>
    <row r="168" customFormat="false" ht="15" hidden="false" customHeight="true" outlineLevel="0" collapsed="false">
      <c r="A168" s="23"/>
      <c r="B168" s="8"/>
      <c r="C168" s="8"/>
      <c r="D168" s="24"/>
      <c r="E168" s="8"/>
      <c r="F168" s="25" t="str">
        <f aca="false">IF($A168="","",MONTH($A168))</f>
        <v/>
      </c>
      <c r="G168" s="25" t="str">
        <f aca="false">IF($A168="","",YEAR($A168))</f>
        <v/>
      </c>
    </row>
    <row r="169" customFormat="false" ht="15" hidden="false" customHeight="true" outlineLevel="0" collapsed="false">
      <c r="A169" s="23"/>
      <c r="B169" s="8"/>
      <c r="C169" s="8"/>
      <c r="D169" s="24"/>
      <c r="E169" s="8"/>
      <c r="F169" s="25" t="str">
        <f aca="false">IF($A169="","",MONTH($A169))</f>
        <v/>
      </c>
      <c r="G169" s="25" t="str">
        <f aca="false">IF($A169="","",YEAR($A169))</f>
        <v/>
      </c>
    </row>
    <row r="170" customFormat="false" ht="15" hidden="false" customHeight="true" outlineLevel="0" collapsed="false">
      <c r="A170" s="23"/>
      <c r="B170" s="8"/>
      <c r="C170" s="8"/>
      <c r="D170" s="24"/>
      <c r="E170" s="8"/>
      <c r="F170" s="25" t="str">
        <f aca="false">IF($A170="","",MONTH($A170))</f>
        <v/>
      </c>
      <c r="G170" s="25" t="str">
        <f aca="false">IF($A170="","",YEAR($A170))</f>
        <v/>
      </c>
    </row>
    <row r="171" customFormat="false" ht="15" hidden="false" customHeight="true" outlineLevel="0" collapsed="false">
      <c r="A171" s="23"/>
      <c r="B171" s="8"/>
      <c r="C171" s="8"/>
      <c r="D171" s="24"/>
      <c r="E171" s="8"/>
      <c r="F171" s="25" t="str">
        <f aca="false">IF($A171="","",MONTH($A171))</f>
        <v/>
      </c>
      <c r="G171" s="25" t="str">
        <f aca="false">IF($A171="","",YEAR($A171))</f>
        <v/>
      </c>
    </row>
    <row r="172" customFormat="false" ht="15" hidden="false" customHeight="true" outlineLevel="0" collapsed="false">
      <c r="A172" s="23"/>
      <c r="B172" s="8"/>
      <c r="C172" s="8"/>
      <c r="D172" s="24"/>
      <c r="E172" s="8"/>
      <c r="F172" s="25" t="str">
        <f aca="false">IF($A172="","",MONTH($A172))</f>
        <v/>
      </c>
      <c r="G172" s="25" t="str">
        <f aca="false">IF($A172="","",YEAR($A172))</f>
        <v/>
      </c>
    </row>
    <row r="173" customFormat="false" ht="15" hidden="false" customHeight="true" outlineLevel="0" collapsed="false">
      <c r="A173" s="23"/>
      <c r="B173" s="8"/>
      <c r="C173" s="8"/>
      <c r="D173" s="24"/>
      <c r="E173" s="8"/>
      <c r="F173" s="25" t="str">
        <f aca="false">IF($A173="","",MONTH($A173))</f>
        <v/>
      </c>
      <c r="G173" s="25" t="str">
        <f aca="false">IF($A173="","",YEAR($A173))</f>
        <v/>
      </c>
    </row>
    <row r="174" customFormat="false" ht="15" hidden="false" customHeight="true" outlineLevel="0" collapsed="false">
      <c r="A174" s="23"/>
      <c r="B174" s="8"/>
      <c r="C174" s="8"/>
      <c r="D174" s="24"/>
      <c r="E174" s="8"/>
      <c r="F174" s="25" t="str">
        <f aca="false">IF($A174="","",MONTH($A174))</f>
        <v/>
      </c>
      <c r="G174" s="25" t="str">
        <f aca="false">IF($A174="","",YEAR($A174))</f>
        <v/>
      </c>
    </row>
    <row r="175" customFormat="false" ht="15" hidden="false" customHeight="true" outlineLevel="0" collapsed="false">
      <c r="A175" s="23"/>
      <c r="B175" s="8"/>
      <c r="C175" s="8"/>
      <c r="D175" s="24"/>
      <c r="E175" s="8"/>
      <c r="F175" s="25" t="str">
        <f aca="false">IF($A175="","",MONTH($A175))</f>
        <v/>
      </c>
      <c r="G175" s="25" t="str">
        <f aca="false">IF($A175="","",YEAR($A175))</f>
        <v/>
      </c>
    </row>
    <row r="176" customFormat="false" ht="15" hidden="false" customHeight="true" outlineLevel="0" collapsed="false">
      <c r="A176" s="23"/>
      <c r="B176" s="8"/>
      <c r="C176" s="8"/>
      <c r="D176" s="24"/>
      <c r="E176" s="8"/>
      <c r="F176" s="25" t="str">
        <f aca="false">IF($A176="","",MONTH($A176))</f>
        <v/>
      </c>
      <c r="G176" s="25" t="str">
        <f aca="false">IF($A176="","",YEAR($A176))</f>
        <v/>
      </c>
    </row>
    <row r="177" customFormat="false" ht="15" hidden="false" customHeight="true" outlineLevel="0" collapsed="false">
      <c r="A177" s="23"/>
      <c r="B177" s="8"/>
      <c r="C177" s="8"/>
      <c r="D177" s="24"/>
      <c r="E177" s="8"/>
      <c r="F177" s="25" t="str">
        <f aca="false">IF($A177="","",MONTH($A177))</f>
        <v/>
      </c>
      <c r="G177" s="25" t="str">
        <f aca="false">IF($A177="","",YEAR($A177))</f>
        <v/>
      </c>
    </row>
    <row r="178" customFormat="false" ht="15" hidden="false" customHeight="true" outlineLevel="0" collapsed="false">
      <c r="A178" s="23"/>
      <c r="B178" s="8"/>
      <c r="C178" s="8"/>
      <c r="D178" s="24"/>
      <c r="E178" s="8"/>
      <c r="F178" s="25" t="str">
        <f aca="false">IF($A178="","",MONTH($A178))</f>
        <v/>
      </c>
      <c r="G178" s="25" t="str">
        <f aca="false">IF($A178="","",YEAR($A178))</f>
        <v/>
      </c>
    </row>
    <row r="179" customFormat="false" ht="15" hidden="false" customHeight="true" outlineLevel="0" collapsed="false">
      <c r="A179" s="23"/>
      <c r="B179" s="8"/>
      <c r="C179" s="8"/>
      <c r="D179" s="24"/>
      <c r="E179" s="8"/>
      <c r="F179" s="25" t="str">
        <f aca="false">IF($A179="","",MONTH($A179))</f>
        <v/>
      </c>
      <c r="G179" s="25" t="str">
        <f aca="false">IF($A179="","",YEAR($A179))</f>
        <v/>
      </c>
    </row>
    <row r="180" customFormat="false" ht="15" hidden="false" customHeight="true" outlineLevel="0" collapsed="false">
      <c r="A180" s="23"/>
      <c r="B180" s="8"/>
      <c r="C180" s="8"/>
      <c r="D180" s="24"/>
      <c r="E180" s="8"/>
      <c r="F180" s="25" t="str">
        <f aca="false">IF($A180="","",MONTH($A180))</f>
        <v/>
      </c>
      <c r="G180" s="25" t="str">
        <f aca="false">IF($A180="","",YEAR($A180))</f>
        <v/>
      </c>
    </row>
    <row r="181" customFormat="false" ht="15" hidden="false" customHeight="true" outlineLevel="0" collapsed="false">
      <c r="A181" s="23"/>
      <c r="B181" s="8"/>
      <c r="C181" s="8"/>
      <c r="D181" s="24"/>
      <c r="E181" s="8"/>
      <c r="F181" s="25" t="str">
        <f aca="false">IF($A181="","",MONTH($A181))</f>
        <v/>
      </c>
      <c r="G181" s="25" t="str">
        <f aca="false">IF($A181="","",YEAR($A181))</f>
        <v/>
      </c>
    </row>
    <row r="182" customFormat="false" ht="15" hidden="false" customHeight="true" outlineLevel="0" collapsed="false">
      <c r="A182" s="23"/>
      <c r="B182" s="8"/>
      <c r="C182" s="8"/>
      <c r="D182" s="24"/>
      <c r="E182" s="8"/>
      <c r="F182" s="25" t="str">
        <f aca="false">IF($A182="","",MONTH($A182))</f>
        <v/>
      </c>
      <c r="G182" s="25" t="str">
        <f aca="false">IF($A182="","",YEAR($A182))</f>
        <v/>
      </c>
    </row>
    <row r="183" customFormat="false" ht="15" hidden="false" customHeight="true" outlineLevel="0" collapsed="false">
      <c r="A183" s="23"/>
      <c r="B183" s="8"/>
      <c r="C183" s="8"/>
      <c r="D183" s="24"/>
      <c r="E183" s="8"/>
      <c r="F183" s="25" t="str">
        <f aca="false">IF($A183="","",MONTH($A183))</f>
        <v/>
      </c>
      <c r="G183" s="25" t="str">
        <f aca="false">IF($A183="","",YEAR($A183))</f>
        <v/>
      </c>
    </row>
    <row r="184" customFormat="false" ht="15" hidden="false" customHeight="true" outlineLevel="0" collapsed="false">
      <c r="A184" s="23"/>
      <c r="B184" s="8"/>
      <c r="C184" s="8"/>
      <c r="D184" s="24"/>
      <c r="E184" s="8"/>
      <c r="F184" s="25" t="str">
        <f aca="false">IF($A184="","",MONTH($A184))</f>
        <v/>
      </c>
      <c r="G184" s="25" t="str">
        <f aca="false">IF($A184="","",YEAR($A184))</f>
        <v/>
      </c>
    </row>
    <row r="185" customFormat="false" ht="15" hidden="false" customHeight="true" outlineLevel="0" collapsed="false">
      <c r="A185" s="23"/>
      <c r="B185" s="8"/>
      <c r="C185" s="8"/>
      <c r="D185" s="24"/>
      <c r="E185" s="8"/>
      <c r="F185" s="25" t="str">
        <f aca="false">IF($A185="","",MONTH($A185))</f>
        <v/>
      </c>
      <c r="G185" s="25" t="str">
        <f aca="false">IF($A185="","",YEAR($A185))</f>
        <v/>
      </c>
    </row>
    <row r="186" customFormat="false" ht="15" hidden="false" customHeight="true" outlineLevel="0" collapsed="false">
      <c r="A186" s="23"/>
      <c r="B186" s="8"/>
      <c r="C186" s="8"/>
      <c r="D186" s="24"/>
      <c r="E186" s="8"/>
      <c r="F186" s="25" t="str">
        <f aca="false">IF($A186="","",MONTH($A186))</f>
        <v/>
      </c>
      <c r="G186" s="25" t="str">
        <f aca="false">IF($A186="","",YEAR($A186))</f>
        <v/>
      </c>
    </row>
    <row r="187" customFormat="false" ht="15" hidden="false" customHeight="true" outlineLevel="0" collapsed="false">
      <c r="A187" s="23"/>
      <c r="B187" s="8"/>
      <c r="C187" s="8"/>
      <c r="D187" s="24"/>
      <c r="E187" s="8"/>
      <c r="F187" s="25" t="str">
        <f aca="false">IF($A187="","",MONTH($A187))</f>
        <v/>
      </c>
      <c r="G187" s="25" t="str">
        <f aca="false">IF($A187="","",YEAR($A187))</f>
        <v/>
      </c>
    </row>
    <row r="188" customFormat="false" ht="15" hidden="false" customHeight="true" outlineLevel="0" collapsed="false">
      <c r="A188" s="23"/>
      <c r="B188" s="8"/>
      <c r="C188" s="8"/>
      <c r="D188" s="24"/>
      <c r="E188" s="8"/>
      <c r="F188" s="25" t="str">
        <f aca="false">IF($A188="","",MONTH($A188))</f>
        <v/>
      </c>
      <c r="G188" s="25" t="str">
        <f aca="false">IF($A188="","",YEAR($A188))</f>
        <v/>
      </c>
    </row>
    <row r="189" customFormat="false" ht="15" hidden="false" customHeight="true" outlineLevel="0" collapsed="false">
      <c r="A189" s="23"/>
      <c r="B189" s="8"/>
      <c r="C189" s="8"/>
      <c r="D189" s="24"/>
      <c r="E189" s="8"/>
      <c r="F189" s="25" t="str">
        <f aca="false">IF($A189="","",MONTH($A189))</f>
        <v/>
      </c>
      <c r="G189" s="25" t="str">
        <f aca="false">IF($A189="","",YEAR($A189))</f>
        <v/>
      </c>
    </row>
    <row r="190" customFormat="false" ht="15" hidden="false" customHeight="true" outlineLevel="0" collapsed="false">
      <c r="A190" s="23"/>
      <c r="B190" s="8"/>
      <c r="C190" s="8"/>
      <c r="D190" s="24"/>
      <c r="E190" s="8"/>
      <c r="F190" s="25" t="str">
        <f aca="false">IF($A190="","",MONTH($A190))</f>
        <v/>
      </c>
      <c r="G190" s="25" t="str">
        <f aca="false">IF($A190="","",YEAR($A190))</f>
        <v/>
      </c>
    </row>
    <row r="191" customFormat="false" ht="15" hidden="false" customHeight="true" outlineLevel="0" collapsed="false">
      <c r="A191" s="23"/>
      <c r="B191" s="8"/>
      <c r="C191" s="8"/>
      <c r="D191" s="24"/>
      <c r="E191" s="8"/>
      <c r="F191" s="25" t="str">
        <f aca="false">IF($A191="","",MONTH($A191))</f>
        <v/>
      </c>
      <c r="G191" s="25" t="str">
        <f aca="false">IF($A191="","",YEAR($A191))</f>
        <v/>
      </c>
    </row>
    <row r="192" customFormat="false" ht="15" hidden="false" customHeight="true" outlineLevel="0" collapsed="false">
      <c r="A192" s="23"/>
      <c r="B192" s="8"/>
      <c r="C192" s="8"/>
      <c r="D192" s="24"/>
      <c r="E192" s="8"/>
      <c r="F192" s="25" t="str">
        <f aca="false">IF($A192="","",MONTH($A192))</f>
        <v/>
      </c>
      <c r="G192" s="25" t="str">
        <f aca="false">IF($A192="","",YEAR($A192))</f>
        <v/>
      </c>
    </row>
    <row r="193" customFormat="false" ht="15" hidden="false" customHeight="true" outlineLevel="0" collapsed="false">
      <c r="A193" s="23"/>
      <c r="B193" s="8"/>
      <c r="C193" s="8"/>
      <c r="D193" s="24"/>
      <c r="E193" s="8"/>
      <c r="F193" s="25" t="str">
        <f aca="false">IF($A193="","",MONTH($A193))</f>
        <v/>
      </c>
      <c r="G193" s="25" t="str">
        <f aca="false">IF($A193="","",YEAR($A193))</f>
        <v/>
      </c>
    </row>
    <row r="194" customFormat="false" ht="15" hidden="false" customHeight="true" outlineLevel="0" collapsed="false">
      <c r="A194" s="23"/>
      <c r="B194" s="8"/>
      <c r="C194" s="8"/>
      <c r="D194" s="24"/>
      <c r="E194" s="8"/>
      <c r="F194" s="25" t="str">
        <f aca="false">IF($A194="","",MONTH($A194))</f>
        <v/>
      </c>
      <c r="G194" s="25" t="str">
        <f aca="false">IF($A194="","",YEAR($A194))</f>
        <v/>
      </c>
    </row>
    <row r="195" customFormat="false" ht="15" hidden="false" customHeight="true" outlineLevel="0" collapsed="false">
      <c r="A195" s="23"/>
      <c r="B195" s="8"/>
      <c r="C195" s="8"/>
      <c r="D195" s="24"/>
      <c r="E195" s="8"/>
      <c r="F195" s="25" t="str">
        <f aca="false">IF($A195="","",MONTH($A195))</f>
        <v/>
      </c>
      <c r="G195" s="25" t="str">
        <f aca="false">IF($A195="","",YEAR($A195))</f>
        <v/>
      </c>
    </row>
    <row r="196" customFormat="false" ht="15" hidden="false" customHeight="true" outlineLevel="0" collapsed="false">
      <c r="A196" s="23"/>
      <c r="B196" s="8"/>
      <c r="C196" s="8"/>
      <c r="D196" s="24"/>
      <c r="E196" s="8"/>
      <c r="F196" s="25" t="str">
        <f aca="false">IF($A196="","",MONTH($A196))</f>
        <v/>
      </c>
      <c r="G196" s="25" t="str">
        <f aca="false">IF($A196="","",YEAR($A196))</f>
        <v/>
      </c>
    </row>
    <row r="197" customFormat="false" ht="15" hidden="false" customHeight="true" outlineLevel="0" collapsed="false">
      <c r="A197" s="23"/>
      <c r="B197" s="8"/>
      <c r="C197" s="8"/>
      <c r="D197" s="24"/>
      <c r="E197" s="8"/>
      <c r="F197" s="25" t="str">
        <f aca="false">IF($A197="","",MONTH($A197))</f>
        <v/>
      </c>
      <c r="G197" s="25" t="str">
        <f aca="false">IF($A197="","",YEAR($A197))</f>
        <v/>
      </c>
    </row>
    <row r="198" customFormat="false" ht="15" hidden="false" customHeight="true" outlineLevel="0" collapsed="false">
      <c r="A198" s="23"/>
      <c r="B198" s="8"/>
      <c r="C198" s="8"/>
      <c r="D198" s="24"/>
      <c r="E198" s="8"/>
      <c r="F198" s="25" t="str">
        <f aca="false">IF($A198="","",MONTH($A198))</f>
        <v/>
      </c>
      <c r="G198" s="25" t="str">
        <f aca="false">IF($A198="","",YEAR($A198))</f>
        <v/>
      </c>
    </row>
    <row r="199" customFormat="false" ht="15" hidden="false" customHeight="true" outlineLevel="0" collapsed="false">
      <c r="A199" s="23"/>
      <c r="B199" s="8"/>
      <c r="C199" s="8"/>
      <c r="D199" s="24"/>
      <c r="E199" s="8"/>
      <c r="F199" s="25" t="str">
        <f aca="false">IF($A199="","",MONTH($A199))</f>
        <v/>
      </c>
      <c r="G199" s="25" t="str">
        <f aca="false">IF($A199="","",YEAR($A199))</f>
        <v/>
      </c>
    </row>
    <row r="200" customFormat="false" ht="15" hidden="false" customHeight="true" outlineLevel="0" collapsed="false">
      <c r="A200" s="23"/>
      <c r="B200" s="8"/>
      <c r="C200" s="8"/>
      <c r="D200" s="24"/>
      <c r="E200" s="8"/>
      <c r="F200" s="25" t="str">
        <f aca="false">IF($A200="","",MONTH($A200))</f>
        <v/>
      </c>
      <c r="G200" s="25" t="str">
        <f aca="false">IF($A200="","",YEAR($A200))</f>
        <v/>
      </c>
    </row>
    <row r="201" customFormat="false" ht="15" hidden="false" customHeight="true" outlineLevel="0" collapsed="false">
      <c r="A201" s="23"/>
      <c r="B201" s="8"/>
      <c r="C201" s="8"/>
      <c r="D201" s="24"/>
      <c r="E201" s="8"/>
      <c r="F201" s="25" t="str">
        <f aca="false">IF($A201="","",MONTH($A201))</f>
        <v/>
      </c>
      <c r="G201" s="25" t="str">
        <f aca="false">IF($A201="","",YEAR($A201))</f>
        <v/>
      </c>
    </row>
    <row r="202" customFormat="false" ht="15" hidden="false" customHeight="true" outlineLevel="0" collapsed="false">
      <c r="A202" s="23"/>
      <c r="B202" s="8"/>
      <c r="C202" s="8"/>
      <c r="D202" s="24"/>
      <c r="E202" s="8"/>
      <c r="F202" s="25" t="str">
        <f aca="false">IF($A202="","",MONTH($A202))</f>
        <v/>
      </c>
      <c r="G202" s="25" t="str">
        <f aca="false">IF($A202="","",YEAR($A202))</f>
        <v/>
      </c>
    </row>
    <row r="203" customFormat="false" ht="15" hidden="false" customHeight="true" outlineLevel="0" collapsed="false">
      <c r="A203" s="23"/>
      <c r="B203" s="8"/>
      <c r="C203" s="8"/>
      <c r="D203" s="24"/>
      <c r="E203" s="8"/>
      <c r="F203" s="25" t="str">
        <f aca="false">IF($A203="","",MONTH($A203))</f>
        <v/>
      </c>
      <c r="G203" s="25" t="str">
        <f aca="false">IF($A203="","",YEAR($A203))</f>
        <v/>
      </c>
    </row>
    <row r="204" customFormat="false" ht="15" hidden="false" customHeight="true" outlineLevel="0" collapsed="false">
      <c r="A204" s="23"/>
      <c r="B204" s="8"/>
      <c r="C204" s="8"/>
      <c r="D204" s="24"/>
      <c r="E204" s="8"/>
      <c r="F204" s="25" t="str">
        <f aca="false">IF($A204="","",MONTH($A204))</f>
        <v/>
      </c>
      <c r="G204" s="25" t="str">
        <f aca="false">IF($A204="","",YEAR($A204))</f>
        <v/>
      </c>
    </row>
    <row r="205" customFormat="false" ht="15" hidden="false" customHeight="true" outlineLevel="0" collapsed="false">
      <c r="A205" s="23"/>
      <c r="B205" s="8"/>
      <c r="C205" s="8"/>
      <c r="D205" s="24"/>
      <c r="E205" s="8"/>
      <c r="F205" s="25" t="str">
        <f aca="false">IF($A205="","",MONTH($A205))</f>
        <v/>
      </c>
      <c r="G205" s="25" t="str">
        <f aca="false">IF($A205="","",YEAR($A205))</f>
        <v/>
      </c>
    </row>
    <row r="206" customFormat="false" ht="15" hidden="false" customHeight="true" outlineLevel="0" collapsed="false">
      <c r="A206" s="23"/>
      <c r="B206" s="8"/>
      <c r="C206" s="8"/>
      <c r="D206" s="24"/>
      <c r="E206" s="8"/>
      <c r="F206" s="25" t="str">
        <f aca="false">IF($A206="","",MONTH($A206))</f>
        <v/>
      </c>
      <c r="G206" s="25" t="str">
        <f aca="false">IF($A206="","",YEAR($A206))</f>
        <v/>
      </c>
    </row>
    <row r="207" customFormat="false" ht="15" hidden="false" customHeight="true" outlineLevel="0" collapsed="false">
      <c r="A207" s="23"/>
      <c r="B207" s="8"/>
      <c r="C207" s="8"/>
      <c r="D207" s="24"/>
      <c r="E207" s="8"/>
      <c r="F207" s="25" t="str">
        <f aca="false">IF($A207="","",MONTH($A207))</f>
        <v/>
      </c>
      <c r="G207" s="25" t="str">
        <f aca="false">IF($A207="","",YEAR($A207))</f>
        <v/>
      </c>
    </row>
    <row r="208" customFormat="false" ht="15" hidden="false" customHeight="true" outlineLevel="0" collapsed="false">
      <c r="A208" s="23"/>
      <c r="B208" s="8"/>
      <c r="C208" s="8"/>
      <c r="D208" s="24"/>
      <c r="E208" s="8"/>
      <c r="F208" s="25" t="str">
        <f aca="false">IF($A208="","",MONTH($A208))</f>
        <v/>
      </c>
      <c r="G208" s="25" t="str">
        <f aca="false">IF($A208="","",YEAR($A208))</f>
        <v/>
      </c>
    </row>
    <row r="209" customFormat="false" ht="15" hidden="false" customHeight="true" outlineLevel="0" collapsed="false">
      <c r="A209" s="23"/>
      <c r="B209" s="8"/>
      <c r="C209" s="8"/>
      <c r="D209" s="24"/>
      <c r="E209" s="8"/>
      <c r="F209" s="25" t="str">
        <f aca="false">IF($A209="","",MONTH($A209))</f>
        <v/>
      </c>
      <c r="G209" s="25" t="str">
        <f aca="false">IF($A209="","",YEAR($A209))</f>
        <v/>
      </c>
    </row>
    <row r="210" customFormat="false" ht="15" hidden="false" customHeight="true" outlineLevel="0" collapsed="false">
      <c r="A210" s="23"/>
      <c r="B210" s="8"/>
      <c r="C210" s="8"/>
      <c r="D210" s="24"/>
      <c r="E210" s="8"/>
      <c r="F210" s="25" t="str">
        <f aca="false">IF($A210="","",MONTH($A210))</f>
        <v/>
      </c>
      <c r="G210" s="25" t="str">
        <f aca="false">IF($A210="","",YEAR($A210))</f>
        <v/>
      </c>
    </row>
    <row r="211" customFormat="false" ht="15" hidden="false" customHeight="true" outlineLevel="0" collapsed="false">
      <c r="A211" s="23"/>
      <c r="B211" s="8"/>
      <c r="C211" s="8"/>
      <c r="D211" s="24"/>
      <c r="E211" s="8"/>
      <c r="F211" s="25" t="str">
        <f aca="false">IF($A211="","",MONTH($A211))</f>
        <v/>
      </c>
      <c r="G211" s="25" t="str">
        <f aca="false">IF($A211="","",YEAR($A211))</f>
        <v/>
      </c>
    </row>
    <row r="212" customFormat="false" ht="15" hidden="false" customHeight="true" outlineLevel="0" collapsed="false">
      <c r="A212" s="23"/>
      <c r="B212" s="8"/>
      <c r="C212" s="8"/>
      <c r="D212" s="24"/>
      <c r="E212" s="8"/>
      <c r="F212" s="25" t="str">
        <f aca="false">IF($A212="","",MONTH($A212))</f>
        <v/>
      </c>
      <c r="G212" s="25" t="str">
        <f aca="false">IF($A212="","",YEAR($A212))</f>
        <v/>
      </c>
    </row>
    <row r="213" customFormat="false" ht="15" hidden="false" customHeight="true" outlineLevel="0" collapsed="false">
      <c r="A213" s="23"/>
      <c r="B213" s="8"/>
      <c r="C213" s="8"/>
      <c r="D213" s="24"/>
      <c r="E213" s="8"/>
      <c r="F213" s="25" t="str">
        <f aca="false">IF($A213="","",MONTH($A213))</f>
        <v/>
      </c>
      <c r="G213" s="25" t="str">
        <f aca="false">IF($A213="","",YEAR($A213))</f>
        <v/>
      </c>
    </row>
    <row r="214" customFormat="false" ht="15" hidden="false" customHeight="true" outlineLevel="0" collapsed="false">
      <c r="A214" s="23"/>
      <c r="B214" s="8"/>
      <c r="C214" s="8"/>
      <c r="D214" s="24"/>
      <c r="E214" s="8"/>
      <c r="F214" s="25" t="str">
        <f aca="false">IF($A214="","",MONTH($A214))</f>
        <v/>
      </c>
      <c r="G214" s="25" t="str">
        <f aca="false">IF($A214="","",YEAR($A214))</f>
        <v/>
      </c>
    </row>
    <row r="215" customFormat="false" ht="15" hidden="false" customHeight="true" outlineLevel="0" collapsed="false">
      <c r="A215" s="23"/>
      <c r="B215" s="8"/>
      <c r="C215" s="8"/>
      <c r="D215" s="24"/>
      <c r="E215" s="8"/>
      <c r="F215" s="25" t="str">
        <f aca="false">IF($A215="","",MONTH($A215))</f>
        <v/>
      </c>
      <c r="G215" s="25" t="str">
        <f aca="false">IF($A215="","",YEAR($A215))</f>
        <v/>
      </c>
    </row>
    <row r="216" customFormat="false" ht="15" hidden="false" customHeight="true" outlineLevel="0" collapsed="false">
      <c r="A216" s="23"/>
      <c r="B216" s="8"/>
      <c r="C216" s="8"/>
      <c r="D216" s="24"/>
      <c r="E216" s="8"/>
      <c r="F216" s="25" t="str">
        <f aca="false">IF($A216="","",MONTH($A216))</f>
        <v/>
      </c>
      <c r="G216" s="25" t="str">
        <f aca="false">IF($A216="","",YEAR($A216))</f>
        <v/>
      </c>
    </row>
    <row r="217" customFormat="false" ht="15" hidden="false" customHeight="true" outlineLevel="0" collapsed="false">
      <c r="A217" s="23"/>
      <c r="B217" s="8"/>
      <c r="C217" s="8"/>
      <c r="D217" s="24"/>
      <c r="E217" s="8"/>
      <c r="F217" s="25" t="str">
        <f aca="false">IF($A217="","",MONTH($A217))</f>
        <v/>
      </c>
      <c r="G217" s="25" t="str">
        <f aca="false">IF($A217="","",YEAR($A217))</f>
        <v/>
      </c>
    </row>
    <row r="218" customFormat="false" ht="15" hidden="false" customHeight="true" outlineLevel="0" collapsed="false">
      <c r="A218" s="23"/>
      <c r="B218" s="8"/>
      <c r="C218" s="8"/>
      <c r="D218" s="24"/>
      <c r="E218" s="8"/>
      <c r="F218" s="25" t="str">
        <f aca="false">IF($A218="","",MONTH($A218))</f>
        <v/>
      </c>
      <c r="G218" s="25" t="str">
        <f aca="false">IF($A218="","",YEAR($A218))</f>
        <v/>
      </c>
    </row>
    <row r="219" customFormat="false" ht="15" hidden="false" customHeight="true" outlineLevel="0" collapsed="false">
      <c r="A219" s="23"/>
      <c r="B219" s="8"/>
      <c r="C219" s="8"/>
      <c r="D219" s="24"/>
      <c r="E219" s="8"/>
      <c r="F219" s="25" t="str">
        <f aca="false">IF($A219="","",MONTH($A219))</f>
        <v/>
      </c>
      <c r="G219" s="25" t="str">
        <f aca="false">IF($A219="","",YEAR($A219))</f>
        <v/>
      </c>
    </row>
    <row r="220" customFormat="false" ht="15" hidden="false" customHeight="true" outlineLevel="0" collapsed="false">
      <c r="A220" s="23"/>
      <c r="B220" s="8"/>
      <c r="C220" s="8"/>
      <c r="D220" s="24"/>
      <c r="E220" s="8"/>
      <c r="F220" s="25" t="str">
        <f aca="false">IF($A220="","",MONTH($A220))</f>
        <v/>
      </c>
      <c r="G220" s="25" t="str">
        <f aca="false">IF($A220="","",YEAR($A220))</f>
        <v/>
      </c>
    </row>
    <row r="221" customFormat="false" ht="15" hidden="false" customHeight="true" outlineLevel="0" collapsed="false">
      <c r="A221" s="23"/>
      <c r="B221" s="8"/>
      <c r="C221" s="8"/>
      <c r="D221" s="24"/>
      <c r="E221" s="8"/>
      <c r="F221" s="25" t="str">
        <f aca="false">IF($A221="","",MONTH($A221))</f>
        <v/>
      </c>
      <c r="G221" s="25" t="str">
        <f aca="false">IF($A221="","",YEAR($A221))</f>
        <v/>
      </c>
    </row>
    <row r="222" customFormat="false" ht="15" hidden="false" customHeight="true" outlineLevel="0" collapsed="false">
      <c r="A222" s="23"/>
      <c r="B222" s="8"/>
      <c r="C222" s="8"/>
      <c r="D222" s="24"/>
      <c r="E222" s="8"/>
      <c r="F222" s="25" t="str">
        <f aca="false">IF($A222="","",MONTH($A222))</f>
        <v/>
      </c>
      <c r="G222" s="25" t="str">
        <f aca="false">IF($A222="","",YEAR($A222))</f>
        <v/>
      </c>
    </row>
    <row r="223" customFormat="false" ht="15" hidden="false" customHeight="true" outlineLevel="0" collapsed="false">
      <c r="A223" s="23"/>
      <c r="B223" s="8"/>
      <c r="C223" s="8"/>
      <c r="D223" s="24"/>
      <c r="E223" s="8"/>
      <c r="F223" s="25" t="str">
        <f aca="false">IF($A223="","",MONTH($A223))</f>
        <v/>
      </c>
      <c r="G223" s="25" t="str">
        <f aca="false">IF($A223="","",YEAR($A223))</f>
        <v/>
      </c>
    </row>
    <row r="224" customFormat="false" ht="15" hidden="false" customHeight="true" outlineLevel="0" collapsed="false">
      <c r="A224" s="23"/>
      <c r="B224" s="8"/>
      <c r="C224" s="8"/>
      <c r="D224" s="24"/>
      <c r="E224" s="8"/>
      <c r="F224" s="25" t="str">
        <f aca="false">IF($A224="","",MONTH($A224))</f>
        <v/>
      </c>
      <c r="G224" s="25" t="str">
        <f aca="false">IF($A224="","",YEAR($A224))</f>
        <v/>
      </c>
    </row>
    <row r="225" customFormat="false" ht="15" hidden="false" customHeight="true" outlineLevel="0" collapsed="false">
      <c r="A225" s="23"/>
      <c r="B225" s="8"/>
      <c r="C225" s="8"/>
      <c r="D225" s="24"/>
      <c r="E225" s="8"/>
      <c r="F225" s="25" t="str">
        <f aca="false">IF($A225="","",MONTH($A225))</f>
        <v/>
      </c>
      <c r="G225" s="25" t="str">
        <f aca="false">IF($A225="","",YEAR($A225))</f>
        <v/>
      </c>
    </row>
    <row r="226" customFormat="false" ht="15" hidden="false" customHeight="true" outlineLevel="0" collapsed="false">
      <c r="A226" s="23"/>
      <c r="B226" s="8"/>
      <c r="C226" s="8"/>
      <c r="D226" s="24"/>
      <c r="E226" s="8"/>
      <c r="F226" s="25" t="str">
        <f aca="false">IF($A226="","",MONTH($A226))</f>
        <v/>
      </c>
      <c r="G226" s="25" t="str">
        <f aca="false">IF($A226="","",YEAR($A226))</f>
        <v/>
      </c>
    </row>
    <row r="227" customFormat="false" ht="15" hidden="false" customHeight="true" outlineLevel="0" collapsed="false">
      <c r="A227" s="23"/>
      <c r="B227" s="8"/>
      <c r="C227" s="8"/>
      <c r="D227" s="24"/>
      <c r="E227" s="8"/>
      <c r="F227" s="25" t="str">
        <f aca="false">IF($A227="","",MONTH($A227))</f>
        <v/>
      </c>
      <c r="G227" s="25" t="str">
        <f aca="false">IF($A227="","",YEAR($A227))</f>
        <v/>
      </c>
    </row>
    <row r="228" customFormat="false" ht="15" hidden="false" customHeight="true" outlineLevel="0" collapsed="false">
      <c r="A228" s="23"/>
      <c r="B228" s="8"/>
      <c r="C228" s="8"/>
      <c r="D228" s="24"/>
      <c r="E228" s="8"/>
      <c r="F228" s="25" t="str">
        <f aca="false">IF($A228="","",MONTH($A228))</f>
        <v/>
      </c>
      <c r="G228" s="25" t="str">
        <f aca="false">IF($A228="","",YEAR($A228))</f>
        <v/>
      </c>
    </row>
    <row r="229" customFormat="false" ht="15" hidden="false" customHeight="true" outlineLevel="0" collapsed="false">
      <c r="A229" s="23"/>
      <c r="B229" s="8"/>
      <c r="C229" s="8"/>
      <c r="D229" s="24"/>
      <c r="E229" s="8"/>
      <c r="F229" s="25" t="str">
        <f aca="false">IF($A229="","",MONTH($A229))</f>
        <v/>
      </c>
      <c r="G229" s="25" t="str">
        <f aca="false">IF($A229="","",YEAR($A229))</f>
        <v/>
      </c>
    </row>
    <row r="230" customFormat="false" ht="15" hidden="false" customHeight="true" outlineLevel="0" collapsed="false">
      <c r="A230" s="23"/>
      <c r="B230" s="8"/>
      <c r="C230" s="8"/>
      <c r="D230" s="24"/>
      <c r="E230" s="8"/>
      <c r="F230" s="25" t="str">
        <f aca="false">IF($A230="","",MONTH($A230))</f>
        <v/>
      </c>
      <c r="G230" s="25" t="str">
        <f aca="false">IF($A230="","",YEAR($A230))</f>
        <v/>
      </c>
    </row>
    <row r="231" customFormat="false" ht="15" hidden="false" customHeight="true" outlineLevel="0" collapsed="false">
      <c r="A231" s="23"/>
      <c r="B231" s="8"/>
      <c r="C231" s="8"/>
      <c r="D231" s="24"/>
      <c r="E231" s="8"/>
      <c r="F231" s="25" t="str">
        <f aca="false">IF($A231="","",MONTH($A231))</f>
        <v/>
      </c>
      <c r="G231" s="25" t="str">
        <f aca="false">IF($A231="","",YEAR($A231))</f>
        <v/>
      </c>
    </row>
    <row r="232" customFormat="false" ht="15" hidden="false" customHeight="true" outlineLevel="0" collapsed="false">
      <c r="A232" s="23"/>
      <c r="B232" s="8"/>
      <c r="C232" s="8"/>
      <c r="D232" s="24"/>
      <c r="E232" s="8"/>
      <c r="F232" s="25" t="str">
        <f aca="false">IF($A232="","",MONTH($A232))</f>
        <v/>
      </c>
      <c r="G232" s="25" t="str">
        <f aca="false">IF($A232="","",YEAR($A232))</f>
        <v/>
      </c>
    </row>
    <row r="233" customFormat="false" ht="15" hidden="false" customHeight="true" outlineLevel="0" collapsed="false">
      <c r="A233" s="23"/>
      <c r="B233" s="8"/>
      <c r="C233" s="8"/>
      <c r="D233" s="24"/>
      <c r="E233" s="8"/>
      <c r="F233" s="25" t="str">
        <f aca="false">IF($A233="","",MONTH($A233))</f>
        <v/>
      </c>
      <c r="G233" s="25" t="str">
        <f aca="false">IF($A233="","",YEAR($A233))</f>
        <v/>
      </c>
    </row>
    <row r="234" customFormat="false" ht="15" hidden="false" customHeight="true" outlineLevel="0" collapsed="false">
      <c r="A234" s="23"/>
      <c r="B234" s="8"/>
      <c r="C234" s="8"/>
      <c r="D234" s="24"/>
      <c r="E234" s="8"/>
      <c r="F234" s="25" t="str">
        <f aca="false">IF($A234="","",MONTH($A234))</f>
        <v/>
      </c>
      <c r="G234" s="25" t="str">
        <f aca="false">IF($A234="","",YEAR($A234))</f>
        <v/>
      </c>
    </row>
    <row r="235" customFormat="false" ht="15" hidden="false" customHeight="true" outlineLevel="0" collapsed="false">
      <c r="A235" s="23"/>
      <c r="B235" s="8"/>
      <c r="C235" s="8"/>
      <c r="D235" s="24"/>
      <c r="E235" s="8"/>
      <c r="F235" s="25" t="str">
        <f aca="false">IF($A235="","",MONTH($A235))</f>
        <v/>
      </c>
      <c r="G235" s="25" t="str">
        <f aca="false">IF($A235="","",YEAR($A235))</f>
        <v/>
      </c>
    </row>
    <row r="236" customFormat="false" ht="15" hidden="false" customHeight="true" outlineLevel="0" collapsed="false">
      <c r="A236" s="23"/>
      <c r="B236" s="8"/>
      <c r="C236" s="8"/>
      <c r="D236" s="24"/>
      <c r="E236" s="8"/>
      <c r="F236" s="25" t="str">
        <f aca="false">IF($A236="","",MONTH($A236))</f>
        <v/>
      </c>
      <c r="G236" s="25" t="str">
        <f aca="false">IF($A236="","",YEAR($A236))</f>
        <v/>
      </c>
    </row>
    <row r="237" customFormat="false" ht="15" hidden="false" customHeight="true" outlineLevel="0" collapsed="false">
      <c r="A237" s="23"/>
      <c r="B237" s="8"/>
      <c r="C237" s="8"/>
      <c r="D237" s="24"/>
      <c r="E237" s="8"/>
      <c r="F237" s="25" t="str">
        <f aca="false">IF($A237="","",MONTH($A237))</f>
        <v/>
      </c>
      <c r="G237" s="25" t="str">
        <f aca="false">IF($A237="","",YEAR($A237))</f>
        <v/>
      </c>
    </row>
    <row r="238" customFormat="false" ht="15" hidden="false" customHeight="true" outlineLevel="0" collapsed="false">
      <c r="A238" s="23"/>
      <c r="B238" s="8"/>
      <c r="C238" s="8"/>
      <c r="D238" s="24"/>
      <c r="E238" s="8"/>
      <c r="F238" s="25" t="str">
        <f aca="false">IF($A238="","",MONTH($A238))</f>
        <v/>
      </c>
      <c r="G238" s="25" t="str">
        <f aca="false">IF($A238="","",YEAR($A238))</f>
        <v/>
      </c>
    </row>
    <row r="239" customFormat="false" ht="15" hidden="false" customHeight="true" outlineLevel="0" collapsed="false">
      <c r="A239" s="23"/>
      <c r="B239" s="8"/>
      <c r="C239" s="8"/>
      <c r="D239" s="24"/>
      <c r="E239" s="8"/>
      <c r="F239" s="25" t="str">
        <f aca="false">IF($A239="","",MONTH($A239))</f>
        <v/>
      </c>
      <c r="G239" s="25" t="str">
        <f aca="false">IF($A239="","",YEAR($A239))</f>
        <v/>
      </c>
    </row>
    <row r="240" customFormat="false" ht="15" hidden="false" customHeight="true" outlineLevel="0" collapsed="false">
      <c r="A240" s="23"/>
      <c r="B240" s="8"/>
      <c r="C240" s="8"/>
      <c r="D240" s="24"/>
      <c r="E240" s="8"/>
      <c r="F240" s="25" t="str">
        <f aca="false">IF($A240="","",MONTH($A240))</f>
        <v/>
      </c>
      <c r="G240" s="25" t="str">
        <f aca="false">IF($A240="","",YEAR($A240))</f>
        <v/>
      </c>
    </row>
    <row r="241" customFormat="false" ht="15" hidden="false" customHeight="true" outlineLevel="0" collapsed="false">
      <c r="A241" s="23"/>
      <c r="B241" s="8"/>
      <c r="C241" s="8"/>
      <c r="D241" s="24"/>
      <c r="E241" s="8"/>
      <c r="F241" s="25" t="str">
        <f aca="false">IF($A241="","",MONTH($A241))</f>
        <v/>
      </c>
      <c r="G241" s="25" t="str">
        <f aca="false">IF($A241="","",YEAR($A241))</f>
        <v/>
      </c>
    </row>
    <row r="242" customFormat="false" ht="15" hidden="false" customHeight="true" outlineLevel="0" collapsed="false">
      <c r="A242" s="23"/>
      <c r="B242" s="8"/>
      <c r="C242" s="8"/>
      <c r="D242" s="24"/>
      <c r="E242" s="8"/>
      <c r="F242" s="25" t="str">
        <f aca="false">IF($A242="","",MONTH($A242))</f>
        <v/>
      </c>
      <c r="G242" s="25" t="str">
        <f aca="false">IF($A242="","",YEAR($A242))</f>
        <v/>
      </c>
    </row>
    <row r="243" customFormat="false" ht="15" hidden="false" customHeight="true" outlineLevel="0" collapsed="false">
      <c r="A243" s="23"/>
      <c r="B243" s="8"/>
      <c r="C243" s="8"/>
      <c r="D243" s="24"/>
      <c r="E243" s="8"/>
      <c r="F243" s="25" t="str">
        <f aca="false">IF($A243="","",MONTH($A243))</f>
        <v/>
      </c>
      <c r="G243" s="25" t="str">
        <f aca="false">IF($A243="","",YEAR($A243))</f>
        <v/>
      </c>
    </row>
    <row r="244" customFormat="false" ht="15" hidden="false" customHeight="true" outlineLevel="0" collapsed="false">
      <c r="A244" s="23"/>
      <c r="B244" s="8"/>
      <c r="C244" s="8"/>
      <c r="D244" s="24"/>
      <c r="E244" s="8"/>
      <c r="F244" s="25" t="str">
        <f aca="false">IF($A244="","",MONTH($A244))</f>
        <v/>
      </c>
      <c r="G244" s="25" t="str">
        <f aca="false">IF($A244="","",YEAR($A244))</f>
        <v/>
      </c>
    </row>
    <row r="245" customFormat="false" ht="15" hidden="false" customHeight="true" outlineLevel="0" collapsed="false">
      <c r="A245" s="23"/>
      <c r="B245" s="8"/>
      <c r="C245" s="8"/>
      <c r="D245" s="24"/>
      <c r="E245" s="8"/>
      <c r="F245" s="25" t="str">
        <f aca="false">IF($A245="","",MONTH($A245))</f>
        <v/>
      </c>
      <c r="G245" s="25" t="str">
        <f aca="false">IF($A245="","",YEAR($A245))</f>
        <v/>
      </c>
    </row>
    <row r="246" customFormat="false" ht="15" hidden="false" customHeight="true" outlineLevel="0" collapsed="false">
      <c r="A246" s="23"/>
      <c r="B246" s="8"/>
      <c r="C246" s="8"/>
      <c r="D246" s="24"/>
      <c r="E246" s="8"/>
      <c r="F246" s="25" t="str">
        <f aca="false">IF($A246="","",MONTH($A246))</f>
        <v/>
      </c>
      <c r="G246" s="25" t="str">
        <f aca="false">IF($A246="","",YEAR($A246))</f>
        <v/>
      </c>
    </row>
    <row r="247" customFormat="false" ht="15" hidden="false" customHeight="true" outlineLevel="0" collapsed="false">
      <c r="A247" s="23"/>
      <c r="B247" s="8"/>
      <c r="C247" s="8"/>
      <c r="D247" s="24"/>
      <c r="E247" s="8"/>
      <c r="F247" s="25" t="str">
        <f aca="false">IF($A247="","",MONTH($A247))</f>
        <v/>
      </c>
      <c r="G247" s="25" t="str">
        <f aca="false">IF($A247="","",YEAR($A247))</f>
        <v/>
      </c>
    </row>
    <row r="248" customFormat="false" ht="15" hidden="false" customHeight="true" outlineLevel="0" collapsed="false">
      <c r="A248" s="23"/>
      <c r="B248" s="8"/>
      <c r="C248" s="8"/>
      <c r="D248" s="24"/>
      <c r="E248" s="8"/>
      <c r="F248" s="25" t="str">
        <f aca="false">IF($A248="","",MONTH($A248))</f>
        <v/>
      </c>
      <c r="G248" s="25" t="str">
        <f aca="false">IF($A248="","",YEAR($A248))</f>
        <v/>
      </c>
    </row>
    <row r="249" customFormat="false" ht="15" hidden="false" customHeight="true" outlineLevel="0" collapsed="false">
      <c r="A249" s="23"/>
      <c r="B249" s="8"/>
      <c r="C249" s="8"/>
      <c r="D249" s="24"/>
      <c r="E249" s="8"/>
      <c r="F249" s="25" t="str">
        <f aca="false">IF($A249="","",MONTH($A249))</f>
        <v/>
      </c>
      <c r="G249" s="25" t="str">
        <f aca="false">IF($A249="","",YEAR($A249))</f>
        <v/>
      </c>
    </row>
    <row r="250" customFormat="false" ht="15" hidden="false" customHeight="true" outlineLevel="0" collapsed="false">
      <c r="A250" s="23"/>
      <c r="B250" s="8"/>
      <c r="C250" s="8"/>
      <c r="D250" s="24"/>
      <c r="E250" s="8"/>
      <c r="F250" s="25" t="str">
        <f aca="false">IF($A250="","",MONTH($A250))</f>
        <v/>
      </c>
      <c r="G250" s="25" t="str">
        <f aca="false">IF($A250="","",YEAR($A250))</f>
        <v/>
      </c>
    </row>
    <row r="251" customFormat="false" ht="15" hidden="false" customHeight="true" outlineLevel="0" collapsed="false">
      <c r="A251" s="23"/>
      <c r="B251" s="8"/>
      <c r="C251" s="8"/>
      <c r="D251" s="24"/>
      <c r="E251" s="8"/>
      <c r="F251" s="25" t="str">
        <f aca="false">IF($A251="","",MONTH($A251))</f>
        <v/>
      </c>
      <c r="G251" s="25" t="str">
        <f aca="false">IF($A251="","",YEAR($A251))</f>
        <v/>
      </c>
    </row>
    <row r="252" customFormat="false" ht="15" hidden="false" customHeight="true" outlineLevel="0" collapsed="false">
      <c r="A252" s="23"/>
      <c r="B252" s="8"/>
      <c r="C252" s="8"/>
      <c r="D252" s="24"/>
      <c r="E252" s="8"/>
      <c r="F252" s="25" t="str">
        <f aca="false">IF($A252="","",MONTH($A252))</f>
        <v/>
      </c>
      <c r="G252" s="25" t="str">
        <f aca="false">IF($A252="","",YEAR($A252))</f>
        <v/>
      </c>
    </row>
    <row r="253" customFormat="false" ht="15" hidden="false" customHeight="true" outlineLevel="0" collapsed="false">
      <c r="A253" s="23"/>
      <c r="B253" s="8"/>
      <c r="C253" s="8"/>
      <c r="D253" s="24"/>
      <c r="E253" s="8"/>
      <c r="F253" s="25" t="str">
        <f aca="false">IF($A253="","",MONTH($A253))</f>
        <v/>
      </c>
      <c r="G253" s="25" t="str">
        <f aca="false">IF($A253="","",YEAR($A253))</f>
        <v/>
      </c>
    </row>
    <row r="254" customFormat="false" ht="15" hidden="false" customHeight="true" outlineLevel="0" collapsed="false">
      <c r="A254" s="23"/>
      <c r="B254" s="8"/>
      <c r="C254" s="8"/>
      <c r="D254" s="24"/>
      <c r="E254" s="8"/>
      <c r="F254" s="25" t="str">
        <f aca="false">IF($A254="","",MONTH($A254))</f>
        <v/>
      </c>
      <c r="G254" s="25" t="str">
        <f aca="false">IF($A254="","",YEAR($A254))</f>
        <v/>
      </c>
    </row>
    <row r="255" customFormat="false" ht="15" hidden="false" customHeight="true" outlineLevel="0" collapsed="false">
      <c r="A255" s="23"/>
      <c r="B255" s="8"/>
      <c r="C255" s="8"/>
      <c r="D255" s="24"/>
      <c r="E255" s="8"/>
      <c r="F255" s="25" t="str">
        <f aca="false">IF($A255="","",MONTH($A255))</f>
        <v/>
      </c>
      <c r="G255" s="25" t="str">
        <f aca="false">IF($A255="","",YEAR($A255))</f>
        <v/>
      </c>
    </row>
    <row r="256" customFormat="false" ht="15" hidden="false" customHeight="true" outlineLevel="0" collapsed="false">
      <c r="A256" s="23"/>
      <c r="B256" s="8"/>
      <c r="C256" s="8"/>
      <c r="D256" s="24"/>
      <c r="E256" s="8"/>
      <c r="F256" s="25" t="str">
        <f aca="false">IF($A256="","",MONTH($A256))</f>
        <v/>
      </c>
      <c r="G256" s="25" t="str">
        <f aca="false">IF($A256="","",YEAR($A256))</f>
        <v/>
      </c>
    </row>
    <row r="257" customFormat="false" ht="15" hidden="false" customHeight="true" outlineLevel="0" collapsed="false">
      <c r="A257" s="23"/>
      <c r="B257" s="8"/>
      <c r="C257" s="8"/>
      <c r="D257" s="24"/>
      <c r="E257" s="8"/>
      <c r="F257" s="25" t="str">
        <f aca="false">IF($A257="","",MONTH($A257))</f>
        <v/>
      </c>
      <c r="G257" s="25" t="str">
        <f aca="false">IF($A257="","",YEAR($A257))</f>
        <v/>
      </c>
    </row>
    <row r="258" customFormat="false" ht="15" hidden="false" customHeight="true" outlineLevel="0" collapsed="false">
      <c r="A258" s="23"/>
      <c r="B258" s="8"/>
      <c r="C258" s="8"/>
      <c r="D258" s="24"/>
      <c r="E258" s="8"/>
      <c r="F258" s="25" t="str">
        <f aca="false">IF($A258="","",MONTH($A258))</f>
        <v/>
      </c>
      <c r="G258" s="25" t="str">
        <f aca="false">IF($A258="","",YEAR($A258))</f>
        <v/>
      </c>
    </row>
    <row r="259" customFormat="false" ht="15" hidden="false" customHeight="true" outlineLevel="0" collapsed="false">
      <c r="A259" s="23"/>
      <c r="B259" s="8"/>
      <c r="C259" s="8"/>
      <c r="D259" s="24"/>
      <c r="E259" s="8"/>
      <c r="F259" s="25" t="str">
        <f aca="false">IF($A259="","",MONTH($A259))</f>
        <v/>
      </c>
      <c r="G259" s="25" t="str">
        <f aca="false">IF($A259="","",YEAR($A259))</f>
        <v/>
      </c>
    </row>
    <row r="260" customFormat="false" ht="15" hidden="false" customHeight="true" outlineLevel="0" collapsed="false">
      <c r="A260" s="23"/>
      <c r="B260" s="8"/>
      <c r="C260" s="8"/>
      <c r="D260" s="24"/>
      <c r="E260" s="8"/>
      <c r="F260" s="25" t="str">
        <f aca="false">IF($A260="","",MONTH($A260))</f>
        <v/>
      </c>
      <c r="G260" s="25" t="str">
        <f aca="false">IF($A260="","",YEAR($A260))</f>
        <v/>
      </c>
    </row>
    <row r="261" customFormat="false" ht="15" hidden="false" customHeight="true" outlineLevel="0" collapsed="false">
      <c r="A261" s="23"/>
      <c r="B261" s="8"/>
      <c r="C261" s="8"/>
      <c r="D261" s="24"/>
      <c r="E261" s="8"/>
      <c r="F261" s="25" t="str">
        <f aca="false">IF($A261="","",MONTH($A261))</f>
        <v/>
      </c>
      <c r="G261" s="25" t="str">
        <f aca="false">IF($A261="","",YEAR($A261))</f>
        <v/>
      </c>
    </row>
    <row r="262" customFormat="false" ht="15" hidden="false" customHeight="true" outlineLevel="0" collapsed="false">
      <c r="A262" s="23"/>
      <c r="B262" s="8"/>
      <c r="C262" s="8"/>
      <c r="D262" s="24"/>
      <c r="E262" s="8"/>
      <c r="F262" s="25" t="str">
        <f aca="false">IF($A262="","",MONTH($A262))</f>
        <v/>
      </c>
      <c r="G262" s="25" t="str">
        <f aca="false">IF($A262="","",YEAR($A262))</f>
        <v/>
      </c>
    </row>
    <row r="263" customFormat="false" ht="15" hidden="false" customHeight="true" outlineLevel="0" collapsed="false">
      <c r="A263" s="23"/>
      <c r="B263" s="8"/>
      <c r="C263" s="8"/>
      <c r="D263" s="24"/>
      <c r="E263" s="8"/>
      <c r="F263" s="25" t="str">
        <f aca="false">IF($A263="","",MONTH($A263))</f>
        <v/>
      </c>
      <c r="G263" s="25" t="str">
        <f aca="false">IF($A263="","",YEAR($A263))</f>
        <v/>
      </c>
    </row>
    <row r="264" customFormat="false" ht="15" hidden="false" customHeight="true" outlineLevel="0" collapsed="false">
      <c r="A264" s="23"/>
      <c r="B264" s="8"/>
      <c r="C264" s="8"/>
      <c r="D264" s="24"/>
      <c r="E264" s="8"/>
      <c r="F264" s="25" t="str">
        <f aca="false">IF($A264="","",MONTH($A264))</f>
        <v/>
      </c>
      <c r="G264" s="25" t="str">
        <f aca="false">IF($A264="","",YEAR($A264))</f>
        <v/>
      </c>
    </row>
    <row r="265" customFormat="false" ht="15" hidden="false" customHeight="true" outlineLevel="0" collapsed="false">
      <c r="A265" s="23"/>
      <c r="B265" s="8"/>
      <c r="C265" s="8"/>
      <c r="D265" s="24"/>
      <c r="E265" s="8"/>
      <c r="F265" s="25" t="str">
        <f aca="false">IF($A265="","",MONTH($A265))</f>
        <v/>
      </c>
      <c r="G265" s="25" t="str">
        <f aca="false">IF($A265="","",YEAR($A265))</f>
        <v/>
      </c>
    </row>
    <row r="266" customFormat="false" ht="15" hidden="false" customHeight="true" outlineLevel="0" collapsed="false">
      <c r="A266" s="23"/>
      <c r="B266" s="8"/>
      <c r="C266" s="8"/>
      <c r="D266" s="24"/>
      <c r="E266" s="8"/>
      <c r="F266" s="25" t="str">
        <f aca="false">IF($A266="","",MONTH($A266))</f>
        <v/>
      </c>
      <c r="G266" s="25" t="str">
        <f aca="false">IF($A266="","",YEAR($A266))</f>
        <v/>
      </c>
    </row>
    <row r="267" customFormat="false" ht="15" hidden="false" customHeight="true" outlineLevel="0" collapsed="false">
      <c r="A267" s="23"/>
      <c r="B267" s="8"/>
      <c r="C267" s="8"/>
      <c r="D267" s="24"/>
      <c r="E267" s="8"/>
      <c r="F267" s="25" t="str">
        <f aca="false">IF($A267="","",MONTH($A267))</f>
        <v/>
      </c>
      <c r="G267" s="25" t="str">
        <f aca="false">IF($A267="","",YEAR($A267))</f>
        <v/>
      </c>
    </row>
    <row r="268" customFormat="false" ht="15" hidden="false" customHeight="true" outlineLevel="0" collapsed="false">
      <c r="A268" s="23"/>
      <c r="B268" s="8"/>
      <c r="C268" s="8"/>
      <c r="D268" s="24"/>
      <c r="E268" s="8"/>
      <c r="F268" s="25" t="str">
        <f aca="false">IF($A268="","",MONTH($A268))</f>
        <v/>
      </c>
      <c r="G268" s="25" t="str">
        <f aca="false">IF($A268="","",YEAR($A268))</f>
        <v/>
      </c>
    </row>
    <row r="269" customFormat="false" ht="15" hidden="false" customHeight="true" outlineLevel="0" collapsed="false">
      <c r="A269" s="23"/>
      <c r="B269" s="8"/>
      <c r="C269" s="8"/>
      <c r="D269" s="24"/>
      <c r="E269" s="8"/>
      <c r="F269" s="25" t="str">
        <f aca="false">IF($A269="","",MONTH($A269))</f>
        <v/>
      </c>
      <c r="G269" s="25" t="str">
        <f aca="false">IF($A269="","",YEAR($A269))</f>
        <v/>
      </c>
    </row>
    <row r="270" customFormat="false" ht="15" hidden="false" customHeight="true" outlineLevel="0" collapsed="false">
      <c r="A270" s="23"/>
      <c r="B270" s="8"/>
      <c r="C270" s="8"/>
      <c r="D270" s="24"/>
      <c r="E270" s="8"/>
      <c r="F270" s="25" t="str">
        <f aca="false">IF($A270="","",MONTH($A270))</f>
        <v/>
      </c>
      <c r="G270" s="25" t="str">
        <f aca="false">IF($A270="","",YEAR($A270))</f>
        <v/>
      </c>
    </row>
    <row r="271" customFormat="false" ht="15" hidden="false" customHeight="true" outlineLevel="0" collapsed="false">
      <c r="A271" s="23"/>
      <c r="B271" s="8"/>
      <c r="C271" s="8"/>
      <c r="D271" s="24"/>
      <c r="E271" s="8"/>
      <c r="F271" s="25" t="str">
        <f aca="false">IF($A271="","",MONTH($A271))</f>
        <v/>
      </c>
      <c r="G271" s="25" t="str">
        <f aca="false">IF($A271="","",YEAR($A271))</f>
        <v/>
      </c>
    </row>
    <row r="272" customFormat="false" ht="15" hidden="false" customHeight="true" outlineLevel="0" collapsed="false">
      <c r="A272" s="23"/>
      <c r="B272" s="8"/>
      <c r="C272" s="8"/>
      <c r="D272" s="24"/>
      <c r="E272" s="8"/>
      <c r="F272" s="25" t="str">
        <f aca="false">IF($A272="","",MONTH($A272))</f>
        <v/>
      </c>
      <c r="G272" s="25" t="str">
        <f aca="false">IF($A272="","",YEAR($A272))</f>
        <v/>
      </c>
    </row>
    <row r="273" customFormat="false" ht="15" hidden="false" customHeight="true" outlineLevel="0" collapsed="false">
      <c r="A273" s="23"/>
      <c r="B273" s="8"/>
      <c r="C273" s="8"/>
      <c r="D273" s="24"/>
      <c r="E273" s="8"/>
      <c r="F273" s="25" t="str">
        <f aca="false">IF($A273="","",MONTH($A273))</f>
        <v/>
      </c>
      <c r="G273" s="25" t="str">
        <f aca="false">IF($A273="","",YEAR($A273))</f>
        <v/>
      </c>
    </row>
    <row r="274" customFormat="false" ht="15" hidden="false" customHeight="true" outlineLevel="0" collapsed="false">
      <c r="A274" s="23"/>
      <c r="B274" s="8"/>
      <c r="C274" s="8"/>
      <c r="D274" s="24"/>
      <c r="E274" s="8"/>
      <c r="F274" s="25" t="str">
        <f aca="false">IF($A274="","",MONTH($A274))</f>
        <v/>
      </c>
      <c r="G274" s="25" t="str">
        <f aca="false">IF($A274="","",YEAR($A274))</f>
        <v/>
      </c>
    </row>
    <row r="275" customFormat="false" ht="15" hidden="false" customHeight="true" outlineLevel="0" collapsed="false">
      <c r="A275" s="23"/>
      <c r="B275" s="8"/>
      <c r="C275" s="8"/>
      <c r="D275" s="24"/>
      <c r="E275" s="8"/>
      <c r="F275" s="25" t="str">
        <f aca="false">IF($A275="","",MONTH($A275))</f>
        <v/>
      </c>
      <c r="G275" s="25" t="str">
        <f aca="false">IF($A275="","",YEAR($A275))</f>
        <v/>
      </c>
    </row>
    <row r="276" customFormat="false" ht="15" hidden="false" customHeight="true" outlineLevel="0" collapsed="false">
      <c r="A276" s="23"/>
      <c r="B276" s="8"/>
      <c r="C276" s="8"/>
      <c r="D276" s="24"/>
      <c r="E276" s="8"/>
      <c r="F276" s="25" t="str">
        <f aca="false">IF($A276="","",MONTH($A276))</f>
        <v/>
      </c>
      <c r="G276" s="25" t="str">
        <f aca="false">IF($A276="","",YEAR($A276))</f>
        <v/>
      </c>
    </row>
    <row r="277" customFormat="false" ht="15" hidden="false" customHeight="true" outlineLevel="0" collapsed="false">
      <c r="A277" s="23"/>
      <c r="B277" s="8"/>
      <c r="C277" s="8"/>
      <c r="D277" s="24"/>
      <c r="E277" s="8"/>
      <c r="F277" s="25" t="str">
        <f aca="false">IF($A277="","",MONTH($A277))</f>
        <v/>
      </c>
      <c r="G277" s="25" t="str">
        <f aca="false">IF($A277="","",YEAR($A277))</f>
        <v/>
      </c>
    </row>
    <row r="278" customFormat="false" ht="15" hidden="false" customHeight="true" outlineLevel="0" collapsed="false">
      <c r="A278" s="23"/>
      <c r="B278" s="8"/>
      <c r="C278" s="8"/>
      <c r="D278" s="24"/>
      <c r="E278" s="8"/>
      <c r="F278" s="25" t="str">
        <f aca="false">IF($A278="","",MONTH($A278))</f>
        <v/>
      </c>
      <c r="G278" s="25" t="str">
        <f aca="false">IF($A278="","",YEAR($A278))</f>
        <v/>
      </c>
    </row>
    <row r="279" customFormat="false" ht="15" hidden="false" customHeight="true" outlineLevel="0" collapsed="false">
      <c r="A279" s="23"/>
      <c r="B279" s="8"/>
      <c r="C279" s="8"/>
      <c r="D279" s="24"/>
      <c r="E279" s="8"/>
      <c r="F279" s="25" t="str">
        <f aca="false">IF($A279="","",MONTH($A279))</f>
        <v/>
      </c>
      <c r="G279" s="25" t="str">
        <f aca="false">IF($A279="","",YEAR($A279))</f>
        <v/>
      </c>
    </row>
    <row r="280" customFormat="false" ht="15" hidden="false" customHeight="true" outlineLevel="0" collapsed="false">
      <c r="A280" s="23"/>
      <c r="B280" s="8"/>
      <c r="C280" s="8"/>
      <c r="D280" s="24"/>
      <c r="E280" s="8"/>
      <c r="F280" s="25" t="str">
        <f aca="false">IF($A280="","",MONTH($A280))</f>
        <v/>
      </c>
      <c r="G280" s="25" t="str">
        <f aca="false">IF($A280="","",YEAR($A280))</f>
        <v/>
      </c>
    </row>
    <row r="281" customFormat="false" ht="15" hidden="false" customHeight="true" outlineLevel="0" collapsed="false">
      <c r="A281" s="23"/>
      <c r="B281" s="8"/>
      <c r="C281" s="8"/>
      <c r="D281" s="24"/>
      <c r="E281" s="8"/>
      <c r="F281" s="25" t="str">
        <f aca="false">IF($A281="","",MONTH($A281))</f>
        <v/>
      </c>
      <c r="G281" s="25" t="str">
        <f aca="false">IF($A281="","",YEAR($A281))</f>
        <v/>
      </c>
    </row>
    <row r="282" customFormat="false" ht="15" hidden="false" customHeight="true" outlineLevel="0" collapsed="false">
      <c r="A282" s="23"/>
      <c r="B282" s="8"/>
      <c r="C282" s="8"/>
      <c r="D282" s="24"/>
      <c r="E282" s="8"/>
      <c r="F282" s="25" t="str">
        <f aca="false">IF($A282="","",MONTH($A282))</f>
        <v/>
      </c>
      <c r="G282" s="25" t="str">
        <f aca="false">IF($A282="","",YEAR($A282))</f>
        <v/>
      </c>
    </row>
    <row r="283" customFormat="false" ht="15" hidden="false" customHeight="true" outlineLevel="0" collapsed="false">
      <c r="A283" s="23"/>
      <c r="B283" s="8"/>
      <c r="C283" s="8"/>
      <c r="D283" s="24"/>
      <c r="E283" s="8"/>
      <c r="F283" s="25" t="str">
        <f aca="false">IF($A283="","",MONTH($A283))</f>
        <v/>
      </c>
      <c r="G283" s="25" t="str">
        <f aca="false">IF($A283="","",YEAR($A283))</f>
        <v/>
      </c>
    </row>
    <row r="284" customFormat="false" ht="15" hidden="false" customHeight="true" outlineLevel="0" collapsed="false">
      <c r="A284" s="23"/>
      <c r="B284" s="8"/>
      <c r="C284" s="8"/>
      <c r="D284" s="24"/>
      <c r="E284" s="8"/>
      <c r="F284" s="25" t="str">
        <f aca="false">IF($A284="","",MONTH($A284))</f>
        <v/>
      </c>
      <c r="G284" s="25" t="str">
        <f aca="false">IF($A284="","",YEAR($A284))</f>
        <v/>
      </c>
    </row>
    <row r="285" customFormat="false" ht="15" hidden="false" customHeight="true" outlineLevel="0" collapsed="false">
      <c r="A285" s="23"/>
      <c r="B285" s="8"/>
      <c r="C285" s="8"/>
      <c r="D285" s="24"/>
      <c r="E285" s="8"/>
      <c r="F285" s="25" t="str">
        <f aca="false">IF($A285="","",MONTH($A285))</f>
        <v/>
      </c>
      <c r="G285" s="25" t="str">
        <f aca="false">IF($A285="","",YEAR($A285))</f>
        <v/>
      </c>
    </row>
    <row r="286" customFormat="false" ht="15" hidden="false" customHeight="true" outlineLevel="0" collapsed="false">
      <c r="A286" s="23"/>
      <c r="B286" s="8"/>
      <c r="C286" s="8"/>
      <c r="D286" s="24"/>
      <c r="E286" s="8"/>
      <c r="F286" s="25" t="str">
        <f aca="false">IF($A286="","",MONTH($A286))</f>
        <v/>
      </c>
      <c r="G286" s="25" t="str">
        <f aca="false">IF($A286="","",YEAR($A286))</f>
        <v/>
      </c>
    </row>
    <row r="287" customFormat="false" ht="15" hidden="false" customHeight="true" outlineLevel="0" collapsed="false">
      <c r="A287" s="23"/>
      <c r="B287" s="8"/>
      <c r="C287" s="8"/>
      <c r="D287" s="24"/>
      <c r="E287" s="8"/>
      <c r="F287" s="25" t="str">
        <f aca="false">IF($A287="","",MONTH($A287))</f>
        <v/>
      </c>
      <c r="G287" s="25" t="str">
        <f aca="false">IF($A287="","",YEAR($A287))</f>
        <v/>
      </c>
    </row>
    <row r="288" customFormat="false" ht="15" hidden="false" customHeight="true" outlineLevel="0" collapsed="false">
      <c r="A288" s="23"/>
      <c r="B288" s="8"/>
      <c r="C288" s="8"/>
      <c r="D288" s="24"/>
      <c r="E288" s="8"/>
      <c r="F288" s="25" t="str">
        <f aca="false">IF($A288="","",MONTH($A288))</f>
        <v/>
      </c>
      <c r="G288" s="25" t="str">
        <f aca="false">IF($A288="","",YEAR($A288))</f>
        <v/>
      </c>
    </row>
    <row r="289" customFormat="false" ht="15" hidden="false" customHeight="true" outlineLevel="0" collapsed="false">
      <c r="A289" s="23"/>
      <c r="B289" s="8"/>
      <c r="C289" s="8"/>
      <c r="D289" s="24"/>
      <c r="E289" s="8"/>
      <c r="F289" s="25" t="str">
        <f aca="false">IF($A289="","",MONTH($A289))</f>
        <v/>
      </c>
      <c r="G289" s="25" t="str">
        <f aca="false">IF($A289="","",YEAR($A289))</f>
        <v/>
      </c>
    </row>
    <row r="290" customFormat="false" ht="15" hidden="false" customHeight="true" outlineLevel="0" collapsed="false">
      <c r="A290" s="23"/>
      <c r="B290" s="8"/>
      <c r="C290" s="8"/>
      <c r="D290" s="24"/>
      <c r="E290" s="8"/>
      <c r="F290" s="25" t="str">
        <f aca="false">IF($A290="","",MONTH($A290))</f>
        <v/>
      </c>
      <c r="G290" s="25" t="str">
        <f aca="false">IF($A290="","",YEAR($A290))</f>
        <v/>
      </c>
    </row>
    <row r="291" customFormat="false" ht="15" hidden="false" customHeight="true" outlineLevel="0" collapsed="false">
      <c r="A291" s="23"/>
      <c r="B291" s="8"/>
      <c r="C291" s="8"/>
      <c r="D291" s="24"/>
      <c r="E291" s="8"/>
      <c r="F291" s="25" t="str">
        <f aca="false">IF($A291="","",MONTH($A291))</f>
        <v/>
      </c>
      <c r="G291" s="25" t="str">
        <f aca="false">IF($A291="","",YEAR($A291))</f>
        <v/>
      </c>
    </row>
    <row r="292" customFormat="false" ht="15" hidden="false" customHeight="true" outlineLevel="0" collapsed="false">
      <c r="A292" s="23"/>
      <c r="B292" s="8"/>
      <c r="C292" s="8"/>
      <c r="D292" s="24"/>
      <c r="E292" s="8"/>
      <c r="F292" s="25" t="str">
        <f aca="false">IF($A292="","",MONTH($A292))</f>
        <v/>
      </c>
      <c r="G292" s="25" t="str">
        <f aca="false">IF($A292="","",YEAR($A292))</f>
        <v/>
      </c>
    </row>
    <row r="293" customFormat="false" ht="15" hidden="false" customHeight="true" outlineLevel="0" collapsed="false">
      <c r="A293" s="23"/>
      <c r="B293" s="8"/>
      <c r="C293" s="8"/>
      <c r="D293" s="24"/>
      <c r="E293" s="8"/>
      <c r="F293" s="25" t="str">
        <f aca="false">IF($A293="","",MONTH($A293))</f>
        <v/>
      </c>
      <c r="G293" s="25" t="str">
        <f aca="false">IF($A293="","",YEAR($A293))</f>
        <v/>
      </c>
    </row>
    <row r="294" customFormat="false" ht="15" hidden="false" customHeight="true" outlineLevel="0" collapsed="false">
      <c r="A294" s="23"/>
      <c r="B294" s="8"/>
      <c r="C294" s="8"/>
      <c r="D294" s="24"/>
      <c r="E294" s="8"/>
      <c r="F294" s="25" t="str">
        <f aca="false">IF($A294="","",MONTH($A294))</f>
        <v/>
      </c>
      <c r="G294" s="25" t="str">
        <f aca="false">IF($A294="","",YEAR($A294))</f>
        <v/>
      </c>
    </row>
    <row r="295" customFormat="false" ht="15" hidden="false" customHeight="true" outlineLevel="0" collapsed="false">
      <c r="A295" s="23"/>
      <c r="B295" s="8"/>
      <c r="C295" s="8"/>
      <c r="D295" s="24"/>
      <c r="E295" s="8"/>
      <c r="F295" s="25" t="str">
        <f aca="false">IF($A295="","",MONTH($A295))</f>
        <v/>
      </c>
      <c r="G295" s="25" t="str">
        <f aca="false">IF($A295="","",YEAR($A295))</f>
        <v/>
      </c>
    </row>
    <row r="296" customFormat="false" ht="15" hidden="false" customHeight="true" outlineLevel="0" collapsed="false">
      <c r="A296" s="23"/>
      <c r="B296" s="8"/>
      <c r="C296" s="8"/>
      <c r="D296" s="24"/>
      <c r="E296" s="8"/>
      <c r="F296" s="25" t="str">
        <f aca="false">IF($A296="","",MONTH($A296))</f>
        <v/>
      </c>
      <c r="G296" s="25" t="str">
        <f aca="false">IF($A296="","",YEAR($A296))</f>
        <v/>
      </c>
    </row>
    <row r="297" customFormat="false" ht="15" hidden="false" customHeight="true" outlineLevel="0" collapsed="false">
      <c r="A297" s="23"/>
      <c r="B297" s="8"/>
      <c r="C297" s="8"/>
      <c r="D297" s="24"/>
      <c r="E297" s="8"/>
      <c r="F297" s="25" t="str">
        <f aca="false">IF($A297="","",MONTH($A297))</f>
        <v/>
      </c>
      <c r="G297" s="25" t="str">
        <f aca="false">IF($A297="","",YEAR($A297))</f>
        <v/>
      </c>
    </row>
    <row r="298" customFormat="false" ht="15" hidden="false" customHeight="true" outlineLevel="0" collapsed="false">
      <c r="A298" s="23"/>
      <c r="B298" s="8"/>
      <c r="C298" s="8"/>
      <c r="D298" s="24"/>
      <c r="E298" s="8"/>
      <c r="F298" s="25" t="str">
        <f aca="false">IF($A298="","",MONTH($A298))</f>
        <v/>
      </c>
      <c r="G298" s="25" t="str">
        <f aca="false">IF($A298="","",YEAR($A298))</f>
        <v/>
      </c>
    </row>
    <row r="299" customFormat="false" ht="15" hidden="false" customHeight="true" outlineLevel="0" collapsed="false">
      <c r="A299" s="23"/>
      <c r="B299" s="8"/>
      <c r="C299" s="8"/>
      <c r="D299" s="24"/>
      <c r="E299" s="8"/>
      <c r="F299" s="25" t="str">
        <f aca="false">IF($A299="","",MONTH($A299))</f>
        <v/>
      </c>
      <c r="G299" s="25" t="str">
        <f aca="false">IF($A299="","",YEAR($A299))</f>
        <v/>
      </c>
    </row>
    <row r="300" customFormat="false" ht="15" hidden="false" customHeight="true" outlineLevel="0" collapsed="false">
      <c r="A300" s="23"/>
      <c r="B300" s="8"/>
      <c r="C300" s="8"/>
      <c r="D300" s="24"/>
      <c r="E300" s="8"/>
      <c r="F300" s="25" t="str">
        <f aca="false">IF($A300="","",MONTH($A300))</f>
        <v/>
      </c>
      <c r="G300" s="25" t="str">
        <f aca="false">IF($A300="","",YEAR($A300))</f>
        <v/>
      </c>
    </row>
    <row r="301" customFormat="false" ht="15" hidden="false" customHeight="true" outlineLevel="0" collapsed="false">
      <c r="A301" s="23"/>
      <c r="B301" s="8"/>
      <c r="C301" s="8"/>
      <c r="D301" s="24"/>
      <c r="E301" s="8"/>
      <c r="F301" s="25" t="str">
        <f aca="false">IF($A301="","",MONTH($A301))</f>
        <v/>
      </c>
      <c r="G301" s="25" t="str">
        <f aca="false">IF($A301="","",YEAR($A301))</f>
        <v/>
      </c>
    </row>
    <row r="302" customFormat="false" ht="15" hidden="false" customHeight="true" outlineLevel="0" collapsed="false">
      <c r="A302" s="23"/>
      <c r="B302" s="8"/>
      <c r="C302" s="8"/>
      <c r="D302" s="24"/>
      <c r="E302" s="8"/>
      <c r="F302" s="25" t="str">
        <f aca="false">IF($A302="","",MONTH($A302))</f>
        <v/>
      </c>
      <c r="G302" s="25" t="str">
        <f aca="false">IF($A302="","",YEAR($A302))</f>
        <v/>
      </c>
    </row>
    <row r="303" customFormat="false" ht="15" hidden="false" customHeight="true" outlineLevel="0" collapsed="false">
      <c r="A303" s="23"/>
      <c r="B303" s="8"/>
      <c r="C303" s="8"/>
      <c r="D303" s="24"/>
      <c r="E303" s="8"/>
      <c r="F303" s="25" t="str">
        <f aca="false">IF($A303="","",MONTH($A303))</f>
        <v/>
      </c>
      <c r="G303" s="25" t="str">
        <f aca="false">IF($A303="","",YEAR($A303))</f>
        <v/>
      </c>
    </row>
    <row r="304" customFormat="false" ht="15" hidden="false" customHeight="true" outlineLevel="0" collapsed="false">
      <c r="A304" s="23"/>
      <c r="B304" s="8"/>
      <c r="C304" s="8"/>
      <c r="D304" s="24"/>
      <c r="E304" s="8"/>
      <c r="F304" s="25" t="str">
        <f aca="false">IF($A304="","",MONTH($A304))</f>
        <v/>
      </c>
      <c r="G304" s="25" t="str">
        <f aca="false">IF($A304="","",YEAR($A304))</f>
        <v/>
      </c>
    </row>
    <row r="305" customFormat="false" ht="15" hidden="false" customHeight="true" outlineLevel="0" collapsed="false">
      <c r="A305" s="23"/>
      <c r="B305" s="8"/>
      <c r="C305" s="8"/>
      <c r="D305" s="24"/>
      <c r="E305" s="8"/>
      <c r="F305" s="25" t="str">
        <f aca="false">IF($A305="","",MONTH($A305))</f>
        <v/>
      </c>
      <c r="G305" s="25" t="str">
        <f aca="false">IF($A305="","",YEAR($A305))</f>
        <v/>
      </c>
    </row>
    <row r="306" customFormat="false" ht="15" hidden="false" customHeight="true" outlineLevel="0" collapsed="false">
      <c r="A306" s="23"/>
      <c r="B306" s="8"/>
      <c r="C306" s="8"/>
      <c r="D306" s="24"/>
      <c r="E306" s="8"/>
      <c r="F306" s="25" t="str">
        <f aca="false">IF($A306="","",MONTH($A306))</f>
        <v/>
      </c>
      <c r="G306" s="25" t="str">
        <f aca="false">IF($A306="","",YEAR($A306))</f>
        <v/>
      </c>
    </row>
    <row r="307" customFormat="false" ht="15" hidden="false" customHeight="true" outlineLevel="0" collapsed="false">
      <c r="A307" s="23"/>
      <c r="B307" s="8"/>
      <c r="C307" s="8"/>
      <c r="D307" s="24"/>
      <c r="E307" s="8"/>
      <c r="F307" s="25" t="str">
        <f aca="false">IF($A307="","",MONTH($A307))</f>
        <v/>
      </c>
      <c r="G307" s="25" t="str">
        <f aca="false">IF($A307="","",YEAR($A307))</f>
        <v/>
      </c>
    </row>
    <row r="308" customFormat="false" ht="15" hidden="false" customHeight="true" outlineLevel="0" collapsed="false">
      <c r="A308" s="23"/>
      <c r="B308" s="8"/>
      <c r="C308" s="8"/>
      <c r="D308" s="24"/>
      <c r="E308" s="8"/>
      <c r="F308" s="25" t="str">
        <f aca="false">IF($A308="","",MONTH($A308))</f>
        <v/>
      </c>
      <c r="G308" s="25" t="str">
        <f aca="false">IF($A308="","",YEAR($A308))</f>
        <v/>
      </c>
    </row>
    <row r="309" customFormat="false" ht="15" hidden="false" customHeight="true" outlineLevel="0" collapsed="false">
      <c r="A309" s="23"/>
      <c r="B309" s="8"/>
      <c r="C309" s="8"/>
      <c r="D309" s="24"/>
      <c r="E309" s="8"/>
      <c r="F309" s="25" t="str">
        <f aca="false">IF($A309="","",MONTH($A309))</f>
        <v/>
      </c>
      <c r="G309" s="25" t="str">
        <f aca="false">IF($A309="","",YEAR($A309))</f>
        <v/>
      </c>
    </row>
    <row r="310" customFormat="false" ht="15" hidden="false" customHeight="true" outlineLevel="0" collapsed="false">
      <c r="A310" s="23"/>
      <c r="B310" s="8"/>
      <c r="C310" s="8"/>
      <c r="D310" s="24"/>
      <c r="E310" s="8"/>
      <c r="F310" s="25" t="str">
        <f aca="false">IF($A310="","",MONTH($A310))</f>
        <v/>
      </c>
      <c r="G310" s="25" t="str">
        <f aca="false">IF($A310="","",YEAR($A310))</f>
        <v/>
      </c>
    </row>
    <row r="311" customFormat="false" ht="15" hidden="false" customHeight="true" outlineLevel="0" collapsed="false">
      <c r="A311" s="23"/>
      <c r="B311" s="8"/>
      <c r="C311" s="8"/>
      <c r="D311" s="24"/>
      <c r="E311" s="8"/>
      <c r="F311" s="25" t="str">
        <f aca="false">IF($A311="","",MONTH($A311))</f>
        <v/>
      </c>
      <c r="G311" s="25" t="str">
        <f aca="false">IF($A311="","",YEAR($A311))</f>
        <v/>
      </c>
    </row>
    <row r="312" customFormat="false" ht="15" hidden="false" customHeight="true" outlineLevel="0" collapsed="false">
      <c r="A312" s="23"/>
      <c r="B312" s="8"/>
      <c r="C312" s="8"/>
      <c r="D312" s="24"/>
      <c r="E312" s="8"/>
      <c r="F312" s="25" t="str">
        <f aca="false">IF($A312="","",MONTH($A312))</f>
        <v/>
      </c>
      <c r="G312" s="25" t="str">
        <f aca="false">IF($A312="","",YEAR($A312))</f>
        <v/>
      </c>
    </row>
    <row r="313" customFormat="false" ht="15" hidden="false" customHeight="true" outlineLevel="0" collapsed="false">
      <c r="A313" s="23"/>
      <c r="B313" s="8"/>
      <c r="C313" s="8"/>
      <c r="D313" s="24"/>
      <c r="E313" s="8"/>
      <c r="F313" s="25" t="str">
        <f aca="false">IF($A313="","",MONTH($A313))</f>
        <v/>
      </c>
      <c r="G313" s="25" t="str">
        <f aca="false">IF($A313="","",YEAR($A313))</f>
        <v/>
      </c>
    </row>
    <row r="314" customFormat="false" ht="15" hidden="false" customHeight="true" outlineLevel="0" collapsed="false">
      <c r="A314" s="23"/>
      <c r="B314" s="8"/>
      <c r="C314" s="8"/>
      <c r="D314" s="24"/>
      <c r="E314" s="8"/>
      <c r="F314" s="25" t="str">
        <f aca="false">IF($A314="","",MONTH($A314))</f>
        <v/>
      </c>
      <c r="G314" s="25" t="str">
        <f aca="false">IF($A314="","",YEAR($A314))</f>
        <v/>
      </c>
    </row>
    <row r="315" customFormat="false" ht="15" hidden="false" customHeight="true" outlineLevel="0" collapsed="false">
      <c r="A315" s="23"/>
      <c r="B315" s="8"/>
      <c r="C315" s="8"/>
      <c r="D315" s="24"/>
      <c r="E315" s="8"/>
      <c r="F315" s="25" t="str">
        <f aca="false">IF($A315="","",MONTH($A315))</f>
        <v/>
      </c>
      <c r="G315" s="25" t="str">
        <f aca="false">IF($A315="","",YEAR($A315))</f>
        <v/>
      </c>
    </row>
    <row r="316" customFormat="false" ht="15" hidden="false" customHeight="true" outlineLevel="0" collapsed="false">
      <c r="A316" s="23"/>
      <c r="B316" s="8"/>
      <c r="C316" s="8"/>
      <c r="D316" s="24"/>
      <c r="E316" s="8"/>
      <c r="F316" s="25" t="str">
        <f aca="false">IF($A316="","",MONTH($A316))</f>
        <v/>
      </c>
      <c r="G316" s="25" t="str">
        <f aca="false">IF($A316="","",YEAR($A316))</f>
        <v/>
      </c>
    </row>
    <row r="317" customFormat="false" ht="15" hidden="false" customHeight="true" outlineLevel="0" collapsed="false">
      <c r="A317" s="23"/>
      <c r="B317" s="8"/>
      <c r="C317" s="8"/>
      <c r="D317" s="24"/>
      <c r="E317" s="8"/>
      <c r="F317" s="25" t="str">
        <f aca="false">IF($A317="","",MONTH($A317))</f>
        <v/>
      </c>
      <c r="G317" s="25" t="str">
        <f aca="false">IF($A317="","",YEAR($A317))</f>
        <v/>
      </c>
    </row>
    <row r="318" customFormat="false" ht="15" hidden="false" customHeight="true" outlineLevel="0" collapsed="false">
      <c r="A318" s="23"/>
      <c r="B318" s="8"/>
      <c r="C318" s="8"/>
      <c r="D318" s="24"/>
      <c r="E318" s="8"/>
      <c r="F318" s="25" t="str">
        <f aca="false">IF($A318="","",MONTH($A318))</f>
        <v/>
      </c>
      <c r="G318" s="25" t="str">
        <f aca="false">IF($A318="","",YEAR($A318))</f>
        <v/>
      </c>
    </row>
    <row r="319" customFormat="false" ht="15" hidden="false" customHeight="true" outlineLevel="0" collapsed="false">
      <c r="A319" s="23"/>
      <c r="B319" s="8"/>
      <c r="C319" s="8"/>
      <c r="D319" s="24"/>
      <c r="E319" s="8"/>
      <c r="F319" s="25" t="str">
        <f aca="false">IF($A319="","",MONTH($A319))</f>
        <v/>
      </c>
      <c r="G319" s="25" t="str">
        <f aca="false">IF($A319="","",YEAR($A319))</f>
        <v/>
      </c>
    </row>
    <row r="320" customFormat="false" ht="15" hidden="false" customHeight="true" outlineLevel="0" collapsed="false">
      <c r="A320" s="23"/>
      <c r="B320" s="8"/>
      <c r="C320" s="8"/>
      <c r="D320" s="24"/>
      <c r="E320" s="8"/>
      <c r="F320" s="25" t="str">
        <f aca="false">IF($A320="","",MONTH($A320))</f>
        <v/>
      </c>
      <c r="G320" s="25" t="str">
        <f aca="false">IF($A320="","",YEAR($A320))</f>
        <v/>
      </c>
    </row>
    <row r="321" customFormat="false" ht="15" hidden="false" customHeight="true" outlineLevel="0" collapsed="false">
      <c r="A321" s="23"/>
      <c r="B321" s="8"/>
      <c r="C321" s="8"/>
      <c r="D321" s="24"/>
      <c r="E321" s="8"/>
      <c r="F321" s="25" t="str">
        <f aca="false">IF($A321="","",MONTH($A321))</f>
        <v/>
      </c>
      <c r="G321" s="25" t="str">
        <f aca="false">IF($A321="","",YEAR($A321))</f>
        <v/>
      </c>
    </row>
    <row r="322" customFormat="false" ht="15" hidden="false" customHeight="true" outlineLevel="0" collapsed="false">
      <c r="A322" s="23"/>
      <c r="B322" s="8"/>
      <c r="C322" s="8"/>
      <c r="D322" s="24"/>
      <c r="E322" s="8"/>
      <c r="F322" s="25" t="str">
        <f aca="false">IF($A322="","",MONTH($A322))</f>
        <v/>
      </c>
      <c r="G322" s="25" t="str">
        <f aca="false">IF($A322="","",YEAR($A322))</f>
        <v/>
      </c>
    </row>
    <row r="323" customFormat="false" ht="15" hidden="false" customHeight="true" outlineLevel="0" collapsed="false">
      <c r="A323" s="23"/>
      <c r="B323" s="8"/>
      <c r="C323" s="8"/>
      <c r="D323" s="24"/>
      <c r="E323" s="8"/>
      <c r="F323" s="25" t="str">
        <f aca="false">IF($A323="","",MONTH($A323))</f>
        <v/>
      </c>
      <c r="G323" s="25" t="str">
        <f aca="false">IF($A323="","",YEAR($A323))</f>
        <v/>
      </c>
    </row>
    <row r="324" customFormat="false" ht="15" hidden="false" customHeight="true" outlineLevel="0" collapsed="false">
      <c r="A324" s="23"/>
      <c r="B324" s="8"/>
      <c r="C324" s="8"/>
      <c r="D324" s="24"/>
      <c r="E324" s="8"/>
      <c r="F324" s="25" t="str">
        <f aca="false">IF($A324="","",MONTH($A324))</f>
        <v/>
      </c>
      <c r="G324" s="25" t="str">
        <f aca="false">IF($A324="","",YEAR($A324))</f>
        <v/>
      </c>
    </row>
    <row r="325" customFormat="false" ht="15" hidden="false" customHeight="true" outlineLevel="0" collapsed="false">
      <c r="A325" s="23"/>
      <c r="B325" s="8"/>
      <c r="C325" s="8"/>
      <c r="D325" s="24"/>
      <c r="E325" s="8"/>
      <c r="F325" s="25" t="str">
        <f aca="false">IF($A325="","",MONTH($A325))</f>
        <v/>
      </c>
      <c r="G325" s="25" t="str">
        <f aca="false">IF($A325="","",YEAR($A325))</f>
        <v/>
      </c>
    </row>
    <row r="326" customFormat="false" ht="15" hidden="false" customHeight="true" outlineLevel="0" collapsed="false">
      <c r="A326" s="23"/>
      <c r="B326" s="8"/>
      <c r="C326" s="8"/>
      <c r="D326" s="24"/>
      <c r="E326" s="8"/>
      <c r="F326" s="25" t="str">
        <f aca="false">IF($A326="","",MONTH($A326))</f>
        <v/>
      </c>
      <c r="G326" s="25" t="str">
        <f aca="false">IF($A326="","",YEAR($A326))</f>
        <v/>
      </c>
    </row>
    <row r="327" customFormat="false" ht="15" hidden="false" customHeight="true" outlineLevel="0" collapsed="false">
      <c r="A327" s="23"/>
      <c r="B327" s="8"/>
      <c r="C327" s="8"/>
      <c r="D327" s="24"/>
      <c r="E327" s="8"/>
      <c r="F327" s="25" t="str">
        <f aca="false">IF($A327="","",MONTH($A327))</f>
        <v/>
      </c>
      <c r="G327" s="25" t="str">
        <f aca="false">IF($A327="","",YEAR($A327))</f>
        <v/>
      </c>
    </row>
    <row r="328" customFormat="false" ht="15" hidden="false" customHeight="true" outlineLevel="0" collapsed="false">
      <c r="A328" s="23"/>
      <c r="B328" s="8"/>
      <c r="C328" s="8"/>
      <c r="D328" s="24"/>
      <c r="E328" s="8"/>
      <c r="F328" s="25" t="str">
        <f aca="false">IF($A328="","",MONTH($A328))</f>
        <v/>
      </c>
      <c r="G328" s="25" t="str">
        <f aca="false">IF($A328="","",YEAR($A328))</f>
        <v/>
      </c>
    </row>
    <row r="329" customFormat="false" ht="15" hidden="false" customHeight="true" outlineLevel="0" collapsed="false">
      <c r="A329" s="23"/>
      <c r="B329" s="8"/>
      <c r="C329" s="8"/>
      <c r="D329" s="24"/>
      <c r="E329" s="8"/>
      <c r="F329" s="25" t="str">
        <f aca="false">IF($A329="","",MONTH($A329))</f>
        <v/>
      </c>
      <c r="G329" s="25" t="str">
        <f aca="false">IF($A329="","",YEAR($A329))</f>
        <v/>
      </c>
    </row>
    <row r="330" customFormat="false" ht="15" hidden="false" customHeight="true" outlineLevel="0" collapsed="false">
      <c r="A330" s="23"/>
      <c r="B330" s="8"/>
      <c r="C330" s="8"/>
      <c r="D330" s="24"/>
      <c r="E330" s="8"/>
      <c r="F330" s="25" t="str">
        <f aca="false">IF($A330="","",MONTH($A330))</f>
        <v/>
      </c>
      <c r="G330" s="25" t="str">
        <f aca="false">IF($A330="","",YEAR($A330))</f>
        <v/>
      </c>
    </row>
    <row r="331" customFormat="false" ht="15" hidden="false" customHeight="true" outlineLevel="0" collapsed="false">
      <c r="A331" s="23"/>
      <c r="B331" s="8"/>
      <c r="C331" s="8"/>
      <c r="D331" s="24"/>
      <c r="E331" s="8"/>
      <c r="F331" s="25" t="str">
        <f aca="false">IF($A331="","",MONTH($A331))</f>
        <v/>
      </c>
      <c r="G331" s="25" t="str">
        <f aca="false">IF($A331="","",YEAR($A331))</f>
        <v/>
      </c>
    </row>
    <row r="332" customFormat="false" ht="15" hidden="false" customHeight="true" outlineLevel="0" collapsed="false">
      <c r="A332" s="23"/>
      <c r="B332" s="8"/>
      <c r="C332" s="8"/>
      <c r="D332" s="24"/>
      <c r="E332" s="8"/>
      <c r="F332" s="25" t="str">
        <f aca="false">IF($A332="","",MONTH($A332))</f>
        <v/>
      </c>
      <c r="G332" s="25" t="str">
        <f aca="false">IF($A332="","",YEAR($A332))</f>
        <v/>
      </c>
    </row>
    <row r="333" customFormat="false" ht="15" hidden="false" customHeight="true" outlineLevel="0" collapsed="false">
      <c r="A333" s="23"/>
      <c r="B333" s="8"/>
      <c r="C333" s="8"/>
      <c r="D333" s="24"/>
      <c r="E333" s="8"/>
      <c r="F333" s="25" t="str">
        <f aca="false">IF($A333="","",MONTH($A333))</f>
        <v/>
      </c>
      <c r="G333" s="25" t="str">
        <f aca="false">IF($A333="","",YEAR($A333))</f>
        <v/>
      </c>
    </row>
    <row r="334" customFormat="false" ht="15" hidden="false" customHeight="true" outlineLevel="0" collapsed="false">
      <c r="A334" s="23"/>
      <c r="B334" s="8"/>
      <c r="C334" s="8"/>
      <c r="D334" s="24"/>
      <c r="E334" s="8"/>
      <c r="F334" s="25" t="str">
        <f aca="false">IF($A334="","",MONTH($A334))</f>
        <v/>
      </c>
      <c r="G334" s="25" t="str">
        <f aca="false">IF($A334="","",YEAR($A334))</f>
        <v/>
      </c>
    </row>
    <row r="335" customFormat="false" ht="15" hidden="false" customHeight="true" outlineLevel="0" collapsed="false">
      <c r="A335" s="23"/>
      <c r="B335" s="8"/>
      <c r="C335" s="8"/>
      <c r="D335" s="24"/>
      <c r="E335" s="8"/>
      <c r="F335" s="25" t="str">
        <f aca="false">IF($A335="","",MONTH($A335))</f>
        <v/>
      </c>
      <c r="G335" s="25" t="str">
        <f aca="false">IF($A335="","",YEAR($A335))</f>
        <v/>
      </c>
    </row>
    <row r="336" customFormat="false" ht="15" hidden="false" customHeight="true" outlineLevel="0" collapsed="false">
      <c r="A336" s="23"/>
      <c r="B336" s="8"/>
      <c r="C336" s="8"/>
      <c r="D336" s="24"/>
      <c r="E336" s="8"/>
      <c r="F336" s="25" t="str">
        <f aca="false">IF($A336="","",MONTH($A336))</f>
        <v/>
      </c>
      <c r="G336" s="25" t="str">
        <f aca="false">IF($A336="","",YEAR($A336))</f>
        <v/>
      </c>
    </row>
    <row r="337" customFormat="false" ht="15" hidden="false" customHeight="true" outlineLevel="0" collapsed="false">
      <c r="A337" s="23"/>
      <c r="B337" s="8"/>
      <c r="C337" s="8"/>
      <c r="D337" s="24"/>
      <c r="E337" s="8"/>
      <c r="F337" s="25" t="str">
        <f aca="false">IF($A337="","",MONTH($A337))</f>
        <v/>
      </c>
      <c r="G337" s="25" t="str">
        <f aca="false">IF($A337="","",YEAR($A337))</f>
        <v/>
      </c>
    </row>
    <row r="338" customFormat="false" ht="15" hidden="false" customHeight="true" outlineLevel="0" collapsed="false">
      <c r="A338" s="23"/>
      <c r="B338" s="8"/>
      <c r="C338" s="8"/>
      <c r="D338" s="24"/>
      <c r="E338" s="8"/>
      <c r="F338" s="25" t="str">
        <f aca="false">IF($A338="","",MONTH($A338))</f>
        <v/>
      </c>
      <c r="G338" s="25" t="str">
        <f aca="false">IF($A338="","",YEAR($A338))</f>
        <v/>
      </c>
    </row>
    <row r="339" customFormat="false" ht="15" hidden="false" customHeight="true" outlineLevel="0" collapsed="false">
      <c r="A339" s="23"/>
      <c r="B339" s="8"/>
      <c r="C339" s="8"/>
      <c r="D339" s="24"/>
      <c r="E339" s="8"/>
      <c r="F339" s="25" t="str">
        <f aca="false">IF($A339="","",MONTH($A339))</f>
        <v/>
      </c>
      <c r="G339" s="25" t="str">
        <f aca="false">IF($A339="","",YEAR($A339))</f>
        <v/>
      </c>
    </row>
    <row r="340" customFormat="false" ht="15" hidden="false" customHeight="true" outlineLevel="0" collapsed="false">
      <c r="A340" s="23"/>
      <c r="B340" s="8"/>
      <c r="C340" s="8"/>
      <c r="D340" s="24"/>
      <c r="E340" s="8"/>
      <c r="F340" s="25" t="str">
        <f aca="false">IF($A340="","",MONTH($A340))</f>
        <v/>
      </c>
      <c r="G340" s="25" t="str">
        <f aca="false">IF($A340="","",YEAR($A340))</f>
        <v/>
      </c>
    </row>
    <row r="341" customFormat="false" ht="15" hidden="false" customHeight="true" outlineLevel="0" collapsed="false">
      <c r="A341" s="23"/>
      <c r="B341" s="8"/>
      <c r="C341" s="8"/>
      <c r="D341" s="24"/>
      <c r="E341" s="8"/>
      <c r="F341" s="25" t="str">
        <f aca="false">IF($A341="","",MONTH($A341))</f>
        <v/>
      </c>
      <c r="G341" s="25" t="str">
        <f aca="false">IF($A341="","",YEAR($A341))</f>
        <v/>
      </c>
    </row>
    <row r="342" customFormat="false" ht="15" hidden="false" customHeight="true" outlineLevel="0" collapsed="false">
      <c r="A342" s="23"/>
      <c r="B342" s="8"/>
      <c r="C342" s="8"/>
      <c r="D342" s="24"/>
      <c r="E342" s="8"/>
      <c r="F342" s="25" t="str">
        <f aca="false">IF($A342="","",MONTH($A342))</f>
        <v/>
      </c>
      <c r="G342" s="25" t="str">
        <f aca="false">IF($A342="","",YEAR($A342))</f>
        <v/>
      </c>
    </row>
    <row r="343" customFormat="false" ht="15" hidden="false" customHeight="true" outlineLevel="0" collapsed="false">
      <c r="A343" s="23"/>
      <c r="B343" s="8"/>
      <c r="C343" s="8"/>
      <c r="D343" s="24"/>
      <c r="E343" s="8"/>
      <c r="F343" s="25" t="str">
        <f aca="false">IF($A343="","",MONTH($A343))</f>
        <v/>
      </c>
      <c r="G343" s="25" t="str">
        <f aca="false">IF($A343="","",YEAR($A343))</f>
        <v/>
      </c>
    </row>
    <row r="344" customFormat="false" ht="15" hidden="false" customHeight="true" outlineLevel="0" collapsed="false">
      <c r="A344" s="23"/>
      <c r="B344" s="8"/>
      <c r="C344" s="8"/>
      <c r="D344" s="24"/>
      <c r="E344" s="8"/>
      <c r="F344" s="25" t="str">
        <f aca="false">IF($A344="","",MONTH($A344))</f>
        <v/>
      </c>
      <c r="G344" s="25" t="str">
        <f aca="false">IF($A344="","",YEAR($A344))</f>
        <v/>
      </c>
    </row>
    <row r="345" customFormat="false" ht="15" hidden="false" customHeight="true" outlineLevel="0" collapsed="false">
      <c r="A345" s="23"/>
      <c r="B345" s="8"/>
      <c r="C345" s="8"/>
      <c r="D345" s="24"/>
      <c r="E345" s="8"/>
      <c r="F345" s="25" t="str">
        <f aca="false">IF($A345="","",MONTH($A345))</f>
        <v/>
      </c>
      <c r="G345" s="25" t="str">
        <f aca="false">IF($A345="","",YEAR($A345))</f>
        <v/>
      </c>
    </row>
    <row r="346" customFormat="false" ht="15" hidden="false" customHeight="true" outlineLevel="0" collapsed="false">
      <c r="A346" s="23"/>
      <c r="B346" s="8"/>
      <c r="C346" s="8"/>
      <c r="D346" s="24"/>
      <c r="E346" s="8"/>
      <c r="F346" s="25" t="str">
        <f aca="false">IF($A346="","",MONTH($A346))</f>
        <v/>
      </c>
      <c r="G346" s="25" t="str">
        <f aca="false">IF($A346="","",YEAR($A346))</f>
        <v/>
      </c>
    </row>
    <row r="347" customFormat="false" ht="15" hidden="false" customHeight="true" outlineLevel="0" collapsed="false">
      <c r="A347" s="23"/>
      <c r="B347" s="8"/>
      <c r="C347" s="8"/>
      <c r="D347" s="24"/>
      <c r="E347" s="8"/>
      <c r="F347" s="25" t="str">
        <f aca="false">IF($A347="","",MONTH($A347))</f>
        <v/>
      </c>
      <c r="G347" s="25" t="str">
        <f aca="false">IF($A347="","",YEAR($A347))</f>
        <v/>
      </c>
    </row>
    <row r="348" customFormat="false" ht="15" hidden="false" customHeight="true" outlineLevel="0" collapsed="false">
      <c r="A348" s="23"/>
      <c r="B348" s="8"/>
      <c r="C348" s="8"/>
      <c r="D348" s="24"/>
      <c r="E348" s="8"/>
      <c r="F348" s="25" t="str">
        <f aca="false">IF($A348="","",MONTH($A348))</f>
        <v/>
      </c>
      <c r="G348" s="25" t="str">
        <f aca="false">IF($A348="","",YEAR($A348))</f>
        <v/>
      </c>
    </row>
    <row r="349" customFormat="false" ht="15" hidden="false" customHeight="true" outlineLevel="0" collapsed="false">
      <c r="A349" s="23"/>
      <c r="B349" s="8"/>
      <c r="C349" s="8"/>
      <c r="D349" s="24"/>
      <c r="E349" s="8"/>
      <c r="F349" s="25" t="str">
        <f aca="false">IF($A349="","",MONTH($A349))</f>
        <v/>
      </c>
      <c r="G349" s="25" t="str">
        <f aca="false">IF($A349="","",YEAR($A349))</f>
        <v/>
      </c>
    </row>
    <row r="350" customFormat="false" ht="15" hidden="false" customHeight="true" outlineLevel="0" collapsed="false">
      <c r="A350" s="23"/>
      <c r="B350" s="8"/>
      <c r="C350" s="8"/>
      <c r="D350" s="24"/>
      <c r="E350" s="8"/>
      <c r="F350" s="25" t="str">
        <f aca="false">IF($A350="","",MONTH($A350))</f>
        <v/>
      </c>
      <c r="G350" s="25" t="str">
        <f aca="false">IF($A350="","",YEAR($A350))</f>
        <v/>
      </c>
    </row>
    <row r="351" customFormat="false" ht="15" hidden="false" customHeight="true" outlineLevel="0" collapsed="false">
      <c r="A351" s="23"/>
      <c r="B351" s="8"/>
      <c r="C351" s="8"/>
      <c r="D351" s="24"/>
      <c r="E351" s="8"/>
      <c r="F351" s="25" t="str">
        <f aca="false">IF($A351="","",MONTH($A351))</f>
        <v/>
      </c>
      <c r="G351" s="25" t="str">
        <f aca="false">IF($A351="","",YEAR($A351))</f>
        <v/>
      </c>
    </row>
    <row r="352" customFormat="false" ht="15" hidden="false" customHeight="true" outlineLevel="0" collapsed="false">
      <c r="A352" s="23"/>
      <c r="B352" s="8"/>
      <c r="C352" s="8"/>
      <c r="D352" s="24"/>
      <c r="E352" s="8"/>
      <c r="F352" s="25" t="str">
        <f aca="false">IF($A352="","",MONTH($A352))</f>
        <v/>
      </c>
      <c r="G352" s="25" t="str">
        <f aca="false">IF($A352="","",YEAR($A352))</f>
        <v/>
      </c>
    </row>
    <row r="353" customFormat="false" ht="15" hidden="false" customHeight="true" outlineLevel="0" collapsed="false">
      <c r="A353" s="23"/>
      <c r="B353" s="8"/>
      <c r="C353" s="8"/>
      <c r="D353" s="24"/>
      <c r="E353" s="8"/>
      <c r="F353" s="25" t="str">
        <f aca="false">IF($A353="","",MONTH($A353))</f>
        <v/>
      </c>
      <c r="G353" s="25" t="str">
        <f aca="false">IF($A353="","",YEAR($A353))</f>
        <v/>
      </c>
    </row>
    <row r="354" customFormat="false" ht="15" hidden="false" customHeight="true" outlineLevel="0" collapsed="false">
      <c r="A354" s="23"/>
      <c r="B354" s="8"/>
      <c r="C354" s="8"/>
      <c r="D354" s="24"/>
      <c r="E354" s="8"/>
      <c r="F354" s="25" t="str">
        <f aca="false">IF($A354="","",MONTH($A354))</f>
        <v/>
      </c>
      <c r="G354" s="25" t="str">
        <f aca="false">IF($A354="","",YEAR($A354))</f>
        <v/>
      </c>
    </row>
    <row r="355" customFormat="false" ht="15" hidden="false" customHeight="true" outlineLevel="0" collapsed="false">
      <c r="A355" s="23"/>
      <c r="B355" s="8"/>
      <c r="C355" s="8"/>
      <c r="D355" s="24"/>
      <c r="E355" s="8"/>
      <c r="F355" s="25" t="str">
        <f aca="false">IF($A355="","",MONTH($A355))</f>
        <v/>
      </c>
      <c r="G355" s="25" t="str">
        <f aca="false">IF($A355="","",YEAR($A355))</f>
        <v/>
      </c>
    </row>
    <row r="356" customFormat="false" ht="15" hidden="false" customHeight="true" outlineLevel="0" collapsed="false">
      <c r="A356" s="23"/>
      <c r="B356" s="8"/>
      <c r="C356" s="8"/>
      <c r="D356" s="24"/>
      <c r="E356" s="8"/>
      <c r="F356" s="25" t="str">
        <f aca="false">IF($A356="","",MONTH($A356))</f>
        <v/>
      </c>
      <c r="G356" s="25" t="str">
        <f aca="false">IF($A356="","",YEAR($A356))</f>
        <v/>
      </c>
    </row>
    <row r="357" customFormat="false" ht="15" hidden="false" customHeight="true" outlineLevel="0" collapsed="false">
      <c r="A357" s="23"/>
      <c r="B357" s="8"/>
      <c r="C357" s="8"/>
      <c r="D357" s="24"/>
      <c r="E357" s="8"/>
      <c r="F357" s="25" t="str">
        <f aca="false">IF($A357="","",MONTH($A357))</f>
        <v/>
      </c>
      <c r="G357" s="25" t="str">
        <f aca="false">IF($A357="","",YEAR($A357))</f>
        <v/>
      </c>
    </row>
    <row r="358" customFormat="false" ht="15" hidden="false" customHeight="true" outlineLevel="0" collapsed="false">
      <c r="A358" s="23"/>
      <c r="B358" s="8"/>
      <c r="C358" s="8"/>
      <c r="D358" s="24"/>
      <c r="E358" s="8"/>
      <c r="F358" s="25" t="str">
        <f aca="false">IF($A358="","",MONTH($A358))</f>
        <v/>
      </c>
      <c r="G358" s="25" t="str">
        <f aca="false">IF($A358="","",YEAR($A358))</f>
        <v/>
      </c>
    </row>
    <row r="359" customFormat="false" ht="15" hidden="false" customHeight="true" outlineLevel="0" collapsed="false">
      <c r="A359" s="23"/>
      <c r="B359" s="8"/>
      <c r="C359" s="8"/>
      <c r="D359" s="24"/>
      <c r="E359" s="8"/>
      <c r="F359" s="25" t="str">
        <f aca="false">IF($A359="","",MONTH($A359))</f>
        <v/>
      </c>
      <c r="G359" s="25" t="str">
        <f aca="false">IF($A359="","",YEAR($A359))</f>
        <v/>
      </c>
    </row>
    <row r="360" customFormat="false" ht="15" hidden="false" customHeight="true" outlineLevel="0" collapsed="false">
      <c r="A360" s="23"/>
      <c r="B360" s="8"/>
      <c r="C360" s="8"/>
      <c r="D360" s="24"/>
      <c r="E360" s="8"/>
      <c r="F360" s="25" t="str">
        <f aca="false">IF($A360="","",MONTH($A360))</f>
        <v/>
      </c>
      <c r="G360" s="25" t="str">
        <f aca="false">IF($A360="","",YEAR($A360))</f>
        <v/>
      </c>
    </row>
    <row r="361" customFormat="false" ht="15" hidden="false" customHeight="true" outlineLevel="0" collapsed="false">
      <c r="A361" s="23"/>
      <c r="B361" s="8"/>
      <c r="C361" s="8"/>
      <c r="D361" s="24"/>
      <c r="E361" s="8"/>
      <c r="F361" s="25" t="str">
        <f aca="false">IF($A361="","",MONTH($A361))</f>
        <v/>
      </c>
      <c r="G361" s="25" t="str">
        <f aca="false">IF($A361="","",YEAR($A361))</f>
        <v/>
      </c>
    </row>
    <row r="362" customFormat="false" ht="15" hidden="false" customHeight="true" outlineLevel="0" collapsed="false">
      <c r="A362" s="23"/>
      <c r="B362" s="8"/>
      <c r="C362" s="8"/>
      <c r="D362" s="24"/>
      <c r="E362" s="8"/>
      <c r="F362" s="25" t="str">
        <f aca="false">IF($A362="","",MONTH($A362))</f>
        <v/>
      </c>
      <c r="G362" s="25" t="str">
        <f aca="false">IF($A362="","",YEAR($A362))</f>
        <v/>
      </c>
    </row>
    <row r="363" customFormat="false" ht="15" hidden="false" customHeight="true" outlineLevel="0" collapsed="false">
      <c r="A363" s="23"/>
      <c r="B363" s="8"/>
      <c r="C363" s="8"/>
      <c r="D363" s="24"/>
      <c r="E363" s="8"/>
      <c r="F363" s="25" t="str">
        <f aca="false">IF($A363="","",MONTH($A363))</f>
        <v/>
      </c>
      <c r="G363" s="25" t="str">
        <f aca="false">IF($A363="","",YEAR($A363))</f>
        <v/>
      </c>
    </row>
    <row r="364" customFormat="false" ht="15" hidden="false" customHeight="true" outlineLevel="0" collapsed="false">
      <c r="A364" s="23"/>
      <c r="B364" s="8"/>
      <c r="C364" s="8"/>
      <c r="D364" s="24"/>
      <c r="E364" s="8"/>
      <c r="F364" s="25" t="str">
        <f aca="false">IF($A364="","",MONTH($A364))</f>
        <v/>
      </c>
      <c r="G364" s="25" t="str">
        <f aca="false">IF($A364="","",YEAR($A364))</f>
        <v/>
      </c>
    </row>
    <row r="365" customFormat="false" ht="15" hidden="false" customHeight="true" outlineLevel="0" collapsed="false">
      <c r="A365" s="23"/>
      <c r="B365" s="8"/>
      <c r="C365" s="8"/>
      <c r="D365" s="24"/>
      <c r="E365" s="8"/>
      <c r="F365" s="25" t="str">
        <f aca="false">IF($A365="","",MONTH($A365))</f>
        <v/>
      </c>
      <c r="G365" s="25" t="str">
        <f aca="false">IF($A365="","",YEAR($A365))</f>
        <v/>
      </c>
    </row>
    <row r="366" customFormat="false" ht="15" hidden="false" customHeight="true" outlineLevel="0" collapsed="false">
      <c r="A366" s="23"/>
      <c r="B366" s="8"/>
      <c r="C366" s="8"/>
      <c r="D366" s="24"/>
      <c r="E366" s="8"/>
      <c r="F366" s="25" t="str">
        <f aca="false">IF($A366="","",MONTH($A366))</f>
        <v/>
      </c>
      <c r="G366" s="25" t="str">
        <f aca="false">IF($A366="","",YEAR($A366))</f>
        <v/>
      </c>
    </row>
    <row r="367" customFormat="false" ht="15" hidden="false" customHeight="true" outlineLevel="0" collapsed="false">
      <c r="A367" s="23"/>
      <c r="B367" s="8"/>
      <c r="C367" s="8"/>
      <c r="D367" s="24"/>
      <c r="E367" s="8"/>
      <c r="F367" s="25" t="str">
        <f aca="false">IF($A367="","",MONTH($A367))</f>
        <v/>
      </c>
      <c r="G367" s="25" t="str">
        <f aca="false">IF($A367="","",YEAR($A367))</f>
        <v/>
      </c>
    </row>
    <row r="368" customFormat="false" ht="15" hidden="false" customHeight="true" outlineLevel="0" collapsed="false">
      <c r="A368" s="23"/>
      <c r="B368" s="8"/>
      <c r="C368" s="8"/>
      <c r="D368" s="24"/>
      <c r="E368" s="8"/>
      <c r="F368" s="25" t="str">
        <f aca="false">IF($A368="","",MONTH($A368))</f>
        <v/>
      </c>
      <c r="G368" s="25" t="str">
        <f aca="false">IF($A368="","",YEAR($A368))</f>
        <v/>
      </c>
    </row>
    <row r="369" customFormat="false" ht="15" hidden="false" customHeight="true" outlineLevel="0" collapsed="false">
      <c r="A369" s="23"/>
      <c r="B369" s="8"/>
      <c r="C369" s="8"/>
      <c r="D369" s="24"/>
      <c r="E369" s="8"/>
      <c r="F369" s="25" t="str">
        <f aca="false">IF($A369="","",MONTH($A369))</f>
        <v/>
      </c>
      <c r="G369" s="25" t="str">
        <f aca="false">IF($A369="","",YEAR($A369))</f>
        <v/>
      </c>
    </row>
    <row r="370" customFormat="false" ht="15" hidden="false" customHeight="true" outlineLevel="0" collapsed="false">
      <c r="A370" s="23"/>
      <c r="B370" s="8"/>
      <c r="C370" s="8"/>
      <c r="D370" s="24"/>
      <c r="E370" s="8"/>
      <c r="F370" s="25" t="str">
        <f aca="false">IF($A370="","",MONTH($A370))</f>
        <v/>
      </c>
      <c r="G370" s="25" t="str">
        <f aca="false">IF($A370="","",YEAR($A370))</f>
        <v/>
      </c>
    </row>
    <row r="371" customFormat="false" ht="15" hidden="false" customHeight="true" outlineLevel="0" collapsed="false">
      <c r="A371" s="23"/>
      <c r="B371" s="8"/>
      <c r="C371" s="8"/>
      <c r="D371" s="24"/>
      <c r="E371" s="8"/>
      <c r="F371" s="25" t="str">
        <f aca="false">IF($A371="","",MONTH($A371))</f>
        <v/>
      </c>
      <c r="G371" s="25" t="str">
        <f aca="false">IF($A371="","",YEAR($A371))</f>
        <v/>
      </c>
    </row>
    <row r="372" customFormat="false" ht="15" hidden="false" customHeight="true" outlineLevel="0" collapsed="false">
      <c r="A372" s="23"/>
      <c r="B372" s="8"/>
      <c r="C372" s="8"/>
      <c r="D372" s="24"/>
      <c r="E372" s="8"/>
      <c r="F372" s="25" t="str">
        <f aca="false">IF($A372="","",MONTH($A372))</f>
        <v/>
      </c>
      <c r="G372" s="25" t="str">
        <f aca="false">IF($A372="","",YEAR($A372))</f>
        <v/>
      </c>
    </row>
    <row r="373" customFormat="false" ht="15" hidden="false" customHeight="true" outlineLevel="0" collapsed="false">
      <c r="A373" s="23"/>
      <c r="B373" s="8"/>
      <c r="C373" s="8"/>
      <c r="D373" s="24"/>
      <c r="E373" s="8"/>
      <c r="F373" s="25" t="str">
        <f aca="false">IF($A373="","",MONTH($A373))</f>
        <v/>
      </c>
      <c r="G373" s="25" t="str">
        <f aca="false">IF($A373="","",YEAR($A373))</f>
        <v/>
      </c>
    </row>
    <row r="374" customFormat="false" ht="15" hidden="false" customHeight="true" outlineLevel="0" collapsed="false">
      <c r="A374" s="23"/>
      <c r="B374" s="8"/>
      <c r="C374" s="8"/>
      <c r="D374" s="24"/>
      <c r="E374" s="8"/>
      <c r="F374" s="25" t="str">
        <f aca="false">IF($A374="","",MONTH($A374))</f>
        <v/>
      </c>
      <c r="G374" s="25" t="str">
        <f aca="false">IF($A374="","",YEAR($A374))</f>
        <v/>
      </c>
    </row>
    <row r="375" customFormat="false" ht="15" hidden="false" customHeight="true" outlineLevel="0" collapsed="false">
      <c r="A375" s="23"/>
      <c r="B375" s="8"/>
      <c r="C375" s="8"/>
      <c r="D375" s="24"/>
      <c r="E375" s="8"/>
      <c r="F375" s="25" t="str">
        <f aca="false">IF($A375="","",MONTH($A375))</f>
        <v/>
      </c>
      <c r="G375" s="25" t="str">
        <f aca="false">IF($A375="","",YEAR($A375))</f>
        <v/>
      </c>
    </row>
    <row r="376" customFormat="false" ht="15" hidden="false" customHeight="true" outlineLevel="0" collapsed="false">
      <c r="A376" s="23"/>
      <c r="B376" s="8"/>
      <c r="C376" s="8"/>
      <c r="D376" s="24"/>
      <c r="E376" s="8"/>
      <c r="F376" s="25" t="str">
        <f aca="false">IF($A376="","",MONTH($A376))</f>
        <v/>
      </c>
      <c r="G376" s="25" t="str">
        <f aca="false">IF($A376="","",YEAR($A376))</f>
        <v/>
      </c>
    </row>
    <row r="377" customFormat="false" ht="15" hidden="false" customHeight="true" outlineLevel="0" collapsed="false">
      <c r="A377" s="23"/>
      <c r="B377" s="8"/>
      <c r="C377" s="8"/>
      <c r="D377" s="24"/>
      <c r="E377" s="8"/>
      <c r="F377" s="25" t="str">
        <f aca="false">IF($A377="","",MONTH($A377))</f>
        <v/>
      </c>
      <c r="G377" s="25" t="str">
        <f aca="false">IF($A377="","",YEAR($A377))</f>
        <v/>
      </c>
    </row>
    <row r="378" customFormat="false" ht="15" hidden="false" customHeight="true" outlineLevel="0" collapsed="false">
      <c r="A378" s="23"/>
      <c r="B378" s="8"/>
      <c r="C378" s="8"/>
      <c r="D378" s="24"/>
      <c r="E378" s="8"/>
      <c r="F378" s="25" t="str">
        <f aca="false">IF($A378="","",MONTH($A378))</f>
        <v/>
      </c>
      <c r="G378" s="25" t="str">
        <f aca="false">IF($A378="","",YEAR($A378))</f>
        <v/>
      </c>
    </row>
    <row r="379" customFormat="false" ht="15" hidden="false" customHeight="true" outlineLevel="0" collapsed="false">
      <c r="A379" s="23"/>
      <c r="B379" s="8"/>
      <c r="C379" s="8"/>
      <c r="D379" s="24"/>
      <c r="E379" s="8"/>
      <c r="F379" s="25" t="str">
        <f aca="false">IF($A379="","",MONTH($A379))</f>
        <v/>
      </c>
      <c r="G379" s="25" t="str">
        <f aca="false">IF($A379="","",YEAR($A379))</f>
        <v/>
      </c>
    </row>
    <row r="380" customFormat="false" ht="15" hidden="false" customHeight="true" outlineLevel="0" collapsed="false">
      <c r="A380" s="23"/>
      <c r="B380" s="8"/>
      <c r="C380" s="8"/>
      <c r="D380" s="24"/>
      <c r="E380" s="8"/>
      <c r="F380" s="25" t="str">
        <f aca="false">IF($A380="","",MONTH($A380))</f>
        <v/>
      </c>
      <c r="G380" s="25" t="str">
        <f aca="false">IF($A380="","",YEAR($A380))</f>
        <v/>
      </c>
    </row>
    <row r="381" customFormat="false" ht="15" hidden="false" customHeight="true" outlineLevel="0" collapsed="false">
      <c r="A381" s="23"/>
      <c r="B381" s="8"/>
      <c r="C381" s="8"/>
      <c r="D381" s="24"/>
      <c r="E381" s="8"/>
      <c r="F381" s="25" t="str">
        <f aca="false">IF($A381="","",MONTH($A381))</f>
        <v/>
      </c>
      <c r="G381" s="25" t="str">
        <f aca="false">IF($A381="","",YEAR($A381))</f>
        <v/>
      </c>
    </row>
    <row r="382" customFormat="false" ht="15" hidden="false" customHeight="true" outlineLevel="0" collapsed="false">
      <c r="A382" s="23"/>
      <c r="B382" s="8"/>
      <c r="C382" s="8"/>
      <c r="D382" s="24"/>
      <c r="E382" s="8"/>
      <c r="F382" s="25" t="str">
        <f aca="false">IF($A382="","",MONTH($A382))</f>
        <v/>
      </c>
      <c r="G382" s="25" t="str">
        <f aca="false">IF($A382="","",YEAR($A382))</f>
        <v/>
      </c>
    </row>
    <row r="383" customFormat="false" ht="15" hidden="false" customHeight="true" outlineLevel="0" collapsed="false">
      <c r="A383" s="23"/>
      <c r="B383" s="8"/>
      <c r="C383" s="8"/>
      <c r="D383" s="24"/>
      <c r="E383" s="8"/>
      <c r="F383" s="25" t="str">
        <f aca="false">IF($A383="","",MONTH($A383))</f>
        <v/>
      </c>
      <c r="G383" s="25" t="str">
        <f aca="false">IF($A383="","",YEAR($A383))</f>
        <v/>
      </c>
    </row>
    <row r="384" customFormat="false" ht="15" hidden="false" customHeight="true" outlineLevel="0" collapsed="false">
      <c r="A384" s="23"/>
      <c r="B384" s="8"/>
      <c r="C384" s="8"/>
      <c r="D384" s="24"/>
      <c r="E384" s="8"/>
      <c r="F384" s="25" t="str">
        <f aca="false">IF($A384="","",MONTH($A384))</f>
        <v/>
      </c>
      <c r="G384" s="25" t="str">
        <f aca="false">IF($A384="","",YEAR($A384))</f>
        <v/>
      </c>
    </row>
    <row r="385" customFormat="false" ht="15" hidden="false" customHeight="true" outlineLevel="0" collapsed="false">
      <c r="A385" s="23"/>
      <c r="B385" s="8"/>
      <c r="C385" s="8"/>
      <c r="D385" s="24"/>
      <c r="E385" s="8"/>
      <c r="F385" s="25" t="str">
        <f aca="false">IF($A385="","",MONTH($A385))</f>
        <v/>
      </c>
      <c r="G385" s="25" t="str">
        <f aca="false">IF($A385="","",YEAR($A385))</f>
        <v/>
      </c>
    </row>
    <row r="386" customFormat="false" ht="15" hidden="false" customHeight="true" outlineLevel="0" collapsed="false">
      <c r="A386" s="23"/>
      <c r="B386" s="8"/>
      <c r="C386" s="8"/>
      <c r="D386" s="24"/>
      <c r="E386" s="8"/>
      <c r="F386" s="25" t="str">
        <f aca="false">IF($A386="","",MONTH($A386))</f>
        <v/>
      </c>
      <c r="G386" s="25" t="str">
        <f aca="false">IF($A386="","",YEAR($A386))</f>
        <v/>
      </c>
    </row>
    <row r="387" customFormat="false" ht="15" hidden="false" customHeight="true" outlineLevel="0" collapsed="false">
      <c r="A387" s="23"/>
      <c r="B387" s="8"/>
      <c r="C387" s="8"/>
      <c r="D387" s="24"/>
      <c r="E387" s="8"/>
      <c r="F387" s="25" t="str">
        <f aca="false">IF($A387="","",MONTH($A387))</f>
        <v/>
      </c>
      <c r="G387" s="25" t="str">
        <f aca="false">IF($A387="","",YEAR($A387))</f>
        <v/>
      </c>
    </row>
    <row r="388" customFormat="false" ht="15" hidden="false" customHeight="true" outlineLevel="0" collapsed="false">
      <c r="A388" s="23"/>
      <c r="B388" s="8"/>
      <c r="C388" s="8"/>
      <c r="D388" s="24"/>
      <c r="E388" s="8"/>
      <c r="F388" s="25" t="str">
        <f aca="false">IF($A388="","",MONTH($A388))</f>
        <v/>
      </c>
      <c r="G388" s="25" t="str">
        <f aca="false">IF($A388="","",YEAR($A388))</f>
        <v/>
      </c>
    </row>
    <row r="389" customFormat="false" ht="15" hidden="false" customHeight="true" outlineLevel="0" collapsed="false">
      <c r="A389" s="23"/>
      <c r="B389" s="8"/>
      <c r="C389" s="8"/>
      <c r="D389" s="24"/>
      <c r="E389" s="8"/>
      <c r="F389" s="25" t="str">
        <f aca="false">IF($A389="","",MONTH($A389))</f>
        <v/>
      </c>
      <c r="G389" s="25" t="str">
        <f aca="false">IF($A389="","",YEAR($A389))</f>
        <v/>
      </c>
    </row>
    <row r="390" customFormat="false" ht="15" hidden="false" customHeight="true" outlineLevel="0" collapsed="false">
      <c r="A390" s="23"/>
      <c r="B390" s="8"/>
      <c r="C390" s="8"/>
      <c r="D390" s="24"/>
      <c r="E390" s="8"/>
      <c r="F390" s="25" t="str">
        <f aca="false">IF($A390="","",MONTH($A390))</f>
        <v/>
      </c>
      <c r="G390" s="25" t="str">
        <f aca="false">IF($A390="","",YEAR($A390))</f>
        <v/>
      </c>
    </row>
    <row r="391" customFormat="false" ht="15" hidden="false" customHeight="true" outlineLevel="0" collapsed="false">
      <c r="A391" s="23"/>
      <c r="B391" s="8"/>
      <c r="C391" s="8"/>
      <c r="D391" s="24"/>
      <c r="E391" s="8"/>
      <c r="F391" s="25" t="str">
        <f aca="false">IF($A391="","",MONTH($A391))</f>
        <v/>
      </c>
      <c r="G391" s="25" t="str">
        <f aca="false">IF($A391="","",YEAR($A391))</f>
        <v/>
      </c>
    </row>
    <row r="392" customFormat="false" ht="15" hidden="false" customHeight="true" outlineLevel="0" collapsed="false">
      <c r="A392" s="23"/>
      <c r="B392" s="8"/>
      <c r="C392" s="8"/>
      <c r="D392" s="24"/>
      <c r="E392" s="8"/>
      <c r="F392" s="25" t="str">
        <f aca="false">IF($A392="","",MONTH($A392))</f>
        <v/>
      </c>
      <c r="G392" s="25" t="str">
        <f aca="false">IF($A392="","",YEAR($A392))</f>
        <v/>
      </c>
    </row>
    <row r="393" customFormat="false" ht="15" hidden="false" customHeight="true" outlineLevel="0" collapsed="false">
      <c r="A393" s="23"/>
      <c r="B393" s="8"/>
      <c r="C393" s="8"/>
      <c r="D393" s="24"/>
      <c r="E393" s="8"/>
      <c r="F393" s="25" t="str">
        <f aca="false">IF($A393="","",MONTH($A393))</f>
        <v/>
      </c>
      <c r="G393" s="25" t="str">
        <f aca="false">IF($A393="","",YEAR($A393))</f>
        <v/>
      </c>
    </row>
    <row r="394" customFormat="false" ht="15" hidden="false" customHeight="true" outlineLevel="0" collapsed="false">
      <c r="A394" s="23"/>
      <c r="B394" s="8"/>
      <c r="C394" s="8"/>
      <c r="D394" s="24"/>
      <c r="E394" s="8"/>
      <c r="F394" s="25" t="str">
        <f aca="false">IF($A394="","",MONTH($A394))</f>
        <v/>
      </c>
      <c r="G394" s="25" t="str">
        <f aca="false">IF($A394="","",YEAR($A394))</f>
        <v/>
      </c>
    </row>
    <row r="395" customFormat="false" ht="15" hidden="false" customHeight="true" outlineLevel="0" collapsed="false">
      <c r="A395" s="23"/>
      <c r="B395" s="8"/>
      <c r="C395" s="8"/>
      <c r="D395" s="24"/>
      <c r="E395" s="8"/>
      <c r="F395" s="25" t="str">
        <f aca="false">IF($A395="","",MONTH($A395))</f>
        <v/>
      </c>
      <c r="G395" s="25" t="str">
        <f aca="false">IF($A395="","",YEAR($A395))</f>
        <v/>
      </c>
    </row>
    <row r="396" customFormat="false" ht="15" hidden="false" customHeight="true" outlineLevel="0" collapsed="false">
      <c r="A396" s="23"/>
      <c r="B396" s="8"/>
      <c r="C396" s="8"/>
      <c r="D396" s="24"/>
      <c r="E396" s="8"/>
      <c r="F396" s="25" t="str">
        <f aca="false">IF($A396="","",MONTH($A396))</f>
        <v/>
      </c>
      <c r="G396" s="25" t="str">
        <f aca="false">IF($A396="","",YEAR($A396))</f>
        <v/>
      </c>
    </row>
    <row r="397" customFormat="false" ht="15" hidden="false" customHeight="true" outlineLevel="0" collapsed="false">
      <c r="A397" s="23"/>
      <c r="B397" s="8"/>
      <c r="C397" s="8"/>
      <c r="D397" s="24"/>
      <c r="E397" s="8"/>
      <c r="F397" s="25" t="str">
        <f aca="false">IF($A397="","",MONTH($A397))</f>
        <v/>
      </c>
      <c r="G397" s="25" t="str">
        <f aca="false">IF($A397="","",YEAR($A397))</f>
        <v/>
      </c>
    </row>
    <row r="398" customFormat="false" ht="15" hidden="false" customHeight="true" outlineLevel="0" collapsed="false">
      <c r="A398" s="23"/>
      <c r="B398" s="8"/>
      <c r="C398" s="8"/>
      <c r="D398" s="24"/>
      <c r="E398" s="8"/>
      <c r="F398" s="25" t="str">
        <f aca="false">IF($A398="","",MONTH($A398))</f>
        <v/>
      </c>
      <c r="G398" s="25" t="str">
        <f aca="false">IF($A398="","",YEAR($A398))</f>
        <v/>
      </c>
    </row>
    <row r="399" customFormat="false" ht="15" hidden="false" customHeight="true" outlineLevel="0" collapsed="false">
      <c r="A399" s="23"/>
      <c r="B399" s="8"/>
      <c r="C399" s="8"/>
      <c r="D399" s="24"/>
      <c r="E399" s="8"/>
      <c r="F399" s="25" t="str">
        <f aca="false">IF($A399="","",MONTH($A399))</f>
        <v/>
      </c>
      <c r="G399" s="25" t="str">
        <f aca="false">IF($A399="","",YEAR($A399))</f>
        <v/>
      </c>
    </row>
    <row r="400" customFormat="false" ht="15" hidden="false" customHeight="true" outlineLevel="0" collapsed="false">
      <c r="A400" s="23"/>
      <c r="B400" s="8"/>
      <c r="C400" s="8"/>
      <c r="D400" s="24"/>
      <c r="E400" s="8"/>
      <c r="F400" s="25" t="str">
        <f aca="false">IF($A400="","",MONTH($A400))</f>
        <v/>
      </c>
      <c r="G400" s="25" t="str">
        <f aca="false">IF($A400="","",YEAR($A400))</f>
        <v/>
      </c>
    </row>
    <row r="401" customFormat="false" ht="15" hidden="false" customHeight="true" outlineLevel="0" collapsed="false">
      <c r="A401" s="23"/>
      <c r="B401" s="8"/>
      <c r="C401" s="8"/>
      <c r="D401" s="24"/>
      <c r="E401" s="8"/>
      <c r="F401" s="25" t="str">
        <f aca="false">IF($A401="","",MONTH($A401))</f>
        <v/>
      </c>
      <c r="G401" s="25" t="str">
        <f aca="false">IF($A401="","",YEAR($A401))</f>
        <v/>
      </c>
    </row>
    <row r="402" customFormat="false" ht="15" hidden="false" customHeight="true" outlineLevel="0" collapsed="false">
      <c r="A402" s="23"/>
      <c r="B402" s="8"/>
      <c r="C402" s="8"/>
      <c r="D402" s="24"/>
      <c r="E402" s="8"/>
      <c r="F402" s="25" t="str">
        <f aca="false">IF($A402="","",MONTH($A402))</f>
        <v/>
      </c>
      <c r="G402" s="25" t="str">
        <f aca="false">IF($A402="","",YEAR($A402))</f>
        <v/>
      </c>
    </row>
    <row r="403" customFormat="false" ht="15" hidden="false" customHeight="true" outlineLevel="0" collapsed="false">
      <c r="A403" s="23"/>
      <c r="B403" s="8"/>
      <c r="C403" s="8"/>
      <c r="D403" s="24"/>
      <c r="E403" s="8"/>
      <c r="F403" s="25" t="str">
        <f aca="false">IF($A403="","",MONTH($A403))</f>
        <v/>
      </c>
      <c r="G403" s="25" t="str">
        <f aca="false">IF($A403="","",YEAR($A403))</f>
        <v/>
      </c>
    </row>
    <row r="404" customFormat="false" ht="15" hidden="false" customHeight="true" outlineLevel="0" collapsed="false">
      <c r="A404" s="23"/>
      <c r="B404" s="8"/>
      <c r="C404" s="8"/>
      <c r="D404" s="24"/>
      <c r="E404" s="8"/>
      <c r="F404" s="25" t="str">
        <f aca="false">IF($A404="","",MONTH($A404))</f>
        <v/>
      </c>
      <c r="G404" s="25" t="str">
        <f aca="false">IF($A404="","",YEAR($A404))</f>
        <v/>
      </c>
    </row>
    <row r="405" customFormat="false" ht="15" hidden="false" customHeight="true" outlineLevel="0" collapsed="false">
      <c r="A405" s="23"/>
      <c r="B405" s="8"/>
      <c r="C405" s="8"/>
      <c r="D405" s="24"/>
      <c r="E405" s="8"/>
      <c r="F405" s="25" t="str">
        <f aca="false">IF($A405="","",MONTH($A405))</f>
        <v/>
      </c>
      <c r="G405" s="25" t="str">
        <f aca="false">IF($A405="","",YEAR($A405))</f>
        <v/>
      </c>
    </row>
    <row r="406" customFormat="false" ht="15" hidden="false" customHeight="true" outlineLevel="0" collapsed="false">
      <c r="A406" s="23"/>
      <c r="B406" s="8"/>
      <c r="C406" s="8"/>
      <c r="D406" s="24"/>
      <c r="E406" s="8"/>
      <c r="F406" s="25" t="str">
        <f aca="false">IF($A406="","",MONTH($A406))</f>
        <v/>
      </c>
      <c r="G406" s="25" t="str">
        <f aca="false">IF($A406="","",YEAR($A406))</f>
        <v/>
      </c>
    </row>
    <row r="407" customFormat="false" ht="15" hidden="false" customHeight="true" outlineLevel="0" collapsed="false">
      <c r="A407" s="23"/>
      <c r="B407" s="8"/>
      <c r="C407" s="8"/>
      <c r="D407" s="24"/>
      <c r="E407" s="8"/>
      <c r="F407" s="25" t="str">
        <f aca="false">IF($A407="","",MONTH($A407))</f>
        <v/>
      </c>
      <c r="G407" s="25" t="str">
        <f aca="false">IF($A407="","",YEAR($A407))</f>
        <v/>
      </c>
    </row>
    <row r="408" customFormat="false" ht="15" hidden="false" customHeight="true" outlineLevel="0" collapsed="false">
      <c r="A408" s="23"/>
      <c r="B408" s="8"/>
      <c r="C408" s="8"/>
      <c r="D408" s="24"/>
      <c r="E408" s="8"/>
      <c r="F408" s="25" t="str">
        <f aca="false">IF($A408="","",MONTH($A408))</f>
        <v/>
      </c>
      <c r="G408" s="25" t="str">
        <f aca="false">IF($A408="","",YEAR($A408))</f>
        <v/>
      </c>
    </row>
    <row r="409" customFormat="false" ht="15" hidden="false" customHeight="true" outlineLevel="0" collapsed="false">
      <c r="A409" s="23"/>
      <c r="B409" s="8"/>
      <c r="C409" s="8"/>
      <c r="D409" s="24"/>
      <c r="E409" s="8"/>
      <c r="F409" s="25" t="str">
        <f aca="false">IF($A409="","",MONTH($A409))</f>
        <v/>
      </c>
      <c r="G409" s="25" t="str">
        <f aca="false">IF($A409="","",YEAR($A409))</f>
        <v/>
      </c>
    </row>
    <row r="410" customFormat="false" ht="15" hidden="false" customHeight="true" outlineLevel="0" collapsed="false">
      <c r="A410" s="23"/>
      <c r="B410" s="8"/>
      <c r="C410" s="8"/>
      <c r="D410" s="24"/>
      <c r="E410" s="8"/>
      <c r="F410" s="25" t="str">
        <f aca="false">IF($A410="","",MONTH($A410))</f>
        <v/>
      </c>
      <c r="G410" s="25" t="str">
        <f aca="false">IF($A410="","",YEAR($A410))</f>
        <v/>
      </c>
    </row>
    <row r="411" customFormat="false" ht="15" hidden="false" customHeight="true" outlineLevel="0" collapsed="false">
      <c r="A411" s="23"/>
      <c r="B411" s="8"/>
      <c r="C411" s="8"/>
      <c r="D411" s="24"/>
      <c r="E411" s="8"/>
      <c r="F411" s="25" t="str">
        <f aca="false">IF($A411="","",MONTH($A411))</f>
        <v/>
      </c>
      <c r="G411" s="25" t="str">
        <f aca="false">IF($A411="","",YEAR($A411))</f>
        <v/>
      </c>
    </row>
    <row r="412" customFormat="false" ht="15" hidden="false" customHeight="true" outlineLevel="0" collapsed="false">
      <c r="A412" s="23"/>
      <c r="B412" s="8"/>
      <c r="C412" s="8"/>
      <c r="D412" s="24"/>
      <c r="E412" s="8"/>
      <c r="F412" s="25" t="str">
        <f aca="false">IF($A412="","",MONTH($A412))</f>
        <v/>
      </c>
      <c r="G412" s="25" t="str">
        <f aca="false">IF($A412="","",YEAR($A412))</f>
        <v/>
      </c>
    </row>
    <row r="413" customFormat="false" ht="15" hidden="false" customHeight="true" outlineLevel="0" collapsed="false">
      <c r="A413" s="23"/>
      <c r="B413" s="8"/>
      <c r="C413" s="8"/>
      <c r="D413" s="24"/>
      <c r="E413" s="8"/>
      <c r="F413" s="25" t="str">
        <f aca="false">IF($A413="","",MONTH($A413))</f>
        <v/>
      </c>
      <c r="G413" s="25" t="str">
        <f aca="false">IF($A413="","",YEAR($A413))</f>
        <v/>
      </c>
    </row>
    <row r="414" customFormat="false" ht="15" hidden="false" customHeight="true" outlineLevel="0" collapsed="false">
      <c r="A414" s="23"/>
      <c r="B414" s="8"/>
      <c r="C414" s="8"/>
      <c r="D414" s="24"/>
      <c r="E414" s="8"/>
      <c r="F414" s="25" t="str">
        <f aca="false">IF($A414="","",MONTH($A414))</f>
        <v/>
      </c>
      <c r="G414" s="25" t="str">
        <f aca="false">IF($A414="","",YEAR($A414))</f>
        <v/>
      </c>
    </row>
    <row r="415" customFormat="false" ht="15" hidden="false" customHeight="true" outlineLevel="0" collapsed="false">
      <c r="A415" s="23"/>
      <c r="B415" s="8"/>
      <c r="C415" s="8"/>
      <c r="D415" s="24"/>
      <c r="E415" s="8"/>
      <c r="F415" s="25" t="str">
        <f aca="false">IF($A415="","",MONTH($A415))</f>
        <v/>
      </c>
      <c r="G415" s="25" t="str">
        <f aca="false">IF($A415="","",YEAR($A415))</f>
        <v/>
      </c>
    </row>
    <row r="416" customFormat="false" ht="15" hidden="false" customHeight="true" outlineLevel="0" collapsed="false">
      <c r="A416" s="23"/>
      <c r="B416" s="8"/>
      <c r="C416" s="8"/>
      <c r="D416" s="24"/>
      <c r="E416" s="8"/>
      <c r="F416" s="25" t="str">
        <f aca="false">IF($A416="","",MONTH($A416))</f>
        <v/>
      </c>
      <c r="G416" s="25" t="str">
        <f aca="false">IF($A416="","",YEAR($A416))</f>
        <v/>
      </c>
    </row>
    <row r="417" customFormat="false" ht="15" hidden="false" customHeight="true" outlineLevel="0" collapsed="false">
      <c r="A417" s="23"/>
      <c r="B417" s="8"/>
      <c r="C417" s="8"/>
      <c r="D417" s="24"/>
      <c r="E417" s="8"/>
      <c r="F417" s="25" t="str">
        <f aca="false">IF($A417="","",MONTH($A417))</f>
        <v/>
      </c>
      <c r="G417" s="25" t="str">
        <f aca="false">IF($A417="","",YEAR($A417))</f>
        <v/>
      </c>
    </row>
    <row r="418" customFormat="false" ht="15" hidden="false" customHeight="true" outlineLevel="0" collapsed="false">
      <c r="A418" s="23"/>
      <c r="B418" s="8"/>
      <c r="C418" s="8"/>
      <c r="D418" s="24"/>
      <c r="E418" s="8"/>
      <c r="F418" s="25" t="str">
        <f aca="false">IF($A418="","",MONTH($A418))</f>
        <v/>
      </c>
      <c r="G418" s="25" t="str">
        <f aca="false">IF($A418="","",YEAR($A418))</f>
        <v/>
      </c>
    </row>
    <row r="419" customFormat="false" ht="15" hidden="false" customHeight="true" outlineLevel="0" collapsed="false">
      <c r="A419" s="23"/>
      <c r="B419" s="8"/>
      <c r="C419" s="8"/>
      <c r="D419" s="24"/>
      <c r="E419" s="8"/>
      <c r="F419" s="25" t="str">
        <f aca="false">IF($A419="","",MONTH($A419))</f>
        <v/>
      </c>
      <c r="G419" s="25" t="str">
        <f aca="false">IF($A419="","",YEAR($A419))</f>
        <v/>
      </c>
    </row>
    <row r="420" customFormat="false" ht="15" hidden="false" customHeight="true" outlineLevel="0" collapsed="false">
      <c r="A420" s="23"/>
      <c r="B420" s="8"/>
      <c r="C420" s="8"/>
      <c r="D420" s="24"/>
      <c r="E420" s="8"/>
      <c r="F420" s="25" t="str">
        <f aca="false">IF($A420="","",MONTH($A420))</f>
        <v/>
      </c>
      <c r="G420" s="25" t="str">
        <f aca="false">IF($A420="","",YEAR($A420))</f>
        <v/>
      </c>
    </row>
    <row r="421" customFormat="false" ht="15" hidden="false" customHeight="true" outlineLevel="0" collapsed="false">
      <c r="A421" s="23"/>
      <c r="B421" s="8"/>
      <c r="C421" s="8"/>
      <c r="D421" s="24"/>
      <c r="E421" s="8"/>
      <c r="F421" s="25" t="str">
        <f aca="false">IF($A421="","",MONTH($A421))</f>
        <v/>
      </c>
      <c r="G421" s="25" t="str">
        <f aca="false">IF($A421="","",YEAR($A421))</f>
        <v/>
      </c>
    </row>
    <row r="422" customFormat="false" ht="15" hidden="false" customHeight="true" outlineLevel="0" collapsed="false">
      <c r="A422" s="23"/>
      <c r="B422" s="8"/>
      <c r="C422" s="8"/>
      <c r="D422" s="24"/>
      <c r="E422" s="8"/>
      <c r="F422" s="25" t="str">
        <f aca="false">IF($A422="","",MONTH($A422))</f>
        <v/>
      </c>
      <c r="G422" s="25" t="str">
        <f aca="false">IF($A422="","",YEAR($A422))</f>
        <v/>
      </c>
    </row>
    <row r="423" customFormat="false" ht="15" hidden="false" customHeight="true" outlineLevel="0" collapsed="false">
      <c r="A423" s="23"/>
      <c r="B423" s="8"/>
      <c r="C423" s="8"/>
      <c r="D423" s="24"/>
      <c r="E423" s="8"/>
      <c r="F423" s="25" t="str">
        <f aca="false">IF($A423="","",MONTH($A423))</f>
        <v/>
      </c>
      <c r="G423" s="25" t="str">
        <f aca="false">IF($A423="","",YEAR($A423))</f>
        <v/>
      </c>
    </row>
    <row r="424" customFormat="false" ht="15" hidden="false" customHeight="true" outlineLevel="0" collapsed="false">
      <c r="A424" s="23"/>
      <c r="B424" s="8"/>
      <c r="C424" s="8"/>
      <c r="D424" s="24"/>
      <c r="E424" s="8"/>
      <c r="F424" s="25" t="str">
        <f aca="false">IF($A424="","",MONTH($A424))</f>
        <v/>
      </c>
      <c r="G424" s="25" t="str">
        <f aca="false">IF($A424="","",YEAR($A424))</f>
        <v/>
      </c>
    </row>
    <row r="425" customFormat="false" ht="15" hidden="false" customHeight="true" outlineLevel="0" collapsed="false">
      <c r="A425" s="23"/>
      <c r="B425" s="8"/>
      <c r="C425" s="8"/>
      <c r="D425" s="24"/>
      <c r="E425" s="8"/>
      <c r="F425" s="25" t="str">
        <f aca="false">IF($A425="","",MONTH($A425))</f>
        <v/>
      </c>
      <c r="G425" s="25" t="str">
        <f aca="false">IF($A425="","",YEAR($A425))</f>
        <v/>
      </c>
    </row>
    <row r="426" customFormat="false" ht="15" hidden="false" customHeight="true" outlineLevel="0" collapsed="false">
      <c r="A426" s="23"/>
      <c r="B426" s="8"/>
      <c r="C426" s="8"/>
      <c r="D426" s="24"/>
      <c r="E426" s="8"/>
      <c r="F426" s="25" t="str">
        <f aca="false">IF($A426="","",MONTH($A426))</f>
        <v/>
      </c>
      <c r="G426" s="25" t="str">
        <f aca="false">IF($A426="","",YEAR($A426))</f>
        <v/>
      </c>
    </row>
    <row r="427" customFormat="false" ht="15" hidden="false" customHeight="true" outlineLevel="0" collapsed="false">
      <c r="A427" s="23"/>
      <c r="B427" s="8"/>
      <c r="C427" s="8"/>
      <c r="D427" s="24"/>
      <c r="E427" s="8"/>
      <c r="F427" s="25" t="str">
        <f aca="false">IF($A427="","",MONTH($A427))</f>
        <v/>
      </c>
      <c r="G427" s="25" t="str">
        <f aca="false">IF($A427="","",YEAR($A427))</f>
        <v/>
      </c>
    </row>
    <row r="428" customFormat="false" ht="15" hidden="false" customHeight="true" outlineLevel="0" collapsed="false">
      <c r="A428" s="23"/>
      <c r="B428" s="8"/>
      <c r="C428" s="8"/>
      <c r="D428" s="24"/>
      <c r="E428" s="8"/>
      <c r="F428" s="25" t="str">
        <f aca="false">IF($A428="","",MONTH($A428))</f>
        <v/>
      </c>
      <c r="G428" s="25" t="str">
        <f aca="false">IF($A428="","",YEAR($A428))</f>
        <v/>
      </c>
    </row>
    <row r="429" customFormat="false" ht="15" hidden="false" customHeight="true" outlineLevel="0" collapsed="false">
      <c r="A429" s="23"/>
      <c r="B429" s="8"/>
      <c r="C429" s="8"/>
      <c r="D429" s="24"/>
      <c r="E429" s="8"/>
      <c r="F429" s="25" t="str">
        <f aca="false">IF($A429="","",MONTH($A429))</f>
        <v/>
      </c>
      <c r="G429" s="25" t="str">
        <f aca="false">IF($A429="","",YEAR($A429))</f>
        <v/>
      </c>
    </row>
    <row r="430" customFormat="false" ht="15" hidden="false" customHeight="true" outlineLevel="0" collapsed="false">
      <c r="A430" s="23"/>
      <c r="B430" s="8"/>
      <c r="C430" s="8"/>
      <c r="D430" s="24"/>
      <c r="E430" s="8"/>
      <c r="F430" s="25" t="str">
        <f aca="false">IF($A430="","",MONTH($A430))</f>
        <v/>
      </c>
      <c r="G430" s="25" t="str">
        <f aca="false">IF($A430="","",YEAR($A430))</f>
        <v/>
      </c>
    </row>
    <row r="431" customFormat="false" ht="15" hidden="false" customHeight="true" outlineLevel="0" collapsed="false">
      <c r="A431" s="23"/>
      <c r="B431" s="8"/>
      <c r="C431" s="8"/>
      <c r="D431" s="24"/>
      <c r="E431" s="8"/>
      <c r="F431" s="25" t="str">
        <f aca="false">IF($A431="","",MONTH($A431))</f>
        <v/>
      </c>
      <c r="G431" s="25" t="str">
        <f aca="false">IF($A431="","",YEAR($A431))</f>
        <v/>
      </c>
    </row>
    <row r="432" customFormat="false" ht="15" hidden="false" customHeight="true" outlineLevel="0" collapsed="false">
      <c r="A432" s="23"/>
      <c r="B432" s="8"/>
      <c r="C432" s="8"/>
      <c r="D432" s="24"/>
      <c r="E432" s="8"/>
      <c r="F432" s="25" t="str">
        <f aca="false">IF($A432="","",MONTH($A432))</f>
        <v/>
      </c>
      <c r="G432" s="25" t="str">
        <f aca="false">IF($A432="","",YEAR($A432))</f>
        <v/>
      </c>
    </row>
    <row r="433" customFormat="false" ht="15" hidden="false" customHeight="true" outlineLevel="0" collapsed="false">
      <c r="A433" s="23"/>
      <c r="B433" s="8"/>
      <c r="C433" s="8"/>
      <c r="D433" s="24"/>
      <c r="E433" s="8"/>
      <c r="F433" s="25" t="str">
        <f aca="false">IF($A433="","",MONTH($A433))</f>
        <v/>
      </c>
      <c r="G433" s="25" t="str">
        <f aca="false">IF($A433="","",YEAR($A433))</f>
        <v/>
      </c>
    </row>
    <row r="434" customFormat="false" ht="15" hidden="false" customHeight="true" outlineLevel="0" collapsed="false">
      <c r="A434" s="23"/>
      <c r="B434" s="8"/>
      <c r="C434" s="8"/>
      <c r="D434" s="24"/>
      <c r="E434" s="8"/>
      <c r="F434" s="25" t="str">
        <f aca="false">IF($A434="","",MONTH($A434))</f>
        <v/>
      </c>
      <c r="G434" s="25" t="str">
        <f aca="false">IF($A434="","",YEAR($A434))</f>
        <v/>
      </c>
    </row>
    <row r="435" customFormat="false" ht="15" hidden="false" customHeight="true" outlineLevel="0" collapsed="false">
      <c r="A435" s="23"/>
      <c r="B435" s="8"/>
      <c r="C435" s="8"/>
      <c r="D435" s="24"/>
      <c r="E435" s="8"/>
      <c r="F435" s="25" t="str">
        <f aca="false">IF($A435="","",MONTH($A435))</f>
        <v/>
      </c>
      <c r="G435" s="25" t="str">
        <f aca="false">IF($A435="","",YEAR($A435))</f>
        <v/>
      </c>
    </row>
    <row r="436" customFormat="false" ht="15" hidden="false" customHeight="true" outlineLevel="0" collapsed="false">
      <c r="A436" s="23"/>
      <c r="B436" s="8"/>
      <c r="C436" s="8"/>
      <c r="D436" s="24"/>
      <c r="E436" s="8"/>
      <c r="F436" s="25" t="str">
        <f aca="false">IF($A436="","",MONTH($A436))</f>
        <v/>
      </c>
      <c r="G436" s="25" t="str">
        <f aca="false">IF($A436="","",YEAR($A436))</f>
        <v/>
      </c>
    </row>
    <row r="437" customFormat="false" ht="15" hidden="false" customHeight="true" outlineLevel="0" collapsed="false">
      <c r="A437" s="23"/>
      <c r="B437" s="8"/>
      <c r="C437" s="8"/>
      <c r="D437" s="24"/>
      <c r="E437" s="8"/>
      <c r="F437" s="25" t="str">
        <f aca="false">IF($A437="","",MONTH($A437))</f>
        <v/>
      </c>
      <c r="G437" s="25" t="str">
        <f aca="false">IF($A437="","",YEAR($A437))</f>
        <v/>
      </c>
    </row>
    <row r="438" customFormat="false" ht="15" hidden="false" customHeight="true" outlineLevel="0" collapsed="false">
      <c r="A438" s="23"/>
      <c r="B438" s="8"/>
      <c r="C438" s="8"/>
      <c r="D438" s="24"/>
      <c r="E438" s="8"/>
      <c r="F438" s="25" t="str">
        <f aca="false">IF($A438="","",MONTH($A438))</f>
        <v/>
      </c>
      <c r="G438" s="25" t="str">
        <f aca="false">IF($A438="","",YEAR($A438))</f>
        <v/>
      </c>
    </row>
    <row r="439" customFormat="false" ht="15" hidden="false" customHeight="true" outlineLevel="0" collapsed="false">
      <c r="A439" s="23"/>
      <c r="B439" s="8"/>
      <c r="C439" s="8"/>
      <c r="D439" s="24"/>
      <c r="E439" s="8"/>
      <c r="F439" s="25" t="str">
        <f aca="false">IF($A439="","",MONTH($A439))</f>
        <v/>
      </c>
      <c r="G439" s="25" t="str">
        <f aca="false">IF($A439="","",YEAR($A439))</f>
        <v/>
      </c>
    </row>
    <row r="440" customFormat="false" ht="15" hidden="false" customHeight="true" outlineLevel="0" collapsed="false">
      <c r="A440" s="23"/>
      <c r="B440" s="8"/>
      <c r="C440" s="8"/>
      <c r="D440" s="24"/>
      <c r="E440" s="8"/>
      <c r="F440" s="25" t="str">
        <f aca="false">IF($A440="","",MONTH($A440))</f>
        <v/>
      </c>
      <c r="G440" s="25" t="str">
        <f aca="false">IF($A440="","",YEAR($A440))</f>
        <v/>
      </c>
    </row>
    <row r="441" customFormat="false" ht="15" hidden="false" customHeight="true" outlineLevel="0" collapsed="false">
      <c r="A441" s="23"/>
      <c r="B441" s="8"/>
      <c r="C441" s="8"/>
      <c r="D441" s="24"/>
      <c r="E441" s="8"/>
      <c r="F441" s="25" t="str">
        <f aca="false">IF($A441="","",MONTH($A441))</f>
        <v/>
      </c>
      <c r="G441" s="25" t="str">
        <f aca="false">IF($A441="","",YEAR($A441))</f>
        <v/>
      </c>
    </row>
    <row r="442" customFormat="false" ht="15" hidden="false" customHeight="true" outlineLevel="0" collapsed="false">
      <c r="A442" s="23"/>
      <c r="B442" s="8"/>
      <c r="C442" s="8"/>
      <c r="D442" s="24"/>
      <c r="E442" s="8"/>
      <c r="F442" s="25" t="str">
        <f aca="false">IF($A442="","",MONTH($A442))</f>
        <v/>
      </c>
      <c r="G442" s="25" t="str">
        <f aca="false">IF($A442="","",YEAR($A442))</f>
        <v/>
      </c>
    </row>
    <row r="443" customFormat="false" ht="15" hidden="false" customHeight="true" outlineLevel="0" collapsed="false">
      <c r="A443" s="23"/>
      <c r="B443" s="8"/>
      <c r="C443" s="8"/>
      <c r="D443" s="24"/>
      <c r="E443" s="8"/>
      <c r="F443" s="25" t="str">
        <f aca="false">IF($A443="","",MONTH($A443))</f>
        <v/>
      </c>
      <c r="G443" s="25" t="str">
        <f aca="false">IF($A443="","",YEAR($A443))</f>
        <v/>
      </c>
    </row>
    <row r="444" customFormat="false" ht="15" hidden="false" customHeight="true" outlineLevel="0" collapsed="false">
      <c r="A444" s="23"/>
      <c r="B444" s="8"/>
      <c r="C444" s="8"/>
      <c r="D444" s="24"/>
      <c r="E444" s="8"/>
      <c r="F444" s="25" t="str">
        <f aca="false">IF($A444="","",MONTH($A444))</f>
        <v/>
      </c>
      <c r="G444" s="25" t="str">
        <f aca="false">IF($A444="","",YEAR($A444))</f>
        <v/>
      </c>
    </row>
    <row r="445" customFormat="false" ht="15" hidden="false" customHeight="true" outlineLevel="0" collapsed="false">
      <c r="A445" s="23"/>
      <c r="B445" s="8"/>
      <c r="C445" s="8"/>
      <c r="D445" s="24"/>
      <c r="E445" s="8"/>
      <c r="F445" s="25" t="str">
        <f aca="false">IF($A445="","",MONTH($A445))</f>
        <v/>
      </c>
      <c r="G445" s="25" t="str">
        <f aca="false">IF($A445="","",YEAR($A445))</f>
        <v/>
      </c>
    </row>
    <row r="446" customFormat="false" ht="15" hidden="false" customHeight="true" outlineLevel="0" collapsed="false">
      <c r="A446" s="23"/>
      <c r="B446" s="8"/>
      <c r="C446" s="8"/>
      <c r="D446" s="24"/>
      <c r="E446" s="8"/>
      <c r="F446" s="25" t="str">
        <f aca="false">IF($A446="","",MONTH($A446))</f>
        <v/>
      </c>
      <c r="G446" s="25" t="str">
        <f aca="false">IF($A446="","",YEAR($A446))</f>
        <v/>
      </c>
    </row>
    <row r="447" customFormat="false" ht="15" hidden="false" customHeight="true" outlineLevel="0" collapsed="false">
      <c r="A447" s="23"/>
      <c r="B447" s="8"/>
      <c r="C447" s="8"/>
      <c r="D447" s="24"/>
      <c r="E447" s="8"/>
      <c r="F447" s="25" t="str">
        <f aca="false">IF($A447="","",MONTH($A447))</f>
        <v/>
      </c>
      <c r="G447" s="25" t="str">
        <f aca="false">IF($A447="","",YEAR($A447))</f>
        <v/>
      </c>
    </row>
    <row r="448" customFormat="false" ht="15" hidden="false" customHeight="true" outlineLevel="0" collapsed="false">
      <c r="A448" s="23"/>
      <c r="B448" s="8"/>
      <c r="C448" s="8"/>
      <c r="D448" s="24"/>
      <c r="E448" s="8"/>
      <c r="F448" s="25" t="str">
        <f aca="false">IF($A448="","",MONTH($A448))</f>
        <v/>
      </c>
      <c r="G448" s="25" t="str">
        <f aca="false">IF($A448="","",YEAR($A448))</f>
        <v/>
      </c>
    </row>
    <row r="449" customFormat="false" ht="15" hidden="false" customHeight="true" outlineLevel="0" collapsed="false">
      <c r="A449" s="23"/>
      <c r="B449" s="8"/>
      <c r="C449" s="8"/>
      <c r="D449" s="24"/>
      <c r="E449" s="8"/>
      <c r="F449" s="25" t="str">
        <f aca="false">IF($A449="","",MONTH($A449))</f>
        <v/>
      </c>
      <c r="G449" s="25" t="str">
        <f aca="false">IF($A449="","",YEAR($A449))</f>
        <v/>
      </c>
    </row>
    <row r="450" customFormat="false" ht="15" hidden="false" customHeight="true" outlineLevel="0" collapsed="false">
      <c r="A450" s="23"/>
      <c r="B450" s="8"/>
      <c r="C450" s="8"/>
      <c r="D450" s="24"/>
      <c r="E450" s="8"/>
      <c r="F450" s="25" t="str">
        <f aca="false">IF($A450="","",MONTH($A450))</f>
        <v/>
      </c>
      <c r="G450" s="25" t="str">
        <f aca="false">IF($A450="","",YEAR($A450))</f>
        <v/>
      </c>
    </row>
    <row r="451" customFormat="false" ht="15" hidden="false" customHeight="true" outlineLevel="0" collapsed="false">
      <c r="A451" s="23"/>
      <c r="B451" s="8"/>
      <c r="C451" s="8"/>
      <c r="D451" s="24"/>
      <c r="E451" s="8"/>
      <c r="F451" s="25" t="str">
        <f aca="false">IF($A451="","",MONTH($A451))</f>
        <v/>
      </c>
      <c r="G451" s="25" t="str">
        <f aca="false">IF($A451="","",YEAR($A451))</f>
        <v/>
      </c>
    </row>
    <row r="452" customFormat="false" ht="15" hidden="false" customHeight="true" outlineLevel="0" collapsed="false">
      <c r="A452" s="23"/>
      <c r="B452" s="8"/>
      <c r="C452" s="8"/>
      <c r="D452" s="24"/>
      <c r="E452" s="8"/>
      <c r="F452" s="25" t="str">
        <f aca="false">IF($A452="","",MONTH($A452))</f>
        <v/>
      </c>
      <c r="G452" s="25" t="str">
        <f aca="false">IF($A452="","",YEAR($A452))</f>
        <v/>
      </c>
    </row>
    <row r="453" customFormat="false" ht="15" hidden="false" customHeight="true" outlineLevel="0" collapsed="false">
      <c r="A453" s="23"/>
      <c r="B453" s="8"/>
      <c r="C453" s="8"/>
      <c r="D453" s="24"/>
      <c r="E453" s="8"/>
      <c r="F453" s="25" t="str">
        <f aca="false">IF($A453="","",MONTH($A453))</f>
        <v/>
      </c>
      <c r="G453" s="25" t="str">
        <f aca="false">IF($A453="","",YEAR($A453))</f>
        <v/>
      </c>
    </row>
    <row r="454" customFormat="false" ht="15" hidden="false" customHeight="true" outlineLevel="0" collapsed="false">
      <c r="A454" s="23"/>
      <c r="B454" s="8"/>
      <c r="C454" s="8"/>
      <c r="D454" s="24"/>
      <c r="E454" s="8"/>
      <c r="F454" s="25" t="str">
        <f aca="false">IF($A454="","",MONTH($A454))</f>
        <v/>
      </c>
      <c r="G454" s="25" t="str">
        <f aca="false">IF($A454="","",YEAR($A454))</f>
        <v/>
      </c>
    </row>
    <row r="455" customFormat="false" ht="15" hidden="false" customHeight="true" outlineLevel="0" collapsed="false">
      <c r="A455" s="23"/>
      <c r="B455" s="8"/>
      <c r="C455" s="8"/>
      <c r="D455" s="24"/>
      <c r="E455" s="8"/>
      <c r="F455" s="25" t="str">
        <f aca="false">IF($A455="","",MONTH($A455))</f>
        <v/>
      </c>
      <c r="G455" s="25" t="str">
        <f aca="false">IF($A455="","",YEAR($A455))</f>
        <v/>
      </c>
    </row>
    <row r="456" customFormat="false" ht="15" hidden="false" customHeight="true" outlineLevel="0" collapsed="false">
      <c r="A456" s="23"/>
      <c r="B456" s="8"/>
      <c r="C456" s="8"/>
      <c r="D456" s="24"/>
      <c r="E456" s="8"/>
      <c r="F456" s="25" t="str">
        <f aca="false">IF($A456="","",MONTH($A456))</f>
        <v/>
      </c>
      <c r="G456" s="25" t="str">
        <f aca="false">IF($A456="","",YEAR($A456))</f>
        <v/>
      </c>
    </row>
    <row r="457" customFormat="false" ht="15" hidden="false" customHeight="true" outlineLevel="0" collapsed="false">
      <c r="A457" s="23"/>
      <c r="B457" s="8"/>
      <c r="C457" s="8"/>
      <c r="D457" s="24"/>
      <c r="E457" s="8"/>
      <c r="F457" s="25" t="str">
        <f aca="false">IF($A457="","",MONTH($A457))</f>
        <v/>
      </c>
      <c r="G457" s="25" t="str">
        <f aca="false">IF($A457="","",YEAR($A457))</f>
        <v/>
      </c>
    </row>
    <row r="458" customFormat="false" ht="15" hidden="false" customHeight="true" outlineLevel="0" collapsed="false">
      <c r="A458" s="23"/>
      <c r="B458" s="8"/>
      <c r="C458" s="8"/>
      <c r="D458" s="24"/>
      <c r="E458" s="8"/>
      <c r="F458" s="25" t="str">
        <f aca="false">IF($A458="","",MONTH($A458))</f>
        <v/>
      </c>
      <c r="G458" s="25" t="str">
        <f aca="false">IF($A458="","",YEAR($A458))</f>
        <v/>
      </c>
    </row>
    <row r="459" customFormat="false" ht="15" hidden="false" customHeight="true" outlineLevel="0" collapsed="false">
      <c r="A459" s="23"/>
      <c r="B459" s="8"/>
      <c r="C459" s="8"/>
      <c r="D459" s="24"/>
      <c r="E459" s="8"/>
      <c r="F459" s="25" t="str">
        <f aca="false">IF($A459="","",MONTH($A459))</f>
        <v/>
      </c>
      <c r="G459" s="25" t="str">
        <f aca="false">IF($A459="","",YEAR($A459))</f>
        <v/>
      </c>
    </row>
    <row r="460" customFormat="false" ht="15" hidden="false" customHeight="true" outlineLevel="0" collapsed="false">
      <c r="A460" s="23"/>
      <c r="B460" s="8"/>
      <c r="C460" s="8"/>
      <c r="D460" s="24"/>
      <c r="E460" s="8"/>
      <c r="F460" s="25" t="str">
        <f aca="false">IF($A460="","",MONTH($A460))</f>
        <v/>
      </c>
      <c r="G460" s="25" t="str">
        <f aca="false">IF($A460="","",YEAR($A460))</f>
        <v/>
      </c>
    </row>
    <row r="461" customFormat="false" ht="15" hidden="false" customHeight="true" outlineLevel="0" collapsed="false">
      <c r="A461" s="23"/>
      <c r="B461" s="8"/>
      <c r="C461" s="8"/>
      <c r="D461" s="24"/>
      <c r="E461" s="8"/>
      <c r="F461" s="25" t="str">
        <f aca="false">IF($A461="","",MONTH($A461))</f>
        <v/>
      </c>
      <c r="G461" s="25" t="str">
        <f aca="false">IF($A461="","",YEAR($A461))</f>
        <v/>
      </c>
    </row>
    <row r="462" customFormat="false" ht="15" hidden="false" customHeight="true" outlineLevel="0" collapsed="false">
      <c r="A462" s="23"/>
      <c r="B462" s="8"/>
      <c r="C462" s="8"/>
      <c r="D462" s="24"/>
      <c r="E462" s="8"/>
      <c r="F462" s="25" t="str">
        <f aca="false">IF($A462="","",MONTH($A462))</f>
        <v/>
      </c>
      <c r="G462" s="25" t="str">
        <f aca="false">IF($A462="","",YEAR($A462))</f>
        <v/>
      </c>
    </row>
    <row r="463" customFormat="false" ht="15" hidden="false" customHeight="true" outlineLevel="0" collapsed="false">
      <c r="A463" s="23"/>
      <c r="B463" s="8"/>
      <c r="C463" s="8"/>
      <c r="D463" s="24"/>
      <c r="E463" s="8"/>
      <c r="F463" s="25" t="str">
        <f aca="false">IF($A463="","",MONTH($A463))</f>
        <v/>
      </c>
      <c r="G463" s="25" t="str">
        <f aca="false">IF($A463="","",YEAR($A463))</f>
        <v/>
      </c>
    </row>
    <row r="464" customFormat="false" ht="15" hidden="false" customHeight="true" outlineLevel="0" collapsed="false">
      <c r="A464" s="23"/>
      <c r="B464" s="8"/>
      <c r="C464" s="8"/>
      <c r="D464" s="24"/>
      <c r="E464" s="8"/>
      <c r="F464" s="25" t="str">
        <f aca="false">IF($A464="","",MONTH($A464))</f>
        <v/>
      </c>
      <c r="G464" s="25" t="str">
        <f aca="false">IF($A464="","",YEAR($A464))</f>
        <v/>
      </c>
    </row>
    <row r="465" customFormat="false" ht="15" hidden="false" customHeight="true" outlineLevel="0" collapsed="false">
      <c r="A465" s="23"/>
      <c r="B465" s="8"/>
      <c r="C465" s="8"/>
      <c r="D465" s="24"/>
      <c r="E465" s="8"/>
      <c r="F465" s="25" t="str">
        <f aca="false">IF($A465="","",MONTH($A465))</f>
        <v/>
      </c>
      <c r="G465" s="25" t="str">
        <f aca="false">IF($A465="","",YEAR($A465))</f>
        <v/>
      </c>
    </row>
    <row r="466" customFormat="false" ht="15" hidden="false" customHeight="true" outlineLevel="0" collapsed="false">
      <c r="A466" s="23"/>
      <c r="B466" s="8"/>
      <c r="C466" s="8"/>
      <c r="D466" s="24"/>
      <c r="E466" s="8"/>
      <c r="F466" s="25" t="str">
        <f aca="false">IF($A466="","",MONTH($A466))</f>
        <v/>
      </c>
      <c r="G466" s="25" t="str">
        <f aca="false">IF($A466="","",YEAR($A466))</f>
        <v/>
      </c>
    </row>
    <row r="467" customFormat="false" ht="15" hidden="false" customHeight="true" outlineLevel="0" collapsed="false">
      <c r="A467" s="23"/>
      <c r="B467" s="8"/>
      <c r="C467" s="8"/>
      <c r="D467" s="24"/>
      <c r="E467" s="8"/>
      <c r="F467" s="25" t="str">
        <f aca="false">IF($A467="","",MONTH($A467))</f>
        <v/>
      </c>
      <c r="G467" s="25" t="str">
        <f aca="false">IF($A467="","",YEAR($A467))</f>
        <v/>
      </c>
    </row>
    <row r="468" customFormat="false" ht="15" hidden="false" customHeight="true" outlineLevel="0" collapsed="false">
      <c r="A468" s="23"/>
      <c r="B468" s="8"/>
      <c r="C468" s="8"/>
      <c r="D468" s="24"/>
      <c r="E468" s="8"/>
      <c r="F468" s="25" t="str">
        <f aca="false">IF($A468="","",MONTH($A468))</f>
        <v/>
      </c>
      <c r="G468" s="25" t="str">
        <f aca="false">IF($A468="","",YEAR($A468))</f>
        <v/>
      </c>
    </row>
    <row r="469" customFormat="false" ht="15" hidden="false" customHeight="true" outlineLevel="0" collapsed="false">
      <c r="A469" s="23"/>
      <c r="B469" s="8"/>
      <c r="C469" s="8"/>
      <c r="D469" s="24"/>
      <c r="E469" s="8"/>
      <c r="F469" s="25" t="str">
        <f aca="false">IF($A469="","",MONTH($A469))</f>
        <v/>
      </c>
      <c r="G469" s="25" t="str">
        <f aca="false">IF($A469="","",YEAR($A469))</f>
        <v/>
      </c>
    </row>
    <row r="470" customFormat="false" ht="15" hidden="false" customHeight="true" outlineLevel="0" collapsed="false">
      <c r="A470" s="23"/>
      <c r="B470" s="8"/>
      <c r="C470" s="8"/>
      <c r="D470" s="24"/>
      <c r="E470" s="8"/>
      <c r="F470" s="25" t="str">
        <f aca="false">IF($A470="","",MONTH($A470))</f>
        <v/>
      </c>
      <c r="G470" s="25" t="str">
        <f aca="false">IF($A470="","",YEAR($A470))</f>
        <v/>
      </c>
    </row>
    <row r="471" customFormat="false" ht="15" hidden="false" customHeight="true" outlineLevel="0" collapsed="false">
      <c r="A471" s="23"/>
      <c r="B471" s="8"/>
      <c r="C471" s="8"/>
      <c r="D471" s="24"/>
      <c r="E471" s="8"/>
      <c r="F471" s="25" t="str">
        <f aca="false">IF($A471="","",MONTH($A471))</f>
        <v/>
      </c>
      <c r="G471" s="25" t="str">
        <f aca="false">IF($A471="","",YEAR($A471))</f>
        <v/>
      </c>
    </row>
    <row r="472" customFormat="false" ht="15" hidden="false" customHeight="true" outlineLevel="0" collapsed="false">
      <c r="A472" s="23"/>
      <c r="B472" s="8"/>
      <c r="C472" s="8"/>
      <c r="D472" s="24"/>
      <c r="E472" s="8"/>
      <c r="F472" s="25" t="str">
        <f aca="false">IF($A472="","",MONTH($A472))</f>
        <v/>
      </c>
      <c r="G472" s="25" t="str">
        <f aca="false">IF($A472="","",YEAR($A472))</f>
        <v/>
      </c>
    </row>
    <row r="473" customFormat="false" ht="15" hidden="false" customHeight="true" outlineLevel="0" collapsed="false">
      <c r="A473" s="23"/>
      <c r="B473" s="8"/>
      <c r="C473" s="8"/>
      <c r="D473" s="24"/>
      <c r="E473" s="8"/>
      <c r="F473" s="25" t="str">
        <f aca="false">IF($A473="","",MONTH($A473))</f>
        <v/>
      </c>
      <c r="G473" s="25" t="str">
        <f aca="false">IF($A473="","",YEAR($A473))</f>
        <v/>
      </c>
    </row>
    <row r="474" customFormat="false" ht="15" hidden="false" customHeight="true" outlineLevel="0" collapsed="false">
      <c r="A474" s="23"/>
      <c r="B474" s="8"/>
      <c r="C474" s="8"/>
      <c r="D474" s="24"/>
      <c r="E474" s="8"/>
      <c r="F474" s="25" t="str">
        <f aca="false">IF($A474="","",MONTH($A474))</f>
        <v/>
      </c>
      <c r="G474" s="25" t="str">
        <f aca="false">IF($A474="","",YEAR($A474))</f>
        <v/>
      </c>
    </row>
    <row r="475" customFormat="false" ht="15" hidden="false" customHeight="true" outlineLevel="0" collapsed="false">
      <c r="A475" s="23"/>
      <c r="B475" s="8"/>
      <c r="C475" s="8"/>
      <c r="D475" s="24"/>
      <c r="E475" s="8"/>
      <c r="F475" s="25" t="str">
        <f aca="false">IF($A475="","",MONTH($A475))</f>
        <v/>
      </c>
      <c r="G475" s="25" t="str">
        <f aca="false">IF($A475="","",YEAR($A475))</f>
        <v/>
      </c>
    </row>
    <row r="476" customFormat="false" ht="15" hidden="false" customHeight="true" outlineLevel="0" collapsed="false">
      <c r="A476" s="23"/>
      <c r="B476" s="8"/>
      <c r="C476" s="8"/>
      <c r="D476" s="24"/>
      <c r="E476" s="8"/>
      <c r="F476" s="25" t="str">
        <f aca="false">IF($A476="","",MONTH($A476))</f>
        <v/>
      </c>
      <c r="G476" s="25" t="str">
        <f aca="false">IF($A476="","",YEAR($A476))</f>
        <v/>
      </c>
    </row>
    <row r="477" customFormat="false" ht="15" hidden="false" customHeight="true" outlineLevel="0" collapsed="false">
      <c r="A477" s="23"/>
      <c r="B477" s="8"/>
      <c r="C477" s="8"/>
      <c r="D477" s="24"/>
      <c r="E477" s="8"/>
      <c r="F477" s="25" t="str">
        <f aca="false">IF($A477="","",MONTH($A477))</f>
        <v/>
      </c>
      <c r="G477" s="25" t="str">
        <f aca="false">IF($A477="","",YEAR($A477))</f>
        <v/>
      </c>
    </row>
    <row r="478" customFormat="false" ht="15" hidden="false" customHeight="true" outlineLevel="0" collapsed="false">
      <c r="A478" s="23"/>
      <c r="B478" s="8"/>
      <c r="C478" s="8"/>
      <c r="D478" s="24"/>
      <c r="E478" s="8"/>
      <c r="F478" s="25" t="str">
        <f aca="false">IF($A478="","",MONTH($A478))</f>
        <v/>
      </c>
      <c r="G478" s="25" t="str">
        <f aca="false">IF($A478="","",YEAR($A478))</f>
        <v/>
      </c>
    </row>
    <row r="479" customFormat="false" ht="15" hidden="false" customHeight="true" outlineLevel="0" collapsed="false">
      <c r="A479" s="23"/>
      <c r="B479" s="8"/>
      <c r="C479" s="8"/>
      <c r="D479" s="24"/>
      <c r="E479" s="8"/>
      <c r="F479" s="25" t="str">
        <f aca="false">IF($A479="","",MONTH($A479))</f>
        <v/>
      </c>
      <c r="G479" s="25" t="str">
        <f aca="false">IF($A479="","",YEAR($A479))</f>
        <v/>
      </c>
    </row>
    <row r="480" customFormat="false" ht="15" hidden="false" customHeight="true" outlineLevel="0" collapsed="false">
      <c r="A480" s="23"/>
      <c r="B480" s="8"/>
      <c r="C480" s="8"/>
      <c r="D480" s="24"/>
      <c r="E480" s="8"/>
      <c r="F480" s="25" t="str">
        <f aca="false">IF($A480="","",MONTH($A480))</f>
        <v/>
      </c>
      <c r="G480" s="25" t="str">
        <f aca="false">IF($A480="","",YEAR($A480))</f>
        <v/>
      </c>
    </row>
    <row r="481" customFormat="false" ht="15" hidden="false" customHeight="true" outlineLevel="0" collapsed="false">
      <c r="A481" s="23"/>
      <c r="B481" s="8"/>
      <c r="C481" s="8"/>
      <c r="D481" s="24"/>
      <c r="E481" s="8"/>
      <c r="F481" s="25" t="str">
        <f aca="false">IF($A481="","",MONTH($A481))</f>
        <v/>
      </c>
      <c r="G481" s="25" t="str">
        <f aca="false">IF($A481="","",YEAR($A481))</f>
        <v/>
      </c>
    </row>
    <row r="482" customFormat="false" ht="15" hidden="false" customHeight="true" outlineLevel="0" collapsed="false">
      <c r="A482" s="23"/>
      <c r="B482" s="8"/>
      <c r="C482" s="8"/>
      <c r="D482" s="24"/>
      <c r="E482" s="8"/>
      <c r="F482" s="25" t="str">
        <f aca="false">IF($A482="","",MONTH($A482))</f>
        <v/>
      </c>
      <c r="G482" s="25" t="str">
        <f aca="false">IF($A482="","",YEAR($A482))</f>
        <v/>
      </c>
    </row>
    <row r="483" customFormat="false" ht="15" hidden="false" customHeight="true" outlineLevel="0" collapsed="false">
      <c r="A483" s="23"/>
      <c r="B483" s="8"/>
      <c r="C483" s="8"/>
      <c r="D483" s="24"/>
      <c r="E483" s="8"/>
      <c r="F483" s="25" t="str">
        <f aca="false">IF($A483="","",MONTH($A483))</f>
        <v/>
      </c>
      <c r="G483" s="25" t="str">
        <f aca="false">IF($A483="","",YEAR($A483))</f>
        <v/>
      </c>
    </row>
    <row r="484" customFormat="false" ht="15" hidden="false" customHeight="true" outlineLevel="0" collapsed="false">
      <c r="A484" s="23"/>
      <c r="B484" s="8"/>
      <c r="C484" s="8"/>
      <c r="D484" s="24"/>
      <c r="E484" s="8"/>
      <c r="F484" s="25" t="str">
        <f aca="false">IF($A484="","",MONTH($A484))</f>
        <v/>
      </c>
      <c r="G484" s="25" t="str">
        <f aca="false">IF($A484="","",YEAR($A484))</f>
        <v/>
      </c>
    </row>
    <row r="485" customFormat="false" ht="15" hidden="false" customHeight="true" outlineLevel="0" collapsed="false">
      <c r="A485" s="23"/>
      <c r="B485" s="8"/>
      <c r="C485" s="8"/>
      <c r="D485" s="24"/>
      <c r="E485" s="8"/>
      <c r="F485" s="25" t="str">
        <f aca="false">IF($A485="","",MONTH($A485))</f>
        <v/>
      </c>
      <c r="G485" s="25" t="str">
        <f aca="false">IF($A485="","",YEAR($A485))</f>
        <v/>
      </c>
    </row>
    <row r="486" customFormat="false" ht="15" hidden="false" customHeight="true" outlineLevel="0" collapsed="false">
      <c r="A486" s="23"/>
      <c r="B486" s="8"/>
      <c r="C486" s="8"/>
      <c r="D486" s="24"/>
      <c r="E486" s="8"/>
      <c r="F486" s="25" t="str">
        <f aca="false">IF($A486="","",MONTH($A486))</f>
        <v/>
      </c>
      <c r="G486" s="25" t="str">
        <f aca="false">IF($A486="","",YEAR($A486))</f>
        <v/>
      </c>
    </row>
    <row r="487" customFormat="false" ht="15" hidden="false" customHeight="true" outlineLevel="0" collapsed="false">
      <c r="A487" s="23"/>
      <c r="B487" s="8"/>
      <c r="C487" s="8"/>
      <c r="D487" s="24"/>
      <c r="E487" s="8"/>
      <c r="F487" s="25" t="str">
        <f aca="false">IF($A487="","",MONTH($A487))</f>
        <v/>
      </c>
      <c r="G487" s="25" t="str">
        <f aca="false">IF($A487="","",YEAR($A487))</f>
        <v/>
      </c>
    </row>
    <row r="488" customFormat="false" ht="15" hidden="false" customHeight="true" outlineLevel="0" collapsed="false">
      <c r="A488" s="23"/>
      <c r="B488" s="8"/>
      <c r="C488" s="8"/>
      <c r="D488" s="24"/>
      <c r="E488" s="8"/>
      <c r="F488" s="25" t="str">
        <f aca="false">IF($A488="","",MONTH($A488))</f>
        <v/>
      </c>
      <c r="G488" s="25" t="str">
        <f aca="false">IF($A488="","",YEAR($A488))</f>
        <v/>
      </c>
    </row>
    <row r="489" customFormat="false" ht="15" hidden="false" customHeight="true" outlineLevel="0" collapsed="false">
      <c r="A489" s="23"/>
      <c r="B489" s="8"/>
      <c r="C489" s="8"/>
      <c r="D489" s="24"/>
      <c r="E489" s="8"/>
      <c r="F489" s="25" t="str">
        <f aca="false">IF($A489="","",MONTH($A489))</f>
        <v/>
      </c>
      <c r="G489" s="25" t="str">
        <f aca="false">IF($A489="","",YEAR($A489))</f>
        <v/>
      </c>
    </row>
    <row r="490" customFormat="false" ht="15" hidden="false" customHeight="true" outlineLevel="0" collapsed="false">
      <c r="A490" s="23"/>
      <c r="B490" s="8"/>
      <c r="C490" s="8"/>
      <c r="D490" s="24"/>
      <c r="E490" s="8"/>
      <c r="F490" s="25" t="str">
        <f aca="false">IF($A490="","",MONTH($A490))</f>
        <v/>
      </c>
      <c r="G490" s="25" t="str">
        <f aca="false">IF($A490="","",YEAR($A490))</f>
        <v/>
      </c>
    </row>
    <row r="491" customFormat="false" ht="15" hidden="false" customHeight="true" outlineLevel="0" collapsed="false">
      <c r="A491" s="23"/>
      <c r="B491" s="8"/>
      <c r="C491" s="8"/>
      <c r="D491" s="24"/>
      <c r="E491" s="8"/>
      <c r="F491" s="25" t="str">
        <f aca="false">IF($A491="","",MONTH($A491))</f>
        <v/>
      </c>
      <c r="G491" s="25" t="str">
        <f aca="false">IF($A491="","",YEAR($A491))</f>
        <v/>
      </c>
    </row>
    <row r="492" customFormat="false" ht="15" hidden="false" customHeight="true" outlineLevel="0" collapsed="false">
      <c r="A492" s="23"/>
      <c r="B492" s="8"/>
      <c r="C492" s="8"/>
      <c r="D492" s="24"/>
      <c r="E492" s="8"/>
      <c r="F492" s="25" t="str">
        <f aca="false">IF($A492="","",MONTH($A492))</f>
        <v/>
      </c>
      <c r="G492" s="25" t="str">
        <f aca="false">IF($A492="","",YEAR($A492))</f>
        <v/>
      </c>
    </row>
    <row r="493" customFormat="false" ht="15" hidden="false" customHeight="true" outlineLevel="0" collapsed="false">
      <c r="A493" s="23"/>
      <c r="B493" s="8"/>
      <c r="C493" s="8"/>
      <c r="D493" s="24"/>
      <c r="E493" s="8"/>
      <c r="F493" s="25" t="str">
        <f aca="false">IF($A493="","",MONTH($A493))</f>
        <v/>
      </c>
      <c r="G493" s="25" t="str">
        <f aca="false">IF($A493="","",YEAR($A493))</f>
        <v/>
      </c>
    </row>
    <row r="494" customFormat="false" ht="15" hidden="false" customHeight="true" outlineLevel="0" collapsed="false">
      <c r="A494" s="23"/>
      <c r="B494" s="8"/>
      <c r="C494" s="8"/>
      <c r="D494" s="24"/>
      <c r="E494" s="8"/>
      <c r="F494" s="25" t="str">
        <f aca="false">IF($A494="","",MONTH($A494))</f>
        <v/>
      </c>
      <c r="G494" s="25" t="str">
        <f aca="false">IF($A494="","",YEAR($A494))</f>
        <v/>
      </c>
    </row>
    <row r="495" customFormat="false" ht="15" hidden="false" customHeight="true" outlineLevel="0" collapsed="false">
      <c r="A495" s="23"/>
      <c r="B495" s="8"/>
      <c r="C495" s="8"/>
      <c r="D495" s="24"/>
      <c r="E495" s="8"/>
      <c r="F495" s="25" t="str">
        <f aca="false">IF($A495="","",MONTH($A495))</f>
        <v/>
      </c>
      <c r="G495" s="25" t="str">
        <f aca="false">IF($A495="","",YEAR($A495))</f>
        <v/>
      </c>
    </row>
    <row r="496" customFormat="false" ht="15" hidden="false" customHeight="true" outlineLevel="0" collapsed="false">
      <c r="A496" s="23"/>
      <c r="B496" s="8"/>
      <c r="C496" s="8"/>
      <c r="D496" s="24"/>
      <c r="E496" s="8"/>
      <c r="F496" s="25" t="str">
        <f aca="false">IF($A496="","",MONTH($A496))</f>
        <v/>
      </c>
      <c r="G496" s="25" t="str">
        <f aca="false">IF($A496="","",YEAR($A496))</f>
        <v/>
      </c>
    </row>
    <row r="497" customFormat="false" ht="15" hidden="false" customHeight="true" outlineLevel="0" collapsed="false">
      <c r="A497" s="23"/>
      <c r="B497" s="8"/>
      <c r="C497" s="8"/>
      <c r="D497" s="24"/>
      <c r="E497" s="8"/>
      <c r="F497" s="25" t="str">
        <f aca="false">IF($A497="","",MONTH($A497))</f>
        <v/>
      </c>
      <c r="G497" s="25" t="str">
        <f aca="false">IF($A497="","",YEAR($A497))</f>
        <v/>
      </c>
    </row>
    <row r="498" customFormat="false" ht="15" hidden="false" customHeight="true" outlineLevel="0" collapsed="false">
      <c r="A498" s="23"/>
      <c r="B498" s="8"/>
      <c r="C498" s="8"/>
      <c r="D498" s="24"/>
      <c r="E498" s="8"/>
      <c r="F498" s="25" t="str">
        <f aca="false">IF($A498="","",MONTH($A498))</f>
        <v/>
      </c>
      <c r="G498" s="25" t="str">
        <f aca="false">IF($A498="","",YEAR($A498))</f>
        <v/>
      </c>
    </row>
    <row r="499" customFormat="false" ht="15" hidden="false" customHeight="true" outlineLevel="0" collapsed="false">
      <c r="A499" s="23"/>
      <c r="B499" s="8"/>
      <c r="C499" s="8"/>
      <c r="D499" s="24"/>
      <c r="E499" s="8"/>
      <c r="F499" s="25" t="str">
        <f aca="false">IF($A499="","",MONTH($A499))</f>
        <v/>
      </c>
      <c r="G499" s="25" t="str">
        <f aca="false">IF($A499="","",YEAR($A499))</f>
        <v/>
      </c>
    </row>
    <row r="500" customFormat="false" ht="15" hidden="false" customHeight="true" outlineLevel="0" collapsed="false">
      <c r="A500" s="23"/>
      <c r="B500" s="8"/>
      <c r="C500" s="8"/>
      <c r="D500" s="24"/>
      <c r="E500" s="8"/>
      <c r="F500" s="25" t="str">
        <f aca="false">IF($A500="","",MONTH($A500))</f>
        <v/>
      </c>
      <c r="G500" s="25" t="str">
        <f aca="false">IF($A500="","",YEAR($A500))</f>
        <v/>
      </c>
    </row>
    <row r="501" customFormat="false" ht="15" hidden="false" customHeight="true" outlineLevel="0" collapsed="false">
      <c r="A501" s="23"/>
      <c r="B501" s="8"/>
      <c r="C501" s="8"/>
      <c r="D501" s="24"/>
      <c r="E501" s="8"/>
      <c r="F501" s="25" t="str">
        <f aca="false">IF($A501="","",MONTH($A501))</f>
        <v/>
      </c>
      <c r="G501" s="25" t="str">
        <f aca="false">IF($A501="","",YEAR($A501))</f>
        <v/>
      </c>
    </row>
    <row r="502" customFormat="false" ht="15" hidden="false" customHeight="true" outlineLevel="0" collapsed="false">
      <c r="A502" s="23"/>
      <c r="B502" s="8"/>
      <c r="C502" s="8"/>
      <c r="D502" s="24"/>
      <c r="E502" s="8"/>
      <c r="F502" s="25" t="str">
        <f aca="false">IF($A502="","",MONTH($A502))</f>
        <v/>
      </c>
      <c r="G502" s="25" t="str">
        <f aca="false">IF($A502="","",YEAR($A502))</f>
        <v/>
      </c>
    </row>
    <row r="503" customFormat="false" ht="15" hidden="false" customHeight="true" outlineLevel="0" collapsed="false">
      <c r="A503" s="23"/>
      <c r="B503" s="8"/>
      <c r="C503" s="8"/>
      <c r="D503" s="24"/>
      <c r="E503" s="8"/>
      <c r="F503" s="25" t="str">
        <f aca="false">IF($A503="","",MONTH($A503))</f>
        <v/>
      </c>
      <c r="G503" s="25" t="str">
        <f aca="false">IF($A503="","",YEAR($A503))</f>
        <v/>
      </c>
    </row>
    <row r="504" customFormat="false" ht="15" hidden="false" customHeight="true" outlineLevel="0" collapsed="false">
      <c r="A504" s="23"/>
      <c r="B504" s="8"/>
      <c r="C504" s="8"/>
      <c r="D504" s="24"/>
      <c r="E504" s="8"/>
      <c r="F504" s="25" t="str">
        <f aca="false">IF($A504="","",MONTH($A504))</f>
        <v/>
      </c>
      <c r="G504" s="25" t="str">
        <f aca="false">IF($A504="","",YEAR($A504))</f>
        <v/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C5:C504" type="list">
      <formula1>Setup!$A$22:$A$47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14" min="3" style="1" width="10.51"/>
    <col collapsed="false" customWidth="true" hidden="false" outlineLevel="0" max="15" min="15" style="1" width="12"/>
  </cols>
  <sheetData>
    <row r="1" customFormat="false" ht="21.75" hidden="false" customHeight="true" outlineLevel="0" collapsed="false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115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15.75" hidden="false" customHeight="true" outlineLevel="0" collapsed="false">
      <c r="A4" s="26" t="s">
        <v>39</v>
      </c>
      <c r="B4" s="26" t="s">
        <v>116</v>
      </c>
      <c r="C4" s="27" t="s">
        <v>117</v>
      </c>
      <c r="D4" s="27" t="s">
        <v>118</v>
      </c>
      <c r="E4" s="27" t="s">
        <v>119</v>
      </c>
      <c r="F4" s="27" t="s">
        <v>120</v>
      </c>
      <c r="G4" s="27" t="s">
        <v>121</v>
      </c>
      <c r="H4" s="27" t="s">
        <v>122</v>
      </c>
      <c r="I4" s="27" t="s">
        <v>123</v>
      </c>
      <c r="J4" s="27" t="s">
        <v>124</v>
      </c>
      <c r="K4" s="27" t="s">
        <v>125</v>
      </c>
      <c r="L4" s="27" t="s">
        <v>126</v>
      </c>
      <c r="M4" s="27" t="s">
        <v>127</v>
      </c>
      <c r="N4" s="27" t="s">
        <v>128</v>
      </c>
      <c r="O4" s="27" t="s">
        <v>129</v>
      </c>
    </row>
    <row r="5" customFormat="false" ht="15" hidden="false" customHeight="true" outlineLevel="0" collapsed="false">
      <c r="A5" s="28" t="str">
        <f aca="false">Setup!A22</f>
        <v>Income</v>
      </c>
      <c r="B5" s="29" t="s">
        <v>130</v>
      </c>
      <c r="C5" s="30" t="n">
        <f aca="false">Setup!C22</f>
        <v>7800</v>
      </c>
      <c r="D5" s="30" t="n">
        <f aca="false">Setup!C22</f>
        <v>7800</v>
      </c>
      <c r="E5" s="30" t="n">
        <f aca="false">Setup!C22</f>
        <v>7800</v>
      </c>
      <c r="F5" s="30" t="n">
        <f aca="false">Setup!C22</f>
        <v>7800</v>
      </c>
      <c r="G5" s="30" t="n">
        <f aca="false">Setup!C22</f>
        <v>7800</v>
      </c>
      <c r="H5" s="30" t="n">
        <f aca="false">Setup!C22</f>
        <v>7800</v>
      </c>
      <c r="I5" s="30" t="n">
        <f aca="false">Setup!C22</f>
        <v>7800</v>
      </c>
      <c r="J5" s="30" t="n">
        <f aca="false">Setup!C22</f>
        <v>7800</v>
      </c>
      <c r="K5" s="30" t="n">
        <f aca="false">Setup!C22</f>
        <v>7800</v>
      </c>
      <c r="L5" s="30" t="n">
        <f aca="false">Setup!C22</f>
        <v>7800</v>
      </c>
      <c r="M5" s="30" t="n">
        <f aca="false">Setup!C22</f>
        <v>7800</v>
      </c>
      <c r="N5" s="30" t="n">
        <f aca="false">Setup!C22</f>
        <v>7800</v>
      </c>
      <c r="O5" s="31" t="n">
        <f aca="false">SUM(C5:N5)</f>
        <v>93600</v>
      </c>
    </row>
    <row r="6" customFormat="false" ht="15" hidden="false" customHeight="true" outlineLevel="0" collapsed="false">
      <c r="A6" s="28"/>
      <c r="B6" s="29" t="s">
        <v>131</v>
      </c>
      <c r="C6" s="30" t="n">
        <f aca="false">SUMIFS(Transactions!$D$5:$D$504,Transactions!$C$5:$C$504,$A5,Transactions!$F$5:$F$504,1,Transactions!$G$5:$G$504,YEAR(Setup!$B$18))</f>
        <v>7800</v>
      </c>
      <c r="D6" s="30" t="n">
        <f aca="false">SUMIFS(Transactions!$D$5:$D$504,Transactions!$C$5:$C$504,$A5,Transactions!$F$5:$F$504,2,Transactions!$G$5:$G$504,YEAR(Setup!$B$18))</f>
        <v>7950</v>
      </c>
      <c r="E6" s="30" t="n">
        <f aca="false">SUMIFS(Transactions!$D$5:$D$504,Transactions!$C$5:$C$504,$A5,Transactions!$F$5:$F$504,3,Transactions!$G$5:$G$504,YEAR(Setup!$B$18))</f>
        <v>7600</v>
      </c>
      <c r="F6" s="30" t="n">
        <f aca="false">SUMIFS(Transactions!$D$5:$D$504,Transactions!$C$5:$C$504,$A5,Transactions!$F$5:$F$504,4,Transactions!$G$5:$G$504,YEAR(Setup!$B$18))</f>
        <v>0</v>
      </c>
      <c r="G6" s="30" t="n">
        <f aca="false">SUMIFS(Transactions!$D$5:$D$504,Transactions!$C$5:$C$504,$A5,Transactions!$F$5:$F$504,5,Transactions!$G$5:$G$504,YEAR(Setup!$B$18))</f>
        <v>0</v>
      </c>
      <c r="H6" s="30" t="n">
        <f aca="false">SUMIFS(Transactions!$D$5:$D$504,Transactions!$C$5:$C$504,$A5,Transactions!$F$5:$F$504,6,Transactions!$G$5:$G$504,YEAR(Setup!$B$18))</f>
        <v>0</v>
      </c>
      <c r="I6" s="30" t="n">
        <f aca="false">SUMIFS(Transactions!$D$5:$D$504,Transactions!$C$5:$C$504,$A5,Transactions!$F$5:$F$504,7,Transactions!$G$5:$G$504,YEAR(Setup!$B$18))</f>
        <v>0</v>
      </c>
      <c r="J6" s="30" t="n">
        <f aca="false">SUMIFS(Transactions!$D$5:$D$504,Transactions!$C$5:$C$504,$A5,Transactions!$F$5:$F$504,8,Transactions!$G$5:$G$504,YEAR(Setup!$B$18))</f>
        <v>0</v>
      </c>
      <c r="K6" s="30" t="n">
        <f aca="false">SUMIFS(Transactions!$D$5:$D$504,Transactions!$C$5:$C$504,$A5,Transactions!$F$5:$F$504,9,Transactions!$G$5:$G$504,YEAR(Setup!$B$18))</f>
        <v>0</v>
      </c>
      <c r="L6" s="30" t="n">
        <f aca="false">SUMIFS(Transactions!$D$5:$D$504,Transactions!$C$5:$C$504,$A5,Transactions!$F$5:$F$504,10,Transactions!$G$5:$G$504,YEAR(Setup!$B$18))</f>
        <v>0</v>
      </c>
      <c r="M6" s="30" t="n">
        <f aca="false">SUMIFS(Transactions!$D$5:$D$504,Transactions!$C$5:$C$504,$A5,Transactions!$F$5:$F$504,11,Transactions!$G$5:$G$504,YEAR(Setup!$B$18))</f>
        <v>0</v>
      </c>
      <c r="N6" s="30" t="n">
        <f aca="false">SUMIFS(Transactions!$D$5:$D$504,Transactions!$C$5:$C$504,$A5,Transactions!$F$5:$F$504,12,Transactions!$G$5:$G$504,YEAR(Setup!$B$18))</f>
        <v>0</v>
      </c>
      <c r="O6" s="31" t="n">
        <f aca="false">SUM(C6:N6)</f>
        <v>23350</v>
      </c>
    </row>
    <row r="7" customFormat="false" ht="15" hidden="false" customHeight="true" outlineLevel="0" collapsed="false">
      <c r="A7" s="28"/>
      <c r="B7" s="29" t="s">
        <v>132</v>
      </c>
      <c r="C7" s="30" t="n">
        <f aca="false">C6-C5</f>
        <v>0</v>
      </c>
      <c r="D7" s="30" t="n">
        <f aca="false">D6-D5</f>
        <v>150</v>
      </c>
      <c r="E7" s="30" t="n">
        <f aca="false">E6-E5</f>
        <v>-200</v>
      </c>
      <c r="F7" s="30" t="n">
        <f aca="false">F6-F5</f>
        <v>-7800</v>
      </c>
      <c r="G7" s="30" t="n">
        <f aca="false">G6-G5</f>
        <v>-7800</v>
      </c>
      <c r="H7" s="30" t="n">
        <f aca="false">H6-H5</f>
        <v>-7800</v>
      </c>
      <c r="I7" s="30" t="n">
        <f aca="false">I6-I5</f>
        <v>-7800</v>
      </c>
      <c r="J7" s="30" t="n">
        <f aca="false">J6-J5</f>
        <v>-7800</v>
      </c>
      <c r="K7" s="30" t="n">
        <f aca="false">K6-K5</f>
        <v>-7800</v>
      </c>
      <c r="L7" s="30" t="n">
        <f aca="false">L6-L5</f>
        <v>-7800</v>
      </c>
      <c r="M7" s="30" t="n">
        <f aca="false">M6-M5</f>
        <v>-7800</v>
      </c>
      <c r="N7" s="30" t="n">
        <f aca="false">N6-N5</f>
        <v>-7800</v>
      </c>
      <c r="O7" s="31" t="n">
        <f aca="false">O6-O5</f>
        <v>-70250</v>
      </c>
    </row>
    <row r="9" customFormat="false" ht="15" hidden="false" customHeight="true" outlineLevel="0" collapsed="false">
      <c r="A9" s="32" t="s">
        <v>133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customFormat="false" ht="15" hidden="false" customHeight="true" outlineLevel="0" collapsed="false">
      <c r="A10" s="33" t="str">
        <f aca="false">Setup!A23</f>
        <v>Rent or Mortgage</v>
      </c>
      <c r="B10" s="29" t="s">
        <v>130</v>
      </c>
      <c r="C10" s="30" t="n">
        <f aca="false">Setup!C23</f>
        <v>1800</v>
      </c>
      <c r="D10" s="30" t="n">
        <f aca="false">Setup!C23</f>
        <v>1800</v>
      </c>
      <c r="E10" s="30" t="n">
        <f aca="false">Setup!C23</f>
        <v>1800</v>
      </c>
      <c r="F10" s="30" t="n">
        <f aca="false">Setup!C23</f>
        <v>1800</v>
      </c>
      <c r="G10" s="30" t="n">
        <f aca="false">Setup!C23</f>
        <v>1800</v>
      </c>
      <c r="H10" s="30" t="n">
        <f aca="false">Setup!C23</f>
        <v>1800</v>
      </c>
      <c r="I10" s="30" t="n">
        <f aca="false">Setup!C23</f>
        <v>1800</v>
      </c>
      <c r="J10" s="30" t="n">
        <f aca="false">Setup!C23</f>
        <v>1800</v>
      </c>
      <c r="K10" s="30" t="n">
        <f aca="false">Setup!C23</f>
        <v>1800</v>
      </c>
      <c r="L10" s="30" t="n">
        <f aca="false">Setup!C23</f>
        <v>1800</v>
      </c>
      <c r="M10" s="30" t="n">
        <f aca="false">Setup!C23</f>
        <v>1800</v>
      </c>
      <c r="N10" s="30" t="n">
        <f aca="false">Setup!C23</f>
        <v>1800</v>
      </c>
      <c r="O10" s="31" t="n">
        <f aca="false">SUM(C10:N10)</f>
        <v>21600</v>
      </c>
    </row>
    <row r="11" customFormat="false" ht="15" hidden="false" customHeight="true" outlineLevel="0" collapsed="false">
      <c r="A11" s="33"/>
      <c r="B11" s="29" t="s">
        <v>131</v>
      </c>
      <c r="C11" s="30" t="n">
        <f aca="false">SUMIFS(Transactions!$D$5:$D$504,Transactions!$C$5:$C$504,$A10,Transactions!$F$5:$F$504,1,Transactions!$G$5:$G$504,YEAR(Setup!$B$18))</f>
        <v>1800</v>
      </c>
      <c r="D11" s="30" t="n">
        <f aca="false">SUMIFS(Transactions!$D$5:$D$504,Transactions!$C$5:$C$504,$A10,Transactions!$F$5:$F$504,2,Transactions!$G$5:$G$504,YEAR(Setup!$B$18))</f>
        <v>1800</v>
      </c>
      <c r="E11" s="30" t="n">
        <f aca="false">SUMIFS(Transactions!$D$5:$D$504,Transactions!$C$5:$C$504,$A10,Transactions!$F$5:$F$504,3,Transactions!$G$5:$G$504,YEAR(Setup!$B$18))</f>
        <v>1800</v>
      </c>
      <c r="F11" s="30" t="n">
        <f aca="false">SUMIFS(Transactions!$D$5:$D$504,Transactions!$C$5:$C$504,$A10,Transactions!$F$5:$F$504,4,Transactions!$G$5:$G$504,YEAR(Setup!$B$18))</f>
        <v>0</v>
      </c>
      <c r="G11" s="30" t="n">
        <f aca="false">SUMIFS(Transactions!$D$5:$D$504,Transactions!$C$5:$C$504,$A10,Transactions!$F$5:$F$504,5,Transactions!$G$5:$G$504,YEAR(Setup!$B$18))</f>
        <v>0</v>
      </c>
      <c r="H11" s="30" t="n">
        <f aca="false">SUMIFS(Transactions!$D$5:$D$504,Transactions!$C$5:$C$504,$A10,Transactions!$F$5:$F$504,6,Transactions!$G$5:$G$504,YEAR(Setup!$B$18))</f>
        <v>0</v>
      </c>
      <c r="I11" s="30" t="n">
        <f aca="false">SUMIFS(Transactions!$D$5:$D$504,Transactions!$C$5:$C$504,$A10,Transactions!$F$5:$F$504,7,Transactions!$G$5:$G$504,YEAR(Setup!$B$18))</f>
        <v>0</v>
      </c>
      <c r="J11" s="30" t="n">
        <f aca="false">SUMIFS(Transactions!$D$5:$D$504,Transactions!$C$5:$C$504,$A10,Transactions!$F$5:$F$504,8,Transactions!$G$5:$G$504,YEAR(Setup!$B$18))</f>
        <v>0</v>
      </c>
      <c r="K11" s="30" t="n">
        <f aca="false">SUMIFS(Transactions!$D$5:$D$504,Transactions!$C$5:$C$504,$A10,Transactions!$F$5:$F$504,9,Transactions!$G$5:$G$504,YEAR(Setup!$B$18))</f>
        <v>0</v>
      </c>
      <c r="L11" s="30" t="n">
        <f aca="false">SUMIFS(Transactions!$D$5:$D$504,Transactions!$C$5:$C$504,$A10,Transactions!$F$5:$F$504,10,Transactions!$G$5:$G$504,YEAR(Setup!$B$18))</f>
        <v>0</v>
      </c>
      <c r="M11" s="30" t="n">
        <f aca="false">SUMIFS(Transactions!$D$5:$D$504,Transactions!$C$5:$C$504,$A10,Transactions!$F$5:$F$504,11,Transactions!$G$5:$G$504,YEAR(Setup!$B$18))</f>
        <v>0</v>
      </c>
      <c r="N11" s="30" t="n">
        <f aca="false">SUMIFS(Transactions!$D$5:$D$504,Transactions!$C$5:$C$504,$A10,Transactions!$F$5:$F$504,12,Transactions!$G$5:$G$504,YEAR(Setup!$B$18))</f>
        <v>0</v>
      </c>
      <c r="O11" s="31" t="n">
        <f aca="false">SUM(C11:N11)</f>
        <v>5400</v>
      </c>
    </row>
    <row r="12" customFormat="false" ht="15" hidden="false" customHeight="true" outlineLevel="0" collapsed="false">
      <c r="A12" s="33"/>
      <c r="B12" s="29" t="s">
        <v>132</v>
      </c>
      <c r="C12" s="30" t="n">
        <f aca="false">C11-C10</f>
        <v>0</v>
      </c>
      <c r="D12" s="30" t="n">
        <f aca="false">D11-D10</f>
        <v>0</v>
      </c>
      <c r="E12" s="30" t="n">
        <f aca="false">E11-E10</f>
        <v>0</v>
      </c>
      <c r="F12" s="30" t="n">
        <f aca="false">F11-F10</f>
        <v>-1800</v>
      </c>
      <c r="G12" s="30" t="n">
        <f aca="false">G11-G10</f>
        <v>-1800</v>
      </c>
      <c r="H12" s="30" t="n">
        <f aca="false">H11-H10</f>
        <v>-1800</v>
      </c>
      <c r="I12" s="30" t="n">
        <f aca="false">I11-I10</f>
        <v>-1800</v>
      </c>
      <c r="J12" s="30" t="n">
        <f aca="false">J11-J10</f>
        <v>-1800</v>
      </c>
      <c r="K12" s="30" t="n">
        <f aca="false">K11-K10</f>
        <v>-1800</v>
      </c>
      <c r="L12" s="30" t="n">
        <f aca="false">L11-L10</f>
        <v>-1800</v>
      </c>
      <c r="M12" s="30" t="n">
        <f aca="false">M11-M10</f>
        <v>-1800</v>
      </c>
      <c r="N12" s="30" t="n">
        <f aca="false">N11-N10</f>
        <v>-1800</v>
      </c>
      <c r="O12" s="31" t="n">
        <f aca="false">O11-O10</f>
        <v>-16200</v>
      </c>
    </row>
    <row r="13" customFormat="false" ht="15" hidden="false" customHeight="true" outlineLevel="0" collapsed="false">
      <c r="A13" s="33" t="str">
        <f aca="false">Setup!A24</f>
        <v>Electric and Gas</v>
      </c>
      <c r="B13" s="29" t="s">
        <v>130</v>
      </c>
      <c r="C13" s="30" t="n">
        <f aca="false">Setup!C24</f>
        <v>150</v>
      </c>
      <c r="D13" s="30" t="n">
        <f aca="false">Setup!C24</f>
        <v>150</v>
      </c>
      <c r="E13" s="30" t="n">
        <f aca="false">Setup!C24</f>
        <v>150</v>
      </c>
      <c r="F13" s="30" t="n">
        <f aca="false">Setup!C24</f>
        <v>150</v>
      </c>
      <c r="G13" s="30" t="n">
        <f aca="false">Setup!C24</f>
        <v>150</v>
      </c>
      <c r="H13" s="30" t="n">
        <f aca="false">Setup!C24</f>
        <v>150</v>
      </c>
      <c r="I13" s="30" t="n">
        <f aca="false">Setup!C24</f>
        <v>150</v>
      </c>
      <c r="J13" s="30" t="n">
        <f aca="false">Setup!C24</f>
        <v>150</v>
      </c>
      <c r="K13" s="30" t="n">
        <f aca="false">Setup!C24</f>
        <v>150</v>
      </c>
      <c r="L13" s="30" t="n">
        <f aca="false">Setup!C24</f>
        <v>150</v>
      </c>
      <c r="M13" s="30" t="n">
        <f aca="false">Setup!C24</f>
        <v>150</v>
      </c>
      <c r="N13" s="30" t="n">
        <f aca="false">Setup!C24</f>
        <v>150</v>
      </c>
      <c r="O13" s="31" t="n">
        <f aca="false">SUM(C13:N13)</f>
        <v>1800</v>
      </c>
    </row>
    <row r="14" customFormat="false" ht="15" hidden="false" customHeight="true" outlineLevel="0" collapsed="false">
      <c r="A14" s="33"/>
      <c r="B14" s="29" t="s">
        <v>131</v>
      </c>
      <c r="C14" s="30" t="n">
        <f aca="false">SUMIFS(Transactions!$D$5:$D$504,Transactions!$C$5:$C$504,$A13,Transactions!$F$5:$F$504,1,Transactions!$G$5:$G$504,YEAR(Setup!$B$18))</f>
        <v>145</v>
      </c>
      <c r="D14" s="30" t="n">
        <f aca="false">SUMIFS(Transactions!$D$5:$D$504,Transactions!$C$5:$C$504,$A13,Transactions!$F$5:$F$504,2,Transactions!$G$5:$G$504,YEAR(Setup!$B$18))</f>
        <v>162</v>
      </c>
      <c r="E14" s="30" t="n">
        <f aca="false">SUMIFS(Transactions!$D$5:$D$504,Transactions!$C$5:$C$504,$A13,Transactions!$F$5:$F$504,3,Transactions!$G$5:$G$504,YEAR(Setup!$B$18))</f>
        <v>138</v>
      </c>
      <c r="F14" s="30" t="n">
        <f aca="false">SUMIFS(Transactions!$D$5:$D$504,Transactions!$C$5:$C$504,$A13,Transactions!$F$5:$F$504,4,Transactions!$G$5:$G$504,YEAR(Setup!$B$18))</f>
        <v>0</v>
      </c>
      <c r="G14" s="30" t="n">
        <f aca="false">SUMIFS(Transactions!$D$5:$D$504,Transactions!$C$5:$C$504,$A13,Transactions!$F$5:$F$504,5,Transactions!$G$5:$G$504,YEAR(Setup!$B$18))</f>
        <v>0</v>
      </c>
      <c r="H14" s="30" t="n">
        <f aca="false">SUMIFS(Transactions!$D$5:$D$504,Transactions!$C$5:$C$504,$A13,Transactions!$F$5:$F$504,6,Transactions!$G$5:$G$504,YEAR(Setup!$B$18))</f>
        <v>0</v>
      </c>
      <c r="I14" s="30" t="n">
        <f aca="false">SUMIFS(Transactions!$D$5:$D$504,Transactions!$C$5:$C$504,$A13,Transactions!$F$5:$F$504,7,Transactions!$G$5:$G$504,YEAR(Setup!$B$18))</f>
        <v>0</v>
      </c>
      <c r="J14" s="30" t="n">
        <f aca="false">SUMIFS(Transactions!$D$5:$D$504,Transactions!$C$5:$C$504,$A13,Transactions!$F$5:$F$504,8,Transactions!$G$5:$G$504,YEAR(Setup!$B$18))</f>
        <v>0</v>
      </c>
      <c r="K14" s="30" t="n">
        <f aca="false">SUMIFS(Transactions!$D$5:$D$504,Transactions!$C$5:$C$504,$A13,Transactions!$F$5:$F$504,9,Transactions!$G$5:$G$504,YEAR(Setup!$B$18))</f>
        <v>0</v>
      </c>
      <c r="L14" s="30" t="n">
        <f aca="false">SUMIFS(Transactions!$D$5:$D$504,Transactions!$C$5:$C$504,$A13,Transactions!$F$5:$F$504,10,Transactions!$G$5:$G$504,YEAR(Setup!$B$18))</f>
        <v>0</v>
      </c>
      <c r="M14" s="30" t="n">
        <f aca="false">SUMIFS(Transactions!$D$5:$D$504,Transactions!$C$5:$C$504,$A13,Transactions!$F$5:$F$504,11,Transactions!$G$5:$G$504,YEAR(Setup!$B$18))</f>
        <v>0</v>
      </c>
      <c r="N14" s="30" t="n">
        <f aca="false">SUMIFS(Transactions!$D$5:$D$504,Transactions!$C$5:$C$504,$A13,Transactions!$F$5:$F$504,12,Transactions!$G$5:$G$504,YEAR(Setup!$B$18))</f>
        <v>0</v>
      </c>
      <c r="O14" s="31" t="n">
        <f aca="false">SUM(C14:N14)</f>
        <v>445</v>
      </c>
    </row>
    <row r="15" customFormat="false" ht="15" hidden="false" customHeight="true" outlineLevel="0" collapsed="false">
      <c r="A15" s="33"/>
      <c r="B15" s="29" t="s">
        <v>132</v>
      </c>
      <c r="C15" s="30" t="n">
        <f aca="false">C14-C13</f>
        <v>-5</v>
      </c>
      <c r="D15" s="30" t="n">
        <f aca="false">D14-D13</f>
        <v>12</v>
      </c>
      <c r="E15" s="30" t="n">
        <f aca="false">E14-E13</f>
        <v>-12</v>
      </c>
      <c r="F15" s="30" t="n">
        <f aca="false">F14-F13</f>
        <v>-150</v>
      </c>
      <c r="G15" s="30" t="n">
        <f aca="false">G14-G13</f>
        <v>-150</v>
      </c>
      <c r="H15" s="30" t="n">
        <f aca="false">H14-H13</f>
        <v>-150</v>
      </c>
      <c r="I15" s="30" t="n">
        <f aca="false">I14-I13</f>
        <v>-150</v>
      </c>
      <c r="J15" s="30" t="n">
        <f aca="false">J14-J13</f>
        <v>-150</v>
      </c>
      <c r="K15" s="30" t="n">
        <f aca="false">K14-K13</f>
        <v>-150</v>
      </c>
      <c r="L15" s="30" t="n">
        <f aca="false">L14-L13</f>
        <v>-150</v>
      </c>
      <c r="M15" s="30" t="n">
        <f aca="false">M14-M13</f>
        <v>-150</v>
      </c>
      <c r="N15" s="30" t="n">
        <f aca="false">N14-N13</f>
        <v>-150</v>
      </c>
      <c r="O15" s="31" t="n">
        <f aca="false">O14-O13</f>
        <v>-1355</v>
      </c>
    </row>
    <row r="16" customFormat="false" ht="15" hidden="false" customHeight="true" outlineLevel="0" collapsed="false">
      <c r="A16" s="33" t="str">
        <f aca="false">Setup!A25</f>
        <v>Internet and Phone</v>
      </c>
      <c r="B16" s="29" t="s">
        <v>130</v>
      </c>
      <c r="C16" s="30" t="n">
        <f aca="false">Setup!C25</f>
        <v>90</v>
      </c>
      <c r="D16" s="30" t="n">
        <f aca="false">Setup!C25</f>
        <v>90</v>
      </c>
      <c r="E16" s="30" t="n">
        <f aca="false">Setup!C25</f>
        <v>90</v>
      </c>
      <c r="F16" s="30" t="n">
        <f aca="false">Setup!C25</f>
        <v>90</v>
      </c>
      <c r="G16" s="30" t="n">
        <f aca="false">Setup!C25</f>
        <v>90</v>
      </c>
      <c r="H16" s="30" t="n">
        <f aca="false">Setup!C25</f>
        <v>90</v>
      </c>
      <c r="I16" s="30" t="n">
        <f aca="false">Setup!C25</f>
        <v>90</v>
      </c>
      <c r="J16" s="30" t="n">
        <f aca="false">Setup!C25</f>
        <v>90</v>
      </c>
      <c r="K16" s="30" t="n">
        <f aca="false">Setup!C25</f>
        <v>90</v>
      </c>
      <c r="L16" s="30" t="n">
        <f aca="false">Setup!C25</f>
        <v>90</v>
      </c>
      <c r="M16" s="30" t="n">
        <f aca="false">Setup!C25</f>
        <v>90</v>
      </c>
      <c r="N16" s="30" t="n">
        <f aca="false">Setup!C25</f>
        <v>90</v>
      </c>
      <c r="O16" s="31" t="n">
        <f aca="false">SUM(C16:N16)</f>
        <v>1080</v>
      </c>
    </row>
    <row r="17" customFormat="false" ht="15" hidden="false" customHeight="true" outlineLevel="0" collapsed="false">
      <c r="A17" s="33"/>
      <c r="B17" s="29" t="s">
        <v>131</v>
      </c>
      <c r="C17" s="30" t="n">
        <f aca="false">SUMIFS(Transactions!$D$5:$D$504,Transactions!$C$5:$C$504,$A16,Transactions!$F$5:$F$504,1,Transactions!$G$5:$G$504,YEAR(Setup!$B$18))</f>
        <v>89</v>
      </c>
      <c r="D17" s="30" t="n">
        <f aca="false">SUMIFS(Transactions!$D$5:$D$504,Transactions!$C$5:$C$504,$A16,Transactions!$F$5:$F$504,2,Transactions!$G$5:$G$504,YEAR(Setup!$B$18))</f>
        <v>0</v>
      </c>
      <c r="E17" s="30" t="n">
        <f aca="false">SUMIFS(Transactions!$D$5:$D$504,Transactions!$C$5:$C$504,$A16,Transactions!$F$5:$F$504,3,Transactions!$G$5:$G$504,YEAR(Setup!$B$18))</f>
        <v>95</v>
      </c>
      <c r="F17" s="30" t="n">
        <f aca="false">SUMIFS(Transactions!$D$5:$D$504,Transactions!$C$5:$C$504,$A16,Transactions!$F$5:$F$504,4,Transactions!$G$5:$G$504,YEAR(Setup!$B$18))</f>
        <v>0</v>
      </c>
      <c r="G17" s="30" t="n">
        <f aca="false">SUMIFS(Transactions!$D$5:$D$504,Transactions!$C$5:$C$504,$A16,Transactions!$F$5:$F$504,5,Transactions!$G$5:$G$504,YEAR(Setup!$B$18))</f>
        <v>0</v>
      </c>
      <c r="H17" s="30" t="n">
        <f aca="false">SUMIFS(Transactions!$D$5:$D$504,Transactions!$C$5:$C$504,$A16,Transactions!$F$5:$F$504,6,Transactions!$G$5:$G$504,YEAR(Setup!$B$18))</f>
        <v>0</v>
      </c>
      <c r="I17" s="30" t="n">
        <f aca="false">SUMIFS(Transactions!$D$5:$D$504,Transactions!$C$5:$C$504,$A16,Transactions!$F$5:$F$504,7,Transactions!$G$5:$G$504,YEAR(Setup!$B$18))</f>
        <v>0</v>
      </c>
      <c r="J17" s="30" t="n">
        <f aca="false">SUMIFS(Transactions!$D$5:$D$504,Transactions!$C$5:$C$504,$A16,Transactions!$F$5:$F$504,8,Transactions!$G$5:$G$504,YEAR(Setup!$B$18))</f>
        <v>0</v>
      </c>
      <c r="K17" s="30" t="n">
        <f aca="false">SUMIFS(Transactions!$D$5:$D$504,Transactions!$C$5:$C$504,$A16,Transactions!$F$5:$F$504,9,Transactions!$G$5:$G$504,YEAR(Setup!$B$18))</f>
        <v>0</v>
      </c>
      <c r="L17" s="30" t="n">
        <f aca="false">SUMIFS(Transactions!$D$5:$D$504,Transactions!$C$5:$C$504,$A16,Transactions!$F$5:$F$504,10,Transactions!$G$5:$G$504,YEAR(Setup!$B$18))</f>
        <v>0</v>
      </c>
      <c r="M17" s="30" t="n">
        <f aca="false">SUMIFS(Transactions!$D$5:$D$504,Transactions!$C$5:$C$504,$A16,Transactions!$F$5:$F$504,11,Transactions!$G$5:$G$504,YEAR(Setup!$B$18))</f>
        <v>0</v>
      </c>
      <c r="N17" s="30" t="n">
        <f aca="false">SUMIFS(Transactions!$D$5:$D$504,Transactions!$C$5:$C$504,$A16,Transactions!$F$5:$F$504,12,Transactions!$G$5:$G$504,YEAR(Setup!$B$18))</f>
        <v>0</v>
      </c>
      <c r="O17" s="31" t="n">
        <f aca="false">SUM(C17:N17)</f>
        <v>184</v>
      </c>
    </row>
    <row r="18" customFormat="false" ht="15" hidden="false" customHeight="true" outlineLevel="0" collapsed="false">
      <c r="A18" s="33"/>
      <c r="B18" s="29" t="s">
        <v>132</v>
      </c>
      <c r="C18" s="30" t="n">
        <f aca="false">C17-C16</f>
        <v>-1</v>
      </c>
      <c r="D18" s="30" t="n">
        <f aca="false">D17-D16</f>
        <v>-90</v>
      </c>
      <c r="E18" s="30" t="n">
        <f aca="false">E17-E16</f>
        <v>5</v>
      </c>
      <c r="F18" s="30" t="n">
        <f aca="false">F17-F16</f>
        <v>-90</v>
      </c>
      <c r="G18" s="30" t="n">
        <f aca="false">G17-G16</f>
        <v>-90</v>
      </c>
      <c r="H18" s="30" t="n">
        <f aca="false">H17-H16</f>
        <v>-90</v>
      </c>
      <c r="I18" s="30" t="n">
        <f aca="false">I17-I16</f>
        <v>-90</v>
      </c>
      <c r="J18" s="30" t="n">
        <f aca="false">J17-J16</f>
        <v>-90</v>
      </c>
      <c r="K18" s="30" t="n">
        <f aca="false">K17-K16</f>
        <v>-90</v>
      </c>
      <c r="L18" s="30" t="n">
        <f aca="false">L17-L16</f>
        <v>-90</v>
      </c>
      <c r="M18" s="30" t="n">
        <f aca="false">M17-M16</f>
        <v>-90</v>
      </c>
      <c r="N18" s="30" t="n">
        <f aca="false">N17-N16</f>
        <v>-90</v>
      </c>
      <c r="O18" s="31" t="n">
        <f aca="false">O17-O16</f>
        <v>-896</v>
      </c>
    </row>
    <row r="19" customFormat="false" ht="15" hidden="false" customHeight="true" outlineLevel="0" collapsed="false">
      <c r="A19" s="34" t="s">
        <v>134</v>
      </c>
      <c r="B19" s="35" t="s">
        <v>130</v>
      </c>
      <c r="C19" s="36" t="n">
        <f aca="false">C10+C13+C16</f>
        <v>2040</v>
      </c>
      <c r="D19" s="36" t="n">
        <f aca="false">D10+D13+D16</f>
        <v>2040</v>
      </c>
      <c r="E19" s="36" t="n">
        <f aca="false">E10+E13+E16</f>
        <v>2040</v>
      </c>
      <c r="F19" s="36" t="n">
        <f aca="false">F10+F13+F16</f>
        <v>2040</v>
      </c>
      <c r="G19" s="36" t="n">
        <f aca="false">G10+G13+G16</f>
        <v>2040</v>
      </c>
      <c r="H19" s="36" t="n">
        <f aca="false">H10+H13+H16</f>
        <v>2040</v>
      </c>
      <c r="I19" s="36" t="n">
        <f aca="false">I10+I13+I16</f>
        <v>2040</v>
      </c>
      <c r="J19" s="36" t="n">
        <f aca="false">J10+J13+J16</f>
        <v>2040</v>
      </c>
      <c r="K19" s="36" t="n">
        <f aca="false">K10+K13+K16</f>
        <v>2040</v>
      </c>
      <c r="L19" s="36" t="n">
        <f aca="false">L10+L13+L16</f>
        <v>2040</v>
      </c>
      <c r="M19" s="36" t="n">
        <f aca="false">M10+M13+M16</f>
        <v>2040</v>
      </c>
      <c r="N19" s="36" t="n">
        <f aca="false">N10+N13+N16</f>
        <v>2040</v>
      </c>
      <c r="O19" s="36" t="n">
        <f aca="false">SUM(C19:N19)</f>
        <v>24480</v>
      </c>
    </row>
    <row r="20" customFormat="false" ht="15" hidden="false" customHeight="true" outlineLevel="0" collapsed="false">
      <c r="A20" s="34"/>
      <c r="B20" s="35" t="s">
        <v>131</v>
      </c>
      <c r="C20" s="36" t="n">
        <f aca="false">C11+C14+C17</f>
        <v>2034</v>
      </c>
      <c r="D20" s="36" t="n">
        <f aca="false">D11+D14+D17</f>
        <v>1962</v>
      </c>
      <c r="E20" s="36" t="n">
        <f aca="false">E11+E14+E17</f>
        <v>2033</v>
      </c>
      <c r="F20" s="36" t="n">
        <f aca="false">F11+F14+F17</f>
        <v>0</v>
      </c>
      <c r="G20" s="36" t="n">
        <f aca="false">G11+G14+G17</f>
        <v>0</v>
      </c>
      <c r="H20" s="36" t="n">
        <f aca="false">H11+H14+H17</f>
        <v>0</v>
      </c>
      <c r="I20" s="36" t="n">
        <f aca="false">I11+I14+I17</f>
        <v>0</v>
      </c>
      <c r="J20" s="36" t="n">
        <f aca="false">J11+J14+J17</f>
        <v>0</v>
      </c>
      <c r="K20" s="36" t="n">
        <f aca="false">K11+K14+K17</f>
        <v>0</v>
      </c>
      <c r="L20" s="36" t="n">
        <f aca="false">L11+L14+L17</f>
        <v>0</v>
      </c>
      <c r="M20" s="36" t="n">
        <f aca="false">M11+M14+M17</f>
        <v>0</v>
      </c>
      <c r="N20" s="36" t="n">
        <f aca="false">N11+N14+N17</f>
        <v>0</v>
      </c>
      <c r="O20" s="36" t="n">
        <f aca="false">SUM(C20:N20)</f>
        <v>6029</v>
      </c>
    </row>
    <row r="21" customFormat="false" ht="15" hidden="false" customHeight="true" outlineLevel="0" collapsed="false">
      <c r="A21" s="34"/>
      <c r="B21" s="35" t="s">
        <v>132</v>
      </c>
      <c r="C21" s="36" t="n">
        <f aca="false">C20-C19</f>
        <v>-6</v>
      </c>
      <c r="D21" s="36" t="n">
        <f aca="false">D20-D19</f>
        <v>-78</v>
      </c>
      <c r="E21" s="36" t="n">
        <f aca="false">E20-E19</f>
        <v>-7</v>
      </c>
      <c r="F21" s="36" t="n">
        <f aca="false">F20-F19</f>
        <v>-2040</v>
      </c>
      <c r="G21" s="36" t="n">
        <f aca="false">G20-G19</f>
        <v>-2040</v>
      </c>
      <c r="H21" s="36" t="n">
        <f aca="false">H20-H19</f>
        <v>-2040</v>
      </c>
      <c r="I21" s="36" t="n">
        <f aca="false">I20-I19</f>
        <v>-2040</v>
      </c>
      <c r="J21" s="36" t="n">
        <f aca="false">J20-J19</f>
        <v>-2040</v>
      </c>
      <c r="K21" s="36" t="n">
        <f aca="false">K20-K19</f>
        <v>-2040</v>
      </c>
      <c r="L21" s="36" t="n">
        <f aca="false">L20-L19</f>
        <v>-2040</v>
      </c>
      <c r="M21" s="36" t="n">
        <f aca="false">M20-M19</f>
        <v>-2040</v>
      </c>
      <c r="N21" s="36" t="n">
        <f aca="false">N20-N19</f>
        <v>-2040</v>
      </c>
      <c r="O21" s="36" t="n">
        <f aca="false">O20-O19</f>
        <v>-18451</v>
      </c>
    </row>
    <row r="23" customFormat="false" ht="15" hidden="false" customHeight="true" outlineLevel="0" collapsed="false">
      <c r="A23" s="32" t="s">
        <v>135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customFormat="false" ht="15" hidden="false" customHeight="true" outlineLevel="0" collapsed="false">
      <c r="A24" s="33" t="str">
        <f aca="false">Setup!A26</f>
        <v>Car Payment</v>
      </c>
      <c r="B24" s="29" t="s">
        <v>130</v>
      </c>
      <c r="C24" s="30" t="n">
        <f aca="false">Setup!C26</f>
        <v>350</v>
      </c>
      <c r="D24" s="30" t="n">
        <f aca="false">Setup!C26</f>
        <v>350</v>
      </c>
      <c r="E24" s="30" t="n">
        <f aca="false">Setup!C26</f>
        <v>350</v>
      </c>
      <c r="F24" s="30" t="n">
        <f aca="false">Setup!C26</f>
        <v>350</v>
      </c>
      <c r="G24" s="30" t="n">
        <f aca="false">Setup!C26</f>
        <v>350</v>
      </c>
      <c r="H24" s="30" t="n">
        <f aca="false">Setup!C26</f>
        <v>350</v>
      </c>
      <c r="I24" s="30" t="n">
        <f aca="false">Setup!C26</f>
        <v>350</v>
      </c>
      <c r="J24" s="30" t="n">
        <f aca="false">Setup!C26</f>
        <v>350</v>
      </c>
      <c r="K24" s="30" t="n">
        <f aca="false">Setup!C26</f>
        <v>350</v>
      </c>
      <c r="L24" s="30" t="n">
        <f aca="false">Setup!C26</f>
        <v>350</v>
      </c>
      <c r="M24" s="30" t="n">
        <f aca="false">Setup!C26</f>
        <v>350</v>
      </c>
      <c r="N24" s="30" t="n">
        <f aca="false">Setup!C26</f>
        <v>350</v>
      </c>
      <c r="O24" s="31" t="n">
        <f aca="false">SUM(C24:N24)</f>
        <v>4200</v>
      </c>
    </row>
    <row r="25" customFormat="false" ht="15" hidden="false" customHeight="true" outlineLevel="0" collapsed="false">
      <c r="A25" s="33"/>
      <c r="B25" s="29" t="s">
        <v>131</v>
      </c>
      <c r="C25" s="30" t="n">
        <f aca="false">SUMIFS(Transactions!$D$5:$D$504,Transactions!$C$5:$C$504,$A24,Transactions!$F$5:$F$504,1,Transactions!$G$5:$G$504,YEAR(Setup!$B$18))</f>
        <v>350</v>
      </c>
      <c r="D25" s="30" t="n">
        <f aca="false">SUMIFS(Transactions!$D$5:$D$504,Transactions!$C$5:$C$504,$A24,Transactions!$F$5:$F$504,2,Transactions!$G$5:$G$504,YEAR(Setup!$B$18))</f>
        <v>350</v>
      </c>
      <c r="E25" s="30" t="n">
        <f aca="false">SUMIFS(Transactions!$D$5:$D$504,Transactions!$C$5:$C$504,$A24,Transactions!$F$5:$F$504,3,Transactions!$G$5:$G$504,YEAR(Setup!$B$18))</f>
        <v>350</v>
      </c>
      <c r="F25" s="30" t="n">
        <f aca="false">SUMIFS(Transactions!$D$5:$D$504,Transactions!$C$5:$C$504,$A24,Transactions!$F$5:$F$504,4,Transactions!$G$5:$G$504,YEAR(Setup!$B$18))</f>
        <v>0</v>
      </c>
      <c r="G25" s="30" t="n">
        <f aca="false">SUMIFS(Transactions!$D$5:$D$504,Transactions!$C$5:$C$504,$A24,Transactions!$F$5:$F$504,5,Transactions!$G$5:$G$504,YEAR(Setup!$B$18))</f>
        <v>0</v>
      </c>
      <c r="H25" s="30" t="n">
        <f aca="false">SUMIFS(Transactions!$D$5:$D$504,Transactions!$C$5:$C$504,$A24,Transactions!$F$5:$F$504,6,Transactions!$G$5:$G$504,YEAR(Setup!$B$18))</f>
        <v>0</v>
      </c>
      <c r="I25" s="30" t="n">
        <f aca="false">SUMIFS(Transactions!$D$5:$D$504,Transactions!$C$5:$C$504,$A24,Transactions!$F$5:$F$504,7,Transactions!$G$5:$G$504,YEAR(Setup!$B$18))</f>
        <v>0</v>
      </c>
      <c r="J25" s="30" t="n">
        <f aca="false">SUMIFS(Transactions!$D$5:$D$504,Transactions!$C$5:$C$504,$A24,Transactions!$F$5:$F$504,8,Transactions!$G$5:$G$504,YEAR(Setup!$B$18))</f>
        <v>0</v>
      </c>
      <c r="K25" s="30" t="n">
        <f aca="false">SUMIFS(Transactions!$D$5:$D$504,Transactions!$C$5:$C$504,$A24,Transactions!$F$5:$F$504,9,Transactions!$G$5:$G$504,YEAR(Setup!$B$18))</f>
        <v>0</v>
      </c>
      <c r="L25" s="30" t="n">
        <f aca="false">SUMIFS(Transactions!$D$5:$D$504,Transactions!$C$5:$C$504,$A24,Transactions!$F$5:$F$504,10,Transactions!$G$5:$G$504,YEAR(Setup!$B$18))</f>
        <v>0</v>
      </c>
      <c r="M25" s="30" t="n">
        <f aca="false">SUMIFS(Transactions!$D$5:$D$504,Transactions!$C$5:$C$504,$A24,Transactions!$F$5:$F$504,11,Transactions!$G$5:$G$504,YEAR(Setup!$B$18))</f>
        <v>0</v>
      </c>
      <c r="N25" s="30" t="n">
        <f aca="false">SUMIFS(Transactions!$D$5:$D$504,Transactions!$C$5:$C$504,$A24,Transactions!$F$5:$F$504,12,Transactions!$G$5:$G$504,YEAR(Setup!$B$18))</f>
        <v>0</v>
      </c>
      <c r="O25" s="31" t="n">
        <f aca="false">SUM(C25:N25)</f>
        <v>1050</v>
      </c>
    </row>
    <row r="26" customFormat="false" ht="15" hidden="false" customHeight="true" outlineLevel="0" collapsed="false">
      <c r="A26" s="33"/>
      <c r="B26" s="29" t="s">
        <v>132</v>
      </c>
      <c r="C26" s="30" t="n">
        <f aca="false">C25-C24</f>
        <v>0</v>
      </c>
      <c r="D26" s="30" t="n">
        <f aca="false">D25-D24</f>
        <v>0</v>
      </c>
      <c r="E26" s="30" t="n">
        <f aca="false">E25-E24</f>
        <v>0</v>
      </c>
      <c r="F26" s="30" t="n">
        <f aca="false">F25-F24</f>
        <v>-350</v>
      </c>
      <c r="G26" s="30" t="n">
        <f aca="false">G25-G24</f>
        <v>-350</v>
      </c>
      <c r="H26" s="30" t="n">
        <f aca="false">H25-H24</f>
        <v>-350</v>
      </c>
      <c r="I26" s="30" t="n">
        <f aca="false">I25-I24</f>
        <v>-350</v>
      </c>
      <c r="J26" s="30" t="n">
        <f aca="false">J25-J24</f>
        <v>-350</v>
      </c>
      <c r="K26" s="30" t="n">
        <f aca="false">K25-K24</f>
        <v>-350</v>
      </c>
      <c r="L26" s="30" t="n">
        <f aca="false">L25-L24</f>
        <v>-350</v>
      </c>
      <c r="M26" s="30" t="n">
        <f aca="false">M25-M24</f>
        <v>-350</v>
      </c>
      <c r="N26" s="30" t="n">
        <f aca="false">N25-N24</f>
        <v>-350</v>
      </c>
      <c r="O26" s="31" t="n">
        <f aca="false">O25-O24</f>
        <v>-3150</v>
      </c>
    </row>
    <row r="27" customFormat="false" ht="15" hidden="false" customHeight="true" outlineLevel="0" collapsed="false">
      <c r="A27" s="33" t="str">
        <f aca="false">Setup!A27</f>
        <v>Fuel</v>
      </c>
      <c r="B27" s="29" t="s">
        <v>130</v>
      </c>
      <c r="C27" s="30" t="n">
        <f aca="false">Setup!C27</f>
        <v>160</v>
      </c>
      <c r="D27" s="30" t="n">
        <f aca="false">Setup!C27</f>
        <v>160</v>
      </c>
      <c r="E27" s="30" t="n">
        <f aca="false">Setup!C27</f>
        <v>160</v>
      </c>
      <c r="F27" s="30" t="n">
        <f aca="false">Setup!C27</f>
        <v>160</v>
      </c>
      <c r="G27" s="30" t="n">
        <f aca="false">Setup!C27</f>
        <v>160</v>
      </c>
      <c r="H27" s="30" t="n">
        <f aca="false">Setup!C27</f>
        <v>160</v>
      </c>
      <c r="I27" s="30" t="n">
        <f aca="false">Setup!C27</f>
        <v>160</v>
      </c>
      <c r="J27" s="30" t="n">
        <f aca="false">Setup!C27</f>
        <v>160</v>
      </c>
      <c r="K27" s="30" t="n">
        <f aca="false">Setup!C27</f>
        <v>160</v>
      </c>
      <c r="L27" s="30" t="n">
        <f aca="false">Setup!C27</f>
        <v>160</v>
      </c>
      <c r="M27" s="30" t="n">
        <f aca="false">Setup!C27</f>
        <v>160</v>
      </c>
      <c r="N27" s="30" t="n">
        <f aca="false">Setup!C27</f>
        <v>160</v>
      </c>
      <c r="O27" s="31" t="n">
        <f aca="false">SUM(C27:N27)</f>
        <v>1920</v>
      </c>
    </row>
    <row r="28" customFormat="false" ht="15" hidden="false" customHeight="true" outlineLevel="0" collapsed="false">
      <c r="A28" s="33"/>
      <c r="B28" s="29" t="s">
        <v>131</v>
      </c>
      <c r="C28" s="30" t="n">
        <f aca="false">SUMIFS(Transactions!$D$5:$D$504,Transactions!$C$5:$C$504,$A27,Transactions!$F$5:$F$504,1,Transactions!$G$5:$G$504,YEAR(Setup!$B$18))</f>
        <v>85</v>
      </c>
      <c r="D28" s="30" t="n">
        <f aca="false">SUMIFS(Transactions!$D$5:$D$504,Transactions!$C$5:$C$504,$A27,Transactions!$F$5:$F$504,2,Transactions!$G$5:$G$504,YEAR(Setup!$B$18))</f>
        <v>98</v>
      </c>
      <c r="E28" s="30" t="n">
        <f aca="false">SUMIFS(Transactions!$D$5:$D$504,Transactions!$C$5:$C$504,$A27,Transactions!$F$5:$F$504,3,Transactions!$G$5:$G$504,YEAR(Setup!$B$18))</f>
        <v>0</v>
      </c>
      <c r="F28" s="30" t="n">
        <f aca="false">SUMIFS(Transactions!$D$5:$D$504,Transactions!$C$5:$C$504,$A27,Transactions!$F$5:$F$504,4,Transactions!$G$5:$G$504,YEAR(Setup!$B$18))</f>
        <v>0</v>
      </c>
      <c r="G28" s="30" t="n">
        <f aca="false">SUMIFS(Transactions!$D$5:$D$504,Transactions!$C$5:$C$504,$A27,Transactions!$F$5:$F$504,5,Transactions!$G$5:$G$504,YEAR(Setup!$B$18))</f>
        <v>0</v>
      </c>
      <c r="H28" s="30" t="n">
        <f aca="false">SUMIFS(Transactions!$D$5:$D$504,Transactions!$C$5:$C$504,$A27,Transactions!$F$5:$F$504,6,Transactions!$G$5:$G$504,YEAR(Setup!$B$18))</f>
        <v>0</v>
      </c>
      <c r="I28" s="30" t="n">
        <f aca="false">SUMIFS(Transactions!$D$5:$D$504,Transactions!$C$5:$C$504,$A27,Transactions!$F$5:$F$504,7,Transactions!$G$5:$G$504,YEAR(Setup!$B$18))</f>
        <v>0</v>
      </c>
      <c r="J28" s="30" t="n">
        <f aca="false">SUMIFS(Transactions!$D$5:$D$504,Transactions!$C$5:$C$504,$A27,Transactions!$F$5:$F$504,8,Transactions!$G$5:$G$504,YEAR(Setup!$B$18))</f>
        <v>0</v>
      </c>
      <c r="K28" s="30" t="n">
        <f aca="false">SUMIFS(Transactions!$D$5:$D$504,Transactions!$C$5:$C$504,$A27,Transactions!$F$5:$F$504,9,Transactions!$G$5:$G$504,YEAR(Setup!$B$18))</f>
        <v>0</v>
      </c>
      <c r="L28" s="30" t="n">
        <f aca="false">SUMIFS(Transactions!$D$5:$D$504,Transactions!$C$5:$C$504,$A27,Transactions!$F$5:$F$504,10,Transactions!$G$5:$G$504,YEAR(Setup!$B$18))</f>
        <v>0</v>
      </c>
      <c r="M28" s="30" t="n">
        <f aca="false">SUMIFS(Transactions!$D$5:$D$504,Transactions!$C$5:$C$504,$A27,Transactions!$F$5:$F$504,11,Transactions!$G$5:$G$504,YEAR(Setup!$B$18))</f>
        <v>0</v>
      </c>
      <c r="N28" s="30" t="n">
        <f aca="false">SUMIFS(Transactions!$D$5:$D$504,Transactions!$C$5:$C$504,$A27,Transactions!$F$5:$F$504,12,Transactions!$G$5:$G$504,YEAR(Setup!$B$18))</f>
        <v>0</v>
      </c>
      <c r="O28" s="31" t="n">
        <f aca="false">SUM(C28:N28)</f>
        <v>183</v>
      </c>
    </row>
    <row r="29" customFormat="false" ht="15" hidden="false" customHeight="true" outlineLevel="0" collapsed="false">
      <c r="A29" s="33"/>
      <c r="B29" s="29" t="s">
        <v>132</v>
      </c>
      <c r="C29" s="30" t="n">
        <f aca="false">C28-C27</f>
        <v>-75</v>
      </c>
      <c r="D29" s="30" t="n">
        <f aca="false">D28-D27</f>
        <v>-62</v>
      </c>
      <c r="E29" s="30" t="n">
        <f aca="false">E28-E27</f>
        <v>-160</v>
      </c>
      <c r="F29" s="30" t="n">
        <f aca="false">F28-F27</f>
        <v>-160</v>
      </c>
      <c r="G29" s="30" t="n">
        <f aca="false">G28-G27</f>
        <v>-160</v>
      </c>
      <c r="H29" s="30" t="n">
        <f aca="false">H28-H27</f>
        <v>-160</v>
      </c>
      <c r="I29" s="30" t="n">
        <f aca="false">I28-I27</f>
        <v>-160</v>
      </c>
      <c r="J29" s="30" t="n">
        <f aca="false">J28-J27</f>
        <v>-160</v>
      </c>
      <c r="K29" s="30" t="n">
        <f aca="false">K28-K27</f>
        <v>-160</v>
      </c>
      <c r="L29" s="30" t="n">
        <f aca="false">L28-L27</f>
        <v>-160</v>
      </c>
      <c r="M29" s="30" t="n">
        <f aca="false">M28-M27</f>
        <v>-160</v>
      </c>
      <c r="N29" s="30" t="n">
        <f aca="false">N28-N27</f>
        <v>-160</v>
      </c>
      <c r="O29" s="31" t="n">
        <f aca="false">O28-O27</f>
        <v>-1737</v>
      </c>
    </row>
    <row r="30" customFormat="false" ht="15" hidden="false" customHeight="true" outlineLevel="0" collapsed="false">
      <c r="A30" s="33" t="str">
        <f aca="false">Setup!A28</f>
        <v>Public Transit and Rideshare</v>
      </c>
      <c r="B30" s="29" t="s">
        <v>130</v>
      </c>
      <c r="C30" s="30" t="n">
        <f aca="false">Setup!C28</f>
        <v>60</v>
      </c>
      <c r="D30" s="30" t="n">
        <f aca="false">Setup!C28</f>
        <v>60</v>
      </c>
      <c r="E30" s="30" t="n">
        <f aca="false">Setup!C28</f>
        <v>60</v>
      </c>
      <c r="F30" s="30" t="n">
        <f aca="false">Setup!C28</f>
        <v>60</v>
      </c>
      <c r="G30" s="30" t="n">
        <f aca="false">Setup!C28</f>
        <v>60</v>
      </c>
      <c r="H30" s="30" t="n">
        <f aca="false">Setup!C28</f>
        <v>60</v>
      </c>
      <c r="I30" s="30" t="n">
        <f aca="false">Setup!C28</f>
        <v>60</v>
      </c>
      <c r="J30" s="30" t="n">
        <f aca="false">Setup!C28</f>
        <v>60</v>
      </c>
      <c r="K30" s="30" t="n">
        <f aca="false">Setup!C28</f>
        <v>60</v>
      </c>
      <c r="L30" s="30" t="n">
        <f aca="false">Setup!C28</f>
        <v>60</v>
      </c>
      <c r="M30" s="30" t="n">
        <f aca="false">Setup!C28</f>
        <v>60</v>
      </c>
      <c r="N30" s="30" t="n">
        <f aca="false">Setup!C28</f>
        <v>60</v>
      </c>
      <c r="O30" s="31" t="n">
        <f aca="false">SUM(C30:N30)</f>
        <v>720</v>
      </c>
    </row>
    <row r="31" customFormat="false" ht="15" hidden="false" customHeight="true" outlineLevel="0" collapsed="false">
      <c r="A31" s="33"/>
      <c r="B31" s="29" t="s">
        <v>131</v>
      </c>
      <c r="C31" s="30" t="n">
        <f aca="false">SUMIFS(Transactions!$D$5:$D$504,Transactions!$C$5:$C$504,$A30,Transactions!$F$5:$F$504,1,Transactions!$G$5:$G$504,YEAR(Setup!$B$18))</f>
        <v>0</v>
      </c>
      <c r="D31" s="30" t="n">
        <f aca="false">SUMIFS(Transactions!$D$5:$D$504,Transactions!$C$5:$C$504,$A30,Transactions!$F$5:$F$504,2,Transactions!$G$5:$G$504,YEAR(Setup!$B$18))</f>
        <v>60</v>
      </c>
      <c r="E31" s="30" t="n">
        <f aca="false">SUMIFS(Transactions!$D$5:$D$504,Transactions!$C$5:$C$504,$A30,Transactions!$F$5:$F$504,3,Transactions!$G$5:$G$504,YEAR(Setup!$B$18))</f>
        <v>0</v>
      </c>
      <c r="F31" s="30" t="n">
        <f aca="false">SUMIFS(Transactions!$D$5:$D$504,Transactions!$C$5:$C$504,$A30,Transactions!$F$5:$F$504,4,Transactions!$G$5:$G$504,YEAR(Setup!$B$18))</f>
        <v>0</v>
      </c>
      <c r="G31" s="30" t="n">
        <f aca="false">SUMIFS(Transactions!$D$5:$D$504,Transactions!$C$5:$C$504,$A30,Transactions!$F$5:$F$504,5,Transactions!$G$5:$G$504,YEAR(Setup!$B$18))</f>
        <v>0</v>
      </c>
      <c r="H31" s="30" t="n">
        <f aca="false">SUMIFS(Transactions!$D$5:$D$504,Transactions!$C$5:$C$504,$A30,Transactions!$F$5:$F$504,6,Transactions!$G$5:$G$504,YEAR(Setup!$B$18))</f>
        <v>0</v>
      </c>
      <c r="I31" s="30" t="n">
        <f aca="false">SUMIFS(Transactions!$D$5:$D$504,Transactions!$C$5:$C$504,$A30,Transactions!$F$5:$F$504,7,Transactions!$G$5:$G$504,YEAR(Setup!$B$18))</f>
        <v>0</v>
      </c>
      <c r="J31" s="30" t="n">
        <f aca="false">SUMIFS(Transactions!$D$5:$D$504,Transactions!$C$5:$C$504,$A30,Transactions!$F$5:$F$504,8,Transactions!$G$5:$G$504,YEAR(Setup!$B$18))</f>
        <v>0</v>
      </c>
      <c r="K31" s="30" t="n">
        <f aca="false">SUMIFS(Transactions!$D$5:$D$504,Transactions!$C$5:$C$504,$A30,Transactions!$F$5:$F$504,9,Transactions!$G$5:$G$504,YEAR(Setup!$B$18))</f>
        <v>0</v>
      </c>
      <c r="L31" s="30" t="n">
        <f aca="false">SUMIFS(Transactions!$D$5:$D$504,Transactions!$C$5:$C$504,$A30,Transactions!$F$5:$F$504,10,Transactions!$G$5:$G$504,YEAR(Setup!$B$18))</f>
        <v>0</v>
      </c>
      <c r="M31" s="30" t="n">
        <f aca="false">SUMIFS(Transactions!$D$5:$D$504,Transactions!$C$5:$C$504,$A30,Transactions!$F$5:$F$504,11,Transactions!$G$5:$G$504,YEAR(Setup!$B$18))</f>
        <v>0</v>
      </c>
      <c r="N31" s="30" t="n">
        <f aca="false">SUMIFS(Transactions!$D$5:$D$504,Transactions!$C$5:$C$504,$A30,Transactions!$F$5:$F$504,12,Transactions!$G$5:$G$504,YEAR(Setup!$B$18))</f>
        <v>0</v>
      </c>
      <c r="O31" s="31" t="n">
        <f aca="false">SUM(C31:N31)</f>
        <v>60</v>
      </c>
    </row>
    <row r="32" customFormat="false" ht="15" hidden="false" customHeight="true" outlineLevel="0" collapsed="false">
      <c r="A32" s="33"/>
      <c r="B32" s="29" t="s">
        <v>132</v>
      </c>
      <c r="C32" s="30" t="n">
        <f aca="false">C31-C30</f>
        <v>-60</v>
      </c>
      <c r="D32" s="30" t="n">
        <f aca="false">D31-D30</f>
        <v>0</v>
      </c>
      <c r="E32" s="30" t="n">
        <f aca="false">E31-E30</f>
        <v>-60</v>
      </c>
      <c r="F32" s="30" t="n">
        <f aca="false">F31-F30</f>
        <v>-60</v>
      </c>
      <c r="G32" s="30" t="n">
        <f aca="false">G31-G30</f>
        <v>-60</v>
      </c>
      <c r="H32" s="30" t="n">
        <f aca="false">H31-H30</f>
        <v>-60</v>
      </c>
      <c r="I32" s="30" t="n">
        <f aca="false">I31-I30</f>
        <v>-60</v>
      </c>
      <c r="J32" s="30" t="n">
        <f aca="false">J31-J30</f>
        <v>-60</v>
      </c>
      <c r="K32" s="30" t="n">
        <f aca="false">K31-K30</f>
        <v>-60</v>
      </c>
      <c r="L32" s="30" t="n">
        <f aca="false">L31-L30</f>
        <v>-60</v>
      </c>
      <c r="M32" s="30" t="n">
        <f aca="false">M31-M30</f>
        <v>-60</v>
      </c>
      <c r="N32" s="30" t="n">
        <f aca="false">N31-N30</f>
        <v>-60</v>
      </c>
      <c r="O32" s="31" t="n">
        <f aca="false">O31-O30</f>
        <v>-660</v>
      </c>
    </row>
    <row r="33" customFormat="false" ht="15" hidden="false" customHeight="true" outlineLevel="0" collapsed="false">
      <c r="A33" s="34" t="s">
        <v>136</v>
      </c>
      <c r="B33" s="35" t="s">
        <v>130</v>
      </c>
      <c r="C33" s="36" t="n">
        <f aca="false">C24+C27+C30</f>
        <v>570</v>
      </c>
      <c r="D33" s="36" t="n">
        <f aca="false">D24+D27+D30</f>
        <v>570</v>
      </c>
      <c r="E33" s="36" t="n">
        <f aca="false">E24+E27+E30</f>
        <v>570</v>
      </c>
      <c r="F33" s="36" t="n">
        <f aca="false">F24+F27+F30</f>
        <v>570</v>
      </c>
      <c r="G33" s="36" t="n">
        <f aca="false">G24+G27+G30</f>
        <v>570</v>
      </c>
      <c r="H33" s="36" t="n">
        <f aca="false">H24+H27+H30</f>
        <v>570</v>
      </c>
      <c r="I33" s="36" t="n">
        <f aca="false">I24+I27+I30</f>
        <v>570</v>
      </c>
      <c r="J33" s="36" t="n">
        <f aca="false">J24+J27+J30</f>
        <v>570</v>
      </c>
      <c r="K33" s="36" t="n">
        <f aca="false">K24+K27+K30</f>
        <v>570</v>
      </c>
      <c r="L33" s="36" t="n">
        <f aca="false">L24+L27+L30</f>
        <v>570</v>
      </c>
      <c r="M33" s="36" t="n">
        <f aca="false">M24+M27+M30</f>
        <v>570</v>
      </c>
      <c r="N33" s="36" t="n">
        <f aca="false">N24+N27+N30</f>
        <v>570</v>
      </c>
      <c r="O33" s="36" t="n">
        <f aca="false">SUM(C33:N33)</f>
        <v>6840</v>
      </c>
    </row>
    <row r="34" customFormat="false" ht="15" hidden="false" customHeight="true" outlineLevel="0" collapsed="false">
      <c r="A34" s="34"/>
      <c r="B34" s="35" t="s">
        <v>131</v>
      </c>
      <c r="C34" s="36" t="n">
        <f aca="false">C25+C28+C31</f>
        <v>435</v>
      </c>
      <c r="D34" s="36" t="n">
        <f aca="false">D25+D28+D31</f>
        <v>508</v>
      </c>
      <c r="E34" s="36" t="n">
        <f aca="false">E25+E28+E31</f>
        <v>350</v>
      </c>
      <c r="F34" s="36" t="n">
        <f aca="false">F25+F28+F31</f>
        <v>0</v>
      </c>
      <c r="G34" s="36" t="n">
        <f aca="false">G25+G28+G31</f>
        <v>0</v>
      </c>
      <c r="H34" s="36" t="n">
        <f aca="false">H25+H28+H31</f>
        <v>0</v>
      </c>
      <c r="I34" s="36" t="n">
        <f aca="false">I25+I28+I31</f>
        <v>0</v>
      </c>
      <c r="J34" s="36" t="n">
        <f aca="false">J25+J28+J31</f>
        <v>0</v>
      </c>
      <c r="K34" s="36" t="n">
        <f aca="false">K25+K28+K31</f>
        <v>0</v>
      </c>
      <c r="L34" s="36" t="n">
        <f aca="false">L25+L28+L31</f>
        <v>0</v>
      </c>
      <c r="M34" s="36" t="n">
        <f aca="false">M25+M28+M31</f>
        <v>0</v>
      </c>
      <c r="N34" s="36" t="n">
        <f aca="false">N25+N28+N31</f>
        <v>0</v>
      </c>
      <c r="O34" s="36" t="n">
        <f aca="false">SUM(C34:N34)</f>
        <v>1293</v>
      </c>
    </row>
    <row r="35" customFormat="false" ht="15" hidden="false" customHeight="true" outlineLevel="0" collapsed="false">
      <c r="A35" s="34"/>
      <c r="B35" s="35" t="s">
        <v>132</v>
      </c>
      <c r="C35" s="36" t="n">
        <f aca="false">C34-C33</f>
        <v>-135</v>
      </c>
      <c r="D35" s="36" t="n">
        <f aca="false">D34-D33</f>
        <v>-62</v>
      </c>
      <c r="E35" s="36" t="n">
        <f aca="false">E34-E33</f>
        <v>-220</v>
      </c>
      <c r="F35" s="36" t="n">
        <f aca="false">F34-F33</f>
        <v>-570</v>
      </c>
      <c r="G35" s="36" t="n">
        <f aca="false">G34-G33</f>
        <v>-570</v>
      </c>
      <c r="H35" s="36" t="n">
        <f aca="false">H34-H33</f>
        <v>-570</v>
      </c>
      <c r="I35" s="36" t="n">
        <f aca="false">I34-I33</f>
        <v>-570</v>
      </c>
      <c r="J35" s="36" t="n">
        <f aca="false">J34-J33</f>
        <v>-570</v>
      </c>
      <c r="K35" s="36" t="n">
        <f aca="false">K34-K33</f>
        <v>-570</v>
      </c>
      <c r="L35" s="36" t="n">
        <f aca="false">L34-L33</f>
        <v>-570</v>
      </c>
      <c r="M35" s="36" t="n">
        <f aca="false">M34-M33</f>
        <v>-570</v>
      </c>
      <c r="N35" s="36" t="n">
        <f aca="false">N34-N33</f>
        <v>-570</v>
      </c>
      <c r="O35" s="36" t="n">
        <f aca="false">O34-O33</f>
        <v>-5547</v>
      </c>
    </row>
    <row r="37" customFormat="false" ht="15" hidden="false" customHeight="true" outlineLevel="0" collapsed="false">
      <c r="A37" s="32" t="s">
        <v>137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customFormat="false" ht="15" hidden="false" customHeight="true" outlineLevel="0" collapsed="false">
      <c r="A38" s="33" t="str">
        <f aca="false">Setup!A29</f>
        <v>Groceries</v>
      </c>
      <c r="B38" s="29" t="s">
        <v>130</v>
      </c>
      <c r="C38" s="30" t="n">
        <f aca="false">Setup!C29</f>
        <v>650</v>
      </c>
      <c r="D38" s="30" t="n">
        <f aca="false">Setup!C29</f>
        <v>650</v>
      </c>
      <c r="E38" s="30" t="n">
        <f aca="false">Setup!C29</f>
        <v>650</v>
      </c>
      <c r="F38" s="30" t="n">
        <f aca="false">Setup!C29</f>
        <v>650</v>
      </c>
      <c r="G38" s="30" t="n">
        <f aca="false">Setup!C29</f>
        <v>650</v>
      </c>
      <c r="H38" s="30" t="n">
        <f aca="false">Setup!C29</f>
        <v>650</v>
      </c>
      <c r="I38" s="30" t="n">
        <f aca="false">Setup!C29</f>
        <v>650</v>
      </c>
      <c r="J38" s="30" t="n">
        <f aca="false">Setup!C29</f>
        <v>650</v>
      </c>
      <c r="K38" s="30" t="n">
        <f aca="false">Setup!C29</f>
        <v>650</v>
      </c>
      <c r="L38" s="30" t="n">
        <f aca="false">Setup!C29</f>
        <v>650</v>
      </c>
      <c r="M38" s="30" t="n">
        <f aca="false">Setup!C29</f>
        <v>650</v>
      </c>
      <c r="N38" s="30" t="n">
        <f aca="false">Setup!C29</f>
        <v>650</v>
      </c>
      <c r="O38" s="31" t="n">
        <f aca="false">SUM(C38:N38)</f>
        <v>7800</v>
      </c>
    </row>
    <row r="39" customFormat="false" ht="15" hidden="false" customHeight="true" outlineLevel="0" collapsed="false">
      <c r="A39" s="33"/>
      <c r="B39" s="29" t="s">
        <v>131</v>
      </c>
      <c r="C39" s="30" t="n">
        <f aca="false">SUMIFS(Transactions!$D$5:$D$504,Transactions!$C$5:$C$504,$A38,Transactions!$F$5:$F$504,1,Transactions!$G$5:$G$504,YEAR(Setup!$B$18))</f>
        <v>315</v>
      </c>
      <c r="D39" s="30" t="n">
        <f aca="false">SUMIFS(Transactions!$D$5:$D$504,Transactions!$C$5:$C$504,$A38,Transactions!$F$5:$F$504,2,Transactions!$G$5:$G$504,YEAR(Setup!$B$18))</f>
        <v>342</v>
      </c>
      <c r="E39" s="30" t="n">
        <f aca="false">SUMIFS(Transactions!$D$5:$D$504,Transactions!$C$5:$C$504,$A38,Transactions!$F$5:$F$504,3,Transactions!$G$5:$G$504,YEAR(Setup!$B$18))</f>
        <v>298</v>
      </c>
      <c r="F39" s="30" t="n">
        <f aca="false">SUMIFS(Transactions!$D$5:$D$504,Transactions!$C$5:$C$504,$A38,Transactions!$F$5:$F$504,4,Transactions!$G$5:$G$504,YEAR(Setup!$B$18))</f>
        <v>0</v>
      </c>
      <c r="G39" s="30" t="n">
        <f aca="false">SUMIFS(Transactions!$D$5:$D$504,Transactions!$C$5:$C$504,$A38,Transactions!$F$5:$F$504,5,Transactions!$G$5:$G$504,YEAR(Setup!$B$18))</f>
        <v>0</v>
      </c>
      <c r="H39" s="30" t="n">
        <f aca="false">SUMIFS(Transactions!$D$5:$D$504,Transactions!$C$5:$C$504,$A38,Transactions!$F$5:$F$504,6,Transactions!$G$5:$G$504,YEAR(Setup!$B$18))</f>
        <v>0</v>
      </c>
      <c r="I39" s="30" t="n">
        <f aca="false">SUMIFS(Transactions!$D$5:$D$504,Transactions!$C$5:$C$504,$A38,Transactions!$F$5:$F$504,7,Transactions!$G$5:$G$504,YEAR(Setup!$B$18))</f>
        <v>0</v>
      </c>
      <c r="J39" s="30" t="n">
        <f aca="false">SUMIFS(Transactions!$D$5:$D$504,Transactions!$C$5:$C$504,$A38,Transactions!$F$5:$F$504,8,Transactions!$G$5:$G$504,YEAR(Setup!$B$18))</f>
        <v>0</v>
      </c>
      <c r="K39" s="30" t="n">
        <f aca="false">SUMIFS(Transactions!$D$5:$D$504,Transactions!$C$5:$C$504,$A38,Transactions!$F$5:$F$504,9,Transactions!$G$5:$G$504,YEAR(Setup!$B$18))</f>
        <v>0</v>
      </c>
      <c r="L39" s="30" t="n">
        <f aca="false">SUMIFS(Transactions!$D$5:$D$504,Transactions!$C$5:$C$504,$A38,Transactions!$F$5:$F$504,10,Transactions!$G$5:$G$504,YEAR(Setup!$B$18))</f>
        <v>0</v>
      </c>
      <c r="M39" s="30" t="n">
        <f aca="false">SUMIFS(Transactions!$D$5:$D$504,Transactions!$C$5:$C$504,$A38,Transactions!$F$5:$F$504,11,Transactions!$G$5:$G$504,YEAR(Setup!$B$18))</f>
        <v>0</v>
      </c>
      <c r="N39" s="30" t="n">
        <f aca="false">SUMIFS(Transactions!$D$5:$D$504,Transactions!$C$5:$C$504,$A38,Transactions!$F$5:$F$504,12,Transactions!$G$5:$G$504,YEAR(Setup!$B$18))</f>
        <v>0</v>
      </c>
      <c r="O39" s="31" t="n">
        <f aca="false">SUM(C39:N39)</f>
        <v>955</v>
      </c>
    </row>
    <row r="40" customFormat="false" ht="15" hidden="false" customHeight="true" outlineLevel="0" collapsed="false">
      <c r="A40" s="33"/>
      <c r="B40" s="29" t="s">
        <v>132</v>
      </c>
      <c r="C40" s="30" t="n">
        <f aca="false">C39-C38</f>
        <v>-335</v>
      </c>
      <c r="D40" s="30" t="n">
        <f aca="false">D39-D38</f>
        <v>-308</v>
      </c>
      <c r="E40" s="30" t="n">
        <f aca="false">E39-E38</f>
        <v>-352</v>
      </c>
      <c r="F40" s="30" t="n">
        <f aca="false">F39-F38</f>
        <v>-650</v>
      </c>
      <c r="G40" s="30" t="n">
        <f aca="false">G39-G38</f>
        <v>-650</v>
      </c>
      <c r="H40" s="30" t="n">
        <f aca="false">H39-H38</f>
        <v>-650</v>
      </c>
      <c r="I40" s="30" t="n">
        <f aca="false">I39-I38</f>
        <v>-650</v>
      </c>
      <c r="J40" s="30" t="n">
        <f aca="false">J39-J38</f>
        <v>-650</v>
      </c>
      <c r="K40" s="30" t="n">
        <f aca="false">K39-K38</f>
        <v>-650</v>
      </c>
      <c r="L40" s="30" t="n">
        <f aca="false">L39-L38</f>
        <v>-650</v>
      </c>
      <c r="M40" s="30" t="n">
        <f aca="false">M39-M38</f>
        <v>-650</v>
      </c>
      <c r="N40" s="30" t="n">
        <f aca="false">N39-N38</f>
        <v>-650</v>
      </c>
      <c r="O40" s="31" t="n">
        <f aca="false">O39-O38</f>
        <v>-6845</v>
      </c>
    </row>
    <row r="41" customFormat="false" ht="15" hidden="false" customHeight="true" outlineLevel="0" collapsed="false">
      <c r="A41" s="33" t="str">
        <f aca="false">Setup!A30</f>
        <v>Dining Out</v>
      </c>
      <c r="B41" s="29" t="s">
        <v>130</v>
      </c>
      <c r="C41" s="30" t="n">
        <f aca="false">Setup!C30</f>
        <v>220</v>
      </c>
      <c r="D41" s="30" t="n">
        <f aca="false">Setup!C30</f>
        <v>220</v>
      </c>
      <c r="E41" s="30" t="n">
        <f aca="false">Setup!C30</f>
        <v>220</v>
      </c>
      <c r="F41" s="30" t="n">
        <f aca="false">Setup!C30</f>
        <v>220</v>
      </c>
      <c r="G41" s="30" t="n">
        <f aca="false">Setup!C30</f>
        <v>220</v>
      </c>
      <c r="H41" s="30" t="n">
        <f aca="false">Setup!C30</f>
        <v>220</v>
      </c>
      <c r="I41" s="30" t="n">
        <f aca="false">Setup!C30</f>
        <v>220</v>
      </c>
      <c r="J41" s="30" t="n">
        <f aca="false">Setup!C30</f>
        <v>220</v>
      </c>
      <c r="K41" s="30" t="n">
        <f aca="false">Setup!C30</f>
        <v>220</v>
      </c>
      <c r="L41" s="30" t="n">
        <f aca="false">Setup!C30</f>
        <v>220</v>
      </c>
      <c r="M41" s="30" t="n">
        <f aca="false">Setup!C30</f>
        <v>220</v>
      </c>
      <c r="N41" s="30" t="n">
        <f aca="false">Setup!C30</f>
        <v>220</v>
      </c>
      <c r="O41" s="31" t="n">
        <f aca="false">SUM(C41:N41)</f>
        <v>2640</v>
      </c>
    </row>
    <row r="42" customFormat="false" ht="15" hidden="false" customHeight="true" outlineLevel="0" collapsed="false">
      <c r="A42" s="33"/>
      <c r="B42" s="29" t="s">
        <v>131</v>
      </c>
      <c r="C42" s="30" t="n">
        <f aca="false">SUMIFS(Transactions!$D$5:$D$504,Transactions!$C$5:$C$504,$A41,Transactions!$F$5:$F$504,1,Transactions!$G$5:$G$504,YEAR(Setup!$B$18))</f>
        <v>0</v>
      </c>
      <c r="D42" s="30" t="n">
        <f aca="false">SUMIFS(Transactions!$D$5:$D$504,Transactions!$C$5:$C$504,$A41,Transactions!$F$5:$F$504,2,Transactions!$G$5:$G$504,YEAR(Setup!$B$18))</f>
        <v>95</v>
      </c>
      <c r="E42" s="30" t="n">
        <f aca="false">SUMIFS(Transactions!$D$5:$D$504,Transactions!$C$5:$C$504,$A41,Transactions!$F$5:$F$504,3,Transactions!$G$5:$G$504,YEAR(Setup!$B$18))</f>
        <v>140</v>
      </c>
      <c r="F42" s="30" t="n">
        <f aca="false">SUMIFS(Transactions!$D$5:$D$504,Transactions!$C$5:$C$504,$A41,Transactions!$F$5:$F$504,4,Transactions!$G$5:$G$504,YEAR(Setup!$B$18))</f>
        <v>0</v>
      </c>
      <c r="G42" s="30" t="n">
        <f aca="false">SUMIFS(Transactions!$D$5:$D$504,Transactions!$C$5:$C$504,$A41,Transactions!$F$5:$F$504,5,Transactions!$G$5:$G$504,YEAR(Setup!$B$18))</f>
        <v>0</v>
      </c>
      <c r="H42" s="30" t="n">
        <f aca="false">SUMIFS(Transactions!$D$5:$D$504,Transactions!$C$5:$C$504,$A41,Transactions!$F$5:$F$504,6,Transactions!$G$5:$G$504,YEAR(Setup!$B$18))</f>
        <v>0</v>
      </c>
      <c r="I42" s="30" t="n">
        <f aca="false">SUMIFS(Transactions!$D$5:$D$504,Transactions!$C$5:$C$504,$A41,Transactions!$F$5:$F$504,7,Transactions!$G$5:$G$504,YEAR(Setup!$B$18))</f>
        <v>0</v>
      </c>
      <c r="J42" s="30" t="n">
        <f aca="false">SUMIFS(Transactions!$D$5:$D$504,Transactions!$C$5:$C$504,$A41,Transactions!$F$5:$F$504,8,Transactions!$G$5:$G$504,YEAR(Setup!$B$18))</f>
        <v>0</v>
      </c>
      <c r="K42" s="30" t="n">
        <f aca="false">SUMIFS(Transactions!$D$5:$D$504,Transactions!$C$5:$C$504,$A41,Transactions!$F$5:$F$504,9,Transactions!$G$5:$G$504,YEAR(Setup!$B$18))</f>
        <v>0</v>
      </c>
      <c r="L42" s="30" t="n">
        <f aca="false">SUMIFS(Transactions!$D$5:$D$504,Transactions!$C$5:$C$504,$A41,Transactions!$F$5:$F$504,10,Transactions!$G$5:$G$504,YEAR(Setup!$B$18))</f>
        <v>0</v>
      </c>
      <c r="M42" s="30" t="n">
        <f aca="false">SUMIFS(Transactions!$D$5:$D$504,Transactions!$C$5:$C$504,$A41,Transactions!$F$5:$F$504,11,Transactions!$G$5:$G$504,YEAR(Setup!$B$18))</f>
        <v>0</v>
      </c>
      <c r="N42" s="30" t="n">
        <f aca="false">SUMIFS(Transactions!$D$5:$D$504,Transactions!$C$5:$C$504,$A41,Transactions!$F$5:$F$504,12,Transactions!$G$5:$G$504,YEAR(Setup!$B$18))</f>
        <v>0</v>
      </c>
      <c r="O42" s="31" t="n">
        <f aca="false">SUM(C42:N42)</f>
        <v>235</v>
      </c>
    </row>
    <row r="43" customFormat="false" ht="15" hidden="false" customHeight="true" outlineLevel="0" collapsed="false">
      <c r="A43" s="33"/>
      <c r="B43" s="29" t="s">
        <v>132</v>
      </c>
      <c r="C43" s="30" t="n">
        <f aca="false">C42-C41</f>
        <v>-220</v>
      </c>
      <c r="D43" s="30" t="n">
        <f aca="false">D42-D41</f>
        <v>-125</v>
      </c>
      <c r="E43" s="30" t="n">
        <f aca="false">E42-E41</f>
        <v>-80</v>
      </c>
      <c r="F43" s="30" t="n">
        <f aca="false">F42-F41</f>
        <v>-220</v>
      </c>
      <c r="G43" s="30" t="n">
        <f aca="false">G42-G41</f>
        <v>-220</v>
      </c>
      <c r="H43" s="30" t="n">
        <f aca="false">H42-H41</f>
        <v>-220</v>
      </c>
      <c r="I43" s="30" t="n">
        <f aca="false">I42-I41</f>
        <v>-220</v>
      </c>
      <c r="J43" s="30" t="n">
        <f aca="false">J42-J41</f>
        <v>-220</v>
      </c>
      <c r="K43" s="30" t="n">
        <f aca="false">K42-K41</f>
        <v>-220</v>
      </c>
      <c r="L43" s="30" t="n">
        <f aca="false">L42-L41</f>
        <v>-220</v>
      </c>
      <c r="M43" s="30" t="n">
        <f aca="false">M42-M41</f>
        <v>-220</v>
      </c>
      <c r="N43" s="30" t="n">
        <f aca="false">N42-N41</f>
        <v>-220</v>
      </c>
      <c r="O43" s="31" t="n">
        <f aca="false">O42-O41</f>
        <v>-2405</v>
      </c>
    </row>
    <row r="44" customFormat="false" ht="15" hidden="false" customHeight="true" outlineLevel="0" collapsed="false">
      <c r="A44" s="34" t="s">
        <v>138</v>
      </c>
      <c r="B44" s="35" t="s">
        <v>130</v>
      </c>
      <c r="C44" s="36" t="n">
        <f aca="false">C38+C41</f>
        <v>870</v>
      </c>
      <c r="D44" s="36" t="n">
        <f aca="false">D38+D41</f>
        <v>870</v>
      </c>
      <c r="E44" s="36" t="n">
        <f aca="false">E38+E41</f>
        <v>870</v>
      </c>
      <c r="F44" s="36" t="n">
        <f aca="false">F38+F41</f>
        <v>870</v>
      </c>
      <c r="G44" s="36" t="n">
        <f aca="false">G38+G41</f>
        <v>870</v>
      </c>
      <c r="H44" s="36" t="n">
        <f aca="false">H38+H41</f>
        <v>870</v>
      </c>
      <c r="I44" s="36" t="n">
        <f aca="false">I38+I41</f>
        <v>870</v>
      </c>
      <c r="J44" s="36" t="n">
        <f aca="false">J38+J41</f>
        <v>870</v>
      </c>
      <c r="K44" s="36" t="n">
        <f aca="false">K38+K41</f>
        <v>870</v>
      </c>
      <c r="L44" s="36" t="n">
        <f aca="false">L38+L41</f>
        <v>870</v>
      </c>
      <c r="M44" s="36" t="n">
        <f aca="false">M38+M41</f>
        <v>870</v>
      </c>
      <c r="N44" s="36" t="n">
        <f aca="false">N38+N41</f>
        <v>870</v>
      </c>
      <c r="O44" s="36" t="n">
        <f aca="false">SUM(C44:N44)</f>
        <v>10440</v>
      </c>
    </row>
    <row r="45" customFormat="false" ht="15" hidden="false" customHeight="true" outlineLevel="0" collapsed="false">
      <c r="A45" s="34"/>
      <c r="B45" s="35" t="s">
        <v>131</v>
      </c>
      <c r="C45" s="36" t="n">
        <f aca="false">C39+C42</f>
        <v>315</v>
      </c>
      <c r="D45" s="36" t="n">
        <f aca="false">D39+D42</f>
        <v>437</v>
      </c>
      <c r="E45" s="36" t="n">
        <f aca="false">E39+E42</f>
        <v>438</v>
      </c>
      <c r="F45" s="36" t="n">
        <f aca="false">F39+F42</f>
        <v>0</v>
      </c>
      <c r="G45" s="36" t="n">
        <f aca="false">G39+G42</f>
        <v>0</v>
      </c>
      <c r="H45" s="36" t="n">
        <f aca="false">H39+H42</f>
        <v>0</v>
      </c>
      <c r="I45" s="36" t="n">
        <f aca="false">I39+I42</f>
        <v>0</v>
      </c>
      <c r="J45" s="36" t="n">
        <f aca="false">J39+J42</f>
        <v>0</v>
      </c>
      <c r="K45" s="36" t="n">
        <f aca="false">K39+K42</f>
        <v>0</v>
      </c>
      <c r="L45" s="36" t="n">
        <f aca="false">L39+L42</f>
        <v>0</v>
      </c>
      <c r="M45" s="36" t="n">
        <f aca="false">M39+M42</f>
        <v>0</v>
      </c>
      <c r="N45" s="36" t="n">
        <f aca="false">N39+N42</f>
        <v>0</v>
      </c>
      <c r="O45" s="36" t="n">
        <f aca="false">SUM(C45:N45)</f>
        <v>1190</v>
      </c>
    </row>
    <row r="46" customFormat="false" ht="15" hidden="false" customHeight="true" outlineLevel="0" collapsed="false">
      <c r="A46" s="34"/>
      <c r="B46" s="35" t="s">
        <v>132</v>
      </c>
      <c r="C46" s="36" t="n">
        <f aca="false">C45-C44</f>
        <v>-555</v>
      </c>
      <c r="D46" s="36" t="n">
        <f aca="false">D45-D44</f>
        <v>-433</v>
      </c>
      <c r="E46" s="36" t="n">
        <f aca="false">E45-E44</f>
        <v>-432</v>
      </c>
      <c r="F46" s="36" t="n">
        <f aca="false">F45-F44</f>
        <v>-870</v>
      </c>
      <c r="G46" s="36" t="n">
        <f aca="false">G45-G44</f>
        <v>-870</v>
      </c>
      <c r="H46" s="36" t="n">
        <f aca="false">H45-H44</f>
        <v>-870</v>
      </c>
      <c r="I46" s="36" t="n">
        <f aca="false">I45-I44</f>
        <v>-870</v>
      </c>
      <c r="J46" s="36" t="n">
        <f aca="false">J45-J44</f>
        <v>-870</v>
      </c>
      <c r="K46" s="36" t="n">
        <f aca="false">K45-K44</f>
        <v>-870</v>
      </c>
      <c r="L46" s="36" t="n">
        <f aca="false">L45-L44</f>
        <v>-870</v>
      </c>
      <c r="M46" s="36" t="n">
        <f aca="false">M45-M44</f>
        <v>-870</v>
      </c>
      <c r="N46" s="36" t="n">
        <f aca="false">N45-N44</f>
        <v>-870</v>
      </c>
      <c r="O46" s="36" t="n">
        <f aca="false">O45-O44</f>
        <v>-9250</v>
      </c>
    </row>
    <row r="48" customFormat="false" ht="15" hidden="false" customHeight="true" outlineLevel="0" collapsed="false">
      <c r="A48" s="32" t="s">
        <v>139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customFormat="false" ht="15" hidden="false" customHeight="true" outlineLevel="0" collapsed="false">
      <c r="A49" s="33" t="str">
        <f aca="false">Setup!A31</f>
        <v>Health Insurance</v>
      </c>
      <c r="B49" s="29" t="s">
        <v>130</v>
      </c>
      <c r="C49" s="30" t="n">
        <f aca="false">Setup!C31</f>
        <v>340</v>
      </c>
      <c r="D49" s="30" t="n">
        <f aca="false">Setup!C31</f>
        <v>340</v>
      </c>
      <c r="E49" s="30" t="n">
        <f aca="false">Setup!C31</f>
        <v>340</v>
      </c>
      <c r="F49" s="30" t="n">
        <f aca="false">Setup!C31</f>
        <v>340</v>
      </c>
      <c r="G49" s="30" t="n">
        <f aca="false">Setup!C31</f>
        <v>340</v>
      </c>
      <c r="H49" s="30" t="n">
        <f aca="false">Setup!C31</f>
        <v>340</v>
      </c>
      <c r="I49" s="30" t="n">
        <f aca="false">Setup!C31</f>
        <v>340</v>
      </c>
      <c r="J49" s="30" t="n">
        <f aca="false">Setup!C31</f>
        <v>340</v>
      </c>
      <c r="K49" s="30" t="n">
        <f aca="false">Setup!C31</f>
        <v>340</v>
      </c>
      <c r="L49" s="30" t="n">
        <f aca="false">Setup!C31</f>
        <v>340</v>
      </c>
      <c r="M49" s="30" t="n">
        <f aca="false">Setup!C31</f>
        <v>340</v>
      </c>
      <c r="N49" s="30" t="n">
        <f aca="false">Setup!C31</f>
        <v>340</v>
      </c>
      <c r="O49" s="31" t="n">
        <f aca="false">SUM(C49:N49)</f>
        <v>4080</v>
      </c>
    </row>
    <row r="50" customFormat="false" ht="15" hidden="false" customHeight="true" outlineLevel="0" collapsed="false">
      <c r="A50" s="33"/>
      <c r="B50" s="29" t="s">
        <v>131</v>
      </c>
      <c r="C50" s="30" t="n">
        <f aca="false">SUMIFS(Transactions!$D$5:$D$504,Transactions!$C$5:$C$504,$A49,Transactions!$F$5:$F$504,1,Transactions!$G$5:$G$504,YEAR(Setup!$B$18))</f>
        <v>340</v>
      </c>
      <c r="D50" s="30" t="n">
        <f aca="false">SUMIFS(Transactions!$D$5:$D$504,Transactions!$C$5:$C$504,$A49,Transactions!$F$5:$F$504,2,Transactions!$G$5:$G$504,YEAR(Setup!$B$18))</f>
        <v>340</v>
      </c>
      <c r="E50" s="30" t="n">
        <f aca="false">SUMIFS(Transactions!$D$5:$D$504,Transactions!$C$5:$C$504,$A49,Transactions!$F$5:$F$504,3,Transactions!$G$5:$G$504,YEAR(Setup!$B$18))</f>
        <v>340</v>
      </c>
      <c r="F50" s="30" t="n">
        <f aca="false">SUMIFS(Transactions!$D$5:$D$504,Transactions!$C$5:$C$504,$A49,Transactions!$F$5:$F$504,4,Transactions!$G$5:$G$504,YEAR(Setup!$B$18))</f>
        <v>0</v>
      </c>
      <c r="G50" s="30" t="n">
        <f aca="false">SUMIFS(Transactions!$D$5:$D$504,Transactions!$C$5:$C$504,$A49,Transactions!$F$5:$F$504,5,Transactions!$G$5:$G$504,YEAR(Setup!$B$18))</f>
        <v>0</v>
      </c>
      <c r="H50" s="30" t="n">
        <f aca="false">SUMIFS(Transactions!$D$5:$D$504,Transactions!$C$5:$C$504,$A49,Transactions!$F$5:$F$504,6,Transactions!$G$5:$G$504,YEAR(Setup!$B$18))</f>
        <v>0</v>
      </c>
      <c r="I50" s="30" t="n">
        <f aca="false">SUMIFS(Transactions!$D$5:$D$504,Transactions!$C$5:$C$504,$A49,Transactions!$F$5:$F$504,7,Transactions!$G$5:$G$504,YEAR(Setup!$B$18))</f>
        <v>0</v>
      </c>
      <c r="J50" s="30" t="n">
        <f aca="false">SUMIFS(Transactions!$D$5:$D$504,Transactions!$C$5:$C$504,$A49,Transactions!$F$5:$F$504,8,Transactions!$G$5:$G$504,YEAR(Setup!$B$18))</f>
        <v>0</v>
      </c>
      <c r="K50" s="30" t="n">
        <f aca="false">SUMIFS(Transactions!$D$5:$D$504,Transactions!$C$5:$C$504,$A49,Transactions!$F$5:$F$504,9,Transactions!$G$5:$G$504,YEAR(Setup!$B$18))</f>
        <v>0</v>
      </c>
      <c r="L50" s="30" t="n">
        <f aca="false">SUMIFS(Transactions!$D$5:$D$504,Transactions!$C$5:$C$504,$A49,Transactions!$F$5:$F$504,10,Transactions!$G$5:$G$504,YEAR(Setup!$B$18))</f>
        <v>0</v>
      </c>
      <c r="M50" s="30" t="n">
        <f aca="false">SUMIFS(Transactions!$D$5:$D$504,Transactions!$C$5:$C$504,$A49,Transactions!$F$5:$F$504,11,Transactions!$G$5:$G$504,YEAR(Setup!$B$18))</f>
        <v>0</v>
      </c>
      <c r="N50" s="30" t="n">
        <f aca="false">SUMIFS(Transactions!$D$5:$D$504,Transactions!$C$5:$C$504,$A49,Transactions!$F$5:$F$504,12,Transactions!$G$5:$G$504,YEAR(Setup!$B$18))</f>
        <v>0</v>
      </c>
      <c r="O50" s="31" t="n">
        <f aca="false">SUM(C50:N50)</f>
        <v>1020</v>
      </c>
    </row>
    <row r="51" customFormat="false" ht="15" hidden="false" customHeight="true" outlineLevel="0" collapsed="false">
      <c r="A51" s="33"/>
      <c r="B51" s="29" t="s">
        <v>132</v>
      </c>
      <c r="C51" s="30" t="n">
        <f aca="false">C50-C49</f>
        <v>0</v>
      </c>
      <c r="D51" s="30" t="n">
        <f aca="false">D50-D49</f>
        <v>0</v>
      </c>
      <c r="E51" s="30" t="n">
        <f aca="false">E50-E49</f>
        <v>0</v>
      </c>
      <c r="F51" s="30" t="n">
        <f aca="false">F50-F49</f>
        <v>-340</v>
      </c>
      <c r="G51" s="30" t="n">
        <f aca="false">G50-G49</f>
        <v>-340</v>
      </c>
      <c r="H51" s="30" t="n">
        <f aca="false">H50-H49</f>
        <v>-340</v>
      </c>
      <c r="I51" s="30" t="n">
        <f aca="false">I50-I49</f>
        <v>-340</v>
      </c>
      <c r="J51" s="30" t="n">
        <f aca="false">J50-J49</f>
        <v>-340</v>
      </c>
      <c r="K51" s="30" t="n">
        <f aca="false">K50-K49</f>
        <v>-340</v>
      </c>
      <c r="L51" s="30" t="n">
        <f aca="false">L50-L49</f>
        <v>-340</v>
      </c>
      <c r="M51" s="30" t="n">
        <f aca="false">M50-M49</f>
        <v>-340</v>
      </c>
      <c r="N51" s="30" t="n">
        <f aca="false">N50-N49</f>
        <v>-340</v>
      </c>
      <c r="O51" s="31" t="n">
        <f aca="false">O50-O49</f>
        <v>-3060</v>
      </c>
    </row>
    <row r="52" customFormat="false" ht="15" hidden="false" customHeight="true" outlineLevel="0" collapsed="false">
      <c r="A52" s="33" t="str">
        <f aca="false">Setup!A32</f>
        <v>Auto Insurance</v>
      </c>
      <c r="B52" s="29" t="s">
        <v>130</v>
      </c>
      <c r="C52" s="30" t="n">
        <f aca="false">Setup!C32</f>
        <v>120</v>
      </c>
      <c r="D52" s="30" t="n">
        <f aca="false">Setup!C32</f>
        <v>120</v>
      </c>
      <c r="E52" s="30" t="n">
        <f aca="false">Setup!C32</f>
        <v>120</v>
      </c>
      <c r="F52" s="30" t="n">
        <f aca="false">Setup!C32</f>
        <v>120</v>
      </c>
      <c r="G52" s="30" t="n">
        <f aca="false">Setup!C32</f>
        <v>120</v>
      </c>
      <c r="H52" s="30" t="n">
        <f aca="false">Setup!C32</f>
        <v>120</v>
      </c>
      <c r="I52" s="30" t="n">
        <f aca="false">Setup!C32</f>
        <v>120</v>
      </c>
      <c r="J52" s="30" t="n">
        <f aca="false">Setup!C32</f>
        <v>120</v>
      </c>
      <c r="K52" s="30" t="n">
        <f aca="false">Setup!C32</f>
        <v>120</v>
      </c>
      <c r="L52" s="30" t="n">
        <f aca="false">Setup!C32</f>
        <v>120</v>
      </c>
      <c r="M52" s="30" t="n">
        <f aca="false">Setup!C32</f>
        <v>120</v>
      </c>
      <c r="N52" s="30" t="n">
        <f aca="false">Setup!C32</f>
        <v>120</v>
      </c>
      <c r="O52" s="31" t="n">
        <f aca="false">SUM(C52:N52)</f>
        <v>1440</v>
      </c>
    </row>
    <row r="53" customFormat="false" ht="15" hidden="false" customHeight="true" outlineLevel="0" collapsed="false">
      <c r="A53" s="33"/>
      <c r="B53" s="29" t="s">
        <v>131</v>
      </c>
      <c r="C53" s="30" t="n">
        <f aca="false">SUMIFS(Transactions!$D$5:$D$504,Transactions!$C$5:$C$504,$A52,Transactions!$F$5:$F$504,1,Transactions!$G$5:$G$504,YEAR(Setup!$B$18))</f>
        <v>0</v>
      </c>
      <c r="D53" s="30" t="n">
        <f aca="false">SUMIFS(Transactions!$D$5:$D$504,Transactions!$C$5:$C$504,$A52,Transactions!$F$5:$F$504,2,Transactions!$G$5:$G$504,YEAR(Setup!$B$18))</f>
        <v>120</v>
      </c>
      <c r="E53" s="30" t="n">
        <f aca="false">SUMIFS(Transactions!$D$5:$D$504,Transactions!$C$5:$C$504,$A52,Transactions!$F$5:$F$504,3,Transactions!$G$5:$G$504,YEAR(Setup!$B$18))</f>
        <v>120</v>
      </c>
      <c r="F53" s="30" t="n">
        <f aca="false">SUMIFS(Transactions!$D$5:$D$504,Transactions!$C$5:$C$504,$A52,Transactions!$F$5:$F$504,4,Transactions!$G$5:$G$504,YEAR(Setup!$B$18))</f>
        <v>0</v>
      </c>
      <c r="G53" s="30" t="n">
        <f aca="false">SUMIFS(Transactions!$D$5:$D$504,Transactions!$C$5:$C$504,$A52,Transactions!$F$5:$F$504,5,Transactions!$G$5:$G$504,YEAR(Setup!$B$18))</f>
        <v>0</v>
      </c>
      <c r="H53" s="30" t="n">
        <f aca="false">SUMIFS(Transactions!$D$5:$D$504,Transactions!$C$5:$C$504,$A52,Transactions!$F$5:$F$504,6,Transactions!$G$5:$G$504,YEAR(Setup!$B$18))</f>
        <v>0</v>
      </c>
      <c r="I53" s="30" t="n">
        <f aca="false">SUMIFS(Transactions!$D$5:$D$504,Transactions!$C$5:$C$504,$A52,Transactions!$F$5:$F$504,7,Transactions!$G$5:$G$504,YEAR(Setup!$B$18))</f>
        <v>0</v>
      </c>
      <c r="J53" s="30" t="n">
        <f aca="false">SUMIFS(Transactions!$D$5:$D$504,Transactions!$C$5:$C$504,$A52,Transactions!$F$5:$F$504,8,Transactions!$G$5:$G$504,YEAR(Setup!$B$18))</f>
        <v>0</v>
      </c>
      <c r="K53" s="30" t="n">
        <f aca="false">SUMIFS(Transactions!$D$5:$D$504,Transactions!$C$5:$C$504,$A52,Transactions!$F$5:$F$504,9,Transactions!$G$5:$G$504,YEAR(Setup!$B$18))</f>
        <v>0</v>
      </c>
      <c r="L53" s="30" t="n">
        <f aca="false">SUMIFS(Transactions!$D$5:$D$504,Transactions!$C$5:$C$504,$A52,Transactions!$F$5:$F$504,10,Transactions!$G$5:$G$504,YEAR(Setup!$B$18))</f>
        <v>0</v>
      </c>
      <c r="M53" s="30" t="n">
        <f aca="false">SUMIFS(Transactions!$D$5:$D$504,Transactions!$C$5:$C$504,$A52,Transactions!$F$5:$F$504,11,Transactions!$G$5:$G$504,YEAR(Setup!$B$18))</f>
        <v>0</v>
      </c>
      <c r="N53" s="30" t="n">
        <f aca="false">SUMIFS(Transactions!$D$5:$D$504,Transactions!$C$5:$C$504,$A52,Transactions!$F$5:$F$504,12,Transactions!$G$5:$G$504,YEAR(Setup!$B$18))</f>
        <v>0</v>
      </c>
      <c r="O53" s="31" t="n">
        <f aca="false">SUM(C53:N53)</f>
        <v>240</v>
      </c>
    </row>
    <row r="54" customFormat="false" ht="15" hidden="false" customHeight="true" outlineLevel="0" collapsed="false">
      <c r="A54" s="33"/>
      <c r="B54" s="29" t="s">
        <v>132</v>
      </c>
      <c r="C54" s="30" t="n">
        <f aca="false">C53-C52</f>
        <v>-120</v>
      </c>
      <c r="D54" s="30" t="n">
        <f aca="false">D53-D52</f>
        <v>0</v>
      </c>
      <c r="E54" s="30" t="n">
        <f aca="false">E53-E52</f>
        <v>0</v>
      </c>
      <c r="F54" s="30" t="n">
        <f aca="false">F53-F52</f>
        <v>-120</v>
      </c>
      <c r="G54" s="30" t="n">
        <f aca="false">G53-G52</f>
        <v>-120</v>
      </c>
      <c r="H54" s="30" t="n">
        <f aca="false">H53-H52</f>
        <v>-120</v>
      </c>
      <c r="I54" s="30" t="n">
        <f aca="false">I53-I52</f>
        <v>-120</v>
      </c>
      <c r="J54" s="30" t="n">
        <f aca="false">J53-J52</f>
        <v>-120</v>
      </c>
      <c r="K54" s="30" t="n">
        <f aca="false">K53-K52</f>
        <v>-120</v>
      </c>
      <c r="L54" s="30" t="n">
        <f aca="false">L53-L52</f>
        <v>-120</v>
      </c>
      <c r="M54" s="30" t="n">
        <f aca="false">M53-M52</f>
        <v>-120</v>
      </c>
      <c r="N54" s="30" t="n">
        <f aca="false">N53-N52</f>
        <v>-120</v>
      </c>
      <c r="O54" s="31" t="n">
        <f aca="false">O53-O52</f>
        <v>-1200</v>
      </c>
    </row>
    <row r="55" customFormat="false" ht="15" hidden="false" customHeight="true" outlineLevel="0" collapsed="false">
      <c r="A55" s="33" t="str">
        <f aca="false">Setup!A33</f>
        <v>Life Insurance</v>
      </c>
      <c r="B55" s="29" t="s">
        <v>130</v>
      </c>
      <c r="C55" s="30" t="n">
        <f aca="false">Setup!C33</f>
        <v>45</v>
      </c>
      <c r="D55" s="30" t="n">
        <f aca="false">Setup!C33</f>
        <v>45</v>
      </c>
      <c r="E55" s="30" t="n">
        <f aca="false">Setup!C33</f>
        <v>45</v>
      </c>
      <c r="F55" s="30" t="n">
        <f aca="false">Setup!C33</f>
        <v>45</v>
      </c>
      <c r="G55" s="30" t="n">
        <f aca="false">Setup!C33</f>
        <v>45</v>
      </c>
      <c r="H55" s="30" t="n">
        <f aca="false">Setup!C33</f>
        <v>45</v>
      </c>
      <c r="I55" s="30" t="n">
        <f aca="false">Setup!C33</f>
        <v>45</v>
      </c>
      <c r="J55" s="30" t="n">
        <f aca="false">Setup!C33</f>
        <v>45</v>
      </c>
      <c r="K55" s="30" t="n">
        <f aca="false">Setup!C33</f>
        <v>45</v>
      </c>
      <c r="L55" s="30" t="n">
        <f aca="false">Setup!C33</f>
        <v>45</v>
      </c>
      <c r="M55" s="30" t="n">
        <f aca="false">Setup!C33</f>
        <v>45</v>
      </c>
      <c r="N55" s="30" t="n">
        <f aca="false">Setup!C33</f>
        <v>45</v>
      </c>
      <c r="O55" s="31" t="n">
        <f aca="false">SUM(C55:N55)</f>
        <v>540</v>
      </c>
    </row>
    <row r="56" customFormat="false" ht="15" hidden="false" customHeight="true" outlineLevel="0" collapsed="false">
      <c r="A56" s="33"/>
      <c r="B56" s="29" t="s">
        <v>131</v>
      </c>
      <c r="C56" s="30" t="n">
        <f aca="false">SUMIFS(Transactions!$D$5:$D$504,Transactions!$C$5:$C$504,$A55,Transactions!$F$5:$F$504,1,Transactions!$G$5:$G$504,YEAR(Setup!$B$18))</f>
        <v>45</v>
      </c>
      <c r="D56" s="30" t="n">
        <f aca="false">SUMIFS(Transactions!$D$5:$D$504,Transactions!$C$5:$C$504,$A55,Transactions!$F$5:$F$504,2,Transactions!$G$5:$G$504,YEAR(Setup!$B$18))</f>
        <v>0</v>
      </c>
      <c r="E56" s="30" t="n">
        <f aca="false">SUMIFS(Transactions!$D$5:$D$504,Transactions!$C$5:$C$504,$A55,Transactions!$F$5:$F$504,3,Transactions!$G$5:$G$504,YEAR(Setup!$B$18))</f>
        <v>0</v>
      </c>
      <c r="F56" s="30" t="n">
        <f aca="false">SUMIFS(Transactions!$D$5:$D$504,Transactions!$C$5:$C$504,$A55,Transactions!$F$5:$F$504,4,Transactions!$G$5:$G$504,YEAR(Setup!$B$18))</f>
        <v>0</v>
      </c>
      <c r="G56" s="30" t="n">
        <f aca="false">SUMIFS(Transactions!$D$5:$D$504,Transactions!$C$5:$C$504,$A55,Transactions!$F$5:$F$504,5,Transactions!$G$5:$G$504,YEAR(Setup!$B$18))</f>
        <v>0</v>
      </c>
      <c r="H56" s="30" t="n">
        <f aca="false">SUMIFS(Transactions!$D$5:$D$504,Transactions!$C$5:$C$504,$A55,Transactions!$F$5:$F$504,6,Transactions!$G$5:$G$504,YEAR(Setup!$B$18))</f>
        <v>0</v>
      </c>
      <c r="I56" s="30" t="n">
        <f aca="false">SUMIFS(Transactions!$D$5:$D$504,Transactions!$C$5:$C$504,$A55,Transactions!$F$5:$F$504,7,Transactions!$G$5:$G$504,YEAR(Setup!$B$18))</f>
        <v>0</v>
      </c>
      <c r="J56" s="30" t="n">
        <f aca="false">SUMIFS(Transactions!$D$5:$D$504,Transactions!$C$5:$C$504,$A55,Transactions!$F$5:$F$504,8,Transactions!$G$5:$G$504,YEAR(Setup!$B$18))</f>
        <v>0</v>
      </c>
      <c r="K56" s="30" t="n">
        <f aca="false">SUMIFS(Transactions!$D$5:$D$504,Transactions!$C$5:$C$504,$A55,Transactions!$F$5:$F$504,9,Transactions!$G$5:$G$504,YEAR(Setup!$B$18))</f>
        <v>0</v>
      </c>
      <c r="L56" s="30" t="n">
        <f aca="false">SUMIFS(Transactions!$D$5:$D$504,Transactions!$C$5:$C$504,$A55,Transactions!$F$5:$F$504,10,Transactions!$G$5:$G$504,YEAR(Setup!$B$18))</f>
        <v>0</v>
      </c>
      <c r="M56" s="30" t="n">
        <f aca="false">SUMIFS(Transactions!$D$5:$D$504,Transactions!$C$5:$C$504,$A55,Transactions!$F$5:$F$504,11,Transactions!$G$5:$G$504,YEAR(Setup!$B$18))</f>
        <v>0</v>
      </c>
      <c r="N56" s="30" t="n">
        <f aca="false">SUMIFS(Transactions!$D$5:$D$504,Transactions!$C$5:$C$504,$A55,Transactions!$F$5:$F$504,12,Transactions!$G$5:$G$504,YEAR(Setup!$B$18))</f>
        <v>0</v>
      </c>
      <c r="O56" s="31" t="n">
        <f aca="false">SUM(C56:N56)</f>
        <v>45</v>
      </c>
    </row>
    <row r="57" customFormat="false" ht="15" hidden="false" customHeight="true" outlineLevel="0" collapsed="false">
      <c r="A57" s="33"/>
      <c r="B57" s="29" t="s">
        <v>132</v>
      </c>
      <c r="C57" s="30" t="n">
        <f aca="false">C56-C55</f>
        <v>0</v>
      </c>
      <c r="D57" s="30" t="n">
        <f aca="false">D56-D55</f>
        <v>-45</v>
      </c>
      <c r="E57" s="30" t="n">
        <f aca="false">E56-E55</f>
        <v>-45</v>
      </c>
      <c r="F57" s="30" t="n">
        <f aca="false">F56-F55</f>
        <v>-45</v>
      </c>
      <c r="G57" s="30" t="n">
        <f aca="false">G56-G55</f>
        <v>-45</v>
      </c>
      <c r="H57" s="30" t="n">
        <f aca="false">H56-H55</f>
        <v>-45</v>
      </c>
      <c r="I57" s="30" t="n">
        <f aca="false">I56-I55</f>
        <v>-45</v>
      </c>
      <c r="J57" s="30" t="n">
        <f aca="false">J56-J55</f>
        <v>-45</v>
      </c>
      <c r="K57" s="30" t="n">
        <f aca="false">K56-K55</f>
        <v>-45</v>
      </c>
      <c r="L57" s="30" t="n">
        <f aca="false">L56-L55</f>
        <v>-45</v>
      </c>
      <c r="M57" s="30" t="n">
        <f aca="false">M56-M55</f>
        <v>-45</v>
      </c>
      <c r="N57" s="30" t="n">
        <f aca="false">N56-N55</f>
        <v>-45</v>
      </c>
      <c r="O57" s="31" t="n">
        <f aca="false">O56-O55</f>
        <v>-495</v>
      </c>
    </row>
    <row r="58" customFormat="false" ht="15" hidden="false" customHeight="true" outlineLevel="0" collapsed="false">
      <c r="A58" s="34" t="s">
        <v>140</v>
      </c>
      <c r="B58" s="35" t="s">
        <v>130</v>
      </c>
      <c r="C58" s="36" t="n">
        <f aca="false">C49+C52+C55</f>
        <v>505</v>
      </c>
      <c r="D58" s="36" t="n">
        <f aca="false">D49+D52+D55</f>
        <v>505</v>
      </c>
      <c r="E58" s="36" t="n">
        <f aca="false">E49+E52+E55</f>
        <v>505</v>
      </c>
      <c r="F58" s="36" t="n">
        <f aca="false">F49+F52+F55</f>
        <v>505</v>
      </c>
      <c r="G58" s="36" t="n">
        <f aca="false">G49+G52+G55</f>
        <v>505</v>
      </c>
      <c r="H58" s="36" t="n">
        <f aca="false">H49+H52+H55</f>
        <v>505</v>
      </c>
      <c r="I58" s="36" t="n">
        <f aca="false">I49+I52+I55</f>
        <v>505</v>
      </c>
      <c r="J58" s="36" t="n">
        <f aca="false">J49+J52+J55</f>
        <v>505</v>
      </c>
      <c r="K58" s="36" t="n">
        <f aca="false">K49+K52+K55</f>
        <v>505</v>
      </c>
      <c r="L58" s="36" t="n">
        <f aca="false">L49+L52+L55</f>
        <v>505</v>
      </c>
      <c r="M58" s="36" t="n">
        <f aca="false">M49+M52+M55</f>
        <v>505</v>
      </c>
      <c r="N58" s="36" t="n">
        <f aca="false">N49+N52+N55</f>
        <v>505</v>
      </c>
      <c r="O58" s="36" t="n">
        <f aca="false">SUM(C58:N58)</f>
        <v>6060</v>
      </c>
    </row>
    <row r="59" customFormat="false" ht="15" hidden="false" customHeight="true" outlineLevel="0" collapsed="false">
      <c r="A59" s="34"/>
      <c r="B59" s="35" t="s">
        <v>131</v>
      </c>
      <c r="C59" s="36" t="n">
        <f aca="false">C50+C53+C56</f>
        <v>385</v>
      </c>
      <c r="D59" s="36" t="n">
        <f aca="false">D50+D53+D56</f>
        <v>460</v>
      </c>
      <c r="E59" s="36" t="n">
        <f aca="false">E50+E53+E56</f>
        <v>460</v>
      </c>
      <c r="F59" s="36" t="n">
        <f aca="false">F50+F53+F56</f>
        <v>0</v>
      </c>
      <c r="G59" s="36" t="n">
        <f aca="false">G50+G53+G56</f>
        <v>0</v>
      </c>
      <c r="H59" s="36" t="n">
        <f aca="false">H50+H53+H56</f>
        <v>0</v>
      </c>
      <c r="I59" s="36" t="n">
        <f aca="false">I50+I53+I56</f>
        <v>0</v>
      </c>
      <c r="J59" s="36" t="n">
        <f aca="false">J50+J53+J56</f>
        <v>0</v>
      </c>
      <c r="K59" s="36" t="n">
        <f aca="false">K50+K53+K56</f>
        <v>0</v>
      </c>
      <c r="L59" s="36" t="n">
        <f aca="false">L50+L53+L56</f>
        <v>0</v>
      </c>
      <c r="M59" s="36" t="n">
        <f aca="false">M50+M53+M56</f>
        <v>0</v>
      </c>
      <c r="N59" s="36" t="n">
        <f aca="false">N50+N53+N56</f>
        <v>0</v>
      </c>
      <c r="O59" s="36" t="n">
        <f aca="false">SUM(C59:N59)</f>
        <v>1305</v>
      </c>
    </row>
    <row r="60" customFormat="false" ht="15" hidden="false" customHeight="true" outlineLevel="0" collapsed="false">
      <c r="A60" s="34"/>
      <c r="B60" s="35" t="s">
        <v>132</v>
      </c>
      <c r="C60" s="36" t="n">
        <f aca="false">C59-C58</f>
        <v>-120</v>
      </c>
      <c r="D60" s="36" t="n">
        <f aca="false">D59-D58</f>
        <v>-45</v>
      </c>
      <c r="E60" s="36" t="n">
        <f aca="false">E59-E58</f>
        <v>-45</v>
      </c>
      <c r="F60" s="36" t="n">
        <f aca="false">F59-F58</f>
        <v>-505</v>
      </c>
      <c r="G60" s="36" t="n">
        <f aca="false">G59-G58</f>
        <v>-505</v>
      </c>
      <c r="H60" s="36" t="n">
        <f aca="false">H59-H58</f>
        <v>-505</v>
      </c>
      <c r="I60" s="36" t="n">
        <f aca="false">I59-I58</f>
        <v>-505</v>
      </c>
      <c r="J60" s="36" t="n">
        <f aca="false">J59-J58</f>
        <v>-505</v>
      </c>
      <c r="K60" s="36" t="n">
        <f aca="false">K59-K58</f>
        <v>-505</v>
      </c>
      <c r="L60" s="36" t="n">
        <f aca="false">L59-L58</f>
        <v>-505</v>
      </c>
      <c r="M60" s="36" t="n">
        <f aca="false">M59-M58</f>
        <v>-505</v>
      </c>
      <c r="N60" s="36" t="n">
        <f aca="false">N59-N58</f>
        <v>-505</v>
      </c>
      <c r="O60" s="36" t="n">
        <f aca="false">O59-O58</f>
        <v>-4755</v>
      </c>
    </row>
    <row r="62" customFormat="false" ht="15" hidden="false" customHeight="true" outlineLevel="0" collapsed="false">
      <c r="A62" s="32" t="s">
        <v>141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customFormat="false" ht="15" hidden="false" customHeight="true" outlineLevel="0" collapsed="false">
      <c r="A63" s="33" t="str">
        <f aca="false">Setup!A34</f>
        <v>Credit Card Payment</v>
      </c>
      <c r="B63" s="29" t="s">
        <v>130</v>
      </c>
      <c r="C63" s="30" t="n">
        <f aca="false">Setup!C34</f>
        <v>150</v>
      </c>
      <c r="D63" s="30" t="n">
        <f aca="false">Setup!C34</f>
        <v>150</v>
      </c>
      <c r="E63" s="30" t="n">
        <f aca="false">Setup!C34</f>
        <v>150</v>
      </c>
      <c r="F63" s="30" t="n">
        <f aca="false">Setup!C34</f>
        <v>150</v>
      </c>
      <c r="G63" s="30" t="n">
        <f aca="false">Setup!C34</f>
        <v>150</v>
      </c>
      <c r="H63" s="30" t="n">
        <f aca="false">Setup!C34</f>
        <v>150</v>
      </c>
      <c r="I63" s="30" t="n">
        <f aca="false">Setup!C34</f>
        <v>150</v>
      </c>
      <c r="J63" s="30" t="n">
        <f aca="false">Setup!C34</f>
        <v>150</v>
      </c>
      <c r="K63" s="30" t="n">
        <f aca="false">Setup!C34</f>
        <v>150</v>
      </c>
      <c r="L63" s="30" t="n">
        <f aca="false">Setup!C34</f>
        <v>150</v>
      </c>
      <c r="M63" s="30" t="n">
        <f aca="false">Setup!C34</f>
        <v>150</v>
      </c>
      <c r="N63" s="30" t="n">
        <f aca="false">Setup!C34</f>
        <v>150</v>
      </c>
      <c r="O63" s="31" t="n">
        <f aca="false">SUM(C63:N63)</f>
        <v>1800</v>
      </c>
    </row>
    <row r="64" customFormat="false" ht="15" hidden="false" customHeight="true" outlineLevel="0" collapsed="false">
      <c r="A64" s="33"/>
      <c r="B64" s="29" t="s">
        <v>131</v>
      </c>
      <c r="C64" s="30" t="n">
        <f aca="false">SUMIFS(Transactions!$D$5:$D$504,Transactions!$C$5:$C$504,$A63,Transactions!$F$5:$F$504,1,Transactions!$G$5:$G$504,YEAR(Setup!$B$18))</f>
        <v>150</v>
      </c>
      <c r="D64" s="30" t="n">
        <f aca="false">SUMIFS(Transactions!$D$5:$D$504,Transactions!$C$5:$C$504,$A63,Transactions!$F$5:$F$504,2,Transactions!$G$5:$G$504,YEAR(Setup!$B$18))</f>
        <v>165</v>
      </c>
      <c r="E64" s="30" t="n">
        <f aca="false">SUMIFS(Transactions!$D$5:$D$504,Transactions!$C$5:$C$504,$A63,Transactions!$F$5:$F$504,3,Transactions!$G$5:$G$504,YEAR(Setup!$B$18))</f>
        <v>150</v>
      </c>
      <c r="F64" s="30" t="n">
        <f aca="false">SUMIFS(Transactions!$D$5:$D$504,Transactions!$C$5:$C$504,$A63,Transactions!$F$5:$F$504,4,Transactions!$G$5:$G$504,YEAR(Setup!$B$18))</f>
        <v>0</v>
      </c>
      <c r="G64" s="30" t="n">
        <f aca="false">SUMIFS(Transactions!$D$5:$D$504,Transactions!$C$5:$C$504,$A63,Transactions!$F$5:$F$504,5,Transactions!$G$5:$G$504,YEAR(Setup!$B$18))</f>
        <v>0</v>
      </c>
      <c r="H64" s="30" t="n">
        <f aca="false">SUMIFS(Transactions!$D$5:$D$504,Transactions!$C$5:$C$504,$A63,Transactions!$F$5:$F$504,6,Transactions!$G$5:$G$504,YEAR(Setup!$B$18))</f>
        <v>0</v>
      </c>
      <c r="I64" s="30" t="n">
        <f aca="false">SUMIFS(Transactions!$D$5:$D$504,Transactions!$C$5:$C$504,$A63,Transactions!$F$5:$F$504,7,Transactions!$G$5:$G$504,YEAR(Setup!$B$18))</f>
        <v>0</v>
      </c>
      <c r="J64" s="30" t="n">
        <f aca="false">SUMIFS(Transactions!$D$5:$D$504,Transactions!$C$5:$C$504,$A63,Transactions!$F$5:$F$504,8,Transactions!$G$5:$G$504,YEAR(Setup!$B$18))</f>
        <v>0</v>
      </c>
      <c r="K64" s="30" t="n">
        <f aca="false">SUMIFS(Transactions!$D$5:$D$504,Transactions!$C$5:$C$504,$A63,Transactions!$F$5:$F$504,9,Transactions!$G$5:$G$504,YEAR(Setup!$B$18))</f>
        <v>0</v>
      </c>
      <c r="L64" s="30" t="n">
        <f aca="false">SUMIFS(Transactions!$D$5:$D$504,Transactions!$C$5:$C$504,$A63,Transactions!$F$5:$F$504,10,Transactions!$G$5:$G$504,YEAR(Setup!$B$18))</f>
        <v>0</v>
      </c>
      <c r="M64" s="30" t="n">
        <f aca="false">SUMIFS(Transactions!$D$5:$D$504,Transactions!$C$5:$C$504,$A63,Transactions!$F$5:$F$504,11,Transactions!$G$5:$G$504,YEAR(Setup!$B$18))</f>
        <v>0</v>
      </c>
      <c r="N64" s="30" t="n">
        <f aca="false">SUMIFS(Transactions!$D$5:$D$504,Transactions!$C$5:$C$504,$A63,Transactions!$F$5:$F$504,12,Transactions!$G$5:$G$504,YEAR(Setup!$B$18))</f>
        <v>0</v>
      </c>
      <c r="O64" s="31" t="n">
        <f aca="false">SUM(C64:N64)</f>
        <v>465</v>
      </c>
    </row>
    <row r="65" customFormat="false" ht="15" hidden="false" customHeight="true" outlineLevel="0" collapsed="false">
      <c r="A65" s="33"/>
      <c r="B65" s="29" t="s">
        <v>132</v>
      </c>
      <c r="C65" s="30" t="n">
        <f aca="false">C64-C63</f>
        <v>0</v>
      </c>
      <c r="D65" s="30" t="n">
        <f aca="false">D64-D63</f>
        <v>15</v>
      </c>
      <c r="E65" s="30" t="n">
        <f aca="false">E64-E63</f>
        <v>0</v>
      </c>
      <c r="F65" s="30" t="n">
        <f aca="false">F64-F63</f>
        <v>-150</v>
      </c>
      <c r="G65" s="30" t="n">
        <f aca="false">G64-G63</f>
        <v>-150</v>
      </c>
      <c r="H65" s="30" t="n">
        <f aca="false">H64-H63</f>
        <v>-150</v>
      </c>
      <c r="I65" s="30" t="n">
        <f aca="false">I64-I63</f>
        <v>-150</v>
      </c>
      <c r="J65" s="30" t="n">
        <f aca="false">J64-J63</f>
        <v>-150</v>
      </c>
      <c r="K65" s="30" t="n">
        <f aca="false">K64-K63</f>
        <v>-150</v>
      </c>
      <c r="L65" s="30" t="n">
        <f aca="false">L64-L63</f>
        <v>-150</v>
      </c>
      <c r="M65" s="30" t="n">
        <f aca="false">M64-M63</f>
        <v>-150</v>
      </c>
      <c r="N65" s="30" t="n">
        <f aca="false">N64-N63</f>
        <v>-150</v>
      </c>
      <c r="O65" s="31" t="n">
        <f aca="false">O64-O63</f>
        <v>-1335</v>
      </c>
    </row>
    <row r="66" customFormat="false" ht="15" hidden="false" customHeight="true" outlineLevel="0" collapsed="false">
      <c r="A66" s="33" t="str">
        <f aca="false">Setup!A35</f>
        <v>Student Loan Payment</v>
      </c>
      <c r="B66" s="29" t="s">
        <v>130</v>
      </c>
      <c r="C66" s="30" t="n">
        <f aca="false">Setup!C35</f>
        <v>220</v>
      </c>
      <c r="D66" s="30" t="n">
        <f aca="false">Setup!C35</f>
        <v>220</v>
      </c>
      <c r="E66" s="30" t="n">
        <f aca="false">Setup!C35</f>
        <v>220</v>
      </c>
      <c r="F66" s="30" t="n">
        <f aca="false">Setup!C35</f>
        <v>220</v>
      </c>
      <c r="G66" s="30" t="n">
        <f aca="false">Setup!C35</f>
        <v>220</v>
      </c>
      <c r="H66" s="30" t="n">
        <f aca="false">Setup!C35</f>
        <v>220</v>
      </c>
      <c r="I66" s="30" t="n">
        <f aca="false">Setup!C35</f>
        <v>220</v>
      </c>
      <c r="J66" s="30" t="n">
        <f aca="false">Setup!C35</f>
        <v>220</v>
      </c>
      <c r="K66" s="30" t="n">
        <f aca="false">Setup!C35</f>
        <v>220</v>
      </c>
      <c r="L66" s="30" t="n">
        <f aca="false">Setup!C35</f>
        <v>220</v>
      </c>
      <c r="M66" s="30" t="n">
        <f aca="false">Setup!C35</f>
        <v>220</v>
      </c>
      <c r="N66" s="30" t="n">
        <f aca="false">Setup!C35</f>
        <v>220</v>
      </c>
      <c r="O66" s="31" t="n">
        <f aca="false">SUM(C66:N66)</f>
        <v>2640</v>
      </c>
    </row>
    <row r="67" customFormat="false" ht="15" hidden="false" customHeight="true" outlineLevel="0" collapsed="false">
      <c r="A67" s="33"/>
      <c r="B67" s="29" t="s">
        <v>131</v>
      </c>
      <c r="C67" s="30" t="n">
        <f aca="false">SUMIFS(Transactions!$D$5:$D$504,Transactions!$C$5:$C$504,$A66,Transactions!$F$5:$F$504,1,Transactions!$G$5:$G$504,YEAR(Setup!$B$18))</f>
        <v>220</v>
      </c>
      <c r="D67" s="30" t="n">
        <f aca="false">SUMIFS(Transactions!$D$5:$D$504,Transactions!$C$5:$C$504,$A66,Transactions!$F$5:$F$504,2,Transactions!$G$5:$G$504,YEAR(Setup!$B$18))</f>
        <v>220</v>
      </c>
      <c r="E67" s="30" t="n">
        <f aca="false">SUMIFS(Transactions!$D$5:$D$504,Transactions!$C$5:$C$504,$A66,Transactions!$F$5:$F$504,3,Transactions!$G$5:$G$504,YEAR(Setup!$B$18))</f>
        <v>220</v>
      </c>
      <c r="F67" s="30" t="n">
        <f aca="false">SUMIFS(Transactions!$D$5:$D$504,Transactions!$C$5:$C$504,$A66,Transactions!$F$5:$F$504,4,Transactions!$G$5:$G$504,YEAR(Setup!$B$18))</f>
        <v>0</v>
      </c>
      <c r="G67" s="30" t="n">
        <f aca="false">SUMIFS(Transactions!$D$5:$D$504,Transactions!$C$5:$C$504,$A66,Transactions!$F$5:$F$504,5,Transactions!$G$5:$G$504,YEAR(Setup!$B$18))</f>
        <v>0</v>
      </c>
      <c r="H67" s="30" t="n">
        <f aca="false">SUMIFS(Transactions!$D$5:$D$504,Transactions!$C$5:$C$504,$A66,Transactions!$F$5:$F$504,6,Transactions!$G$5:$G$504,YEAR(Setup!$B$18))</f>
        <v>0</v>
      </c>
      <c r="I67" s="30" t="n">
        <f aca="false">SUMIFS(Transactions!$D$5:$D$504,Transactions!$C$5:$C$504,$A66,Transactions!$F$5:$F$504,7,Transactions!$G$5:$G$504,YEAR(Setup!$B$18))</f>
        <v>0</v>
      </c>
      <c r="J67" s="30" t="n">
        <f aca="false">SUMIFS(Transactions!$D$5:$D$504,Transactions!$C$5:$C$504,$A66,Transactions!$F$5:$F$504,8,Transactions!$G$5:$G$504,YEAR(Setup!$B$18))</f>
        <v>0</v>
      </c>
      <c r="K67" s="30" t="n">
        <f aca="false">SUMIFS(Transactions!$D$5:$D$504,Transactions!$C$5:$C$504,$A66,Transactions!$F$5:$F$504,9,Transactions!$G$5:$G$504,YEAR(Setup!$B$18))</f>
        <v>0</v>
      </c>
      <c r="L67" s="30" t="n">
        <f aca="false">SUMIFS(Transactions!$D$5:$D$504,Transactions!$C$5:$C$504,$A66,Transactions!$F$5:$F$504,10,Transactions!$G$5:$G$504,YEAR(Setup!$B$18))</f>
        <v>0</v>
      </c>
      <c r="M67" s="30" t="n">
        <f aca="false">SUMIFS(Transactions!$D$5:$D$504,Transactions!$C$5:$C$504,$A66,Transactions!$F$5:$F$504,11,Transactions!$G$5:$G$504,YEAR(Setup!$B$18))</f>
        <v>0</v>
      </c>
      <c r="N67" s="30" t="n">
        <f aca="false">SUMIFS(Transactions!$D$5:$D$504,Transactions!$C$5:$C$504,$A66,Transactions!$F$5:$F$504,12,Transactions!$G$5:$G$504,YEAR(Setup!$B$18))</f>
        <v>0</v>
      </c>
      <c r="O67" s="31" t="n">
        <f aca="false">SUM(C67:N67)</f>
        <v>660</v>
      </c>
    </row>
    <row r="68" customFormat="false" ht="15" hidden="false" customHeight="true" outlineLevel="0" collapsed="false">
      <c r="A68" s="33"/>
      <c r="B68" s="29" t="s">
        <v>132</v>
      </c>
      <c r="C68" s="30" t="n">
        <f aca="false">C67-C66</f>
        <v>0</v>
      </c>
      <c r="D68" s="30" t="n">
        <f aca="false">D67-D66</f>
        <v>0</v>
      </c>
      <c r="E68" s="30" t="n">
        <f aca="false">E67-E66</f>
        <v>0</v>
      </c>
      <c r="F68" s="30" t="n">
        <f aca="false">F67-F66</f>
        <v>-220</v>
      </c>
      <c r="G68" s="30" t="n">
        <f aca="false">G67-G66</f>
        <v>-220</v>
      </c>
      <c r="H68" s="30" t="n">
        <f aca="false">H67-H66</f>
        <v>-220</v>
      </c>
      <c r="I68" s="30" t="n">
        <f aca="false">I67-I66</f>
        <v>-220</v>
      </c>
      <c r="J68" s="30" t="n">
        <f aca="false">J67-J66</f>
        <v>-220</v>
      </c>
      <c r="K68" s="30" t="n">
        <f aca="false">K67-K66</f>
        <v>-220</v>
      </c>
      <c r="L68" s="30" t="n">
        <f aca="false">L67-L66</f>
        <v>-220</v>
      </c>
      <c r="M68" s="30" t="n">
        <f aca="false">M67-M66</f>
        <v>-220</v>
      </c>
      <c r="N68" s="30" t="n">
        <f aca="false">N67-N66</f>
        <v>-220</v>
      </c>
      <c r="O68" s="31" t="n">
        <f aca="false">O67-O66</f>
        <v>-1980</v>
      </c>
    </row>
    <row r="69" customFormat="false" ht="15" hidden="false" customHeight="true" outlineLevel="0" collapsed="false">
      <c r="A69" s="34" t="s">
        <v>142</v>
      </c>
      <c r="B69" s="35" t="s">
        <v>130</v>
      </c>
      <c r="C69" s="36" t="n">
        <f aca="false">C63+C66</f>
        <v>370</v>
      </c>
      <c r="D69" s="36" t="n">
        <f aca="false">D63+D66</f>
        <v>370</v>
      </c>
      <c r="E69" s="36" t="n">
        <f aca="false">E63+E66</f>
        <v>370</v>
      </c>
      <c r="F69" s="36" t="n">
        <f aca="false">F63+F66</f>
        <v>370</v>
      </c>
      <c r="G69" s="36" t="n">
        <f aca="false">G63+G66</f>
        <v>370</v>
      </c>
      <c r="H69" s="36" t="n">
        <f aca="false">H63+H66</f>
        <v>370</v>
      </c>
      <c r="I69" s="36" t="n">
        <f aca="false">I63+I66</f>
        <v>370</v>
      </c>
      <c r="J69" s="36" t="n">
        <f aca="false">J63+J66</f>
        <v>370</v>
      </c>
      <c r="K69" s="36" t="n">
        <f aca="false">K63+K66</f>
        <v>370</v>
      </c>
      <c r="L69" s="36" t="n">
        <f aca="false">L63+L66</f>
        <v>370</v>
      </c>
      <c r="M69" s="36" t="n">
        <f aca="false">M63+M66</f>
        <v>370</v>
      </c>
      <c r="N69" s="36" t="n">
        <f aca="false">N63+N66</f>
        <v>370</v>
      </c>
      <c r="O69" s="36" t="n">
        <f aca="false">SUM(C69:N69)</f>
        <v>4440</v>
      </c>
    </row>
    <row r="70" customFormat="false" ht="15" hidden="false" customHeight="true" outlineLevel="0" collapsed="false">
      <c r="A70" s="34"/>
      <c r="B70" s="35" t="s">
        <v>131</v>
      </c>
      <c r="C70" s="36" t="n">
        <f aca="false">C64+C67</f>
        <v>370</v>
      </c>
      <c r="D70" s="36" t="n">
        <f aca="false">D64+D67</f>
        <v>385</v>
      </c>
      <c r="E70" s="36" t="n">
        <f aca="false">E64+E67</f>
        <v>370</v>
      </c>
      <c r="F70" s="36" t="n">
        <f aca="false">F64+F67</f>
        <v>0</v>
      </c>
      <c r="G70" s="36" t="n">
        <f aca="false">G64+G67</f>
        <v>0</v>
      </c>
      <c r="H70" s="36" t="n">
        <f aca="false">H64+H67</f>
        <v>0</v>
      </c>
      <c r="I70" s="36" t="n">
        <f aca="false">I64+I67</f>
        <v>0</v>
      </c>
      <c r="J70" s="36" t="n">
        <f aca="false">J64+J67</f>
        <v>0</v>
      </c>
      <c r="K70" s="36" t="n">
        <f aca="false">K64+K67</f>
        <v>0</v>
      </c>
      <c r="L70" s="36" t="n">
        <f aca="false">L64+L67</f>
        <v>0</v>
      </c>
      <c r="M70" s="36" t="n">
        <f aca="false">M64+M67</f>
        <v>0</v>
      </c>
      <c r="N70" s="36" t="n">
        <f aca="false">N64+N67</f>
        <v>0</v>
      </c>
      <c r="O70" s="36" t="n">
        <f aca="false">SUM(C70:N70)</f>
        <v>1125</v>
      </c>
    </row>
    <row r="71" customFormat="false" ht="15" hidden="false" customHeight="true" outlineLevel="0" collapsed="false">
      <c r="A71" s="34"/>
      <c r="B71" s="35" t="s">
        <v>132</v>
      </c>
      <c r="C71" s="36" t="n">
        <f aca="false">C70-C69</f>
        <v>0</v>
      </c>
      <c r="D71" s="36" t="n">
        <f aca="false">D70-D69</f>
        <v>15</v>
      </c>
      <c r="E71" s="36" t="n">
        <f aca="false">E70-E69</f>
        <v>0</v>
      </c>
      <c r="F71" s="36" t="n">
        <f aca="false">F70-F69</f>
        <v>-370</v>
      </c>
      <c r="G71" s="36" t="n">
        <f aca="false">G70-G69</f>
        <v>-370</v>
      </c>
      <c r="H71" s="36" t="n">
        <f aca="false">H70-H69</f>
        <v>-370</v>
      </c>
      <c r="I71" s="36" t="n">
        <f aca="false">I70-I69</f>
        <v>-370</v>
      </c>
      <c r="J71" s="36" t="n">
        <f aca="false">J70-J69</f>
        <v>-370</v>
      </c>
      <c r="K71" s="36" t="n">
        <f aca="false">K70-K69</f>
        <v>-370</v>
      </c>
      <c r="L71" s="36" t="n">
        <f aca="false">L70-L69</f>
        <v>-370</v>
      </c>
      <c r="M71" s="36" t="n">
        <f aca="false">M70-M69</f>
        <v>-370</v>
      </c>
      <c r="N71" s="36" t="n">
        <f aca="false">N70-N69</f>
        <v>-370</v>
      </c>
      <c r="O71" s="36" t="n">
        <f aca="false">O70-O69</f>
        <v>-3315</v>
      </c>
    </row>
    <row r="73" customFormat="false" ht="15" hidden="false" customHeight="true" outlineLevel="0" collapsed="false">
      <c r="A73" s="32" t="s">
        <v>143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customFormat="false" ht="15" hidden="false" customHeight="true" outlineLevel="0" collapsed="false">
      <c r="A74" s="33" t="str">
        <f aca="false">Setup!A36</f>
        <v>Emergency Fund</v>
      </c>
      <c r="B74" s="29" t="s">
        <v>130</v>
      </c>
      <c r="C74" s="30" t="n">
        <f aca="false">Setup!C36</f>
        <v>200</v>
      </c>
      <c r="D74" s="30" t="n">
        <f aca="false">Setup!C36</f>
        <v>200</v>
      </c>
      <c r="E74" s="30" t="n">
        <f aca="false">Setup!C36</f>
        <v>200</v>
      </c>
      <c r="F74" s="30" t="n">
        <f aca="false">Setup!C36</f>
        <v>200</v>
      </c>
      <c r="G74" s="30" t="n">
        <f aca="false">Setup!C36</f>
        <v>200</v>
      </c>
      <c r="H74" s="30" t="n">
        <f aca="false">Setup!C36</f>
        <v>200</v>
      </c>
      <c r="I74" s="30" t="n">
        <f aca="false">Setup!C36</f>
        <v>200</v>
      </c>
      <c r="J74" s="30" t="n">
        <f aca="false">Setup!C36</f>
        <v>200</v>
      </c>
      <c r="K74" s="30" t="n">
        <f aca="false">Setup!C36</f>
        <v>200</v>
      </c>
      <c r="L74" s="30" t="n">
        <f aca="false">Setup!C36</f>
        <v>200</v>
      </c>
      <c r="M74" s="30" t="n">
        <f aca="false">Setup!C36</f>
        <v>200</v>
      </c>
      <c r="N74" s="30" t="n">
        <f aca="false">Setup!C36</f>
        <v>200</v>
      </c>
      <c r="O74" s="31" t="n">
        <f aca="false">SUM(C74:N74)</f>
        <v>2400</v>
      </c>
    </row>
    <row r="75" customFormat="false" ht="15" hidden="false" customHeight="true" outlineLevel="0" collapsed="false">
      <c r="A75" s="33"/>
      <c r="B75" s="29" t="s">
        <v>131</v>
      </c>
      <c r="C75" s="30" t="n">
        <f aca="false">SUMIFS(Transactions!$D$5:$D$504,Transactions!$C$5:$C$504,$A74,Transactions!$F$5:$F$504,1,Transactions!$G$5:$G$504,YEAR(Setup!$B$18))</f>
        <v>200</v>
      </c>
      <c r="D75" s="30" t="n">
        <f aca="false">SUMIFS(Transactions!$D$5:$D$504,Transactions!$C$5:$C$504,$A74,Transactions!$F$5:$F$504,2,Transactions!$G$5:$G$504,YEAR(Setup!$B$18))</f>
        <v>0</v>
      </c>
      <c r="E75" s="30" t="n">
        <f aca="false">SUMIFS(Transactions!$D$5:$D$504,Transactions!$C$5:$C$504,$A74,Transactions!$F$5:$F$504,3,Transactions!$G$5:$G$504,YEAR(Setup!$B$18))</f>
        <v>0</v>
      </c>
      <c r="F75" s="30" t="n">
        <f aca="false">SUMIFS(Transactions!$D$5:$D$504,Transactions!$C$5:$C$504,$A74,Transactions!$F$5:$F$504,4,Transactions!$G$5:$G$504,YEAR(Setup!$B$18))</f>
        <v>0</v>
      </c>
      <c r="G75" s="30" t="n">
        <f aca="false">SUMIFS(Transactions!$D$5:$D$504,Transactions!$C$5:$C$504,$A74,Transactions!$F$5:$F$504,5,Transactions!$G$5:$G$504,YEAR(Setup!$B$18))</f>
        <v>0</v>
      </c>
      <c r="H75" s="30" t="n">
        <f aca="false">SUMIFS(Transactions!$D$5:$D$504,Transactions!$C$5:$C$504,$A74,Transactions!$F$5:$F$504,6,Transactions!$G$5:$G$504,YEAR(Setup!$B$18))</f>
        <v>0</v>
      </c>
      <c r="I75" s="30" t="n">
        <f aca="false">SUMIFS(Transactions!$D$5:$D$504,Transactions!$C$5:$C$504,$A74,Transactions!$F$5:$F$504,7,Transactions!$G$5:$G$504,YEAR(Setup!$B$18))</f>
        <v>0</v>
      </c>
      <c r="J75" s="30" t="n">
        <f aca="false">SUMIFS(Transactions!$D$5:$D$504,Transactions!$C$5:$C$504,$A74,Transactions!$F$5:$F$504,8,Transactions!$G$5:$G$504,YEAR(Setup!$B$18))</f>
        <v>0</v>
      </c>
      <c r="K75" s="30" t="n">
        <f aca="false">SUMIFS(Transactions!$D$5:$D$504,Transactions!$C$5:$C$504,$A74,Transactions!$F$5:$F$504,9,Transactions!$G$5:$G$504,YEAR(Setup!$B$18))</f>
        <v>0</v>
      </c>
      <c r="L75" s="30" t="n">
        <f aca="false">SUMIFS(Transactions!$D$5:$D$504,Transactions!$C$5:$C$504,$A74,Transactions!$F$5:$F$504,10,Transactions!$G$5:$G$504,YEAR(Setup!$B$18))</f>
        <v>0</v>
      </c>
      <c r="M75" s="30" t="n">
        <f aca="false">SUMIFS(Transactions!$D$5:$D$504,Transactions!$C$5:$C$504,$A74,Transactions!$F$5:$F$504,11,Transactions!$G$5:$G$504,YEAR(Setup!$B$18))</f>
        <v>0</v>
      </c>
      <c r="N75" s="30" t="n">
        <f aca="false">SUMIFS(Transactions!$D$5:$D$504,Transactions!$C$5:$C$504,$A74,Transactions!$F$5:$F$504,12,Transactions!$G$5:$G$504,YEAR(Setup!$B$18))</f>
        <v>0</v>
      </c>
      <c r="O75" s="31" t="n">
        <f aca="false">SUM(C75:N75)</f>
        <v>200</v>
      </c>
    </row>
    <row r="76" customFormat="false" ht="15" hidden="false" customHeight="true" outlineLevel="0" collapsed="false">
      <c r="A76" s="33"/>
      <c r="B76" s="29" t="s">
        <v>132</v>
      </c>
      <c r="C76" s="30" t="n">
        <f aca="false">C75-C74</f>
        <v>0</v>
      </c>
      <c r="D76" s="30" t="n">
        <f aca="false">D75-D74</f>
        <v>-200</v>
      </c>
      <c r="E76" s="30" t="n">
        <f aca="false">E75-E74</f>
        <v>-200</v>
      </c>
      <c r="F76" s="30" t="n">
        <f aca="false">F75-F74</f>
        <v>-200</v>
      </c>
      <c r="G76" s="30" t="n">
        <f aca="false">G75-G74</f>
        <v>-200</v>
      </c>
      <c r="H76" s="30" t="n">
        <f aca="false">H75-H74</f>
        <v>-200</v>
      </c>
      <c r="I76" s="30" t="n">
        <f aca="false">I75-I74</f>
        <v>-200</v>
      </c>
      <c r="J76" s="30" t="n">
        <f aca="false">J75-J74</f>
        <v>-200</v>
      </c>
      <c r="K76" s="30" t="n">
        <f aca="false">K75-K74</f>
        <v>-200</v>
      </c>
      <c r="L76" s="30" t="n">
        <f aca="false">L75-L74</f>
        <v>-200</v>
      </c>
      <c r="M76" s="30" t="n">
        <f aca="false">M75-M74</f>
        <v>-200</v>
      </c>
      <c r="N76" s="30" t="n">
        <f aca="false">N75-N74</f>
        <v>-200</v>
      </c>
      <c r="O76" s="31" t="n">
        <f aca="false">O75-O74</f>
        <v>-2200</v>
      </c>
    </row>
    <row r="77" customFormat="false" ht="15" hidden="false" customHeight="true" outlineLevel="0" collapsed="false">
      <c r="A77" s="33" t="str">
        <f aca="false">Setup!A37</f>
        <v>Retirement 401k or IRA</v>
      </c>
      <c r="B77" s="29" t="s">
        <v>130</v>
      </c>
      <c r="C77" s="30" t="n">
        <f aca="false">Setup!C37</f>
        <v>500</v>
      </c>
      <c r="D77" s="30" t="n">
        <f aca="false">Setup!C37</f>
        <v>500</v>
      </c>
      <c r="E77" s="30" t="n">
        <f aca="false">Setup!C37</f>
        <v>500</v>
      </c>
      <c r="F77" s="30" t="n">
        <f aca="false">Setup!C37</f>
        <v>500</v>
      </c>
      <c r="G77" s="30" t="n">
        <f aca="false">Setup!C37</f>
        <v>500</v>
      </c>
      <c r="H77" s="30" t="n">
        <f aca="false">Setup!C37</f>
        <v>500</v>
      </c>
      <c r="I77" s="30" t="n">
        <f aca="false">Setup!C37</f>
        <v>500</v>
      </c>
      <c r="J77" s="30" t="n">
        <f aca="false">Setup!C37</f>
        <v>500</v>
      </c>
      <c r="K77" s="30" t="n">
        <f aca="false">Setup!C37</f>
        <v>500</v>
      </c>
      <c r="L77" s="30" t="n">
        <f aca="false">Setup!C37</f>
        <v>500</v>
      </c>
      <c r="M77" s="30" t="n">
        <f aca="false">Setup!C37</f>
        <v>500</v>
      </c>
      <c r="N77" s="30" t="n">
        <f aca="false">Setup!C37</f>
        <v>500</v>
      </c>
      <c r="O77" s="31" t="n">
        <f aca="false">SUM(C77:N77)</f>
        <v>6000</v>
      </c>
    </row>
    <row r="78" customFormat="false" ht="15" hidden="false" customHeight="true" outlineLevel="0" collapsed="false">
      <c r="A78" s="33"/>
      <c r="B78" s="29" t="s">
        <v>131</v>
      </c>
      <c r="C78" s="30" t="n">
        <f aca="false">SUMIFS(Transactions!$D$5:$D$504,Transactions!$C$5:$C$504,$A77,Transactions!$F$5:$F$504,1,Transactions!$G$5:$G$504,YEAR(Setup!$B$18))</f>
        <v>500</v>
      </c>
      <c r="D78" s="30" t="n">
        <f aca="false">SUMIFS(Transactions!$D$5:$D$504,Transactions!$C$5:$C$504,$A77,Transactions!$F$5:$F$504,2,Transactions!$G$5:$G$504,YEAR(Setup!$B$18))</f>
        <v>0</v>
      </c>
      <c r="E78" s="30" t="n">
        <f aca="false">SUMIFS(Transactions!$D$5:$D$504,Transactions!$C$5:$C$504,$A77,Transactions!$F$5:$F$504,3,Transactions!$G$5:$G$504,YEAR(Setup!$B$18))</f>
        <v>500</v>
      </c>
      <c r="F78" s="30" t="n">
        <f aca="false">SUMIFS(Transactions!$D$5:$D$504,Transactions!$C$5:$C$504,$A77,Transactions!$F$5:$F$504,4,Transactions!$G$5:$G$504,YEAR(Setup!$B$18))</f>
        <v>0</v>
      </c>
      <c r="G78" s="30" t="n">
        <f aca="false">SUMIFS(Transactions!$D$5:$D$504,Transactions!$C$5:$C$504,$A77,Transactions!$F$5:$F$504,5,Transactions!$G$5:$G$504,YEAR(Setup!$B$18))</f>
        <v>0</v>
      </c>
      <c r="H78" s="30" t="n">
        <f aca="false">SUMIFS(Transactions!$D$5:$D$504,Transactions!$C$5:$C$504,$A77,Transactions!$F$5:$F$504,6,Transactions!$G$5:$G$504,YEAR(Setup!$B$18))</f>
        <v>0</v>
      </c>
      <c r="I78" s="30" t="n">
        <f aca="false">SUMIFS(Transactions!$D$5:$D$504,Transactions!$C$5:$C$504,$A77,Transactions!$F$5:$F$504,7,Transactions!$G$5:$G$504,YEAR(Setup!$B$18))</f>
        <v>0</v>
      </c>
      <c r="J78" s="30" t="n">
        <f aca="false">SUMIFS(Transactions!$D$5:$D$504,Transactions!$C$5:$C$504,$A77,Transactions!$F$5:$F$504,8,Transactions!$G$5:$G$504,YEAR(Setup!$B$18))</f>
        <v>0</v>
      </c>
      <c r="K78" s="30" t="n">
        <f aca="false">SUMIFS(Transactions!$D$5:$D$504,Transactions!$C$5:$C$504,$A77,Transactions!$F$5:$F$504,9,Transactions!$G$5:$G$504,YEAR(Setup!$B$18))</f>
        <v>0</v>
      </c>
      <c r="L78" s="30" t="n">
        <f aca="false">SUMIFS(Transactions!$D$5:$D$504,Transactions!$C$5:$C$504,$A77,Transactions!$F$5:$F$504,10,Transactions!$G$5:$G$504,YEAR(Setup!$B$18))</f>
        <v>0</v>
      </c>
      <c r="M78" s="30" t="n">
        <f aca="false">SUMIFS(Transactions!$D$5:$D$504,Transactions!$C$5:$C$504,$A77,Transactions!$F$5:$F$504,11,Transactions!$G$5:$G$504,YEAR(Setup!$B$18))</f>
        <v>0</v>
      </c>
      <c r="N78" s="30" t="n">
        <f aca="false">SUMIFS(Transactions!$D$5:$D$504,Transactions!$C$5:$C$504,$A77,Transactions!$F$5:$F$504,12,Transactions!$G$5:$G$504,YEAR(Setup!$B$18))</f>
        <v>0</v>
      </c>
      <c r="O78" s="31" t="n">
        <f aca="false">SUM(C78:N78)</f>
        <v>1000</v>
      </c>
    </row>
    <row r="79" customFormat="false" ht="15" hidden="false" customHeight="true" outlineLevel="0" collapsed="false">
      <c r="A79" s="33"/>
      <c r="B79" s="29" t="s">
        <v>132</v>
      </c>
      <c r="C79" s="30" t="n">
        <f aca="false">C78-C77</f>
        <v>0</v>
      </c>
      <c r="D79" s="30" t="n">
        <f aca="false">D78-D77</f>
        <v>-500</v>
      </c>
      <c r="E79" s="30" t="n">
        <f aca="false">E78-E77</f>
        <v>0</v>
      </c>
      <c r="F79" s="30" t="n">
        <f aca="false">F78-F77</f>
        <v>-500</v>
      </c>
      <c r="G79" s="30" t="n">
        <f aca="false">G78-G77</f>
        <v>-500</v>
      </c>
      <c r="H79" s="30" t="n">
        <f aca="false">H78-H77</f>
        <v>-500</v>
      </c>
      <c r="I79" s="30" t="n">
        <f aca="false">I78-I77</f>
        <v>-500</v>
      </c>
      <c r="J79" s="30" t="n">
        <f aca="false">J78-J77</f>
        <v>-500</v>
      </c>
      <c r="K79" s="30" t="n">
        <f aca="false">K78-K77</f>
        <v>-500</v>
      </c>
      <c r="L79" s="30" t="n">
        <f aca="false">L78-L77</f>
        <v>-500</v>
      </c>
      <c r="M79" s="30" t="n">
        <f aca="false">M78-M77</f>
        <v>-500</v>
      </c>
      <c r="N79" s="30" t="n">
        <f aca="false">N78-N77</f>
        <v>-500</v>
      </c>
      <c r="O79" s="31" t="n">
        <f aca="false">O78-O77</f>
        <v>-5000</v>
      </c>
    </row>
    <row r="80" customFormat="false" ht="15" hidden="false" customHeight="true" outlineLevel="0" collapsed="false">
      <c r="A80" s="33" t="str">
        <f aca="false">Setup!A38</f>
        <v>Brokerage Investing</v>
      </c>
      <c r="B80" s="29" t="s">
        <v>130</v>
      </c>
      <c r="C80" s="30" t="n">
        <f aca="false">Setup!C38</f>
        <v>300</v>
      </c>
      <c r="D80" s="30" t="n">
        <f aca="false">Setup!C38</f>
        <v>300</v>
      </c>
      <c r="E80" s="30" t="n">
        <f aca="false">Setup!C38</f>
        <v>300</v>
      </c>
      <c r="F80" s="30" t="n">
        <f aca="false">Setup!C38</f>
        <v>300</v>
      </c>
      <c r="G80" s="30" t="n">
        <f aca="false">Setup!C38</f>
        <v>300</v>
      </c>
      <c r="H80" s="30" t="n">
        <f aca="false">Setup!C38</f>
        <v>300</v>
      </c>
      <c r="I80" s="30" t="n">
        <f aca="false">Setup!C38</f>
        <v>300</v>
      </c>
      <c r="J80" s="30" t="n">
        <f aca="false">Setup!C38</f>
        <v>300</v>
      </c>
      <c r="K80" s="30" t="n">
        <f aca="false">Setup!C38</f>
        <v>300</v>
      </c>
      <c r="L80" s="30" t="n">
        <f aca="false">Setup!C38</f>
        <v>300</v>
      </c>
      <c r="M80" s="30" t="n">
        <f aca="false">Setup!C38</f>
        <v>300</v>
      </c>
      <c r="N80" s="30" t="n">
        <f aca="false">Setup!C38</f>
        <v>300</v>
      </c>
      <c r="O80" s="31" t="n">
        <f aca="false">SUM(C80:N80)</f>
        <v>3600</v>
      </c>
    </row>
    <row r="81" customFormat="false" ht="15" hidden="false" customHeight="true" outlineLevel="0" collapsed="false">
      <c r="A81" s="33"/>
      <c r="B81" s="29" t="s">
        <v>131</v>
      </c>
      <c r="C81" s="30" t="n">
        <f aca="false">SUMIFS(Transactions!$D$5:$D$504,Transactions!$C$5:$C$504,$A80,Transactions!$F$5:$F$504,1,Transactions!$G$5:$G$504,YEAR(Setup!$B$18))</f>
        <v>0</v>
      </c>
      <c r="D81" s="30" t="n">
        <f aca="false">SUMIFS(Transactions!$D$5:$D$504,Transactions!$C$5:$C$504,$A80,Transactions!$F$5:$F$504,2,Transactions!$G$5:$G$504,YEAR(Setup!$B$18))</f>
        <v>0</v>
      </c>
      <c r="E81" s="30" t="n">
        <f aca="false">SUMIFS(Transactions!$D$5:$D$504,Transactions!$C$5:$C$504,$A80,Transactions!$F$5:$F$504,3,Transactions!$G$5:$G$504,YEAR(Setup!$B$18))</f>
        <v>300</v>
      </c>
      <c r="F81" s="30" t="n">
        <f aca="false">SUMIFS(Transactions!$D$5:$D$504,Transactions!$C$5:$C$504,$A80,Transactions!$F$5:$F$504,4,Transactions!$G$5:$G$504,YEAR(Setup!$B$18))</f>
        <v>0</v>
      </c>
      <c r="G81" s="30" t="n">
        <f aca="false">SUMIFS(Transactions!$D$5:$D$504,Transactions!$C$5:$C$504,$A80,Transactions!$F$5:$F$504,5,Transactions!$G$5:$G$504,YEAR(Setup!$B$18))</f>
        <v>0</v>
      </c>
      <c r="H81" s="30" t="n">
        <f aca="false">SUMIFS(Transactions!$D$5:$D$504,Transactions!$C$5:$C$504,$A80,Transactions!$F$5:$F$504,6,Transactions!$G$5:$G$504,YEAR(Setup!$B$18))</f>
        <v>0</v>
      </c>
      <c r="I81" s="30" t="n">
        <f aca="false">SUMIFS(Transactions!$D$5:$D$504,Transactions!$C$5:$C$504,$A80,Transactions!$F$5:$F$504,7,Transactions!$G$5:$G$504,YEAR(Setup!$B$18))</f>
        <v>0</v>
      </c>
      <c r="J81" s="30" t="n">
        <f aca="false">SUMIFS(Transactions!$D$5:$D$504,Transactions!$C$5:$C$504,$A80,Transactions!$F$5:$F$504,8,Transactions!$G$5:$G$504,YEAR(Setup!$B$18))</f>
        <v>0</v>
      </c>
      <c r="K81" s="30" t="n">
        <f aca="false">SUMIFS(Transactions!$D$5:$D$504,Transactions!$C$5:$C$504,$A80,Transactions!$F$5:$F$504,9,Transactions!$G$5:$G$504,YEAR(Setup!$B$18))</f>
        <v>0</v>
      </c>
      <c r="L81" s="30" t="n">
        <f aca="false">SUMIFS(Transactions!$D$5:$D$504,Transactions!$C$5:$C$504,$A80,Transactions!$F$5:$F$504,10,Transactions!$G$5:$G$504,YEAR(Setup!$B$18))</f>
        <v>0</v>
      </c>
      <c r="M81" s="30" t="n">
        <f aca="false">SUMIFS(Transactions!$D$5:$D$504,Transactions!$C$5:$C$504,$A80,Transactions!$F$5:$F$504,11,Transactions!$G$5:$G$504,YEAR(Setup!$B$18))</f>
        <v>0</v>
      </c>
      <c r="N81" s="30" t="n">
        <f aca="false">SUMIFS(Transactions!$D$5:$D$504,Transactions!$C$5:$C$504,$A80,Transactions!$F$5:$F$504,12,Transactions!$G$5:$G$504,YEAR(Setup!$B$18))</f>
        <v>0</v>
      </c>
      <c r="O81" s="31" t="n">
        <f aca="false">SUM(C81:N81)</f>
        <v>300</v>
      </c>
    </row>
    <row r="82" customFormat="false" ht="15" hidden="false" customHeight="true" outlineLevel="0" collapsed="false">
      <c r="A82" s="33"/>
      <c r="B82" s="29" t="s">
        <v>132</v>
      </c>
      <c r="C82" s="30" t="n">
        <f aca="false">C81-C80</f>
        <v>-300</v>
      </c>
      <c r="D82" s="30" t="n">
        <f aca="false">D81-D80</f>
        <v>-300</v>
      </c>
      <c r="E82" s="30" t="n">
        <f aca="false">E81-E80</f>
        <v>0</v>
      </c>
      <c r="F82" s="30" t="n">
        <f aca="false">F81-F80</f>
        <v>-300</v>
      </c>
      <c r="G82" s="30" t="n">
        <f aca="false">G81-G80</f>
        <v>-300</v>
      </c>
      <c r="H82" s="30" t="n">
        <f aca="false">H81-H80</f>
        <v>-300</v>
      </c>
      <c r="I82" s="30" t="n">
        <f aca="false">I81-I80</f>
        <v>-300</v>
      </c>
      <c r="J82" s="30" t="n">
        <f aca="false">J81-J80</f>
        <v>-300</v>
      </c>
      <c r="K82" s="30" t="n">
        <f aca="false">K81-K80</f>
        <v>-300</v>
      </c>
      <c r="L82" s="30" t="n">
        <f aca="false">L81-L80</f>
        <v>-300</v>
      </c>
      <c r="M82" s="30" t="n">
        <f aca="false">M81-M80</f>
        <v>-300</v>
      </c>
      <c r="N82" s="30" t="n">
        <f aca="false">N81-N80</f>
        <v>-300</v>
      </c>
      <c r="O82" s="31" t="n">
        <f aca="false">O81-O80</f>
        <v>-3300</v>
      </c>
    </row>
    <row r="83" customFormat="false" ht="15" hidden="false" customHeight="true" outlineLevel="0" collapsed="false">
      <c r="A83" s="34" t="s">
        <v>144</v>
      </c>
      <c r="B83" s="35" t="s">
        <v>130</v>
      </c>
      <c r="C83" s="36" t="n">
        <f aca="false">C74+C77+C80</f>
        <v>1000</v>
      </c>
      <c r="D83" s="36" t="n">
        <f aca="false">D74+D77+D80</f>
        <v>1000</v>
      </c>
      <c r="E83" s="36" t="n">
        <f aca="false">E74+E77+E80</f>
        <v>1000</v>
      </c>
      <c r="F83" s="36" t="n">
        <f aca="false">F74+F77+F80</f>
        <v>1000</v>
      </c>
      <c r="G83" s="36" t="n">
        <f aca="false">G74+G77+G80</f>
        <v>1000</v>
      </c>
      <c r="H83" s="36" t="n">
        <f aca="false">H74+H77+H80</f>
        <v>1000</v>
      </c>
      <c r="I83" s="36" t="n">
        <f aca="false">I74+I77+I80</f>
        <v>1000</v>
      </c>
      <c r="J83" s="36" t="n">
        <f aca="false">J74+J77+J80</f>
        <v>1000</v>
      </c>
      <c r="K83" s="36" t="n">
        <f aca="false">K74+K77+K80</f>
        <v>1000</v>
      </c>
      <c r="L83" s="36" t="n">
        <f aca="false">L74+L77+L80</f>
        <v>1000</v>
      </c>
      <c r="M83" s="36" t="n">
        <f aca="false">M74+M77+M80</f>
        <v>1000</v>
      </c>
      <c r="N83" s="36" t="n">
        <f aca="false">N74+N77+N80</f>
        <v>1000</v>
      </c>
      <c r="O83" s="36" t="n">
        <f aca="false">SUM(C83:N83)</f>
        <v>12000</v>
      </c>
    </row>
    <row r="84" customFormat="false" ht="15" hidden="false" customHeight="true" outlineLevel="0" collapsed="false">
      <c r="A84" s="34"/>
      <c r="B84" s="35" t="s">
        <v>131</v>
      </c>
      <c r="C84" s="36" t="n">
        <f aca="false">C75+C78+C81</f>
        <v>700</v>
      </c>
      <c r="D84" s="36" t="n">
        <f aca="false">D75+D78+D81</f>
        <v>0</v>
      </c>
      <c r="E84" s="36" t="n">
        <f aca="false">E75+E78+E81</f>
        <v>800</v>
      </c>
      <c r="F84" s="36" t="n">
        <f aca="false">F75+F78+F81</f>
        <v>0</v>
      </c>
      <c r="G84" s="36" t="n">
        <f aca="false">G75+G78+G81</f>
        <v>0</v>
      </c>
      <c r="H84" s="36" t="n">
        <f aca="false">H75+H78+H81</f>
        <v>0</v>
      </c>
      <c r="I84" s="36" t="n">
        <f aca="false">I75+I78+I81</f>
        <v>0</v>
      </c>
      <c r="J84" s="36" t="n">
        <f aca="false">J75+J78+J81</f>
        <v>0</v>
      </c>
      <c r="K84" s="36" t="n">
        <f aca="false">K75+K78+K81</f>
        <v>0</v>
      </c>
      <c r="L84" s="36" t="n">
        <f aca="false">L75+L78+L81</f>
        <v>0</v>
      </c>
      <c r="M84" s="36" t="n">
        <f aca="false">M75+M78+M81</f>
        <v>0</v>
      </c>
      <c r="N84" s="36" t="n">
        <f aca="false">N75+N78+N81</f>
        <v>0</v>
      </c>
      <c r="O84" s="36" t="n">
        <f aca="false">SUM(C84:N84)</f>
        <v>1500</v>
      </c>
    </row>
    <row r="85" customFormat="false" ht="15" hidden="false" customHeight="true" outlineLevel="0" collapsed="false">
      <c r="A85" s="34"/>
      <c r="B85" s="35" t="s">
        <v>132</v>
      </c>
      <c r="C85" s="36" t="n">
        <f aca="false">C84-C83</f>
        <v>-300</v>
      </c>
      <c r="D85" s="36" t="n">
        <f aca="false">D84-D83</f>
        <v>-1000</v>
      </c>
      <c r="E85" s="36" t="n">
        <f aca="false">E84-E83</f>
        <v>-200</v>
      </c>
      <c r="F85" s="36" t="n">
        <f aca="false">F84-F83</f>
        <v>-1000</v>
      </c>
      <c r="G85" s="36" t="n">
        <f aca="false">G84-G83</f>
        <v>-1000</v>
      </c>
      <c r="H85" s="36" t="n">
        <f aca="false">H84-H83</f>
        <v>-1000</v>
      </c>
      <c r="I85" s="36" t="n">
        <f aca="false">I84-I83</f>
        <v>-1000</v>
      </c>
      <c r="J85" s="36" t="n">
        <f aca="false">J84-J83</f>
        <v>-1000</v>
      </c>
      <c r="K85" s="36" t="n">
        <f aca="false">K84-K83</f>
        <v>-1000</v>
      </c>
      <c r="L85" s="36" t="n">
        <f aca="false">L84-L83</f>
        <v>-1000</v>
      </c>
      <c r="M85" s="36" t="n">
        <f aca="false">M84-M83</f>
        <v>-1000</v>
      </c>
      <c r="N85" s="36" t="n">
        <f aca="false">N84-N83</f>
        <v>-1000</v>
      </c>
      <c r="O85" s="36" t="n">
        <f aca="false">O84-O83</f>
        <v>-10500</v>
      </c>
    </row>
    <row r="87" customFormat="false" ht="15" hidden="false" customHeight="true" outlineLevel="0" collapsed="false">
      <c r="A87" s="32" t="s">
        <v>145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customFormat="false" ht="15" hidden="false" customHeight="true" outlineLevel="0" collapsed="false">
      <c r="A88" s="33" t="str">
        <f aca="false">Setup!A39</f>
        <v>Entertainment</v>
      </c>
      <c r="B88" s="29" t="s">
        <v>130</v>
      </c>
      <c r="C88" s="30" t="n">
        <f aca="false">Setup!C39</f>
        <v>120</v>
      </c>
      <c r="D88" s="30" t="n">
        <f aca="false">Setup!C39</f>
        <v>120</v>
      </c>
      <c r="E88" s="30" t="n">
        <f aca="false">Setup!C39</f>
        <v>120</v>
      </c>
      <c r="F88" s="30" t="n">
        <f aca="false">Setup!C39</f>
        <v>120</v>
      </c>
      <c r="G88" s="30" t="n">
        <f aca="false">Setup!C39</f>
        <v>120</v>
      </c>
      <c r="H88" s="30" t="n">
        <f aca="false">Setup!C39</f>
        <v>120</v>
      </c>
      <c r="I88" s="30" t="n">
        <f aca="false">Setup!C39</f>
        <v>120</v>
      </c>
      <c r="J88" s="30" t="n">
        <f aca="false">Setup!C39</f>
        <v>120</v>
      </c>
      <c r="K88" s="30" t="n">
        <f aca="false">Setup!C39</f>
        <v>120</v>
      </c>
      <c r="L88" s="30" t="n">
        <f aca="false">Setup!C39</f>
        <v>120</v>
      </c>
      <c r="M88" s="30" t="n">
        <f aca="false">Setup!C39</f>
        <v>120</v>
      </c>
      <c r="N88" s="30" t="n">
        <f aca="false">Setup!C39</f>
        <v>120</v>
      </c>
      <c r="O88" s="31" t="n">
        <f aca="false">SUM(C88:N88)</f>
        <v>1440</v>
      </c>
    </row>
    <row r="89" customFormat="false" ht="15" hidden="false" customHeight="true" outlineLevel="0" collapsed="false">
      <c r="A89" s="33"/>
      <c r="B89" s="29" t="s">
        <v>131</v>
      </c>
      <c r="C89" s="30" t="n">
        <f aca="false">SUMIFS(Transactions!$D$5:$D$504,Transactions!$C$5:$C$504,$A88,Transactions!$F$5:$F$504,1,Transactions!$G$5:$G$504,YEAR(Setup!$B$18))</f>
        <v>0</v>
      </c>
      <c r="D89" s="30" t="n">
        <f aca="false">SUMIFS(Transactions!$D$5:$D$504,Transactions!$C$5:$C$504,$A88,Transactions!$F$5:$F$504,2,Transactions!$G$5:$G$504,YEAR(Setup!$B$18))</f>
        <v>65</v>
      </c>
      <c r="E89" s="30" t="n">
        <f aca="false">SUMIFS(Transactions!$D$5:$D$504,Transactions!$C$5:$C$504,$A88,Transactions!$F$5:$F$504,3,Transactions!$G$5:$G$504,YEAR(Setup!$B$18))</f>
        <v>0</v>
      </c>
      <c r="F89" s="30" t="n">
        <f aca="false">SUMIFS(Transactions!$D$5:$D$504,Transactions!$C$5:$C$504,$A88,Transactions!$F$5:$F$504,4,Transactions!$G$5:$G$504,YEAR(Setup!$B$18))</f>
        <v>0</v>
      </c>
      <c r="G89" s="30" t="n">
        <f aca="false">SUMIFS(Transactions!$D$5:$D$504,Transactions!$C$5:$C$504,$A88,Transactions!$F$5:$F$504,5,Transactions!$G$5:$G$504,YEAR(Setup!$B$18))</f>
        <v>0</v>
      </c>
      <c r="H89" s="30" t="n">
        <f aca="false">SUMIFS(Transactions!$D$5:$D$504,Transactions!$C$5:$C$504,$A88,Transactions!$F$5:$F$504,6,Transactions!$G$5:$G$504,YEAR(Setup!$B$18))</f>
        <v>0</v>
      </c>
      <c r="I89" s="30" t="n">
        <f aca="false">SUMIFS(Transactions!$D$5:$D$504,Transactions!$C$5:$C$504,$A88,Transactions!$F$5:$F$504,7,Transactions!$G$5:$G$504,YEAR(Setup!$B$18))</f>
        <v>0</v>
      </c>
      <c r="J89" s="30" t="n">
        <f aca="false">SUMIFS(Transactions!$D$5:$D$504,Transactions!$C$5:$C$504,$A88,Transactions!$F$5:$F$504,8,Transactions!$G$5:$G$504,YEAR(Setup!$B$18))</f>
        <v>0</v>
      </c>
      <c r="K89" s="30" t="n">
        <f aca="false">SUMIFS(Transactions!$D$5:$D$504,Transactions!$C$5:$C$504,$A88,Transactions!$F$5:$F$504,9,Transactions!$G$5:$G$504,YEAR(Setup!$B$18))</f>
        <v>0</v>
      </c>
      <c r="L89" s="30" t="n">
        <f aca="false">SUMIFS(Transactions!$D$5:$D$504,Transactions!$C$5:$C$504,$A88,Transactions!$F$5:$F$504,10,Transactions!$G$5:$G$504,YEAR(Setup!$B$18))</f>
        <v>0</v>
      </c>
      <c r="M89" s="30" t="n">
        <f aca="false">SUMIFS(Transactions!$D$5:$D$504,Transactions!$C$5:$C$504,$A88,Transactions!$F$5:$F$504,11,Transactions!$G$5:$G$504,YEAR(Setup!$B$18))</f>
        <v>0</v>
      </c>
      <c r="N89" s="30" t="n">
        <f aca="false">SUMIFS(Transactions!$D$5:$D$504,Transactions!$C$5:$C$504,$A88,Transactions!$F$5:$F$504,12,Transactions!$G$5:$G$504,YEAR(Setup!$B$18))</f>
        <v>0</v>
      </c>
      <c r="O89" s="31" t="n">
        <f aca="false">SUM(C89:N89)</f>
        <v>65</v>
      </c>
    </row>
    <row r="90" customFormat="false" ht="15" hidden="false" customHeight="true" outlineLevel="0" collapsed="false">
      <c r="A90" s="33"/>
      <c r="B90" s="29" t="s">
        <v>132</v>
      </c>
      <c r="C90" s="30" t="n">
        <f aca="false">C89-C88</f>
        <v>-120</v>
      </c>
      <c r="D90" s="30" t="n">
        <f aca="false">D89-D88</f>
        <v>-55</v>
      </c>
      <c r="E90" s="30" t="n">
        <f aca="false">E89-E88</f>
        <v>-120</v>
      </c>
      <c r="F90" s="30" t="n">
        <f aca="false">F89-F88</f>
        <v>-120</v>
      </c>
      <c r="G90" s="30" t="n">
        <f aca="false">G89-G88</f>
        <v>-120</v>
      </c>
      <c r="H90" s="30" t="n">
        <f aca="false">H89-H88</f>
        <v>-120</v>
      </c>
      <c r="I90" s="30" t="n">
        <f aca="false">I89-I88</f>
        <v>-120</v>
      </c>
      <c r="J90" s="30" t="n">
        <f aca="false">J89-J88</f>
        <v>-120</v>
      </c>
      <c r="K90" s="30" t="n">
        <f aca="false">K89-K88</f>
        <v>-120</v>
      </c>
      <c r="L90" s="30" t="n">
        <f aca="false">L89-L88</f>
        <v>-120</v>
      </c>
      <c r="M90" s="30" t="n">
        <f aca="false">M89-M88</f>
        <v>-120</v>
      </c>
      <c r="N90" s="30" t="n">
        <f aca="false">N89-N88</f>
        <v>-120</v>
      </c>
      <c r="O90" s="31" t="n">
        <f aca="false">O89-O88</f>
        <v>-1375</v>
      </c>
    </row>
    <row r="91" customFormat="false" ht="15" hidden="false" customHeight="true" outlineLevel="0" collapsed="false">
      <c r="A91" s="33" t="str">
        <f aca="false">Setup!A40</f>
        <v>Subscriptions</v>
      </c>
      <c r="B91" s="29" t="s">
        <v>130</v>
      </c>
      <c r="C91" s="30" t="n">
        <f aca="false">Setup!C40</f>
        <v>60</v>
      </c>
      <c r="D91" s="30" t="n">
        <f aca="false">Setup!C40</f>
        <v>60</v>
      </c>
      <c r="E91" s="30" t="n">
        <f aca="false">Setup!C40</f>
        <v>60</v>
      </c>
      <c r="F91" s="30" t="n">
        <f aca="false">Setup!C40</f>
        <v>60</v>
      </c>
      <c r="G91" s="30" t="n">
        <f aca="false">Setup!C40</f>
        <v>60</v>
      </c>
      <c r="H91" s="30" t="n">
        <f aca="false">Setup!C40</f>
        <v>60</v>
      </c>
      <c r="I91" s="30" t="n">
        <f aca="false">Setup!C40</f>
        <v>60</v>
      </c>
      <c r="J91" s="30" t="n">
        <f aca="false">Setup!C40</f>
        <v>60</v>
      </c>
      <c r="K91" s="30" t="n">
        <f aca="false">Setup!C40</f>
        <v>60</v>
      </c>
      <c r="L91" s="30" t="n">
        <f aca="false">Setup!C40</f>
        <v>60</v>
      </c>
      <c r="M91" s="30" t="n">
        <f aca="false">Setup!C40</f>
        <v>60</v>
      </c>
      <c r="N91" s="30" t="n">
        <f aca="false">Setup!C40</f>
        <v>60</v>
      </c>
      <c r="O91" s="31" t="n">
        <f aca="false">SUM(C91:N91)</f>
        <v>720</v>
      </c>
    </row>
    <row r="92" customFormat="false" ht="15" hidden="false" customHeight="true" outlineLevel="0" collapsed="false">
      <c r="A92" s="33"/>
      <c r="B92" s="29" t="s">
        <v>131</v>
      </c>
      <c r="C92" s="30" t="n">
        <f aca="false">SUMIFS(Transactions!$D$5:$D$504,Transactions!$C$5:$C$504,$A91,Transactions!$F$5:$F$504,1,Transactions!$G$5:$G$504,YEAR(Setup!$B$18))</f>
        <v>58</v>
      </c>
      <c r="D92" s="30" t="n">
        <f aca="false">SUMIFS(Transactions!$D$5:$D$504,Transactions!$C$5:$C$504,$A91,Transactions!$F$5:$F$504,2,Transactions!$G$5:$G$504,YEAR(Setup!$B$18))</f>
        <v>0</v>
      </c>
      <c r="E92" s="30" t="n">
        <f aca="false">SUMIFS(Transactions!$D$5:$D$504,Transactions!$C$5:$C$504,$A91,Transactions!$F$5:$F$504,3,Transactions!$G$5:$G$504,YEAR(Setup!$B$18))</f>
        <v>0</v>
      </c>
      <c r="F92" s="30" t="n">
        <f aca="false">SUMIFS(Transactions!$D$5:$D$504,Transactions!$C$5:$C$504,$A91,Transactions!$F$5:$F$504,4,Transactions!$G$5:$G$504,YEAR(Setup!$B$18))</f>
        <v>0</v>
      </c>
      <c r="G92" s="30" t="n">
        <f aca="false">SUMIFS(Transactions!$D$5:$D$504,Transactions!$C$5:$C$504,$A91,Transactions!$F$5:$F$504,5,Transactions!$G$5:$G$504,YEAR(Setup!$B$18))</f>
        <v>0</v>
      </c>
      <c r="H92" s="30" t="n">
        <f aca="false">SUMIFS(Transactions!$D$5:$D$504,Transactions!$C$5:$C$504,$A91,Transactions!$F$5:$F$504,6,Transactions!$G$5:$G$504,YEAR(Setup!$B$18))</f>
        <v>0</v>
      </c>
      <c r="I92" s="30" t="n">
        <f aca="false">SUMIFS(Transactions!$D$5:$D$504,Transactions!$C$5:$C$504,$A91,Transactions!$F$5:$F$504,7,Transactions!$G$5:$G$504,YEAR(Setup!$B$18))</f>
        <v>0</v>
      </c>
      <c r="J92" s="30" t="n">
        <f aca="false">SUMIFS(Transactions!$D$5:$D$504,Transactions!$C$5:$C$504,$A91,Transactions!$F$5:$F$504,8,Transactions!$G$5:$G$504,YEAR(Setup!$B$18))</f>
        <v>0</v>
      </c>
      <c r="K92" s="30" t="n">
        <f aca="false">SUMIFS(Transactions!$D$5:$D$504,Transactions!$C$5:$C$504,$A91,Transactions!$F$5:$F$504,9,Transactions!$G$5:$G$504,YEAR(Setup!$B$18))</f>
        <v>0</v>
      </c>
      <c r="L92" s="30" t="n">
        <f aca="false">SUMIFS(Transactions!$D$5:$D$504,Transactions!$C$5:$C$504,$A91,Transactions!$F$5:$F$504,10,Transactions!$G$5:$G$504,YEAR(Setup!$B$18))</f>
        <v>0</v>
      </c>
      <c r="M92" s="30" t="n">
        <f aca="false">SUMIFS(Transactions!$D$5:$D$504,Transactions!$C$5:$C$504,$A91,Transactions!$F$5:$F$504,11,Transactions!$G$5:$G$504,YEAR(Setup!$B$18))</f>
        <v>0</v>
      </c>
      <c r="N92" s="30" t="n">
        <f aca="false">SUMIFS(Transactions!$D$5:$D$504,Transactions!$C$5:$C$504,$A91,Transactions!$F$5:$F$504,12,Transactions!$G$5:$G$504,YEAR(Setup!$B$18))</f>
        <v>0</v>
      </c>
      <c r="O92" s="31" t="n">
        <f aca="false">SUM(C92:N92)</f>
        <v>58</v>
      </c>
    </row>
    <row r="93" customFormat="false" ht="15" hidden="false" customHeight="true" outlineLevel="0" collapsed="false">
      <c r="A93" s="33"/>
      <c r="B93" s="29" t="s">
        <v>132</v>
      </c>
      <c r="C93" s="30" t="n">
        <f aca="false">C92-C91</f>
        <v>-2</v>
      </c>
      <c r="D93" s="30" t="n">
        <f aca="false">D92-D91</f>
        <v>-60</v>
      </c>
      <c r="E93" s="30" t="n">
        <f aca="false">E92-E91</f>
        <v>-60</v>
      </c>
      <c r="F93" s="30" t="n">
        <f aca="false">F92-F91</f>
        <v>-60</v>
      </c>
      <c r="G93" s="30" t="n">
        <f aca="false">G92-G91</f>
        <v>-60</v>
      </c>
      <c r="H93" s="30" t="n">
        <f aca="false">H92-H91</f>
        <v>-60</v>
      </c>
      <c r="I93" s="30" t="n">
        <f aca="false">I92-I91</f>
        <v>-60</v>
      </c>
      <c r="J93" s="30" t="n">
        <f aca="false">J92-J91</f>
        <v>-60</v>
      </c>
      <c r="K93" s="30" t="n">
        <f aca="false">K92-K91</f>
        <v>-60</v>
      </c>
      <c r="L93" s="30" t="n">
        <f aca="false">L92-L91</f>
        <v>-60</v>
      </c>
      <c r="M93" s="30" t="n">
        <f aca="false">M92-M91</f>
        <v>-60</v>
      </c>
      <c r="N93" s="30" t="n">
        <f aca="false">N92-N91</f>
        <v>-60</v>
      </c>
      <c r="O93" s="31" t="n">
        <f aca="false">O92-O91</f>
        <v>-662</v>
      </c>
    </row>
    <row r="94" customFormat="false" ht="15" hidden="false" customHeight="true" outlineLevel="0" collapsed="false">
      <c r="A94" s="33" t="str">
        <f aca="false">Setup!A41</f>
        <v>Personal Care</v>
      </c>
      <c r="B94" s="29" t="s">
        <v>130</v>
      </c>
      <c r="C94" s="30" t="n">
        <f aca="false">Setup!C41</f>
        <v>80</v>
      </c>
      <c r="D94" s="30" t="n">
        <f aca="false">Setup!C41</f>
        <v>80</v>
      </c>
      <c r="E94" s="30" t="n">
        <f aca="false">Setup!C41</f>
        <v>80</v>
      </c>
      <c r="F94" s="30" t="n">
        <f aca="false">Setup!C41</f>
        <v>80</v>
      </c>
      <c r="G94" s="30" t="n">
        <f aca="false">Setup!C41</f>
        <v>80</v>
      </c>
      <c r="H94" s="30" t="n">
        <f aca="false">Setup!C41</f>
        <v>80</v>
      </c>
      <c r="I94" s="30" t="n">
        <f aca="false">Setup!C41</f>
        <v>80</v>
      </c>
      <c r="J94" s="30" t="n">
        <f aca="false">Setup!C41</f>
        <v>80</v>
      </c>
      <c r="K94" s="30" t="n">
        <f aca="false">Setup!C41</f>
        <v>80</v>
      </c>
      <c r="L94" s="30" t="n">
        <f aca="false">Setup!C41</f>
        <v>80</v>
      </c>
      <c r="M94" s="30" t="n">
        <f aca="false">Setup!C41</f>
        <v>80</v>
      </c>
      <c r="N94" s="30" t="n">
        <f aca="false">Setup!C41</f>
        <v>80</v>
      </c>
      <c r="O94" s="31" t="n">
        <f aca="false">SUM(C94:N94)</f>
        <v>960</v>
      </c>
    </row>
    <row r="95" customFormat="false" ht="15" hidden="false" customHeight="true" outlineLevel="0" collapsed="false">
      <c r="A95" s="33"/>
      <c r="B95" s="29" t="s">
        <v>131</v>
      </c>
      <c r="C95" s="30" t="n">
        <f aca="false">SUMIFS(Transactions!$D$5:$D$504,Transactions!$C$5:$C$504,$A94,Transactions!$F$5:$F$504,1,Transactions!$G$5:$G$504,YEAR(Setup!$B$18))</f>
        <v>75</v>
      </c>
      <c r="D95" s="30" t="n">
        <f aca="false">SUMIFS(Transactions!$D$5:$D$504,Transactions!$C$5:$C$504,$A94,Transactions!$F$5:$F$504,2,Transactions!$G$5:$G$504,YEAR(Setup!$B$18))</f>
        <v>0</v>
      </c>
      <c r="E95" s="30" t="n">
        <f aca="false">SUMIFS(Transactions!$D$5:$D$504,Transactions!$C$5:$C$504,$A94,Transactions!$F$5:$F$504,3,Transactions!$G$5:$G$504,YEAR(Setup!$B$18))</f>
        <v>0</v>
      </c>
      <c r="F95" s="30" t="n">
        <f aca="false">SUMIFS(Transactions!$D$5:$D$504,Transactions!$C$5:$C$504,$A94,Transactions!$F$5:$F$504,4,Transactions!$G$5:$G$504,YEAR(Setup!$B$18))</f>
        <v>0</v>
      </c>
      <c r="G95" s="30" t="n">
        <f aca="false">SUMIFS(Transactions!$D$5:$D$504,Transactions!$C$5:$C$504,$A94,Transactions!$F$5:$F$504,5,Transactions!$G$5:$G$504,YEAR(Setup!$B$18))</f>
        <v>0</v>
      </c>
      <c r="H95" s="30" t="n">
        <f aca="false">SUMIFS(Transactions!$D$5:$D$504,Transactions!$C$5:$C$504,$A94,Transactions!$F$5:$F$504,6,Transactions!$G$5:$G$504,YEAR(Setup!$B$18))</f>
        <v>0</v>
      </c>
      <c r="I95" s="30" t="n">
        <f aca="false">SUMIFS(Transactions!$D$5:$D$504,Transactions!$C$5:$C$504,$A94,Transactions!$F$5:$F$504,7,Transactions!$G$5:$G$504,YEAR(Setup!$B$18))</f>
        <v>0</v>
      </c>
      <c r="J95" s="30" t="n">
        <f aca="false">SUMIFS(Transactions!$D$5:$D$504,Transactions!$C$5:$C$504,$A94,Transactions!$F$5:$F$504,8,Transactions!$G$5:$G$504,YEAR(Setup!$B$18))</f>
        <v>0</v>
      </c>
      <c r="K95" s="30" t="n">
        <f aca="false">SUMIFS(Transactions!$D$5:$D$504,Transactions!$C$5:$C$504,$A94,Transactions!$F$5:$F$504,9,Transactions!$G$5:$G$504,YEAR(Setup!$B$18))</f>
        <v>0</v>
      </c>
      <c r="L95" s="30" t="n">
        <f aca="false">SUMIFS(Transactions!$D$5:$D$504,Transactions!$C$5:$C$504,$A94,Transactions!$F$5:$F$504,10,Transactions!$G$5:$G$504,YEAR(Setup!$B$18))</f>
        <v>0</v>
      </c>
      <c r="M95" s="30" t="n">
        <f aca="false">SUMIFS(Transactions!$D$5:$D$504,Transactions!$C$5:$C$504,$A94,Transactions!$F$5:$F$504,11,Transactions!$G$5:$G$504,YEAR(Setup!$B$18))</f>
        <v>0</v>
      </c>
      <c r="N95" s="30" t="n">
        <f aca="false">SUMIFS(Transactions!$D$5:$D$504,Transactions!$C$5:$C$504,$A94,Transactions!$F$5:$F$504,12,Transactions!$G$5:$G$504,YEAR(Setup!$B$18))</f>
        <v>0</v>
      </c>
      <c r="O95" s="31" t="n">
        <f aca="false">SUM(C95:N95)</f>
        <v>75</v>
      </c>
    </row>
    <row r="96" customFormat="false" ht="15" hidden="false" customHeight="true" outlineLevel="0" collapsed="false">
      <c r="A96" s="33"/>
      <c r="B96" s="29" t="s">
        <v>132</v>
      </c>
      <c r="C96" s="30" t="n">
        <f aca="false">C95-C94</f>
        <v>-5</v>
      </c>
      <c r="D96" s="30" t="n">
        <f aca="false">D95-D94</f>
        <v>-80</v>
      </c>
      <c r="E96" s="30" t="n">
        <f aca="false">E95-E94</f>
        <v>-80</v>
      </c>
      <c r="F96" s="30" t="n">
        <f aca="false">F95-F94</f>
        <v>-80</v>
      </c>
      <c r="G96" s="30" t="n">
        <f aca="false">G95-G94</f>
        <v>-80</v>
      </c>
      <c r="H96" s="30" t="n">
        <f aca="false">H95-H94</f>
        <v>-80</v>
      </c>
      <c r="I96" s="30" t="n">
        <f aca="false">I95-I94</f>
        <v>-80</v>
      </c>
      <c r="J96" s="30" t="n">
        <f aca="false">J95-J94</f>
        <v>-80</v>
      </c>
      <c r="K96" s="30" t="n">
        <f aca="false">K95-K94</f>
        <v>-80</v>
      </c>
      <c r="L96" s="30" t="n">
        <f aca="false">L95-L94</f>
        <v>-80</v>
      </c>
      <c r="M96" s="30" t="n">
        <f aca="false">M95-M94</f>
        <v>-80</v>
      </c>
      <c r="N96" s="30" t="n">
        <f aca="false">N95-N94</f>
        <v>-80</v>
      </c>
      <c r="O96" s="31" t="n">
        <f aca="false">O95-O94</f>
        <v>-885</v>
      </c>
    </row>
    <row r="97" customFormat="false" ht="15" hidden="false" customHeight="true" outlineLevel="0" collapsed="false">
      <c r="A97" s="33" t="str">
        <f aca="false">Setup!A42</f>
        <v>Clothing</v>
      </c>
      <c r="B97" s="29" t="s">
        <v>130</v>
      </c>
      <c r="C97" s="30" t="n">
        <f aca="false">Setup!C42</f>
        <v>100</v>
      </c>
      <c r="D97" s="30" t="n">
        <f aca="false">Setup!C42</f>
        <v>100</v>
      </c>
      <c r="E97" s="30" t="n">
        <f aca="false">Setup!C42</f>
        <v>100</v>
      </c>
      <c r="F97" s="30" t="n">
        <f aca="false">Setup!C42</f>
        <v>100</v>
      </c>
      <c r="G97" s="30" t="n">
        <f aca="false">Setup!C42</f>
        <v>100</v>
      </c>
      <c r="H97" s="30" t="n">
        <f aca="false">Setup!C42</f>
        <v>100</v>
      </c>
      <c r="I97" s="30" t="n">
        <f aca="false">Setup!C42</f>
        <v>100</v>
      </c>
      <c r="J97" s="30" t="n">
        <f aca="false">Setup!C42</f>
        <v>100</v>
      </c>
      <c r="K97" s="30" t="n">
        <f aca="false">Setup!C42</f>
        <v>100</v>
      </c>
      <c r="L97" s="30" t="n">
        <f aca="false">Setup!C42</f>
        <v>100</v>
      </c>
      <c r="M97" s="30" t="n">
        <f aca="false">Setup!C42</f>
        <v>100</v>
      </c>
      <c r="N97" s="30" t="n">
        <f aca="false">Setup!C42</f>
        <v>100</v>
      </c>
      <c r="O97" s="31" t="n">
        <f aca="false">SUM(C97:N97)</f>
        <v>1200</v>
      </c>
    </row>
    <row r="98" customFormat="false" ht="15" hidden="false" customHeight="true" outlineLevel="0" collapsed="false">
      <c r="A98" s="33"/>
      <c r="B98" s="29" t="s">
        <v>131</v>
      </c>
      <c r="C98" s="30" t="n">
        <f aca="false">SUMIFS(Transactions!$D$5:$D$504,Transactions!$C$5:$C$504,$A97,Transactions!$F$5:$F$504,1,Transactions!$G$5:$G$504,YEAR(Setup!$B$18))</f>
        <v>0</v>
      </c>
      <c r="D98" s="30" t="n">
        <f aca="false">SUMIFS(Transactions!$D$5:$D$504,Transactions!$C$5:$C$504,$A97,Transactions!$F$5:$F$504,2,Transactions!$G$5:$G$504,YEAR(Setup!$B$18))</f>
        <v>0</v>
      </c>
      <c r="E98" s="30" t="n">
        <f aca="false">SUMIFS(Transactions!$D$5:$D$504,Transactions!$C$5:$C$504,$A97,Transactions!$F$5:$F$504,3,Transactions!$G$5:$G$504,YEAR(Setup!$B$18))</f>
        <v>110</v>
      </c>
      <c r="F98" s="30" t="n">
        <f aca="false">SUMIFS(Transactions!$D$5:$D$504,Transactions!$C$5:$C$504,$A97,Transactions!$F$5:$F$504,4,Transactions!$G$5:$G$504,YEAR(Setup!$B$18))</f>
        <v>0</v>
      </c>
      <c r="G98" s="30" t="n">
        <f aca="false">SUMIFS(Transactions!$D$5:$D$504,Transactions!$C$5:$C$504,$A97,Transactions!$F$5:$F$504,5,Transactions!$G$5:$G$504,YEAR(Setup!$B$18))</f>
        <v>0</v>
      </c>
      <c r="H98" s="30" t="n">
        <f aca="false">SUMIFS(Transactions!$D$5:$D$504,Transactions!$C$5:$C$504,$A97,Transactions!$F$5:$F$504,6,Transactions!$G$5:$G$504,YEAR(Setup!$B$18))</f>
        <v>0</v>
      </c>
      <c r="I98" s="30" t="n">
        <f aca="false">SUMIFS(Transactions!$D$5:$D$504,Transactions!$C$5:$C$504,$A97,Transactions!$F$5:$F$504,7,Transactions!$G$5:$G$504,YEAR(Setup!$B$18))</f>
        <v>0</v>
      </c>
      <c r="J98" s="30" t="n">
        <f aca="false">SUMIFS(Transactions!$D$5:$D$504,Transactions!$C$5:$C$504,$A97,Transactions!$F$5:$F$504,8,Transactions!$G$5:$G$504,YEAR(Setup!$B$18))</f>
        <v>0</v>
      </c>
      <c r="K98" s="30" t="n">
        <f aca="false">SUMIFS(Transactions!$D$5:$D$504,Transactions!$C$5:$C$504,$A97,Transactions!$F$5:$F$504,9,Transactions!$G$5:$G$504,YEAR(Setup!$B$18))</f>
        <v>0</v>
      </c>
      <c r="L98" s="30" t="n">
        <f aca="false">SUMIFS(Transactions!$D$5:$D$504,Transactions!$C$5:$C$504,$A97,Transactions!$F$5:$F$504,10,Transactions!$G$5:$G$504,YEAR(Setup!$B$18))</f>
        <v>0</v>
      </c>
      <c r="M98" s="30" t="n">
        <f aca="false">SUMIFS(Transactions!$D$5:$D$504,Transactions!$C$5:$C$504,$A97,Transactions!$F$5:$F$504,11,Transactions!$G$5:$G$504,YEAR(Setup!$B$18))</f>
        <v>0</v>
      </c>
      <c r="N98" s="30" t="n">
        <f aca="false">SUMIFS(Transactions!$D$5:$D$504,Transactions!$C$5:$C$504,$A97,Transactions!$F$5:$F$504,12,Transactions!$G$5:$G$504,YEAR(Setup!$B$18))</f>
        <v>0</v>
      </c>
      <c r="O98" s="31" t="n">
        <f aca="false">SUM(C98:N98)</f>
        <v>110</v>
      </c>
    </row>
    <row r="99" customFormat="false" ht="15" hidden="false" customHeight="true" outlineLevel="0" collapsed="false">
      <c r="A99" s="33"/>
      <c r="B99" s="29" t="s">
        <v>132</v>
      </c>
      <c r="C99" s="30" t="n">
        <f aca="false">C98-C97</f>
        <v>-100</v>
      </c>
      <c r="D99" s="30" t="n">
        <f aca="false">D98-D97</f>
        <v>-100</v>
      </c>
      <c r="E99" s="30" t="n">
        <f aca="false">E98-E97</f>
        <v>10</v>
      </c>
      <c r="F99" s="30" t="n">
        <f aca="false">F98-F97</f>
        <v>-100</v>
      </c>
      <c r="G99" s="30" t="n">
        <f aca="false">G98-G97</f>
        <v>-100</v>
      </c>
      <c r="H99" s="30" t="n">
        <f aca="false">H98-H97</f>
        <v>-100</v>
      </c>
      <c r="I99" s="30" t="n">
        <f aca="false">I98-I97</f>
        <v>-100</v>
      </c>
      <c r="J99" s="30" t="n">
        <f aca="false">J98-J97</f>
        <v>-100</v>
      </c>
      <c r="K99" s="30" t="n">
        <f aca="false">K98-K97</f>
        <v>-100</v>
      </c>
      <c r="L99" s="30" t="n">
        <f aca="false">L98-L97</f>
        <v>-100</v>
      </c>
      <c r="M99" s="30" t="n">
        <f aca="false">M98-M97</f>
        <v>-100</v>
      </c>
      <c r="N99" s="30" t="n">
        <f aca="false">N98-N97</f>
        <v>-100</v>
      </c>
      <c r="O99" s="31" t="n">
        <f aca="false">O98-O97</f>
        <v>-1090</v>
      </c>
    </row>
    <row r="100" customFormat="false" ht="15" hidden="false" customHeight="true" outlineLevel="0" collapsed="false">
      <c r="A100" s="34" t="s">
        <v>146</v>
      </c>
      <c r="B100" s="35" t="s">
        <v>130</v>
      </c>
      <c r="C100" s="36" t="n">
        <f aca="false">C88+C91+C94+C97</f>
        <v>360</v>
      </c>
      <c r="D100" s="36" t="n">
        <f aca="false">D88+D91+D94+D97</f>
        <v>360</v>
      </c>
      <c r="E100" s="36" t="n">
        <f aca="false">E88+E91+E94+E97</f>
        <v>360</v>
      </c>
      <c r="F100" s="36" t="n">
        <f aca="false">F88+F91+F94+F97</f>
        <v>360</v>
      </c>
      <c r="G100" s="36" t="n">
        <f aca="false">G88+G91+G94+G97</f>
        <v>360</v>
      </c>
      <c r="H100" s="36" t="n">
        <f aca="false">H88+H91+H94+H97</f>
        <v>360</v>
      </c>
      <c r="I100" s="36" t="n">
        <f aca="false">I88+I91+I94+I97</f>
        <v>360</v>
      </c>
      <c r="J100" s="36" t="n">
        <f aca="false">J88+J91+J94+J97</f>
        <v>360</v>
      </c>
      <c r="K100" s="36" t="n">
        <f aca="false">K88+K91+K94+K97</f>
        <v>360</v>
      </c>
      <c r="L100" s="36" t="n">
        <f aca="false">L88+L91+L94+L97</f>
        <v>360</v>
      </c>
      <c r="M100" s="36" t="n">
        <f aca="false">M88+M91+M94+M97</f>
        <v>360</v>
      </c>
      <c r="N100" s="36" t="n">
        <f aca="false">N88+N91+N94+N97</f>
        <v>360</v>
      </c>
      <c r="O100" s="36" t="n">
        <f aca="false">SUM(C100:N100)</f>
        <v>4320</v>
      </c>
    </row>
    <row r="101" customFormat="false" ht="15" hidden="false" customHeight="true" outlineLevel="0" collapsed="false">
      <c r="A101" s="34"/>
      <c r="B101" s="35" t="s">
        <v>131</v>
      </c>
      <c r="C101" s="36" t="n">
        <f aca="false">C89+C92+C95+C98</f>
        <v>133</v>
      </c>
      <c r="D101" s="36" t="n">
        <f aca="false">D89+D92+D95+D98</f>
        <v>65</v>
      </c>
      <c r="E101" s="36" t="n">
        <f aca="false">E89+E92+E95+E98</f>
        <v>110</v>
      </c>
      <c r="F101" s="36" t="n">
        <f aca="false">F89+F92+F95+F98</f>
        <v>0</v>
      </c>
      <c r="G101" s="36" t="n">
        <f aca="false">G89+G92+G95+G98</f>
        <v>0</v>
      </c>
      <c r="H101" s="36" t="n">
        <f aca="false">H89+H92+H95+H98</f>
        <v>0</v>
      </c>
      <c r="I101" s="36" t="n">
        <f aca="false">I89+I92+I95+I98</f>
        <v>0</v>
      </c>
      <c r="J101" s="36" t="n">
        <f aca="false">J89+J92+J95+J98</f>
        <v>0</v>
      </c>
      <c r="K101" s="36" t="n">
        <f aca="false">K89+K92+K95+K98</f>
        <v>0</v>
      </c>
      <c r="L101" s="36" t="n">
        <f aca="false">L89+L92+L95+L98</f>
        <v>0</v>
      </c>
      <c r="M101" s="36" t="n">
        <f aca="false">M89+M92+M95+M98</f>
        <v>0</v>
      </c>
      <c r="N101" s="36" t="n">
        <f aca="false">N89+N92+N95+N98</f>
        <v>0</v>
      </c>
      <c r="O101" s="36" t="n">
        <f aca="false">SUM(C101:N101)</f>
        <v>308</v>
      </c>
    </row>
    <row r="102" customFormat="false" ht="15" hidden="false" customHeight="true" outlineLevel="0" collapsed="false">
      <c r="A102" s="34"/>
      <c r="B102" s="35" t="s">
        <v>132</v>
      </c>
      <c r="C102" s="36" t="n">
        <f aca="false">C101-C100</f>
        <v>-227</v>
      </c>
      <c r="D102" s="36" t="n">
        <f aca="false">D101-D100</f>
        <v>-295</v>
      </c>
      <c r="E102" s="36" t="n">
        <f aca="false">E101-E100</f>
        <v>-250</v>
      </c>
      <c r="F102" s="36" t="n">
        <f aca="false">F101-F100</f>
        <v>-360</v>
      </c>
      <c r="G102" s="36" t="n">
        <f aca="false">G101-G100</f>
        <v>-360</v>
      </c>
      <c r="H102" s="36" t="n">
        <f aca="false">H101-H100</f>
        <v>-360</v>
      </c>
      <c r="I102" s="36" t="n">
        <f aca="false">I101-I100</f>
        <v>-360</v>
      </c>
      <c r="J102" s="36" t="n">
        <f aca="false">J101-J100</f>
        <v>-360</v>
      </c>
      <c r="K102" s="36" t="n">
        <f aca="false">K101-K100</f>
        <v>-360</v>
      </c>
      <c r="L102" s="36" t="n">
        <f aca="false">L101-L100</f>
        <v>-360</v>
      </c>
      <c r="M102" s="36" t="n">
        <f aca="false">M101-M100</f>
        <v>-360</v>
      </c>
      <c r="N102" s="36" t="n">
        <f aca="false">N101-N100</f>
        <v>-360</v>
      </c>
      <c r="O102" s="36" t="n">
        <f aca="false">O101-O100</f>
        <v>-4012</v>
      </c>
    </row>
    <row r="104" customFormat="false" ht="15" hidden="false" customHeight="true" outlineLevel="0" collapsed="false">
      <c r="A104" s="32" t="s">
        <v>147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</row>
    <row r="105" customFormat="false" ht="15" hidden="false" customHeight="true" outlineLevel="0" collapsed="false">
      <c r="A105" s="33" t="str">
        <f aca="false">Setup!A43</f>
        <v>Gifts and Donations</v>
      </c>
      <c r="B105" s="29" t="s">
        <v>130</v>
      </c>
      <c r="C105" s="30" t="n">
        <f aca="false">Setup!C43</f>
        <v>100</v>
      </c>
      <c r="D105" s="30" t="n">
        <f aca="false">Setup!C43</f>
        <v>100</v>
      </c>
      <c r="E105" s="30" t="n">
        <f aca="false">Setup!C43</f>
        <v>100</v>
      </c>
      <c r="F105" s="30" t="n">
        <f aca="false">Setup!C43</f>
        <v>100</v>
      </c>
      <c r="G105" s="30" t="n">
        <f aca="false">Setup!C43</f>
        <v>100</v>
      </c>
      <c r="H105" s="30" t="n">
        <f aca="false">Setup!C43</f>
        <v>100</v>
      </c>
      <c r="I105" s="30" t="n">
        <f aca="false">Setup!C43</f>
        <v>100</v>
      </c>
      <c r="J105" s="30" t="n">
        <f aca="false">Setup!C43</f>
        <v>100</v>
      </c>
      <c r="K105" s="30" t="n">
        <f aca="false">Setup!C43</f>
        <v>100</v>
      </c>
      <c r="L105" s="30" t="n">
        <f aca="false">Setup!C43</f>
        <v>100</v>
      </c>
      <c r="M105" s="30" t="n">
        <f aca="false">Setup!C43</f>
        <v>100</v>
      </c>
      <c r="N105" s="30" t="n">
        <f aca="false">Setup!C43</f>
        <v>100</v>
      </c>
      <c r="O105" s="31" t="n">
        <f aca="false">SUM(C105:N105)</f>
        <v>1200</v>
      </c>
    </row>
    <row r="106" customFormat="false" ht="15" hidden="false" customHeight="true" outlineLevel="0" collapsed="false">
      <c r="A106" s="33"/>
      <c r="B106" s="29" t="s">
        <v>131</v>
      </c>
      <c r="C106" s="30" t="n">
        <f aca="false">SUMIFS(Transactions!$D$5:$D$504,Transactions!$C$5:$C$504,$A105,Transactions!$F$5:$F$504,1,Transactions!$G$5:$G$504,YEAR(Setup!$B$18))</f>
        <v>100</v>
      </c>
      <c r="D106" s="30" t="n">
        <f aca="false">SUMIFS(Transactions!$D$5:$D$504,Transactions!$C$5:$C$504,$A105,Transactions!$F$5:$F$504,2,Transactions!$G$5:$G$504,YEAR(Setup!$B$18))</f>
        <v>0</v>
      </c>
      <c r="E106" s="30" t="n">
        <f aca="false">SUMIFS(Transactions!$D$5:$D$504,Transactions!$C$5:$C$504,$A105,Transactions!$F$5:$F$504,3,Transactions!$G$5:$G$504,YEAR(Setup!$B$18))</f>
        <v>0</v>
      </c>
      <c r="F106" s="30" t="n">
        <f aca="false">SUMIFS(Transactions!$D$5:$D$504,Transactions!$C$5:$C$504,$A105,Transactions!$F$5:$F$504,4,Transactions!$G$5:$G$504,YEAR(Setup!$B$18))</f>
        <v>0</v>
      </c>
      <c r="G106" s="30" t="n">
        <f aca="false">SUMIFS(Transactions!$D$5:$D$504,Transactions!$C$5:$C$504,$A105,Transactions!$F$5:$F$504,5,Transactions!$G$5:$G$504,YEAR(Setup!$B$18))</f>
        <v>0</v>
      </c>
      <c r="H106" s="30" t="n">
        <f aca="false">SUMIFS(Transactions!$D$5:$D$504,Transactions!$C$5:$C$504,$A105,Transactions!$F$5:$F$504,6,Transactions!$G$5:$G$504,YEAR(Setup!$B$18))</f>
        <v>0</v>
      </c>
      <c r="I106" s="30" t="n">
        <f aca="false">SUMIFS(Transactions!$D$5:$D$504,Transactions!$C$5:$C$504,$A105,Transactions!$F$5:$F$504,7,Transactions!$G$5:$G$504,YEAR(Setup!$B$18))</f>
        <v>0</v>
      </c>
      <c r="J106" s="30" t="n">
        <f aca="false">SUMIFS(Transactions!$D$5:$D$504,Transactions!$C$5:$C$504,$A105,Transactions!$F$5:$F$504,8,Transactions!$G$5:$G$504,YEAR(Setup!$B$18))</f>
        <v>0</v>
      </c>
      <c r="K106" s="30" t="n">
        <f aca="false">SUMIFS(Transactions!$D$5:$D$504,Transactions!$C$5:$C$504,$A105,Transactions!$F$5:$F$504,9,Transactions!$G$5:$G$504,YEAR(Setup!$B$18))</f>
        <v>0</v>
      </c>
      <c r="L106" s="30" t="n">
        <f aca="false">SUMIFS(Transactions!$D$5:$D$504,Transactions!$C$5:$C$504,$A105,Transactions!$F$5:$F$504,10,Transactions!$G$5:$G$504,YEAR(Setup!$B$18))</f>
        <v>0</v>
      </c>
      <c r="M106" s="30" t="n">
        <f aca="false">SUMIFS(Transactions!$D$5:$D$504,Transactions!$C$5:$C$504,$A105,Transactions!$F$5:$F$504,11,Transactions!$G$5:$G$504,YEAR(Setup!$B$18))</f>
        <v>0</v>
      </c>
      <c r="N106" s="30" t="n">
        <f aca="false">SUMIFS(Transactions!$D$5:$D$504,Transactions!$C$5:$C$504,$A105,Transactions!$F$5:$F$504,12,Transactions!$G$5:$G$504,YEAR(Setup!$B$18))</f>
        <v>0</v>
      </c>
      <c r="O106" s="31" t="n">
        <f aca="false">SUM(C106:N106)</f>
        <v>100</v>
      </c>
    </row>
    <row r="107" customFormat="false" ht="15" hidden="false" customHeight="true" outlineLevel="0" collapsed="false">
      <c r="A107" s="33"/>
      <c r="B107" s="29" t="s">
        <v>132</v>
      </c>
      <c r="C107" s="30" t="n">
        <f aca="false">C106-C105</f>
        <v>0</v>
      </c>
      <c r="D107" s="30" t="n">
        <f aca="false">D106-D105</f>
        <v>-100</v>
      </c>
      <c r="E107" s="30" t="n">
        <f aca="false">E106-E105</f>
        <v>-100</v>
      </c>
      <c r="F107" s="30" t="n">
        <f aca="false">F106-F105</f>
        <v>-100</v>
      </c>
      <c r="G107" s="30" t="n">
        <f aca="false">G106-G105</f>
        <v>-100</v>
      </c>
      <c r="H107" s="30" t="n">
        <f aca="false">H106-H105</f>
        <v>-100</v>
      </c>
      <c r="I107" s="30" t="n">
        <f aca="false">I106-I105</f>
        <v>-100</v>
      </c>
      <c r="J107" s="30" t="n">
        <f aca="false">J106-J105</f>
        <v>-100</v>
      </c>
      <c r="K107" s="30" t="n">
        <f aca="false">K106-K105</f>
        <v>-100</v>
      </c>
      <c r="L107" s="30" t="n">
        <f aca="false">L106-L105</f>
        <v>-100</v>
      </c>
      <c r="M107" s="30" t="n">
        <f aca="false">M106-M105</f>
        <v>-100</v>
      </c>
      <c r="N107" s="30" t="n">
        <f aca="false">N106-N105</f>
        <v>-100</v>
      </c>
      <c r="O107" s="31" t="n">
        <f aca="false">O106-O105</f>
        <v>-1100</v>
      </c>
    </row>
    <row r="108" customFormat="false" ht="15" hidden="false" customHeight="true" outlineLevel="0" collapsed="false">
      <c r="A108" s="33" t="str">
        <f aca="false">Setup!A44</f>
        <v>Miscellaneous</v>
      </c>
      <c r="B108" s="29" t="s">
        <v>130</v>
      </c>
      <c r="C108" s="30" t="n">
        <f aca="false">Setup!C44</f>
        <v>80</v>
      </c>
      <c r="D108" s="30" t="n">
        <f aca="false">Setup!C44</f>
        <v>80</v>
      </c>
      <c r="E108" s="30" t="n">
        <f aca="false">Setup!C44</f>
        <v>80</v>
      </c>
      <c r="F108" s="30" t="n">
        <f aca="false">Setup!C44</f>
        <v>80</v>
      </c>
      <c r="G108" s="30" t="n">
        <f aca="false">Setup!C44</f>
        <v>80</v>
      </c>
      <c r="H108" s="30" t="n">
        <f aca="false">Setup!C44</f>
        <v>80</v>
      </c>
      <c r="I108" s="30" t="n">
        <f aca="false">Setup!C44</f>
        <v>80</v>
      </c>
      <c r="J108" s="30" t="n">
        <f aca="false">Setup!C44</f>
        <v>80</v>
      </c>
      <c r="K108" s="30" t="n">
        <f aca="false">Setup!C44</f>
        <v>80</v>
      </c>
      <c r="L108" s="30" t="n">
        <f aca="false">Setup!C44</f>
        <v>80</v>
      </c>
      <c r="M108" s="30" t="n">
        <f aca="false">Setup!C44</f>
        <v>80</v>
      </c>
      <c r="N108" s="30" t="n">
        <f aca="false">Setup!C44</f>
        <v>80</v>
      </c>
      <c r="O108" s="31" t="n">
        <f aca="false">SUM(C108:N108)</f>
        <v>960</v>
      </c>
    </row>
    <row r="109" customFormat="false" ht="15" hidden="false" customHeight="true" outlineLevel="0" collapsed="false">
      <c r="A109" s="33"/>
      <c r="B109" s="29" t="s">
        <v>131</v>
      </c>
      <c r="C109" s="30" t="n">
        <f aca="false">SUMIFS(Transactions!$D$5:$D$504,Transactions!$C$5:$C$504,$A108,Transactions!$F$5:$F$504,1,Transactions!$G$5:$G$504,YEAR(Setup!$B$18))</f>
        <v>0</v>
      </c>
      <c r="D109" s="30" t="n">
        <f aca="false">SUMIFS(Transactions!$D$5:$D$504,Transactions!$C$5:$C$504,$A108,Transactions!$F$5:$F$504,2,Transactions!$G$5:$G$504,YEAR(Setup!$B$18))</f>
        <v>55</v>
      </c>
      <c r="E109" s="30" t="n">
        <f aca="false">SUMIFS(Transactions!$D$5:$D$504,Transactions!$C$5:$C$504,$A108,Transactions!$F$5:$F$504,3,Transactions!$G$5:$G$504,YEAR(Setup!$B$18))</f>
        <v>0</v>
      </c>
      <c r="F109" s="30" t="n">
        <f aca="false">SUMIFS(Transactions!$D$5:$D$504,Transactions!$C$5:$C$504,$A108,Transactions!$F$5:$F$504,4,Transactions!$G$5:$G$504,YEAR(Setup!$B$18))</f>
        <v>0</v>
      </c>
      <c r="G109" s="30" t="n">
        <f aca="false">SUMIFS(Transactions!$D$5:$D$504,Transactions!$C$5:$C$504,$A108,Transactions!$F$5:$F$504,5,Transactions!$G$5:$G$504,YEAR(Setup!$B$18))</f>
        <v>0</v>
      </c>
      <c r="H109" s="30" t="n">
        <f aca="false">SUMIFS(Transactions!$D$5:$D$504,Transactions!$C$5:$C$504,$A108,Transactions!$F$5:$F$504,6,Transactions!$G$5:$G$504,YEAR(Setup!$B$18))</f>
        <v>0</v>
      </c>
      <c r="I109" s="30" t="n">
        <f aca="false">SUMIFS(Transactions!$D$5:$D$504,Transactions!$C$5:$C$504,$A108,Transactions!$F$5:$F$504,7,Transactions!$G$5:$G$504,YEAR(Setup!$B$18))</f>
        <v>0</v>
      </c>
      <c r="J109" s="30" t="n">
        <f aca="false">SUMIFS(Transactions!$D$5:$D$504,Transactions!$C$5:$C$504,$A108,Transactions!$F$5:$F$504,8,Transactions!$G$5:$G$504,YEAR(Setup!$B$18))</f>
        <v>0</v>
      </c>
      <c r="K109" s="30" t="n">
        <f aca="false">SUMIFS(Transactions!$D$5:$D$504,Transactions!$C$5:$C$504,$A108,Transactions!$F$5:$F$504,9,Transactions!$G$5:$G$504,YEAR(Setup!$B$18))</f>
        <v>0</v>
      </c>
      <c r="L109" s="30" t="n">
        <f aca="false">SUMIFS(Transactions!$D$5:$D$504,Transactions!$C$5:$C$504,$A108,Transactions!$F$5:$F$504,10,Transactions!$G$5:$G$504,YEAR(Setup!$B$18))</f>
        <v>0</v>
      </c>
      <c r="M109" s="30" t="n">
        <f aca="false">SUMIFS(Transactions!$D$5:$D$504,Transactions!$C$5:$C$504,$A108,Transactions!$F$5:$F$504,11,Transactions!$G$5:$G$504,YEAR(Setup!$B$18))</f>
        <v>0</v>
      </c>
      <c r="N109" s="30" t="n">
        <f aca="false">SUMIFS(Transactions!$D$5:$D$504,Transactions!$C$5:$C$504,$A108,Transactions!$F$5:$F$504,12,Transactions!$G$5:$G$504,YEAR(Setup!$B$18))</f>
        <v>0</v>
      </c>
      <c r="O109" s="31" t="n">
        <f aca="false">SUM(C109:N109)</f>
        <v>55</v>
      </c>
    </row>
    <row r="110" customFormat="false" ht="15" hidden="false" customHeight="true" outlineLevel="0" collapsed="false">
      <c r="A110" s="33"/>
      <c r="B110" s="29" t="s">
        <v>132</v>
      </c>
      <c r="C110" s="30" t="n">
        <f aca="false">C109-C108</f>
        <v>-80</v>
      </c>
      <c r="D110" s="30" t="n">
        <f aca="false">D109-D108</f>
        <v>-25</v>
      </c>
      <c r="E110" s="30" t="n">
        <f aca="false">E109-E108</f>
        <v>-80</v>
      </c>
      <c r="F110" s="30" t="n">
        <f aca="false">F109-F108</f>
        <v>-80</v>
      </c>
      <c r="G110" s="30" t="n">
        <f aca="false">G109-G108</f>
        <v>-80</v>
      </c>
      <c r="H110" s="30" t="n">
        <f aca="false">H109-H108</f>
        <v>-80</v>
      </c>
      <c r="I110" s="30" t="n">
        <f aca="false">I109-I108</f>
        <v>-80</v>
      </c>
      <c r="J110" s="30" t="n">
        <f aca="false">J109-J108</f>
        <v>-80</v>
      </c>
      <c r="K110" s="30" t="n">
        <f aca="false">K109-K108</f>
        <v>-80</v>
      </c>
      <c r="L110" s="30" t="n">
        <f aca="false">L109-L108</f>
        <v>-80</v>
      </c>
      <c r="M110" s="30" t="n">
        <f aca="false">M109-M108</f>
        <v>-80</v>
      </c>
      <c r="N110" s="30" t="n">
        <f aca="false">N109-N108</f>
        <v>-80</v>
      </c>
      <c r="O110" s="31" t="n">
        <f aca="false">O109-O108</f>
        <v>-905</v>
      </c>
    </row>
    <row r="111" customFormat="false" ht="15" hidden="false" customHeight="true" outlineLevel="0" collapsed="false">
      <c r="A111" s="34" t="s">
        <v>148</v>
      </c>
      <c r="B111" s="35" t="s">
        <v>130</v>
      </c>
      <c r="C111" s="36" t="n">
        <f aca="false">C105+C108</f>
        <v>180</v>
      </c>
      <c r="D111" s="36" t="n">
        <f aca="false">D105+D108</f>
        <v>180</v>
      </c>
      <c r="E111" s="36" t="n">
        <f aca="false">E105+E108</f>
        <v>180</v>
      </c>
      <c r="F111" s="36" t="n">
        <f aca="false">F105+F108</f>
        <v>180</v>
      </c>
      <c r="G111" s="36" t="n">
        <f aca="false">G105+G108</f>
        <v>180</v>
      </c>
      <c r="H111" s="36" t="n">
        <f aca="false">H105+H108</f>
        <v>180</v>
      </c>
      <c r="I111" s="36" t="n">
        <f aca="false">I105+I108</f>
        <v>180</v>
      </c>
      <c r="J111" s="36" t="n">
        <f aca="false">J105+J108</f>
        <v>180</v>
      </c>
      <c r="K111" s="36" t="n">
        <f aca="false">K105+K108</f>
        <v>180</v>
      </c>
      <c r="L111" s="36" t="n">
        <f aca="false">L105+L108</f>
        <v>180</v>
      </c>
      <c r="M111" s="36" t="n">
        <f aca="false">M105+M108</f>
        <v>180</v>
      </c>
      <c r="N111" s="36" t="n">
        <f aca="false">N105+N108</f>
        <v>180</v>
      </c>
      <c r="O111" s="36" t="n">
        <f aca="false">SUM(C111:N111)</f>
        <v>2160</v>
      </c>
    </row>
    <row r="112" customFormat="false" ht="15" hidden="false" customHeight="true" outlineLevel="0" collapsed="false">
      <c r="A112" s="34"/>
      <c r="B112" s="35" t="s">
        <v>131</v>
      </c>
      <c r="C112" s="36" t="n">
        <f aca="false">C106+C109</f>
        <v>100</v>
      </c>
      <c r="D112" s="36" t="n">
        <f aca="false">D106+D109</f>
        <v>55</v>
      </c>
      <c r="E112" s="36" t="n">
        <f aca="false">E106+E109</f>
        <v>0</v>
      </c>
      <c r="F112" s="36" t="n">
        <f aca="false">F106+F109</f>
        <v>0</v>
      </c>
      <c r="G112" s="36" t="n">
        <f aca="false">G106+G109</f>
        <v>0</v>
      </c>
      <c r="H112" s="36" t="n">
        <f aca="false">H106+H109</f>
        <v>0</v>
      </c>
      <c r="I112" s="36" t="n">
        <f aca="false">I106+I109</f>
        <v>0</v>
      </c>
      <c r="J112" s="36" t="n">
        <f aca="false">J106+J109</f>
        <v>0</v>
      </c>
      <c r="K112" s="36" t="n">
        <f aca="false">K106+K109</f>
        <v>0</v>
      </c>
      <c r="L112" s="36" t="n">
        <f aca="false">L106+L109</f>
        <v>0</v>
      </c>
      <c r="M112" s="36" t="n">
        <f aca="false">M106+M109</f>
        <v>0</v>
      </c>
      <c r="N112" s="36" t="n">
        <f aca="false">N106+N109</f>
        <v>0</v>
      </c>
      <c r="O112" s="36" t="n">
        <f aca="false">SUM(C112:N112)</f>
        <v>155</v>
      </c>
    </row>
    <row r="113" customFormat="false" ht="15" hidden="false" customHeight="true" outlineLevel="0" collapsed="false">
      <c r="A113" s="34"/>
      <c r="B113" s="35" t="s">
        <v>132</v>
      </c>
      <c r="C113" s="36" t="n">
        <f aca="false">C112-C111</f>
        <v>-80</v>
      </c>
      <c r="D113" s="36" t="n">
        <f aca="false">D112-D111</f>
        <v>-125</v>
      </c>
      <c r="E113" s="36" t="n">
        <f aca="false">E112-E111</f>
        <v>-180</v>
      </c>
      <c r="F113" s="36" t="n">
        <f aca="false">F112-F111</f>
        <v>-180</v>
      </c>
      <c r="G113" s="36" t="n">
        <f aca="false">G112-G111</f>
        <v>-180</v>
      </c>
      <c r="H113" s="36" t="n">
        <f aca="false">H112-H111</f>
        <v>-180</v>
      </c>
      <c r="I113" s="36" t="n">
        <f aca="false">I112-I111</f>
        <v>-180</v>
      </c>
      <c r="J113" s="36" t="n">
        <f aca="false">J112-J111</f>
        <v>-180</v>
      </c>
      <c r="K113" s="36" t="n">
        <f aca="false">K112-K111</f>
        <v>-180</v>
      </c>
      <c r="L113" s="36" t="n">
        <f aca="false">L112-L111</f>
        <v>-180</v>
      </c>
      <c r="M113" s="36" t="n">
        <f aca="false">M112-M111</f>
        <v>-180</v>
      </c>
      <c r="N113" s="36" t="n">
        <f aca="false">N112-N111</f>
        <v>-180</v>
      </c>
      <c r="O113" s="36" t="n">
        <f aca="false">O112-O111</f>
        <v>-2005</v>
      </c>
    </row>
    <row r="115" customFormat="false" ht="15" hidden="false" customHeight="true" outlineLevel="0" collapsed="false">
      <c r="A115" s="32" t="s">
        <v>149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customFormat="false" ht="15" hidden="false" customHeight="true" outlineLevel="0" collapsed="false">
      <c r="A116" s="34" t="s">
        <v>150</v>
      </c>
      <c r="B116" s="35" t="s">
        <v>130</v>
      </c>
      <c r="C116" s="36" t="n">
        <f aca="false">C19+C33+C44+C58+C69+C83+C100+C111</f>
        <v>5895</v>
      </c>
      <c r="D116" s="36" t="n">
        <f aca="false">D19+D33+D44+D58+D69+D83+D100+D111</f>
        <v>5895</v>
      </c>
      <c r="E116" s="36" t="n">
        <f aca="false">E19+E33+E44+E58+E69+E83+E100+E111</f>
        <v>5895</v>
      </c>
      <c r="F116" s="36" t="n">
        <f aca="false">F19+F33+F44+F58+F69+F83+F100+F111</f>
        <v>5895</v>
      </c>
      <c r="G116" s="36" t="n">
        <f aca="false">G19+G33+G44+G58+G69+G83+G100+G111</f>
        <v>5895</v>
      </c>
      <c r="H116" s="36" t="n">
        <f aca="false">H19+H33+H44+H58+H69+H83+H100+H111</f>
        <v>5895</v>
      </c>
      <c r="I116" s="36" t="n">
        <f aca="false">I19+I33+I44+I58+I69+I83+I100+I111</f>
        <v>5895</v>
      </c>
      <c r="J116" s="36" t="n">
        <f aca="false">J19+J33+J44+J58+J69+J83+J100+J111</f>
        <v>5895</v>
      </c>
      <c r="K116" s="36" t="n">
        <f aca="false">K19+K33+K44+K58+K69+K83+K100+K111</f>
        <v>5895</v>
      </c>
      <c r="L116" s="36" t="n">
        <f aca="false">L19+L33+L44+L58+L69+L83+L100+L111</f>
        <v>5895</v>
      </c>
      <c r="M116" s="36" t="n">
        <f aca="false">M19+M33+M44+M58+M69+M83+M100+M111</f>
        <v>5895</v>
      </c>
      <c r="N116" s="36" t="n">
        <f aca="false">N19+N33+N44+N58+N69+N83+N100+N111</f>
        <v>5895</v>
      </c>
      <c r="O116" s="36" t="n">
        <f aca="false">SUM(C116:N116)</f>
        <v>70740</v>
      </c>
    </row>
    <row r="117" customFormat="false" ht="15" hidden="false" customHeight="true" outlineLevel="0" collapsed="false">
      <c r="A117" s="34"/>
      <c r="B117" s="35" t="s">
        <v>131</v>
      </c>
      <c r="C117" s="36" t="n">
        <f aca="false">C20+C34+C45+C59+C70+C84+C101+C112</f>
        <v>4472</v>
      </c>
      <c r="D117" s="36" t="n">
        <f aca="false">D20+D34+D45+D59+D70+D84+D101+D112</f>
        <v>3872</v>
      </c>
      <c r="E117" s="36" t="n">
        <f aca="false">E20+E34+E45+E59+E70+E84+E101+E112</f>
        <v>4561</v>
      </c>
      <c r="F117" s="36" t="n">
        <f aca="false">F20+F34+F45+F59+F70+F84+F101+F112</f>
        <v>0</v>
      </c>
      <c r="G117" s="36" t="n">
        <f aca="false">G20+G34+G45+G59+G70+G84+G101+G112</f>
        <v>0</v>
      </c>
      <c r="H117" s="36" t="n">
        <f aca="false">H20+H34+H45+H59+H70+H84+H101+H112</f>
        <v>0</v>
      </c>
      <c r="I117" s="36" t="n">
        <f aca="false">I20+I34+I45+I59+I70+I84+I101+I112</f>
        <v>0</v>
      </c>
      <c r="J117" s="36" t="n">
        <f aca="false">J20+J34+J45+J59+J70+J84+J101+J112</f>
        <v>0</v>
      </c>
      <c r="K117" s="36" t="n">
        <f aca="false">K20+K34+K45+K59+K70+K84+K101+K112</f>
        <v>0</v>
      </c>
      <c r="L117" s="36" t="n">
        <f aca="false">L20+L34+L45+L59+L70+L84+L101+L112</f>
        <v>0</v>
      </c>
      <c r="M117" s="36" t="n">
        <f aca="false">M20+M34+M45+M59+M70+M84+M101+M112</f>
        <v>0</v>
      </c>
      <c r="N117" s="36" t="n">
        <f aca="false">N20+N34+N45+N59+N70+N84+N101+N112</f>
        <v>0</v>
      </c>
      <c r="O117" s="36" t="n">
        <f aca="false">SUM(C117:N117)</f>
        <v>12905</v>
      </c>
    </row>
    <row r="118" customFormat="false" ht="15" hidden="false" customHeight="true" outlineLevel="0" collapsed="false">
      <c r="A118" s="34"/>
      <c r="B118" s="35" t="s">
        <v>132</v>
      </c>
      <c r="C118" s="36" t="n">
        <f aca="false">C117-C116</f>
        <v>-1423</v>
      </c>
      <c r="D118" s="36" t="n">
        <f aca="false">D117-D116</f>
        <v>-2023</v>
      </c>
      <c r="E118" s="36" t="n">
        <f aca="false">E117-E116</f>
        <v>-1334</v>
      </c>
      <c r="F118" s="36" t="n">
        <f aca="false">F117-F116</f>
        <v>-5895</v>
      </c>
      <c r="G118" s="36" t="n">
        <f aca="false">G117-G116</f>
        <v>-5895</v>
      </c>
      <c r="H118" s="36" t="n">
        <f aca="false">H117-H116</f>
        <v>-5895</v>
      </c>
      <c r="I118" s="36" t="n">
        <f aca="false">I117-I116</f>
        <v>-5895</v>
      </c>
      <c r="J118" s="36" t="n">
        <f aca="false">J117-J116</f>
        <v>-5895</v>
      </c>
      <c r="K118" s="36" t="n">
        <f aca="false">K117-K116</f>
        <v>-5895</v>
      </c>
      <c r="L118" s="36" t="n">
        <f aca="false">L117-L116</f>
        <v>-5895</v>
      </c>
      <c r="M118" s="36" t="n">
        <f aca="false">M117-M116</f>
        <v>-5895</v>
      </c>
      <c r="N118" s="36" t="n">
        <f aca="false">N117-N116</f>
        <v>-5895</v>
      </c>
      <c r="O118" s="36" t="n">
        <f aca="false">O117-O116</f>
        <v>-57835</v>
      </c>
    </row>
    <row r="119" customFormat="false" ht="15" hidden="false" customHeight="true" outlineLevel="0" collapsed="false">
      <c r="A119" s="17" t="s">
        <v>151</v>
      </c>
      <c r="C119" s="18" t="n">
        <f aca="false">C5-C116</f>
        <v>1905</v>
      </c>
      <c r="D119" s="18" t="n">
        <f aca="false">D5-D116</f>
        <v>1905</v>
      </c>
      <c r="E119" s="18" t="n">
        <f aca="false">E5-E116</f>
        <v>1905</v>
      </c>
      <c r="F119" s="18" t="n">
        <f aca="false">F5-F116</f>
        <v>1905</v>
      </c>
      <c r="G119" s="18" t="n">
        <f aca="false">G5-G116</f>
        <v>1905</v>
      </c>
      <c r="H119" s="18" t="n">
        <f aca="false">H5-H116</f>
        <v>1905</v>
      </c>
      <c r="I119" s="18" t="n">
        <f aca="false">I5-I116</f>
        <v>1905</v>
      </c>
      <c r="J119" s="18" t="n">
        <f aca="false">J5-J116</f>
        <v>1905</v>
      </c>
      <c r="K119" s="18" t="n">
        <f aca="false">K5-K116</f>
        <v>1905</v>
      </c>
      <c r="L119" s="18" t="n">
        <f aca="false">L5-L116</f>
        <v>1905</v>
      </c>
      <c r="M119" s="18" t="n">
        <f aca="false">M5-M116</f>
        <v>1905</v>
      </c>
      <c r="N119" s="18" t="n">
        <f aca="false">N5-N116</f>
        <v>1905</v>
      </c>
      <c r="O119" s="18" t="n">
        <f aca="false">SUM(C119:N119)</f>
        <v>22860</v>
      </c>
    </row>
    <row r="120" customFormat="false" ht="15" hidden="false" customHeight="true" outlineLevel="0" collapsed="false">
      <c r="A120" s="17" t="s">
        <v>152</v>
      </c>
      <c r="C120" s="18" t="n">
        <f aca="false">C6-C117</f>
        <v>3328</v>
      </c>
      <c r="D120" s="18" t="n">
        <f aca="false">D6-D117</f>
        <v>4078</v>
      </c>
      <c r="E120" s="18" t="n">
        <f aca="false">E6-E117</f>
        <v>3039</v>
      </c>
      <c r="F120" s="18" t="n">
        <f aca="false">F6-F117</f>
        <v>0</v>
      </c>
      <c r="G120" s="18" t="n">
        <f aca="false">G6-G117</f>
        <v>0</v>
      </c>
      <c r="H120" s="18" t="n">
        <f aca="false">H6-H117</f>
        <v>0</v>
      </c>
      <c r="I120" s="18" t="n">
        <f aca="false">I6-I117</f>
        <v>0</v>
      </c>
      <c r="J120" s="18" t="n">
        <f aca="false">J6-J117</f>
        <v>0</v>
      </c>
      <c r="K120" s="18" t="n">
        <f aca="false">K6-K117</f>
        <v>0</v>
      </c>
      <c r="L120" s="18" t="n">
        <f aca="false">L6-L117</f>
        <v>0</v>
      </c>
      <c r="M120" s="18" t="n">
        <f aca="false">M6-M117</f>
        <v>0</v>
      </c>
      <c r="N120" s="18" t="n">
        <f aca="false">N6-N117</f>
        <v>0</v>
      </c>
      <c r="O120" s="18" t="n">
        <f aca="false">SUM(C120:N120)</f>
        <v>10445</v>
      </c>
    </row>
    <row r="121" customFormat="false" ht="15" hidden="false" customHeight="true" outlineLevel="0" collapsed="false">
      <c r="A121" s="17" t="s">
        <v>153</v>
      </c>
      <c r="C121" s="37" t="n">
        <f aca="false">IFERROR(C119/C5,0)</f>
        <v>0.244230769230769</v>
      </c>
      <c r="D121" s="37" t="n">
        <f aca="false">IFERROR(D119/D5,0)</f>
        <v>0.244230769230769</v>
      </c>
      <c r="E121" s="37" t="n">
        <f aca="false">IFERROR(E119/E5,0)</f>
        <v>0.244230769230769</v>
      </c>
      <c r="F121" s="37" t="n">
        <f aca="false">IFERROR(F119/F5,0)</f>
        <v>0.244230769230769</v>
      </c>
      <c r="G121" s="37" t="n">
        <f aca="false">IFERROR(G119/G5,0)</f>
        <v>0.244230769230769</v>
      </c>
      <c r="H121" s="37" t="n">
        <f aca="false">IFERROR(H119/H5,0)</f>
        <v>0.244230769230769</v>
      </c>
      <c r="I121" s="37" t="n">
        <f aca="false">IFERROR(I119/I5,0)</f>
        <v>0.244230769230769</v>
      </c>
      <c r="J121" s="37" t="n">
        <f aca="false">IFERROR(J119/J5,0)</f>
        <v>0.244230769230769</v>
      </c>
      <c r="K121" s="37" t="n">
        <f aca="false">IFERROR(K119/K5,0)</f>
        <v>0.244230769230769</v>
      </c>
      <c r="L121" s="37" t="n">
        <f aca="false">IFERROR(L119/L5,0)</f>
        <v>0.244230769230769</v>
      </c>
      <c r="M121" s="37" t="n">
        <f aca="false">IFERROR(M119/M5,0)</f>
        <v>0.244230769230769</v>
      </c>
      <c r="N121" s="37" t="n">
        <f aca="false">IFERROR(N119/N5,0)</f>
        <v>0.244230769230769</v>
      </c>
    </row>
    <row r="122" customFormat="false" ht="15" hidden="false" customHeight="true" outlineLevel="0" collapsed="false">
      <c r="A122" s="17" t="s">
        <v>154</v>
      </c>
      <c r="C122" s="37" t="n">
        <f aca="false">IFERROR(C120/C6,0)</f>
        <v>0.426666666666667</v>
      </c>
      <c r="D122" s="37" t="n">
        <f aca="false">IFERROR(D120/D6,0)</f>
        <v>0.512955974842767</v>
      </c>
      <c r="E122" s="37" t="n">
        <f aca="false">IFERROR(E120/E6,0)</f>
        <v>0.399868421052632</v>
      </c>
      <c r="F122" s="37" t="n">
        <f aca="false">IFERROR(F120/F6,0)</f>
        <v>0</v>
      </c>
      <c r="G122" s="37" t="n">
        <f aca="false">IFERROR(G120/G6,0)</f>
        <v>0</v>
      </c>
      <c r="H122" s="37" t="n">
        <f aca="false">IFERROR(H120/H6,0)</f>
        <v>0</v>
      </c>
      <c r="I122" s="37" t="n">
        <f aca="false">IFERROR(I120/I6,0)</f>
        <v>0</v>
      </c>
      <c r="J122" s="37" t="n">
        <f aca="false">IFERROR(J120/J6,0)</f>
        <v>0</v>
      </c>
      <c r="K122" s="37" t="n">
        <f aca="false">IFERROR(K120/K6,0)</f>
        <v>0</v>
      </c>
      <c r="L122" s="37" t="n">
        <f aca="false">IFERROR(L120/L6,0)</f>
        <v>0</v>
      </c>
      <c r="M122" s="37" t="n">
        <f aca="false">IFERROR(M120/M6,0)</f>
        <v>0</v>
      </c>
      <c r="N122" s="37" t="n">
        <f aca="false">IFERROR(N120/N6,0)</f>
        <v>0</v>
      </c>
    </row>
    <row r="123" customFormat="false" ht="15" hidden="false" customHeight="true" outlineLevel="0" collapsed="false">
      <c r="A123" s="17" t="s">
        <v>155</v>
      </c>
      <c r="C123" s="37" t="n">
        <f aca="false">Setup!$B$16</f>
        <v>0.2</v>
      </c>
      <c r="D123" s="37" t="n">
        <f aca="false">Setup!$B$16</f>
        <v>0.2</v>
      </c>
      <c r="E123" s="37" t="n">
        <f aca="false">Setup!$B$16</f>
        <v>0.2</v>
      </c>
      <c r="F123" s="37" t="n">
        <f aca="false">Setup!$B$16</f>
        <v>0.2</v>
      </c>
      <c r="G123" s="37" t="n">
        <f aca="false">Setup!$B$16</f>
        <v>0.2</v>
      </c>
      <c r="H123" s="37" t="n">
        <f aca="false">Setup!$B$16</f>
        <v>0.2</v>
      </c>
      <c r="I123" s="37" t="n">
        <f aca="false">Setup!$B$16</f>
        <v>0.2</v>
      </c>
      <c r="J123" s="37" t="n">
        <f aca="false">Setup!$B$16</f>
        <v>0.2</v>
      </c>
      <c r="K123" s="37" t="n">
        <f aca="false">Setup!$B$16</f>
        <v>0.2</v>
      </c>
      <c r="L123" s="37" t="n">
        <f aca="false">Setup!$B$16</f>
        <v>0.2</v>
      </c>
      <c r="M123" s="37" t="n">
        <f aca="false">Setup!$B$16</f>
        <v>0.2</v>
      </c>
      <c r="N123" s="37" t="n">
        <f aca="false">Setup!$B$16</f>
        <v>0.2</v>
      </c>
    </row>
    <row r="124" customFormat="false" ht="15" hidden="false" customHeight="true" outlineLevel="0" collapsed="false">
      <c r="A124" s="22" t="s">
        <v>156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</row>
  </sheetData>
  <mergeCells count="44">
    <mergeCell ref="A1:O1"/>
    <mergeCell ref="A2:O2"/>
    <mergeCell ref="A5:A7"/>
    <mergeCell ref="A9:O9"/>
    <mergeCell ref="A10:A12"/>
    <mergeCell ref="A13:A15"/>
    <mergeCell ref="A16:A18"/>
    <mergeCell ref="A19:A21"/>
    <mergeCell ref="A23:O23"/>
    <mergeCell ref="A24:A26"/>
    <mergeCell ref="A27:A29"/>
    <mergeCell ref="A30:A32"/>
    <mergeCell ref="A33:A35"/>
    <mergeCell ref="A37:O37"/>
    <mergeCell ref="A38:A40"/>
    <mergeCell ref="A41:A43"/>
    <mergeCell ref="A44:A46"/>
    <mergeCell ref="A48:O48"/>
    <mergeCell ref="A49:A51"/>
    <mergeCell ref="A52:A54"/>
    <mergeCell ref="A55:A57"/>
    <mergeCell ref="A58:A60"/>
    <mergeCell ref="A62:O62"/>
    <mergeCell ref="A63:A65"/>
    <mergeCell ref="A66:A68"/>
    <mergeCell ref="A69:A71"/>
    <mergeCell ref="A73:O73"/>
    <mergeCell ref="A74:A76"/>
    <mergeCell ref="A77:A79"/>
    <mergeCell ref="A80:A82"/>
    <mergeCell ref="A83:A85"/>
    <mergeCell ref="A87:O87"/>
    <mergeCell ref="A88:A90"/>
    <mergeCell ref="A91:A93"/>
    <mergeCell ref="A94:A96"/>
    <mergeCell ref="A97:A99"/>
    <mergeCell ref="A100:A102"/>
    <mergeCell ref="A104:O104"/>
    <mergeCell ref="A105:A107"/>
    <mergeCell ref="A108:A110"/>
    <mergeCell ref="A111:A113"/>
    <mergeCell ref="A115:O115"/>
    <mergeCell ref="A116:A118"/>
    <mergeCell ref="A124:O124"/>
  </mergeCells>
  <conditionalFormatting sqref="C11:N11">
    <cfRule type="expression" priority="2" aboveAverage="0" equalAverage="0" bottom="0" percent="0" rank="0" text="" dxfId="0">
      <formula>C11&gt;C10</formula>
    </cfRule>
  </conditionalFormatting>
  <conditionalFormatting sqref="C14:N14">
    <cfRule type="expression" priority="3" aboveAverage="0" equalAverage="0" bottom="0" percent="0" rank="0" text="" dxfId="0">
      <formula>C14&gt;C13</formula>
    </cfRule>
  </conditionalFormatting>
  <conditionalFormatting sqref="C17:N17">
    <cfRule type="expression" priority="4" aboveAverage="0" equalAverage="0" bottom="0" percent="0" rank="0" text="" dxfId="0">
      <formula>C17&gt;C16</formula>
    </cfRule>
  </conditionalFormatting>
  <conditionalFormatting sqref="C20:N20">
    <cfRule type="expression" priority="5" aboveAverage="0" equalAverage="0" bottom="0" percent="0" rank="0" text="" dxfId="0">
      <formula>C20&gt;C19</formula>
    </cfRule>
  </conditionalFormatting>
  <conditionalFormatting sqref="C25:N25">
    <cfRule type="expression" priority="6" aboveAverage="0" equalAverage="0" bottom="0" percent="0" rank="0" text="" dxfId="0">
      <formula>C25&gt;C24</formula>
    </cfRule>
  </conditionalFormatting>
  <conditionalFormatting sqref="C28:N28">
    <cfRule type="expression" priority="7" aboveAverage="0" equalAverage="0" bottom="0" percent="0" rank="0" text="" dxfId="0">
      <formula>C28&gt;C27</formula>
    </cfRule>
  </conditionalFormatting>
  <conditionalFormatting sqref="C31:N31">
    <cfRule type="expression" priority="8" aboveAverage="0" equalAverage="0" bottom="0" percent="0" rank="0" text="" dxfId="0">
      <formula>C31&gt;C30</formula>
    </cfRule>
  </conditionalFormatting>
  <conditionalFormatting sqref="C34:N34">
    <cfRule type="expression" priority="9" aboveAverage="0" equalAverage="0" bottom="0" percent="0" rank="0" text="" dxfId="0">
      <formula>C34&gt;C33</formula>
    </cfRule>
  </conditionalFormatting>
  <conditionalFormatting sqref="C39:N39">
    <cfRule type="expression" priority="10" aboveAverage="0" equalAverage="0" bottom="0" percent="0" rank="0" text="" dxfId="0">
      <formula>C39&gt;C38</formula>
    </cfRule>
  </conditionalFormatting>
  <conditionalFormatting sqref="C42:N42">
    <cfRule type="expression" priority="11" aboveAverage="0" equalAverage="0" bottom="0" percent="0" rank="0" text="" dxfId="0">
      <formula>C42&gt;C41</formula>
    </cfRule>
  </conditionalFormatting>
  <conditionalFormatting sqref="C45:N45">
    <cfRule type="expression" priority="12" aboveAverage="0" equalAverage="0" bottom="0" percent="0" rank="0" text="" dxfId="0">
      <formula>C45&gt;C44</formula>
    </cfRule>
  </conditionalFormatting>
  <conditionalFormatting sqref="C50:N50">
    <cfRule type="expression" priority="13" aboveAverage="0" equalAverage="0" bottom="0" percent="0" rank="0" text="" dxfId="0">
      <formula>C50&gt;C49</formula>
    </cfRule>
  </conditionalFormatting>
  <conditionalFormatting sqref="C53:N53">
    <cfRule type="expression" priority="14" aboveAverage="0" equalAverage="0" bottom="0" percent="0" rank="0" text="" dxfId="0">
      <formula>C53&gt;C52</formula>
    </cfRule>
  </conditionalFormatting>
  <conditionalFormatting sqref="C56:N56">
    <cfRule type="expression" priority="15" aboveAverage="0" equalAverage="0" bottom="0" percent="0" rank="0" text="" dxfId="0">
      <formula>C56&gt;C55</formula>
    </cfRule>
  </conditionalFormatting>
  <conditionalFormatting sqref="C59:N59">
    <cfRule type="expression" priority="16" aboveAverage="0" equalAverage="0" bottom="0" percent="0" rank="0" text="" dxfId="0">
      <formula>C59&gt;C58</formula>
    </cfRule>
  </conditionalFormatting>
  <conditionalFormatting sqref="C64:N64">
    <cfRule type="expression" priority="17" aboveAverage="0" equalAverage="0" bottom="0" percent="0" rank="0" text="" dxfId="0">
      <formula>C64&gt;C63</formula>
    </cfRule>
  </conditionalFormatting>
  <conditionalFormatting sqref="C67:N67">
    <cfRule type="expression" priority="18" aboveAverage="0" equalAverage="0" bottom="0" percent="0" rank="0" text="" dxfId="0">
      <formula>C67&gt;C66</formula>
    </cfRule>
  </conditionalFormatting>
  <conditionalFormatting sqref="C70:N70">
    <cfRule type="expression" priority="19" aboveAverage="0" equalAverage="0" bottom="0" percent="0" rank="0" text="" dxfId="0">
      <formula>C70&gt;C69</formula>
    </cfRule>
  </conditionalFormatting>
  <conditionalFormatting sqref="C75:N75">
    <cfRule type="expression" priority="20" aboveAverage="0" equalAverage="0" bottom="0" percent="0" rank="0" text="" dxfId="0">
      <formula>C75&gt;C74</formula>
    </cfRule>
  </conditionalFormatting>
  <conditionalFormatting sqref="C78:N78">
    <cfRule type="expression" priority="21" aboveAverage="0" equalAverage="0" bottom="0" percent="0" rank="0" text="" dxfId="0">
      <formula>C78&gt;C77</formula>
    </cfRule>
  </conditionalFormatting>
  <conditionalFormatting sqref="C81:N81">
    <cfRule type="expression" priority="22" aboveAverage="0" equalAverage="0" bottom="0" percent="0" rank="0" text="" dxfId="0">
      <formula>C81&gt;C80</formula>
    </cfRule>
  </conditionalFormatting>
  <conditionalFormatting sqref="C84:N84">
    <cfRule type="expression" priority="23" aboveAverage="0" equalAverage="0" bottom="0" percent="0" rank="0" text="" dxfId="0">
      <formula>C84&gt;C83</formula>
    </cfRule>
  </conditionalFormatting>
  <conditionalFormatting sqref="C89:N89">
    <cfRule type="expression" priority="24" aboveAverage="0" equalAverage="0" bottom="0" percent="0" rank="0" text="" dxfId="0">
      <formula>C89&gt;C88</formula>
    </cfRule>
  </conditionalFormatting>
  <conditionalFormatting sqref="C92:N92">
    <cfRule type="expression" priority="25" aboveAverage="0" equalAverage="0" bottom="0" percent="0" rank="0" text="" dxfId="0">
      <formula>C92&gt;C91</formula>
    </cfRule>
  </conditionalFormatting>
  <conditionalFormatting sqref="C95:N95">
    <cfRule type="expression" priority="26" aboveAverage="0" equalAverage="0" bottom="0" percent="0" rank="0" text="" dxfId="0">
      <formula>C95&gt;C94</formula>
    </cfRule>
  </conditionalFormatting>
  <conditionalFormatting sqref="C98:N98">
    <cfRule type="expression" priority="27" aboveAverage="0" equalAverage="0" bottom="0" percent="0" rank="0" text="" dxfId="0">
      <formula>C98&gt;C97</formula>
    </cfRule>
  </conditionalFormatting>
  <conditionalFormatting sqref="C101:N101">
    <cfRule type="expression" priority="28" aboveAverage="0" equalAverage="0" bottom="0" percent="0" rank="0" text="" dxfId="0">
      <formula>C101&gt;C100</formula>
    </cfRule>
  </conditionalFormatting>
  <conditionalFormatting sqref="C106:N106">
    <cfRule type="expression" priority="29" aboveAverage="0" equalAverage="0" bottom="0" percent="0" rank="0" text="" dxfId="0">
      <formula>C106&gt;C105</formula>
    </cfRule>
  </conditionalFormatting>
  <conditionalFormatting sqref="C109:N109">
    <cfRule type="expression" priority="30" aboveAverage="0" equalAverage="0" bottom="0" percent="0" rank="0" text="" dxfId="0">
      <formula>C109&gt;C108</formula>
    </cfRule>
  </conditionalFormatting>
  <conditionalFormatting sqref="C112:N112">
    <cfRule type="expression" priority="31" aboveAverage="0" equalAverage="0" bottom="0" percent="0" rank="0" text="" dxfId="0">
      <formula>C112&gt;C111</formula>
    </cfRule>
  </conditionalFormatting>
  <conditionalFormatting sqref="C117:N117">
    <cfRule type="expression" priority="32" aboveAverage="0" equalAverage="0" bottom="0" percent="0" rank="0" text="" dxfId="0">
      <formula>C117&gt;C116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13" min="2" style="1" width="11"/>
  </cols>
  <sheetData>
    <row r="1" customFormat="false" ht="21.75" hidden="false" customHeight="true" outlineLevel="0" collapsed="false">
      <c r="A1" s="2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.75" hidden="false" customHeight="true" outlineLevel="0" collapsed="false">
      <c r="A4" s="26" t="s">
        <v>39</v>
      </c>
      <c r="B4" s="27" t="s">
        <v>117</v>
      </c>
      <c r="C4" s="27" t="s">
        <v>118</v>
      </c>
      <c r="D4" s="27" t="s">
        <v>119</v>
      </c>
      <c r="E4" s="27" t="s">
        <v>120</v>
      </c>
      <c r="F4" s="27" t="s">
        <v>121</v>
      </c>
      <c r="G4" s="27" t="s">
        <v>122</v>
      </c>
      <c r="H4" s="27" t="s">
        <v>123</v>
      </c>
      <c r="I4" s="27" t="s">
        <v>124</v>
      </c>
      <c r="J4" s="27" t="s">
        <v>125</v>
      </c>
      <c r="K4" s="27" t="s">
        <v>126</v>
      </c>
      <c r="L4" s="27" t="s">
        <v>127</v>
      </c>
      <c r="M4" s="27" t="s">
        <v>128</v>
      </c>
    </row>
    <row r="5" customFormat="false" ht="15" hidden="false" customHeight="true" outlineLevel="0" collapsed="false">
      <c r="A5" s="32" t="s">
        <v>159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customFormat="false" ht="15" hidden="false" customHeight="true" outlineLevel="0" collapsed="false">
      <c r="A6" s="10" t="s">
        <v>160</v>
      </c>
      <c r="B6" s="16" t="n">
        <v>8500</v>
      </c>
      <c r="C6" s="16" t="n">
        <v>8720</v>
      </c>
      <c r="D6" s="16" t="n">
        <v>8600</v>
      </c>
      <c r="E6" s="16" t="n">
        <v>8950</v>
      </c>
      <c r="F6" s="16" t="n">
        <v>9100</v>
      </c>
      <c r="G6" s="16" t="n">
        <v>9300</v>
      </c>
      <c r="H6" s="16" t="n">
        <v>9250</v>
      </c>
      <c r="I6" s="16" t="n">
        <v>9500</v>
      </c>
      <c r="J6" s="16" t="n">
        <v>9700</v>
      </c>
      <c r="K6" s="16" t="n">
        <v>9850</v>
      </c>
      <c r="L6" s="16" t="n">
        <v>10100</v>
      </c>
      <c r="M6" s="16" t="n">
        <v>10400</v>
      </c>
    </row>
    <row r="7" customFormat="false" ht="15" hidden="false" customHeight="true" outlineLevel="0" collapsed="false">
      <c r="A7" s="10" t="s">
        <v>161</v>
      </c>
      <c r="B7" s="16" t="n">
        <v>5000</v>
      </c>
      <c r="C7" s="16" t="n">
        <v>5200</v>
      </c>
      <c r="D7" s="16" t="n">
        <v>5400</v>
      </c>
      <c r="E7" s="16" t="n">
        <v>5600</v>
      </c>
      <c r="F7" s="16" t="n">
        <v>5800</v>
      </c>
      <c r="G7" s="16" t="n">
        <v>6000</v>
      </c>
      <c r="H7" s="16" t="n">
        <v>6200</v>
      </c>
      <c r="I7" s="16" t="n">
        <v>6400</v>
      </c>
      <c r="J7" s="16" t="n">
        <v>6600</v>
      </c>
      <c r="K7" s="16" t="n">
        <v>6800</v>
      </c>
      <c r="L7" s="16" t="n">
        <v>7000</v>
      </c>
      <c r="M7" s="16" t="n">
        <v>7200</v>
      </c>
    </row>
    <row r="8" customFormat="false" ht="15" hidden="false" customHeight="true" outlineLevel="0" collapsed="false">
      <c r="A8" s="10" t="s">
        <v>162</v>
      </c>
      <c r="B8" s="16" t="n">
        <v>12000</v>
      </c>
      <c r="C8" s="16" t="n">
        <v>12400</v>
      </c>
      <c r="D8" s="16" t="n">
        <v>12850</v>
      </c>
      <c r="E8" s="16" t="n">
        <v>12700</v>
      </c>
      <c r="F8" s="16" t="n">
        <v>13200</v>
      </c>
      <c r="G8" s="16" t="n">
        <v>13650</v>
      </c>
      <c r="H8" s="16" t="n">
        <v>14100</v>
      </c>
      <c r="I8" s="16" t="n">
        <v>13950</v>
      </c>
      <c r="J8" s="16" t="n">
        <v>14500</v>
      </c>
      <c r="K8" s="16" t="n">
        <v>15000</v>
      </c>
      <c r="L8" s="16" t="n">
        <v>15450</v>
      </c>
      <c r="M8" s="16" t="n">
        <v>16000</v>
      </c>
    </row>
    <row r="9" customFormat="false" ht="15" hidden="false" customHeight="true" outlineLevel="0" collapsed="false">
      <c r="A9" s="10" t="s">
        <v>163</v>
      </c>
      <c r="B9" s="16" t="n">
        <v>45000</v>
      </c>
      <c r="C9" s="16" t="n">
        <v>45700</v>
      </c>
      <c r="D9" s="16" t="n">
        <v>46500</v>
      </c>
      <c r="E9" s="16" t="n">
        <v>47100</v>
      </c>
      <c r="F9" s="16" t="n">
        <v>47900</v>
      </c>
      <c r="G9" s="16" t="n">
        <v>48800</v>
      </c>
      <c r="H9" s="16" t="n">
        <v>49500</v>
      </c>
      <c r="I9" s="16" t="n">
        <v>50200</v>
      </c>
      <c r="J9" s="16" t="n">
        <v>51100</v>
      </c>
      <c r="K9" s="16" t="n">
        <v>51900</v>
      </c>
      <c r="L9" s="16" t="n">
        <v>52700</v>
      </c>
      <c r="M9" s="16" t="n">
        <v>53600</v>
      </c>
    </row>
    <row r="10" customFormat="false" ht="15" hidden="false" customHeight="true" outlineLevel="0" collapsed="false">
      <c r="A10" s="10" t="s">
        <v>164</v>
      </c>
      <c r="B10" s="16" t="n">
        <v>450000</v>
      </c>
      <c r="C10" s="16" t="n">
        <v>450000</v>
      </c>
      <c r="D10" s="16" t="n">
        <v>450500</v>
      </c>
      <c r="E10" s="16" t="n">
        <v>450500</v>
      </c>
      <c r="F10" s="16" t="n">
        <v>451000</v>
      </c>
      <c r="G10" s="16" t="n">
        <v>451000</v>
      </c>
      <c r="H10" s="16" t="n">
        <v>451500</v>
      </c>
      <c r="I10" s="16" t="n">
        <v>452000</v>
      </c>
      <c r="J10" s="16" t="n">
        <v>452000</v>
      </c>
      <c r="K10" s="16" t="n">
        <v>452500</v>
      </c>
      <c r="L10" s="16" t="n">
        <v>453000</v>
      </c>
      <c r="M10" s="16" t="n">
        <v>453500</v>
      </c>
    </row>
    <row r="11" customFormat="false" ht="15" hidden="false" customHeight="true" outlineLevel="0" collapsed="false">
      <c r="A11" s="10" t="s">
        <v>165</v>
      </c>
      <c r="B11" s="16" t="n">
        <v>22000</v>
      </c>
      <c r="C11" s="16" t="n">
        <v>21850</v>
      </c>
      <c r="D11" s="16" t="n">
        <v>21700</v>
      </c>
      <c r="E11" s="16" t="n">
        <v>21550</v>
      </c>
      <c r="F11" s="16" t="n">
        <v>21400</v>
      </c>
      <c r="G11" s="16" t="n">
        <v>21250</v>
      </c>
      <c r="H11" s="16" t="n">
        <v>21100</v>
      </c>
      <c r="I11" s="16" t="n">
        <v>20950</v>
      </c>
      <c r="J11" s="16" t="n">
        <v>20800</v>
      </c>
      <c r="K11" s="16" t="n">
        <v>20650</v>
      </c>
      <c r="L11" s="16" t="n">
        <v>20500</v>
      </c>
      <c r="M11" s="16" t="n">
        <v>20350</v>
      </c>
    </row>
    <row r="12" customFormat="false" ht="15" hidden="false" customHeight="true" outlineLevel="0" collapsed="false">
      <c r="A12" s="10" t="s">
        <v>166</v>
      </c>
      <c r="B12" s="16" t="n">
        <v>2000</v>
      </c>
      <c r="C12" s="16" t="n">
        <v>2000</v>
      </c>
      <c r="D12" s="16" t="n">
        <v>2000</v>
      </c>
      <c r="E12" s="16" t="n">
        <v>2000</v>
      </c>
      <c r="F12" s="16" t="n">
        <v>2000</v>
      </c>
      <c r="G12" s="16" t="n">
        <v>2000</v>
      </c>
      <c r="H12" s="16" t="n">
        <v>2000</v>
      </c>
      <c r="I12" s="16" t="n">
        <v>2000</v>
      </c>
      <c r="J12" s="16" t="n">
        <v>2000</v>
      </c>
      <c r="K12" s="16" t="n">
        <v>2000</v>
      </c>
      <c r="L12" s="16" t="n">
        <v>2000</v>
      </c>
      <c r="M12" s="16" t="n">
        <v>2000</v>
      </c>
    </row>
    <row r="13" customFormat="false" ht="15" hidden="false" customHeight="true" outlineLevel="0" collapsed="false">
      <c r="A13" s="17" t="s">
        <v>167</v>
      </c>
      <c r="B13" s="18" t="n">
        <f aca="false">B6+B7+B8+B9+B10+B11+B12</f>
        <v>544500</v>
      </c>
      <c r="C13" s="18" t="n">
        <f aca="false">C6+C7+C8+C9+C10+C11+C12</f>
        <v>545870</v>
      </c>
      <c r="D13" s="18" t="n">
        <f aca="false">D6+D7+D8+D9+D10+D11+D12</f>
        <v>547550</v>
      </c>
      <c r="E13" s="18" t="n">
        <f aca="false">E6+E7+E8+E9+E10+E11+E12</f>
        <v>548400</v>
      </c>
      <c r="F13" s="18" t="n">
        <f aca="false">F6+F7+F8+F9+F10+F11+F12</f>
        <v>550400</v>
      </c>
      <c r="G13" s="18" t="n">
        <f aca="false">G6+G7+G8+G9+G10+G11+G12</f>
        <v>552000</v>
      </c>
      <c r="H13" s="18" t="n">
        <f aca="false">H6+H7+H8+H9+H10+H11+H12</f>
        <v>553650</v>
      </c>
      <c r="I13" s="18" t="n">
        <f aca="false">I6+I7+I8+I9+I10+I11+I12</f>
        <v>555000</v>
      </c>
      <c r="J13" s="18" t="n">
        <f aca="false">J6+J7+J8+J9+J10+J11+J12</f>
        <v>556700</v>
      </c>
      <c r="K13" s="18" t="n">
        <f aca="false">K6+K7+K8+K9+K10+K11+K12</f>
        <v>558700</v>
      </c>
      <c r="L13" s="18" t="n">
        <f aca="false">L6+L7+L8+L9+L10+L11+L12</f>
        <v>560750</v>
      </c>
      <c r="M13" s="18" t="n">
        <f aca="false">M6+M7+M8+M9+M10+M11+M12</f>
        <v>563050</v>
      </c>
    </row>
    <row r="15" customFormat="false" ht="15" hidden="false" customHeight="true" outlineLevel="0" collapsed="false">
      <c r="A15" s="32" t="s">
        <v>168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customFormat="false" ht="15" hidden="false" customHeight="true" outlineLevel="0" collapsed="false">
      <c r="A16" s="10" t="s">
        <v>169</v>
      </c>
      <c r="B16" s="16" t="n">
        <v>340000</v>
      </c>
      <c r="C16" s="16" t="n">
        <v>339620</v>
      </c>
      <c r="D16" s="16" t="n">
        <v>339236</v>
      </c>
      <c r="E16" s="16" t="n">
        <v>338848</v>
      </c>
      <c r="F16" s="16" t="n">
        <v>338456</v>
      </c>
      <c r="G16" s="16" t="n">
        <v>338060</v>
      </c>
      <c r="H16" s="16" t="n">
        <v>337660</v>
      </c>
      <c r="I16" s="16" t="n">
        <v>337256</v>
      </c>
      <c r="J16" s="16" t="n">
        <v>336848</v>
      </c>
      <c r="K16" s="16" t="n">
        <v>336436</v>
      </c>
      <c r="L16" s="16" t="n">
        <v>336020</v>
      </c>
      <c r="M16" s="16" t="n">
        <v>335600</v>
      </c>
    </row>
    <row r="17" customFormat="false" ht="15" hidden="false" customHeight="true" outlineLevel="0" collapsed="false">
      <c r="A17" s="10" t="s">
        <v>170</v>
      </c>
      <c r="B17" s="16" t="n">
        <v>14000</v>
      </c>
      <c r="C17" s="16" t="n">
        <v>13700</v>
      </c>
      <c r="D17" s="16" t="n">
        <v>13400</v>
      </c>
      <c r="E17" s="16" t="n">
        <v>13100</v>
      </c>
      <c r="F17" s="16" t="n">
        <v>12800</v>
      </c>
      <c r="G17" s="16" t="n">
        <v>12500</v>
      </c>
      <c r="H17" s="16" t="n">
        <v>12200</v>
      </c>
      <c r="I17" s="16" t="n">
        <v>11900</v>
      </c>
      <c r="J17" s="16" t="n">
        <v>11600</v>
      </c>
      <c r="K17" s="16" t="n">
        <v>11300</v>
      </c>
      <c r="L17" s="16" t="n">
        <v>11000</v>
      </c>
      <c r="M17" s="16" t="n">
        <v>10700</v>
      </c>
    </row>
    <row r="18" customFormat="false" ht="15" hidden="false" customHeight="true" outlineLevel="0" collapsed="false">
      <c r="A18" s="10" t="s">
        <v>171</v>
      </c>
      <c r="B18" s="16" t="n">
        <v>26000</v>
      </c>
      <c r="C18" s="16" t="n">
        <v>25850</v>
      </c>
      <c r="D18" s="16" t="n">
        <v>25700</v>
      </c>
      <c r="E18" s="16" t="n">
        <v>25550</v>
      </c>
      <c r="F18" s="16" t="n">
        <v>25400</v>
      </c>
      <c r="G18" s="16" t="n">
        <v>25250</v>
      </c>
      <c r="H18" s="16" t="n">
        <v>25100</v>
      </c>
      <c r="I18" s="16" t="n">
        <v>24950</v>
      </c>
      <c r="J18" s="16" t="n">
        <v>24800</v>
      </c>
      <c r="K18" s="16" t="n">
        <v>24650</v>
      </c>
      <c r="L18" s="16" t="n">
        <v>24500</v>
      </c>
      <c r="M18" s="16" t="n">
        <v>24350</v>
      </c>
    </row>
    <row r="19" customFormat="false" ht="15" hidden="false" customHeight="true" outlineLevel="0" collapsed="false">
      <c r="A19" s="10" t="s">
        <v>172</v>
      </c>
      <c r="B19" s="16" t="n">
        <v>1200</v>
      </c>
      <c r="C19" s="16" t="n">
        <v>900</v>
      </c>
      <c r="D19" s="16" t="n">
        <v>1500</v>
      </c>
      <c r="E19" s="16" t="n">
        <v>1100</v>
      </c>
      <c r="F19" s="16" t="n">
        <v>800</v>
      </c>
      <c r="G19" s="16" t="n">
        <v>1300</v>
      </c>
      <c r="H19" s="16" t="n">
        <v>950</v>
      </c>
      <c r="I19" s="16" t="n">
        <v>1050</v>
      </c>
      <c r="J19" s="16" t="n">
        <v>700</v>
      </c>
      <c r="K19" s="16" t="n">
        <v>1150</v>
      </c>
      <c r="L19" s="16" t="n">
        <v>900</v>
      </c>
      <c r="M19" s="16" t="n">
        <v>600</v>
      </c>
    </row>
    <row r="20" customFormat="false" ht="15" hidden="false" customHeight="true" outlineLevel="0" collapsed="false">
      <c r="A20" s="10" t="s">
        <v>173</v>
      </c>
      <c r="B20" s="16" t="n">
        <v>500</v>
      </c>
      <c r="C20" s="16" t="n">
        <v>400</v>
      </c>
      <c r="D20" s="16" t="n">
        <v>300</v>
      </c>
      <c r="E20" s="16" t="n">
        <v>200</v>
      </c>
      <c r="F20" s="16" t="n">
        <v>100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</row>
    <row r="21" customFormat="false" ht="15" hidden="false" customHeight="true" outlineLevel="0" collapsed="false">
      <c r="A21" s="17" t="s">
        <v>174</v>
      </c>
      <c r="B21" s="18" t="n">
        <f aca="false">B16+B17+B18+B19+B20</f>
        <v>381700</v>
      </c>
      <c r="C21" s="18" t="n">
        <f aca="false">C16+C17+C18+C19+C20</f>
        <v>380470</v>
      </c>
      <c r="D21" s="18" t="n">
        <f aca="false">D16+D17+D18+D19+D20</f>
        <v>380136</v>
      </c>
      <c r="E21" s="18" t="n">
        <f aca="false">E16+E17+E18+E19+E20</f>
        <v>378798</v>
      </c>
      <c r="F21" s="18" t="n">
        <f aca="false">F16+F17+F18+F19+F20</f>
        <v>377556</v>
      </c>
      <c r="G21" s="18" t="n">
        <f aca="false">G16+G17+G18+G19+G20</f>
        <v>377110</v>
      </c>
      <c r="H21" s="18" t="n">
        <f aca="false">H16+H17+H18+H19+H20</f>
        <v>375910</v>
      </c>
      <c r="I21" s="18" t="n">
        <f aca="false">I16+I17+I18+I19+I20</f>
        <v>375156</v>
      </c>
      <c r="J21" s="18" t="n">
        <f aca="false">J16+J17+J18+J19+J20</f>
        <v>373948</v>
      </c>
      <c r="K21" s="18" t="n">
        <f aca="false">K16+K17+K18+K19+K20</f>
        <v>373536</v>
      </c>
      <c r="L21" s="18" t="n">
        <f aca="false">L16+L17+L18+L19+L20</f>
        <v>372420</v>
      </c>
      <c r="M21" s="18" t="n">
        <f aca="false">M16+M17+M18+M19+M20</f>
        <v>371250</v>
      </c>
    </row>
    <row r="23" customFormat="false" ht="15" hidden="false" customHeight="true" outlineLevel="0" collapsed="false">
      <c r="A23" s="17" t="s">
        <v>157</v>
      </c>
      <c r="B23" s="38" t="n">
        <f aca="false">B13-B21</f>
        <v>162800</v>
      </c>
      <c r="C23" s="38" t="n">
        <f aca="false">C13-C21</f>
        <v>165400</v>
      </c>
      <c r="D23" s="38" t="n">
        <f aca="false">D13-D21</f>
        <v>167414</v>
      </c>
      <c r="E23" s="38" t="n">
        <f aca="false">E13-E21</f>
        <v>169602</v>
      </c>
      <c r="F23" s="38" t="n">
        <f aca="false">F13-F21</f>
        <v>172844</v>
      </c>
      <c r="G23" s="38" t="n">
        <f aca="false">G13-G21</f>
        <v>174890</v>
      </c>
      <c r="H23" s="38" t="n">
        <f aca="false">H13-H21</f>
        <v>177740</v>
      </c>
      <c r="I23" s="38" t="n">
        <f aca="false">I13-I21</f>
        <v>179844</v>
      </c>
      <c r="J23" s="38" t="n">
        <f aca="false">J13-J21</f>
        <v>182752</v>
      </c>
      <c r="K23" s="38" t="n">
        <f aca="false">K13-K21</f>
        <v>185164</v>
      </c>
      <c r="L23" s="38" t="n">
        <f aca="false">L13-L21</f>
        <v>188330</v>
      </c>
      <c r="M23" s="38" t="n">
        <f aca="false">M13-M21</f>
        <v>191800</v>
      </c>
    </row>
    <row r="24" customFormat="false" ht="15" hidden="false" customHeight="true" outlineLevel="0" collapsed="false">
      <c r="A24" s="17" t="s">
        <v>175</v>
      </c>
      <c r="B24" s="21" t="str">
        <f aca="false">""</f>
        <v/>
      </c>
      <c r="C24" s="21" t="n">
        <f aca="false">C23-B23</f>
        <v>2600</v>
      </c>
      <c r="D24" s="21" t="n">
        <f aca="false">D23-C23</f>
        <v>2014</v>
      </c>
      <c r="E24" s="21" t="n">
        <f aca="false">E23-D23</f>
        <v>2188</v>
      </c>
      <c r="F24" s="21" t="n">
        <f aca="false">F23-E23</f>
        <v>3242</v>
      </c>
      <c r="G24" s="21" t="n">
        <f aca="false">G23-F23</f>
        <v>2046</v>
      </c>
      <c r="H24" s="21" t="n">
        <f aca="false">H23-G23</f>
        <v>2850</v>
      </c>
      <c r="I24" s="21" t="n">
        <f aca="false">I23-H23</f>
        <v>2104</v>
      </c>
      <c r="J24" s="21" t="n">
        <f aca="false">J23-I23</f>
        <v>2908</v>
      </c>
      <c r="K24" s="21" t="n">
        <f aca="false">K23-J23</f>
        <v>2412</v>
      </c>
      <c r="L24" s="21" t="n">
        <f aca="false">L23-K23</f>
        <v>3166</v>
      </c>
      <c r="M24" s="21" t="n">
        <f aca="false">M23-L23</f>
        <v>3470</v>
      </c>
    </row>
    <row r="26" customFormat="false" ht="15" hidden="false" customHeight="true" outlineLevel="0" collapsed="false">
      <c r="A26" s="22" t="s">
        <v>176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</sheetData>
  <mergeCells count="5">
    <mergeCell ref="A1:M1"/>
    <mergeCell ref="A2:M2"/>
    <mergeCell ref="A5:M5"/>
    <mergeCell ref="A15:M15"/>
    <mergeCell ref="A26:M26"/>
  </mergeCells>
  <conditionalFormatting sqref="C24:M2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6" min="5" style="1" width="13"/>
  </cols>
  <sheetData>
    <row r="1" customFormat="false" ht="21.75" hidden="false" customHeight="true" outlineLevel="0" collapsed="false">
      <c r="A1" s="2" t="s">
        <v>177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178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3" t="s">
        <v>179</v>
      </c>
      <c r="B4" s="13"/>
      <c r="C4" s="13"/>
      <c r="D4" s="13"/>
      <c r="E4" s="13"/>
      <c r="F4" s="13"/>
    </row>
    <row r="5" customFormat="false" ht="27.75" hidden="false" customHeight="true" outlineLevel="0" collapsed="false">
      <c r="A5" s="14" t="s">
        <v>180</v>
      </c>
      <c r="B5" s="15" t="s">
        <v>181</v>
      </c>
      <c r="C5" s="15" t="s">
        <v>182</v>
      </c>
      <c r="D5" s="15" t="s">
        <v>183</v>
      </c>
      <c r="E5" s="15" t="s">
        <v>184</v>
      </c>
      <c r="F5" s="15" t="s">
        <v>185</v>
      </c>
    </row>
    <row r="6" customFormat="false" ht="15" hidden="false" customHeight="true" outlineLevel="0" collapsed="false">
      <c r="A6" s="8" t="s">
        <v>186</v>
      </c>
      <c r="B6" s="16" t="n">
        <v>4200</v>
      </c>
      <c r="C6" s="39" t="n">
        <v>0.2299</v>
      </c>
      <c r="D6" s="16" t="n">
        <v>130</v>
      </c>
      <c r="E6" s="25" t="n">
        <f aca="false">IF($B6="","",RANK($C6,$C$6:$C$11,0))</f>
        <v>1</v>
      </c>
      <c r="F6" s="25" t="n">
        <f aca="false">IF($B6="","",RANK($B6,$B$6:$B$11,1))</f>
        <v>3</v>
      </c>
    </row>
    <row r="7" customFormat="false" ht="15" hidden="false" customHeight="true" outlineLevel="0" collapsed="false">
      <c r="A7" s="8" t="s">
        <v>187</v>
      </c>
      <c r="B7" s="16" t="n">
        <v>1800</v>
      </c>
      <c r="C7" s="39" t="n">
        <v>0.1999</v>
      </c>
      <c r="D7" s="16" t="n">
        <v>60</v>
      </c>
      <c r="E7" s="25" t="n">
        <f aca="false">IF($B7="","",RANK($C7,$C$6:$C$11,0))</f>
        <v>2</v>
      </c>
      <c r="F7" s="25" t="n">
        <f aca="false">IF($B7="","",RANK($B7,$B$6:$B$11,1))</f>
        <v>1</v>
      </c>
    </row>
    <row r="8" customFormat="false" ht="15" hidden="false" customHeight="true" outlineLevel="0" collapsed="false">
      <c r="A8" s="8" t="s">
        <v>188</v>
      </c>
      <c r="B8" s="16" t="n">
        <v>14000</v>
      </c>
      <c r="C8" s="39" t="n">
        <v>0.065</v>
      </c>
      <c r="D8" s="16" t="n">
        <v>350</v>
      </c>
      <c r="E8" s="25" t="n">
        <f aca="false">IF($B8="","",RANK($C8,$C$6:$C$11,0))</f>
        <v>4</v>
      </c>
      <c r="F8" s="25" t="n">
        <f aca="false">IF($B8="","",RANK($B8,$B$6:$B$11,1))</f>
        <v>4</v>
      </c>
    </row>
    <row r="9" customFormat="false" ht="15" hidden="false" customHeight="true" outlineLevel="0" collapsed="false">
      <c r="A9" s="8" t="s">
        <v>189</v>
      </c>
      <c r="B9" s="16" t="n">
        <v>26000</v>
      </c>
      <c r="C9" s="39" t="n">
        <v>0.05</v>
      </c>
      <c r="D9" s="16" t="n">
        <v>220</v>
      </c>
      <c r="E9" s="25" t="n">
        <f aca="false">IF($B9="","",RANK($C9,$C$6:$C$11,0))</f>
        <v>5</v>
      </c>
      <c r="F9" s="25" t="n">
        <f aca="false">IF($B9="","",RANK($B9,$B$6:$B$11,1))</f>
        <v>5</v>
      </c>
    </row>
    <row r="10" customFormat="false" ht="15" hidden="false" customHeight="true" outlineLevel="0" collapsed="false">
      <c r="A10" s="8" t="s">
        <v>190</v>
      </c>
      <c r="B10" s="16" t="n">
        <v>3000</v>
      </c>
      <c r="C10" s="39" t="n">
        <v>0.105</v>
      </c>
      <c r="D10" s="16" t="n">
        <v>110</v>
      </c>
      <c r="E10" s="25" t="n">
        <f aca="false">IF($B10="","",RANK($C10,$C$6:$C$11,0))</f>
        <v>3</v>
      </c>
      <c r="F10" s="25" t="n">
        <f aca="false">IF($B10="","",RANK($B10,$B$6:$B$11,1))</f>
        <v>2</v>
      </c>
    </row>
    <row r="11" customFormat="false" ht="15" hidden="false" customHeight="true" outlineLevel="0" collapsed="false">
      <c r="A11" s="8"/>
      <c r="B11" s="16"/>
      <c r="C11" s="39"/>
      <c r="D11" s="16"/>
      <c r="E11" s="25" t="str">
        <f aca="false">IF($B11="","",RANK($C11,$C$6:$C$11,0))</f>
        <v/>
      </c>
      <c r="F11" s="25" t="str">
        <f aca="false">IF($B11="","",RANK($B11,$B$6:$B$11,1))</f>
        <v/>
      </c>
    </row>
    <row r="13" customFormat="false" ht="15" hidden="false" customHeight="true" outlineLevel="0" collapsed="false">
      <c r="A13" s="40" t="s">
        <v>191</v>
      </c>
      <c r="B13" s="40"/>
      <c r="C13" s="40"/>
      <c r="D13" s="16" t="n">
        <v>300</v>
      </c>
    </row>
    <row r="15" customFormat="false" ht="15" hidden="false" customHeight="true" outlineLevel="0" collapsed="false">
      <c r="A15" s="13" t="s">
        <v>192</v>
      </c>
      <c r="B15" s="13"/>
      <c r="C15" s="13"/>
      <c r="D15" s="13"/>
      <c r="E15" s="13"/>
      <c r="F15" s="13"/>
    </row>
    <row r="16" customFormat="false" ht="27.75" hidden="false" customHeight="true" outlineLevel="0" collapsed="false">
      <c r="A16" s="14" t="s">
        <v>180</v>
      </c>
      <c r="B16" s="15" t="s">
        <v>193</v>
      </c>
      <c r="C16" s="15" t="s">
        <v>194</v>
      </c>
      <c r="D16" s="15" t="s">
        <v>195</v>
      </c>
      <c r="E16" s="15"/>
      <c r="F16" s="15"/>
    </row>
    <row r="17" customFormat="false" ht="15" hidden="false" customHeight="true" outlineLevel="0" collapsed="false">
      <c r="A17" s="10" t="str">
        <f aca="false">IF($B6="","",$A6)</f>
        <v>Credit Card A</v>
      </c>
      <c r="B17" s="21" t="n">
        <f aca="false">IF($B6="","",$D6+IF(E6=1,$D$13,0))</f>
        <v>430</v>
      </c>
      <c r="C17" s="25" t="n">
        <f aca="false">IF($B6="","",IFERROR(ROUNDUP(NPER($C6/12,-B17,$B6),0),"check payment"))</f>
        <v>11</v>
      </c>
      <c r="D17" s="21" t="n">
        <f aca="false">IF($B6="","",IFERROR(ROUND(C17*B17-$B6,2),"check payment"))</f>
        <v>530</v>
      </c>
    </row>
    <row r="18" customFormat="false" ht="15" hidden="false" customHeight="true" outlineLevel="0" collapsed="false">
      <c r="A18" s="10" t="str">
        <f aca="false">IF($B7="","",$A7)</f>
        <v>Credit Card B</v>
      </c>
      <c r="B18" s="21" t="n">
        <f aca="false">IF($B7="","",$D7+IF(E7=1,$D$13,0))</f>
        <v>60</v>
      </c>
      <c r="C18" s="25" t="n">
        <f aca="false">IF($B7="","",IFERROR(ROUNDUP(NPER($C7/12,-B18,$B7),0),"check payment"))</f>
        <v>42</v>
      </c>
      <c r="D18" s="21" t="n">
        <f aca="false">IF($B7="","",IFERROR(ROUND(C18*B18-$B7,2),"check payment"))</f>
        <v>720</v>
      </c>
    </row>
    <row r="19" customFormat="false" ht="15" hidden="false" customHeight="true" outlineLevel="0" collapsed="false">
      <c r="A19" s="10" t="str">
        <f aca="false">IF($B8="","",$A8)</f>
        <v>Auto Loan</v>
      </c>
      <c r="B19" s="21" t="n">
        <f aca="false">IF($B8="","",$D8+IF(E8=1,$D$13,0))</f>
        <v>350</v>
      </c>
      <c r="C19" s="25" t="n">
        <f aca="false">IF($B8="","",IFERROR(ROUNDUP(NPER($C8/12,-B19,$B8),0),"check payment"))</f>
        <v>46</v>
      </c>
      <c r="D19" s="21" t="n">
        <f aca="false">IF($B8="","",IFERROR(ROUND(C19*B19-$B8,2),"check payment"))</f>
        <v>2100</v>
      </c>
    </row>
    <row r="20" customFormat="false" ht="15" hidden="false" customHeight="true" outlineLevel="0" collapsed="false">
      <c r="A20" s="10" t="str">
        <f aca="false">IF($B9="","",$A9)</f>
        <v>Student Loan</v>
      </c>
      <c r="B20" s="21" t="n">
        <f aca="false">IF($B9="","",$D9+IF(E9=1,$D$13,0))</f>
        <v>220</v>
      </c>
      <c r="C20" s="25" t="n">
        <f aca="false">IF($B9="","",IFERROR(ROUNDUP(NPER($C9/12,-B20,$B9),0),"check payment"))</f>
        <v>164</v>
      </c>
      <c r="D20" s="21" t="n">
        <f aca="false">IF($B9="","",IFERROR(ROUND(C20*B20-$B9,2),"check payment"))</f>
        <v>10080</v>
      </c>
    </row>
    <row r="21" customFormat="false" ht="15" hidden="false" customHeight="true" outlineLevel="0" collapsed="false">
      <c r="A21" s="10" t="str">
        <f aca="false">IF($B10="","",$A10)</f>
        <v>Personal Loan</v>
      </c>
      <c r="B21" s="21" t="n">
        <f aca="false">IF($B10="","",$D10+IF(E10=1,$D$13,0))</f>
        <v>110</v>
      </c>
      <c r="C21" s="25" t="n">
        <f aca="false">IF($B10="","",IFERROR(ROUNDUP(NPER($C10/12,-B21,$B10),0),"check payment"))</f>
        <v>32</v>
      </c>
      <c r="D21" s="21" t="n">
        <f aca="false">IF($B10="","",IFERROR(ROUND(C21*B21-$B10,2),"check payment"))</f>
        <v>520</v>
      </c>
    </row>
    <row r="22" customFormat="false" ht="15" hidden="false" customHeight="true" outlineLevel="0" collapsed="false">
      <c r="A22" s="10" t="str">
        <f aca="false">IF($B11="","",$A11)</f>
        <v/>
      </c>
      <c r="B22" s="21" t="str">
        <f aca="false">IF($B11="","",$D11+IF(E11=1,$D$13,0))</f>
        <v/>
      </c>
      <c r="C22" s="25" t="str">
        <f aca="false">IF($B11="","",IFERROR(ROUNDUP(NPER($C11/12,-B22,$B11),0),"check payment"))</f>
        <v/>
      </c>
      <c r="D22" s="21" t="str">
        <f aca="false">IF($B11="","",IFERROR(ROUND(C22*B22-$B11,2),"check payment"))</f>
        <v/>
      </c>
    </row>
    <row r="23" customFormat="false" ht="15" hidden="false" customHeight="true" outlineLevel="0" collapsed="false">
      <c r="A23" s="17" t="s">
        <v>196</v>
      </c>
      <c r="C23" s="41" t="n">
        <f aca="false">MAX(C17:C22)</f>
        <v>164</v>
      </c>
      <c r="D23" s="18" t="n">
        <f aca="false">SUM(D17:D22)</f>
        <v>13950</v>
      </c>
    </row>
    <row r="25" customFormat="false" ht="15" hidden="false" customHeight="true" outlineLevel="0" collapsed="false">
      <c r="A25" s="13" t="s">
        <v>197</v>
      </c>
      <c r="B25" s="13"/>
      <c r="C25" s="13"/>
      <c r="D25" s="13"/>
      <c r="E25" s="13"/>
      <c r="F25" s="13"/>
    </row>
    <row r="26" customFormat="false" ht="27.75" hidden="false" customHeight="true" outlineLevel="0" collapsed="false">
      <c r="A26" s="14" t="s">
        <v>180</v>
      </c>
      <c r="B26" s="15" t="s">
        <v>193</v>
      </c>
      <c r="C26" s="15" t="s">
        <v>194</v>
      </c>
      <c r="D26" s="15" t="s">
        <v>195</v>
      </c>
      <c r="E26" s="15"/>
      <c r="F26" s="15"/>
    </row>
    <row r="27" customFormat="false" ht="15" hidden="false" customHeight="true" outlineLevel="0" collapsed="false">
      <c r="A27" s="10" t="str">
        <f aca="false">IF($B6="","",$A6)</f>
        <v>Credit Card A</v>
      </c>
      <c r="B27" s="21" t="n">
        <f aca="false">IF($B6="","",$D6+IF(F6=1,$D$13,0))</f>
        <v>130</v>
      </c>
      <c r="C27" s="25" t="n">
        <f aca="false">IF($B6="","",IFERROR(ROUNDUP(NPER($C6/12,-B27,$B6),0),"check payment"))</f>
        <v>51</v>
      </c>
      <c r="D27" s="21" t="n">
        <f aca="false">IF($B6="","",IFERROR(ROUND(C27*B27-$B6,2),"check payment"))</f>
        <v>2430</v>
      </c>
    </row>
    <row r="28" customFormat="false" ht="15" hidden="false" customHeight="true" outlineLevel="0" collapsed="false">
      <c r="A28" s="10" t="str">
        <f aca="false">IF($B7="","",$A7)</f>
        <v>Credit Card B</v>
      </c>
      <c r="B28" s="21" t="n">
        <f aca="false">IF($B7="","",$D7+IF(F7=1,$D$13,0))</f>
        <v>360</v>
      </c>
      <c r="C28" s="25" t="n">
        <f aca="false">IF($B7="","",IFERROR(ROUNDUP(NPER($C7/12,-B28,$B7),0),"check payment"))</f>
        <v>6</v>
      </c>
      <c r="D28" s="21" t="n">
        <f aca="false">IF($B7="","",IFERROR(ROUND(C28*B28-$B7,2),"check payment"))</f>
        <v>360</v>
      </c>
    </row>
    <row r="29" customFormat="false" ht="15" hidden="false" customHeight="true" outlineLevel="0" collapsed="false">
      <c r="A29" s="10" t="str">
        <f aca="false">IF($B8="","",$A8)</f>
        <v>Auto Loan</v>
      </c>
      <c r="B29" s="21" t="n">
        <f aca="false">IF($B8="","",$D8+IF(F8=1,$D$13,0))</f>
        <v>350</v>
      </c>
      <c r="C29" s="25" t="n">
        <f aca="false">IF($B8="","",IFERROR(ROUNDUP(NPER($C8/12,-B29,$B8),0),"check payment"))</f>
        <v>46</v>
      </c>
      <c r="D29" s="21" t="n">
        <f aca="false">IF($B8="","",IFERROR(ROUND(C29*B29-$B8,2),"check payment"))</f>
        <v>2100</v>
      </c>
    </row>
    <row r="30" customFormat="false" ht="15" hidden="false" customHeight="true" outlineLevel="0" collapsed="false">
      <c r="A30" s="10" t="str">
        <f aca="false">IF($B9="","",$A9)</f>
        <v>Student Loan</v>
      </c>
      <c r="B30" s="21" t="n">
        <f aca="false">IF($B9="","",$D9+IF(F9=1,$D$13,0))</f>
        <v>220</v>
      </c>
      <c r="C30" s="25" t="n">
        <f aca="false">IF($B9="","",IFERROR(ROUNDUP(NPER($C9/12,-B30,$B9),0),"check payment"))</f>
        <v>164</v>
      </c>
      <c r="D30" s="21" t="n">
        <f aca="false">IF($B9="","",IFERROR(ROUND(C30*B30-$B9,2),"check payment"))</f>
        <v>10080</v>
      </c>
    </row>
    <row r="31" customFormat="false" ht="15" hidden="false" customHeight="true" outlineLevel="0" collapsed="false">
      <c r="A31" s="10" t="str">
        <f aca="false">IF($B10="","",$A10)</f>
        <v>Personal Loan</v>
      </c>
      <c r="B31" s="21" t="n">
        <f aca="false">IF($B10="","",$D10+IF(F10=1,$D$13,0))</f>
        <v>110</v>
      </c>
      <c r="C31" s="25" t="n">
        <f aca="false">IF($B10="","",IFERROR(ROUNDUP(NPER($C10/12,-B31,$B10),0),"check payment"))</f>
        <v>32</v>
      </c>
      <c r="D31" s="21" t="n">
        <f aca="false">IF($B10="","",IFERROR(ROUND(C31*B31-$B10,2),"check payment"))</f>
        <v>520</v>
      </c>
    </row>
    <row r="32" customFormat="false" ht="15" hidden="false" customHeight="true" outlineLevel="0" collapsed="false">
      <c r="A32" s="10" t="str">
        <f aca="false">IF($B11="","",$A11)</f>
        <v/>
      </c>
      <c r="B32" s="21" t="str">
        <f aca="false">IF($B11="","",$D11+IF(F11=1,$D$13,0))</f>
        <v/>
      </c>
      <c r="C32" s="25" t="str">
        <f aca="false">IF($B11="","",IFERROR(ROUNDUP(NPER($C11/12,-B32,$B11),0),"check payment"))</f>
        <v/>
      </c>
      <c r="D32" s="21" t="str">
        <f aca="false">IF($B11="","",IFERROR(ROUND(C32*B32-$B11,2),"check payment"))</f>
        <v/>
      </c>
    </row>
    <row r="33" customFormat="false" ht="15" hidden="false" customHeight="true" outlineLevel="0" collapsed="false">
      <c r="A33" s="17" t="s">
        <v>198</v>
      </c>
      <c r="C33" s="41" t="n">
        <f aca="false">MAX(C27:C32)</f>
        <v>164</v>
      </c>
      <c r="D33" s="18" t="n">
        <f aca="false">SUM(D27:D32)</f>
        <v>15490</v>
      </c>
    </row>
    <row r="35" customFormat="false" ht="15" hidden="false" customHeight="true" outlineLevel="0" collapsed="false">
      <c r="A35" s="42" t="s">
        <v>199</v>
      </c>
      <c r="B35" s="42"/>
      <c r="C35" s="42"/>
      <c r="D35" s="18" t="n">
        <f aca="false">D33-D23</f>
        <v>1540</v>
      </c>
    </row>
    <row r="37" customFormat="false" ht="25.5" hidden="false" customHeight="true" outlineLevel="0" collapsed="false">
      <c r="A37" s="22" t="s">
        <v>200</v>
      </c>
      <c r="B37" s="22"/>
      <c r="C37" s="22"/>
      <c r="D37" s="22"/>
      <c r="E37" s="22"/>
      <c r="F37" s="22"/>
    </row>
    <row r="38" customFormat="false" ht="25.5" hidden="false" customHeight="true" outlineLevel="0" collapsed="false">
      <c r="A38" s="22" t="s">
        <v>201</v>
      </c>
      <c r="B38" s="22"/>
      <c r="C38" s="22"/>
      <c r="D38" s="22"/>
      <c r="E38" s="22"/>
      <c r="F38" s="22"/>
    </row>
  </sheetData>
  <mergeCells count="9">
    <mergeCell ref="A1:F1"/>
    <mergeCell ref="A2:F2"/>
    <mergeCell ref="A4:F4"/>
    <mergeCell ref="A13:C13"/>
    <mergeCell ref="A15:F15"/>
    <mergeCell ref="A25:F25"/>
    <mergeCell ref="A35:C35"/>
    <mergeCell ref="A37:F3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7" min="1" style="1" width="10"/>
  </cols>
  <sheetData>
    <row r="1" customFormat="false" ht="21.75" hidden="false" customHeight="true" outlineLevel="0" collapsed="false">
      <c r="A1" s="2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3" t="s">
        <v>203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4" customFormat="false" ht="15" hidden="false" customHeight="true" outlineLevel="0" collapsed="false">
      <c r="A44" s="26" t="s">
        <v>204</v>
      </c>
      <c r="B44" s="26" t="s">
        <v>205</v>
      </c>
    </row>
    <row r="45" customFormat="false" ht="15" hidden="false" customHeight="true" outlineLevel="0" collapsed="false">
      <c r="A45" s="10" t="s">
        <v>44</v>
      </c>
      <c r="B45" s="21" t="n">
        <f aca="false">'Monthly Budget'!O20</f>
        <v>6029</v>
      </c>
    </row>
    <row r="46" customFormat="false" ht="15" hidden="false" customHeight="true" outlineLevel="0" collapsed="false">
      <c r="A46" s="10" t="s">
        <v>48</v>
      </c>
      <c r="B46" s="21" t="n">
        <f aca="false">'Monthly Budget'!O34</f>
        <v>1293</v>
      </c>
    </row>
    <row r="47" customFormat="false" ht="15" hidden="false" customHeight="true" outlineLevel="0" collapsed="false">
      <c r="A47" s="10" t="s">
        <v>52</v>
      </c>
      <c r="B47" s="21" t="n">
        <f aca="false">'Monthly Budget'!O45</f>
        <v>1190</v>
      </c>
    </row>
    <row r="48" customFormat="false" ht="15" hidden="false" customHeight="true" outlineLevel="0" collapsed="false">
      <c r="A48" s="10" t="s">
        <v>55</v>
      </c>
      <c r="B48" s="21" t="n">
        <f aca="false">'Monthly Budget'!O59</f>
        <v>1305</v>
      </c>
    </row>
    <row r="49" customFormat="false" ht="15" hidden="false" customHeight="true" outlineLevel="0" collapsed="false">
      <c r="A49" s="10" t="s">
        <v>59</v>
      </c>
      <c r="B49" s="21" t="n">
        <f aca="false">'Monthly Budget'!O70</f>
        <v>1125</v>
      </c>
    </row>
    <row r="50" customFormat="false" ht="15" hidden="false" customHeight="true" outlineLevel="0" collapsed="false">
      <c r="A50" s="10" t="s">
        <v>62</v>
      </c>
      <c r="B50" s="21" t="n">
        <f aca="false">'Monthly Budget'!O84</f>
        <v>1500</v>
      </c>
    </row>
    <row r="51" customFormat="false" ht="15" hidden="false" customHeight="true" outlineLevel="0" collapsed="false">
      <c r="A51" s="10" t="s">
        <v>66</v>
      </c>
      <c r="B51" s="21" t="n">
        <f aca="false">'Monthly Budget'!O101</f>
        <v>308</v>
      </c>
    </row>
    <row r="52" customFormat="false" ht="15" hidden="false" customHeight="true" outlineLevel="0" collapsed="false">
      <c r="A52" s="10" t="s">
        <v>71</v>
      </c>
      <c r="B52" s="21" t="n">
        <f aca="false">'Monthly Budget'!O112</f>
        <v>155</v>
      </c>
    </row>
    <row r="54" customFormat="false" ht="15" hidden="false" customHeight="true" outlineLevel="0" collapsed="false">
      <c r="A54" s="12" t="s">
        <v>206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2026-09-17T09:02:45Z</dcterms:created>
  <dc:creator>openpyxl</dc:creator>
  <dc:description/>
  <dc:language>en-US</dc:language>
  <cp:lastModifiedBy/>
  <dcterms:modified xsi:type="dcterms:W3CDTF">2026-09-18T13:06:19Z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