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WACC" sheetId="3" state="visible" r:id="rId5"/>
    <sheet name="DCF" sheetId="4" state="visible" r:id="rId6"/>
    <sheet name="Sensitivity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<sst xmlns="http://schemas.openxmlformats.org/spreadsheetml/2006/main" count="169" uniqueCount="147">
  <si>
    <t xml:space="preserve">Numbersmith - DCF Valuation Model</t>
  </si>
  <si>
    <t xml:space="preserve">Purpose</t>
  </si>
  <si>
    <t xml:space="preserve">This workbook builds a full discounted cash flow valuation for a public company: a WACC build (CAPM plus size premium), a five-year unlevered free cash flow forecast, a terminal value under both the Gordon growth and exit multiple methods, a bridge from enterprise value to implied share price, and two formula-driven sensitivity tables. Replace the sample company with your own company's data on the Inputs tab and every other tab recalculates automatically.</t>
  </si>
  <si>
    <t xml:space="preserve">How to use this model (6 steps)</t>
  </si>
  <si>
    <t xml:space="preserve">1. Open the Inputs tab. Every blue cell is an editable input; every black or green cell is a formula and should not be overwritten.</t>
  </si>
  <si>
    <t xml:space="preserve">2. Enter company name, ticker, valuation date, currency and units, then the three historical years of financials.</t>
  </si>
  <si>
    <t xml:space="preserve">3. Enter five years of projection assumptions (revenue growth, EBITDA margin, D&amp;A, capex and NWC, each as a percent of revenue).</t>
  </si>
  <si>
    <t xml:space="preserve">4. Enter the WACC inputs (risk-free rate, equity risk premium, beta, size premium, cost of debt, tax rate, market cap, total debt).</t>
  </si>
  <si>
    <t xml:space="preserve">5. Choose the terminal value method (1 = Gordon growth, 2 = exit multiple) and the mid-year convention toggle (1 = on, 0 = off).</t>
  </si>
  <si>
    <t xml:space="preserve">6. Read the implied share price on the DCF tab, then stress-test it on the Sensitivity tab and review the Charts tab.</t>
  </si>
  <si>
    <t xml:space="preserve">Color legend</t>
  </si>
  <si>
    <t xml:space="preserve">Blue font</t>
  </si>
  <si>
    <t xml:space="preserve">Input - type over this. Nothing else on the model needs to change.</t>
  </si>
  <si>
    <t xml:space="preserve">Black font</t>
  </si>
  <si>
    <t xml:space="preserve">Formula - calculated on this sheet. Do not overwrite.</t>
  </si>
  <si>
    <t xml:space="preserve">Green font</t>
  </si>
  <si>
    <t xml:space="preserve">Cross-sheet link - pulled directly from another tab.</t>
  </si>
  <si>
    <t xml:space="preserve">Where to find each input</t>
  </si>
  <si>
    <t xml:space="preserve">Revenue, EBITDA, D&amp;A, capex, change in NWC, tax rate (historical)</t>
  </si>
  <si>
    <t xml:space="preserve">Company 10-K / 10-Q - income statement, cash flow statement</t>
  </si>
  <si>
    <t xml:space="preserve">Diluted shares outstanding, current share price</t>
  </si>
  <si>
    <t xml:space="preserve">10-K cover page (shares) and Yahoo Finance / any live quote (price)</t>
  </si>
  <si>
    <t xml:space="preserve">Market capitalization, total debt</t>
  </si>
  <si>
    <t xml:space="preserve">Yahoo Finance "Statistics" tab; total debt from the 10-K balance sheet</t>
  </si>
  <si>
    <t xml:space="preserve">Risk-free rate</t>
  </si>
  <si>
    <t xml:space="preserve">Current 10-year Treasury yield (Yahoo Finance ^TNX, or Treasury.gov)</t>
  </si>
  <si>
    <t xml:space="preserve">Equity risk premium, size premium</t>
  </si>
  <si>
    <t xml:space="preserve">Damodaran Online (pages.stern.nyu.edu/~adamodar/) - ERP and size premium data sets</t>
  </si>
  <si>
    <t xml:space="preserve">Beta</t>
  </si>
  <si>
    <t xml:space="preserve">Yahoo Finance "Statistics" tab, or regress the stock against the S&amp;P 500</t>
  </si>
  <si>
    <t xml:space="preserve">Pre-tax cost of debt</t>
  </si>
  <si>
    <t xml:space="preserve">10-K debt footnote (weighted average interest rate), or company bond yields</t>
  </si>
  <si>
    <t xml:space="preserve">Cash, minority interest, preferred stock, non-operating assets</t>
  </si>
  <si>
    <t xml:space="preserve">Most recent 10-K / 10-Q balance sheet</t>
  </si>
  <si>
    <t xml:space="preserve">Terminal growth rate, exit multiple</t>
  </si>
  <si>
    <t xml:space="preserve">Long-run GDP growth as a ceiling for terminal growth; peer trading multiples for the exit multiple</t>
  </si>
  <si>
    <t xml:space="preserve">Built by Numbersmith with AI assistance. Formulas are open; nothing is hidden or locked.</t>
  </si>
  <si>
    <t xml:space="preserve">For education and planning only, not financial advice.</t>
  </si>
  <si>
    <t xml:space="preserve">Inputs - all blue cells are editable</t>
  </si>
  <si>
    <t xml:space="preserve">Company &amp; General Information</t>
  </si>
  <si>
    <t xml:space="preserve">Company name</t>
  </si>
  <si>
    <t xml:space="preserve">Sample Industrials Inc</t>
  </si>
  <si>
    <t xml:space="preserve">Ticker</t>
  </si>
  <si>
    <t xml:space="preserve">SMPL</t>
  </si>
  <si>
    <t xml:space="preserve">Valuation date</t>
  </si>
  <si>
    <t xml:space="preserve">Reporting currency</t>
  </si>
  <si>
    <t xml:space="preserve">USD</t>
  </si>
  <si>
    <t xml:space="preserve">Units</t>
  </si>
  <si>
    <t xml:space="preserve">$ millions, except per-share data</t>
  </si>
  <si>
    <t xml:space="preserve">Historical Financials ($ millions)</t>
  </si>
  <si>
    <t xml:space="preserve">Fiscal year</t>
  </si>
  <si>
    <t xml:space="preserve">Revenue</t>
  </si>
  <si>
    <t xml:space="preserve">EBITDA</t>
  </si>
  <si>
    <t xml:space="preserve">D&amp;A</t>
  </si>
  <si>
    <t xml:space="preserve">Capex</t>
  </si>
  <si>
    <t xml:space="preserve">Change in NWC</t>
  </si>
  <si>
    <t xml:space="preserve">Tax rate</t>
  </si>
  <si>
    <t xml:space="preserve">Projection Assumptions (5-year forecast, % of revenue unless noted)</t>
  </si>
  <si>
    <t xml:space="preserve">Revenue growth %</t>
  </si>
  <si>
    <t xml:space="preserve">EBITDA margin %</t>
  </si>
  <si>
    <t xml:space="preserve">D&amp;A % of revenue</t>
  </si>
  <si>
    <t xml:space="preserve">Capex % of revenue</t>
  </si>
  <si>
    <t xml:space="preserve">Change in NWC % of revenue</t>
  </si>
  <si>
    <t xml:space="preserve">Terminal Value Assumptions</t>
  </si>
  <si>
    <t xml:space="preserve">Terminal method selector (1 = Gordon growth, 2 = exit multiple)</t>
  </si>
  <si>
    <t xml:space="preserve">Terminal growth rate (Gordon)</t>
  </si>
  <si>
    <t xml:space="preserve">Exit EV/EBITDA multiple</t>
  </si>
  <si>
    <t xml:space="preserve">Discounting Convention</t>
  </si>
  <si>
    <t xml:space="preserve">Mid-year convention toggle (1 = on, 0 = off)</t>
  </si>
  <si>
    <t xml:space="preserve">WACC Inputs</t>
  </si>
  <si>
    <t xml:space="preserve">Equity risk premium</t>
  </si>
  <si>
    <t xml:space="preserve">Size premium</t>
  </si>
  <si>
    <t xml:space="preserve">Tax rate (WACC / projections)</t>
  </si>
  <si>
    <t xml:space="preserve">Market capitalization</t>
  </si>
  <si>
    <t xml:space="preserve">Total debt</t>
  </si>
  <si>
    <t xml:space="preserve">Net Debt Bridge &amp; Share Data</t>
  </si>
  <si>
    <t xml:space="preserve">Cash &amp; equivalents</t>
  </si>
  <si>
    <t xml:space="preserve">Total debt (linked from WACC inputs)</t>
  </si>
  <si>
    <t xml:space="preserve">Minority interest</t>
  </si>
  <si>
    <t xml:space="preserve">Preferred stock</t>
  </si>
  <si>
    <t xml:space="preserve">Non-operating assets</t>
  </si>
  <si>
    <t xml:space="preserve">Diluted shares outstanding (millions)</t>
  </si>
  <si>
    <t xml:space="preserve">Current share price</t>
  </si>
  <si>
    <t xml:space="preserve">WACC - weighted average cost of capital</t>
  </si>
  <si>
    <t xml:space="preserve">Cost of Equity (CAPM + Size Premium)</t>
  </si>
  <si>
    <t xml:space="preserve">Cost of equity = Rf + (Beta x ERP) + size premium</t>
  </si>
  <si>
    <t xml:space="preserve">After-Tax Cost of Debt</t>
  </si>
  <si>
    <t xml:space="preserve">After-tax cost of debt = pre-tax cost x (1 - tax rate)</t>
  </si>
  <si>
    <t xml:space="preserve">Capital Structure Weights (Market Values)</t>
  </si>
  <si>
    <t xml:space="preserve">Market capitalization (equity value)</t>
  </si>
  <si>
    <t xml:space="preserve">Total capital (equity + debt)</t>
  </si>
  <si>
    <t xml:space="preserve">Weight of equity</t>
  </si>
  <si>
    <t xml:space="preserve">Weight of debt</t>
  </si>
  <si>
    <t xml:space="preserve">WACC</t>
  </si>
  <si>
    <t xml:space="preserve">WACC = (We x Ke) + (Wd x Kd, after-tax)</t>
  </si>
  <si>
    <t xml:space="preserve">DCF - unlevered free cash flow &amp; valuation</t>
  </si>
  <si>
    <t xml:space="preserve">Fiscal Year</t>
  </si>
  <si>
    <t xml:space="preserve">Period</t>
  </si>
  <si>
    <t xml:space="preserve">Historical</t>
  </si>
  <si>
    <t xml:space="preserve">Projected</t>
  </si>
  <si>
    <t xml:space="preserve">Unlevered Free Cash Flow Build ($ millions)</t>
  </si>
  <si>
    <t xml:space="preserve">EBIT (EBITDA less D&amp;A)</t>
  </si>
  <si>
    <t xml:space="preserve">Taxes on EBIT</t>
  </si>
  <si>
    <t xml:space="preserve">NOPAT</t>
  </si>
  <si>
    <t xml:space="preserve">(+) D&amp;A</t>
  </si>
  <si>
    <t xml:space="preserve">(-) Capex</t>
  </si>
  <si>
    <t xml:space="preserve">(-) Change in NWC</t>
  </si>
  <si>
    <t xml:space="preserve">Unlevered FCF</t>
  </si>
  <si>
    <t xml:space="preserve">Discounting (honors mid-year convention toggle on Inputs)</t>
  </si>
  <si>
    <t xml:space="preserve">Year number (since last historical year)</t>
  </si>
  <si>
    <t xml:space="preserve">Discount period</t>
  </si>
  <si>
    <t xml:space="preserve">Discount factor @ WACC</t>
  </si>
  <si>
    <t xml:space="preserve">PV of unlevered FCF</t>
  </si>
  <si>
    <t xml:space="preserve">Terminal Value</t>
  </si>
  <si>
    <t xml:space="preserve">Terminal value - Gordon growth method</t>
  </si>
  <si>
    <t xml:space="preserve">Terminal value - exit multiple method</t>
  </si>
  <si>
    <t xml:space="preserve">Selected terminal value (per Inputs selector)</t>
  </si>
  <si>
    <t xml:space="preserve">PV of terminal value</t>
  </si>
  <si>
    <t xml:space="preserve">Enterprise Value to Implied Share Price Bridge</t>
  </si>
  <si>
    <t xml:space="preserve">Sum of PV of explicit FCFs (Yr 1-5)</t>
  </si>
  <si>
    <t xml:space="preserve">(+) PV of terminal value</t>
  </si>
  <si>
    <t xml:space="preserve">Enterprise value</t>
  </si>
  <si>
    <t xml:space="preserve">(-) Total debt</t>
  </si>
  <si>
    <t xml:space="preserve">(+) Cash &amp; equivalents</t>
  </si>
  <si>
    <t xml:space="preserve">(-) Minority interest</t>
  </si>
  <si>
    <t xml:space="preserve">(-) Preferred stock</t>
  </si>
  <si>
    <t xml:space="preserve">(+) Non-operating assets</t>
  </si>
  <si>
    <t xml:space="preserve">Equity value</t>
  </si>
  <si>
    <t xml:space="preserve">Diluted shares outstanding (mm)</t>
  </si>
  <si>
    <t xml:space="preserve">Implied share price</t>
  </si>
  <si>
    <t xml:space="preserve">Upside / (downside) vs current price</t>
  </si>
  <si>
    <t xml:space="preserve">Implied EV / LTM EBITDA</t>
  </si>
  <si>
    <t xml:space="preserve">Sensitivity - implied share price grids (formula-built, not Data Table)</t>
  </si>
  <si>
    <t xml:space="preserve">Grid 1: Implied Share Price - WACC (rows) vs Terminal Growth Rate (columns), Gordon Growth Method</t>
  </si>
  <si>
    <t xml:space="preserve">WACC \ g</t>
  </si>
  <si>
    <t xml:space="preserve">Grid 2: Implied Share Price - WACC (rows) vs Exit EV/EBITDA Multiple (columns)</t>
  </si>
  <si>
    <t xml:space="preserve">WACC \ multiple</t>
  </si>
  <si>
    <t xml:space="preserve">Green shading = implied share price above the current share price on the Inputs tab.</t>
  </si>
  <si>
    <t xml:space="preserve">Charts</t>
  </si>
  <si>
    <t xml:space="preserve">Chart 1 data: unlevered FCF projection ($ millions)</t>
  </si>
  <si>
    <t xml:space="preserve">Chart 2 data: implied share price, min / base / max vs current</t>
  </si>
  <si>
    <t xml:space="preserve">Scenario</t>
  </si>
  <si>
    <t xml:space="preserve">Min</t>
  </si>
  <si>
    <t xml:space="preserve">Base</t>
  </si>
  <si>
    <t xml:space="preserve">Max</t>
  </si>
  <si>
    <t xml:space="preserve">Current</t>
  </si>
  <si>
    <t xml:space="preserve">Implied price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</si>
</sst>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m/dd/yyyy"/>
    <numFmt numFmtId="166" formatCode="0"/>
    <numFmt numFmtId="167" formatCode="\$#,##0;&quot;($&quot;#,##0\);\-"/>
    <numFmt numFmtId="168" formatCode="0.0%;\(0.0%\);\-"/>
    <numFmt numFmtId="169" formatCode="0.00%;\(0.00%\);\-"/>
    <numFmt numFmtId="170" formatCode="0.0\x"/>
    <numFmt numFmtId="171" formatCode="0.00"/>
    <numFmt numFmtId="172" formatCode="#,##0.0;\(#,##0.0\);\-"/>
    <numFmt numFmtId="173" formatCode="\$#,##0.00;&quot;($&quot;#,##0.00\);\-"/>
    <numFmt numFmtId="174" formatCode="0.0"/>
    <numFmt numFmtId="175" formatCode="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i val="true"/>
      <sz val="11"/>
      <color rgb="FF1F4E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99"/>
      </patternFill>
    </fill>
    <fill>
      <patternFill patternType="solid">
        <fgColor rgb="FFDCE9E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DCE9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8064A2"/>
      <rgbColor rgb="FF878787"/>
      <rgbColor rgb="FF1F4E5F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Unlevered FCF Projection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5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Charts!$B$4:$F$4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Charts!$B$5</c:f>
              <c:numCache>
                <c:formatCode>\$#,##0;"($"#,##0\);\-</c:formatCode>
                <c:ptCount val="1"/>
                <c:pt idx="0">
                  <c:v>452.1132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Charts!$B$4:$F$4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Charts!$C$5</c:f>
              <c:numCache>
                <c:formatCode>\$#,##0;"($"#,##0\);\-</c:formatCode>
                <c:ptCount val="1"/>
                <c:pt idx="0">
                  <c:v>484.071588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Charts!$B$4:$F$4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Charts!$D$5</c:f>
              <c:numCache>
                <c:formatCode>\$#,##0;"($"#,##0\);\-</c:formatCode>
                <c:ptCount val="1"/>
                <c:pt idx="0">
                  <c:v>515.51227728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Charts!$B$4:$F$4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Charts!$E$5</c:f>
              <c:numCache>
                <c:formatCode>\$#,##0;"($"#,##0\);\-</c:formatCode>
                <c:ptCount val="1"/>
                <c:pt idx="0">
                  <c:v>546.0557566464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Charts!$B$4:$F$4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Charts!$F$5</c:f>
              <c:numCache>
                <c:formatCode>\$#,##0;"($"#,##0\);\-</c:formatCode>
                <c:ptCount val="1"/>
                <c:pt idx="0">
                  <c:v>570.20364384984</c:v>
                </c:pt>
              </c:numCache>
            </c:numRef>
          </c:val>
        </c:ser>
        <c:gapWidth val="150"/>
        <c:overlap val="0"/>
        <c:axId val="61935125"/>
        <c:axId val="91888078"/>
      </c:barChart>
      <c:catAx>
        <c:axId val="619351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88078"/>
        <c:crosses val="autoZero"/>
        <c:auto val="1"/>
        <c:lblAlgn val="ctr"/>
        <c:lblOffset val="100"/>
        <c:noMultiLvlLbl val="0"/>
      </c:catAx>
      <c:valAx>
        <c:axId val="91888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351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Implied Share Price: Min / Base / Max vs Current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5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Charts!$B$9:$E$9</c:f>
              <c:strCache>
                <c:ptCount val="4"/>
                <c:pt idx="0">
                  <c:v>Min</c:v>
                </c:pt>
                <c:pt idx="1">
                  <c:v>Base</c:v>
                </c:pt>
                <c:pt idx="2">
                  <c:v>Max</c:v>
                </c:pt>
                <c:pt idx="3">
                  <c:v>Current</c:v>
                </c:pt>
              </c:strCache>
            </c:strRef>
          </c:cat>
          <c:val>
            <c:numRef>
              <c:f>Charts!$B$10</c:f>
              <c:numCache>
                <c:formatCode>\$#,##0.00;"($"#,##0.00\);\-</c:formatCode>
                <c:ptCount val="1"/>
                <c:pt idx="0">
                  <c:v>33.8090986437644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Charts!$B$9:$E$9</c:f>
              <c:strCache>
                <c:ptCount val="4"/>
                <c:pt idx="0">
                  <c:v>Min</c:v>
                </c:pt>
                <c:pt idx="1">
                  <c:v>Base</c:v>
                </c:pt>
                <c:pt idx="2">
                  <c:v>Max</c:v>
                </c:pt>
                <c:pt idx="3">
                  <c:v>Current</c:v>
                </c:pt>
              </c:strCache>
            </c:strRef>
          </c:cat>
          <c:val>
            <c:numRef>
              <c:f>Charts!$C$10</c:f>
              <c:numCache>
                <c:formatCode>\$#,##0.00;"($"#,##0.00\);\-</c:formatCode>
                <c:ptCount val="1"/>
                <c:pt idx="0">
                  <c:v>43.4155999101258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Charts!$B$9:$E$9</c:f>
              <c:strCache>
                <c:ptCount val="4"/>
                <c:pt idx="0">
                  <c:v>Min</c:v>
                </c:pt>
                <c:pt idx="1">
                  <c:v>Base</c:v>
                </c:pt>
                <c:pt idx="2">
                  <c:v>Max</c:v>
                </c:pt>
                <c:pt idx="3">
                  <c:v>Current</c:v>
                </c:pt>
              </c:strCache>
            </c:strRef>
          </c:cat>
          <c:val>
            <c:numRef>
              <c:f>Charts!$D$10</c:f>
              <c:numCache>
                <c:formatCode>\$#,##0.00;"($"#,##0.00\);\-</c:formatCode>
                <c:ptCount val="1"/>
                <c:pt idx="0">
                  <c:v>61.5364531706573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Charts!$B$9:$E$9</c:f>
              <c:strCache>
                <c:ptCount val="4"/>
                <c:pt idx="0">
                  <c:v>Min</c:v>
                </c:pt>
                <c:pt idx="1">
                  <c:v>Base</c:v>
                </c:pt>
                <c:pt idx="2">
                  <c:v>Max</c:v>
                </c:pt>
                <c:pt idx="3">
                  <c:v>Current</c:v>
                </c:pt>
              </c:strCache>
            </c:strRef>
          </c:cat>
          <c:val>
            <c:numRef>
              <c:f>Charts!$E$10</c:f>
              <c:numCache>
                <c:formatCode>\$#,##0.00;"($"#,##0.00\);\-</c:formatCode>
                <c:ptCount val="1"/>
                <c:pt idx="0">
                  <c:v>37.14</c:v>
                </c:pt>
              </c:numCache>
            </c:numRef>
          </c:val>
        </c:ser>
        <c:gapWidth val="150"/>
        <c:overlap val="0"/>
        <c:axId val="83163862"/>
        <c:axId val="83955549"/>
      </c:barChart>
      <c:catAx>
        <c:axId val="831638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955549"/>
        <c:crosses val="autoZero"/>
        <c:auto val="1"/>
        <c:lblAlgn val="ctr"/>
        <c:lblOffset val="100"/>
        <c:noMultiLvlLbl val="0"/>
      </c:catAx>
      <c:valAx>
        <c:axId val="83955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1638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825120</xdr:colOff>
      <xdr:row>28</xdr:row>
      <xdr:rowOff>11160</xdr:rowOff>
    </xdr:to>
    <xdr:graphicFrame>
      <xdr:nvGraphicFramePr>
        <xdr:cNvPr id="1" name="Chart 1"/>
        <xdr:cNvGraphicFramePr/>
      </xdr:nvGraphicFramePr>
      <xdr:xfrm>
        <a:off x="211320" y="2495520"/>
        <a:ext cx="575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825120</xdr:colOff>
      <xdr:row>46</xdr:row>
      <xdr:rowOff>11160</xdr:rowOff>
    </xdr:to>
    <xdr:graphicFrame>
      <xdr:nvGraphicFramePr>
        <xdr:cNvPr id="2" name="Chart 2"/>
        <xdr:cNvGraphicFramePr/>
      </xdr:nvGraphicFramePr>
      <xdr:xfrm>
        <a:off x="211320" y="5924520"/>
        <a:ext cx="575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0" min="3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true" outlineLevel="0" collapsed="false">
      <c r="B7" s="4"/>
      <c r="C7" s="4"/>
      <c r="D7" s="4"/>
      <c r="E7" s="4"/>
      <c r="F7" s="4"/>
      <c r="G7" s="4"/>
      <c r="H7" s="4"/>
      <c r="I7" s="4"/>
      <c r="J7" s="4"/>
    </row>
    <row r="9" customFormat="false" ht="15" hidden="false" customHeight="true" outlineLevel="0" collapsed="false">
      <c r="B9" s="3" t="s">
        <v>3</v>
      </c>
    </row>
    <row r="10" customFormat="false" ht="15.75" hidden="false" customHeight="true" outlineLevel="0" collapsed="false">
      <c r="B10" s="4" t="s">
        <v>4</v>
      </c>
      <c r="C10" s="4"/>
      <c r="D10" s="4"/>
      <c r="E10" s="4"/>
      <c r="F10" s="4"/>
      <c r="G10" s="4"/>
      <c r="H10" s="4"/>
      <c r="I10" s="4"/>
      <c r="J10" s="4"/>
    </row>
    <row r="11" customFormat="false" ht="15.75" hidden="false" customHeight="true" outlineLevel="0" collapsed="false">
      <c r="B11" s="4" t="s">
        <v>5</v>
      </c>
      <c r="C11" s="4"/>
      <c r="D11" s="4"/>
      <c r="E11" s="4"/>
      <c r="F11" s="4"/>
      <c r="G11" s="4"/>
      <c r="H11" s="4"/>
      <c r="I11" s="4"/>
      <c r="J11" s="4"/>
    </row>
    <row r="12" customFormat="false" ht="15.75" hidden="false" customHeight="true" outlineLevel="0" collapsed="false">
      <c r="B12" s="4" t="s">
        <v>6</v>
      </c>
      <c r="C12" s="4"/>
      <c r="D12" s="4"/>
      <c r="E12" s="4"/>
      <c r="F12" s="4"/>
      <c r="G12" s="4"/>
      <c r="H12" s="4"/>
      <c r="I12" s="4"/>
      <c r="J12" s="4"/>
    </row>
    <row r="13" customFormat="false" ht="15.75" hidden="false" customHeight="true" outlineLevel="0" collapsed="false">
      <c r="B13" s="4" t="s">
        <v>7</v>
      </c>
      <c r="C13" s="4"/>
      <c r="D13" s="4"/>
      <c r="E13" s="4"/>
      <c r="F13" s="4"/>
      <c r="G13" s="4"/>
      <c r="H13" s="4"/>
      <c r="I13" s="4"/>
      <c r="J13" s="4"/>
    </row>
    <row r="14" customFormat="false" ht="15.75" hidden="false" customHeight="true" outlineLevel="0" collapsed="false">
      <c r="B14" s="4" t="s">
        <v>8</v>
      </c>
      <c r="C14" s="4"/>
      <c r="D14" s="4"/>
      <c r="E14" s="4"/>
      <c r="F14" s="4"/>
      <c r="G14" s="4"/>
      <c r="H14" s="4"/>
      <c r="I14" s="4"/>
      <c r="J14" s="4"/>
    </row>
    <row r="15" customFormat="false" ht="15.75" hidden="false" customHeight="true" outlineLevel="0" collapsed="false">
      <c r="B15" s="4" t="s">
        <v>9</v>
      </c>
      <c r="C15" s="4"/>
      <c r="D15" s="4"/>
      <c r="E15" s="4"/>
      <c r="F15" s="4"/>
      <c r="G15" s="4"/>
      <c r="H15" s="4"/>
      <c r="I15" s="4"/>
      <c r="J15" s="4"/>
    </row>
    <row r="17" customFormat="false" ht="15" hidden="false" customHeight="true" outlineLevel="0" collapsed="false">
      <c r="B17" s="3" t="s">
        <v>10</v>
      </c>
    </row>
    <row r="18" customFormat="false" ht="15" hidden="false" customHeight="true" outlineLevel="0" collapsed="false">
      <c r="B18" s="5" t="s">
        <v>11</v>
      </c>
      <c r="C18" s="6" t="s">
        <v>12</v>
      </c>
      <c r="D18" s="6"/>
      <c r="E18" s="6"/>
      <c r="F18" s="6"/>
      <c r="G18" s="6"/>
      <c r="H18" s="6"/>
      <c r="I18" s="6"/>
      <c r="J18" s="6"/>
    </row>
    <row r="19" customFormat="false" ht="15" hidden="false" customHeight="true" outlineLevel="0" collapsed="false">
      <c r="B19" s="7" t="s">
        <v>13</v>
      </c>
      <c r="C19" s="6" t="s">
        <v>14</v>
      </c>
      <c r="D19" s="6"/>
      <c r="E19" s="6"/>
      <c r="F19" s="6"/>
      <c r="G19" s="6"/>
      <c r="H19" s="6"/>
      <c r="I19" s="6"/>
      <c r="J19" s="6"/>
    </row>
    <row r="20" customFormat="false" ht="15" hidden="false" customHeight="true" outlineLevel="0" collapsed="false">
      <c r="B20" s="8" t="s">
        <v>15</v>
      </c>
      <c r="C20" s="6" t="s">
        <v>16</v>
      </c>
      <c r="D20" s="6"/>
      <c r="E20" s="6"/>
      <c r="F20" s="6"/>
      <c r="G20" s="6"/>
      <c r="H20" s="6"/>
      <c r="I20" s="6"/>
      <c r="J20" s="6"/>
    </row>
    <row r="22" customFormat="false" ht="15" hidden="false" customHeight="true" outlineLevel="0" collapsed="false">
      <c r="B22" s="3" t="s">
        <v>17</v>
      </c>
    </row>
    <row r="23" customFormat="false" ht="27.75" hidden="false" customHeight="true" outlineLevel="0" collapsed="false">
      <c r="B23" s="9" t="s">
        <v>18</v>
      </c>
      <c r="E23" s="4" t="s">
        <v>19</v>
      </c>
      <c r="F23" s="4"/>
      <c r="G23" s="4"/>
      <c r="H23" s="4"/>
      <c r="I23" s="4"/>
      <c r="J23" s="4"/>
    </row>
    <row r="25" customFormat="false" ht="27.75" hidden="false" customHeight="true" outlineLevel="0" collapsed="false">
      <c r="B25" s="9" t="s">
        <v>20</v>
      </c>
      <c r="E25" s="4" t="s">
        <v>21</v>
      </c>
      <c r="F25" s="4"/>
      <c r="G25" s="4"/>
      <c r="H25" s="4"/>
      <c r="I25" s="4"/>
      <c r="J25" s="4"/>
    </row>
    <row r="27" customFormat="false" ht="27.75" hidden="false" customHeight="true" outlineLevel="0" collapsed="false">
      <c r="B27" s="9" t="s">
        <v>22</v>
      </c>
      <c r="E27" s="4" t="s">
        <v>23</v>
      </c>
      <c r="F27" s="4"/>
      <c r="G27" s="4"/>
      <c r="H27" s="4"/>
      <c r="I27" s="4"/>
      <c r="J27" s="4"/>
    </row>
    <row r="29" customFormat="false" ht="27.75" hidden="false" customHeight="true" outlineLevel="0" collapsed="false">
      <c r="B29" s="9" t="s">
        <v>24</v>
      </c>
      <c r="E29" s="4" t="s">
        <v>25</v>
      </c>
      <c r="F29" s="4"/>
      <c r="G29" s="4"/>
      <c r="H29" s="4"/>
      <c r="I29" s="4"/>
      <c r="J29" s="4"/>
    </row>
    <row r="31" customFormat="false" ht="27.75" hidden="false" customHeight="true" outlineLevel="0" collapsed="false">
      <c r="B31" s="9" t="s">
        <v>26</v>
      </c>
      <c r="E31" s="4" t="s">
        <v>27</v>
      </c>
      <c r="F31" s="4"/>
      <c r="G31" s="4"/>
      <c r="H31" s="4"/>
      <c r="I31" s="4"/>
      <c r="J31" s="4"/>
    </row>
    <row r="33" customFormat="false" ht="27.75" hidden="false" customHeight="true" outlineLevel="0" collapsed="false">
      <c r="B33" s="9" t="s">
        <v>28</v>
      </c>
      <c r="E33" s="4" t="s">
        <v>29</v>
      </c>
      <c r="F33" s="4"/>
      <c r="G33" s="4"/>
      <c r="H33" s="4"/>
      <c r="I33" s="4"/>
      <c r="J33" s="4"/>
    </row>
    <row r="35" customFormat="false" ht="27.75" hidden="false" customHeight="true" outlineLevel="0" collapsed="false">
      <c r="B35" s="9" t="s">
        <v>30</v>
      </c>
      <c r="E35" s="4" t="s">
        <v>31</v>
      </c>
      <c r="F35" s="4"/>
      <c r="G35" s="4"/>
      <c r="H35" s="4"/>
      <c r="I35" s="4"/>
      <c r="J35" s="4"/>
    </row>
    <row r="37" customFormat="false" ht="27.75" hidden="false" customHeight="true" outlineLevel="0" collapsed="false">
      <c r="B37" s="9" t="s">
        <v>32</v>
      </c>
      <c r="E37" s="4" t="s">
        <v>33</v>
      </c>
      <c r="F37" s="4"/>
      <c r="G37" s="4"/>
      <c r="H37" s="4"/>
      <c r="I37" s="4"/>
      <c r="J37" s="4"/>
    </row>
    <row r="39" customFormat="false" ht="27.75" hidden="false" customHeight="true" outlineLevel="0" collapsed="false">
      <c r="B39" s="9" t="s">
        <v>34</v>
      </c>
      <c r="E39" s="4" t="s">
        <v>35</v>
      </c>
      <c r="F39" s="4"/>
      <c r="G39" s="4"/>
      <c r="H39" s="4"/>
      <c r="I39" s="4"/>
      <c r="J39" s="4"/>
    </row>
    <row r="41" customFormat="false" ht="15" hidden="false" customHeight="true" outlineLevel="0" collapsed="false">
      <c r="B41" s="10" t="s">
        <v>36</v>
      </c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true" outlineLevel="0" collapsed="false"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false" outlineLevel="0" collapsed="false">
      <c r="B43" s="11" t="s">
        <v>37</v>
      </c>
    </row>
  </sheetData>
  <mergeCells count="21">
    <mergeCell ref="A1:J1"/>
    <mergeCell ref="B4:J7"/>
    <mergeCell ref="B10:J10"/>
    <mergeCell ref="B11:J11"/>
    <mergeCell ref="B12:J12"/>
    <mergeCell ref="B13:J13"/>
    <mergeCell ref="B14:J14"/>
    <mergeCell ref="B15:J15"/>
    <mergeCell ref="C18:J18"/>
    <mergeCell ref="C19:J19"/>
    <mergeCell ref="C20:J20"/>
    <mergeCell ref="E23:J23"/>
    <mergeCell ref="E25:J25"/>
    <mergeCell ref="E27:J27"/>
    <mergeCell ref="E29:J29"/>
    <mergeCell ref="E31:J31"/>
    <mergeCell ref="E33:J33"/>
    <mergeCell ref="E35:J35"/>
    <mergeCell ref="E37:J37"/>
    <mergeCell ref="E39:J39"/>
    <mergeCell ref="B41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3"/>
  </cols>
  <sheetData>
    <row r="1" customFormat="false" ht="25.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8" hidden="false" customHeight="true" outlineLevel="0" collapsed="false">
      <c r="A3" s="12" t="s">
        <v>39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5" hidden="false" customHeight="true" outlineLevel="0" collapsed="false">
      <c r="A4" s="13" t="s">
        <v>40</v>
      </c>
      <c r="B4" s="14" t="s">
        <v>41</v>
      </c>
    </row>
    <row r="5" customFormat="false" ht="15" hidden="false" customHeight="true" outlineLevel="0" collapsed="false">
      <c r="A5" s="13" t="s">
        <v>42</v>
      </c>
      <c r="B5" s="14" t="s">
        <v>43</v>
      </c>
    </row>
    <row r="6" customFormat="false" ht="15" hidden="false" customHeight="true" outlineLevel="0" collapsed="false">
      <c r="A6" s="13" t="s">
        <v>44</v>
      </c>
      <c r="B6" s="15" t="n">
        <v>46022</v>
      </c>
    </row>
    <row r="7" customFormat="false" ht="15" hidden="false" customHeight="true" outlineLevel="0" collapsed="false">
      <c r="A7" s="13" t="s">
        <v>45</v>
      </c>
      <c r="B7" s="14" t="s">
        <v>46</v>
      </c>
    </row>
    <row r="8" customFormat="false" ht="15" hidden="false" customHeight="true" outlineLevel="0" collapsed="false">
      <c r="A8" s="13" t="s">
        <v>47</v>
      </c>
      <c r="B8" s="14" t="s">
        <v>48</v>
      </c>
    </row>
    <row r="10" customFormat="false" ht="18" hidden="false" customHeight="true" outlineLevel="0" collapsed="false">
      <c r="A10" s="12" t="s">
        <v>49</v>
      </c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5" hidden="false" customHeight="true" outlineLevel="0" collapsed="false">
      <c r="A11" s="7" t="s">
        <v>50</v>
      </c>
      <c r="C11" s="16" t="n">
        <v>2023</v>
      </c>
      <c r="D11" s="16" t="n">
        <v>2024</v>
      </c>
      <c r="E11" s="16" t="n">
        <v>2025</v>
      </c>
    </row>
    <row r="12" customFormat="false" ht="15" hidden="false" customHeight="true" outlineLevel="0" collapsed="false">
      <c r="A12" s="13" t="s">
        <v>51</v>
      </c>
      <c r="C12" s="17" t="n">
        <v>3850</v>
      </c>
      <c r="D12" s="17" t="n">
        <v>4020</v>
      </c>
      <c r="E12" s="17" t="n">
        <v>4200</v>
      </c>
    </row>
    <row r="13" customFormat="false" ht="15" hidden="false" customHeight="true" outlineLevel="0" collapsed="false">
      <c r="A13" s="13" t="s">
        <v>52</v>
      </c>
      <c r="C13" s="17" t="n">
        <v>690</v>
      </c>
      <c r="D13" s="17" t="n">
        <v>740</v>
      </c>
      <c r="E13" s="17" t="n">
        <v>798</v>
      </c>
    </row>
    <row r="14" customFormat="false" ht="15" hidden="false" customHeight="true" outlineLevel="0" collapsed="false">
      <c r="A14" s="13" t="s">
        <v>53</v>
      </c>
      <c r="C14" s="17" t="n">
        <v>154</v>
      </c>
      <c r="D14" s="17" t="n">
        <v>161</v>
      </c>
      <c r="E14" s="17" t="n">
        <v>168</v>
      </c>
    </row>
    <row r="15" customFormat="false" ht="15" hidden="false" customHeight="true" outlineLevel="0" collapsed="false">
      <c r="A15" s="13" t="s">
        <v>54</v>
      </c>
      <c r="C15" s="17" t="n">
        <v>173</v>
      </c>
      <c r="D15" s="17" t="n">
        <v>181</v>
      </c>
      <c r="E15" s="17" t="n">
        <v>189</v>
      </c>
    </row>
    <row r="16" customFormat="false" ht="15" hidden="false" customHeight="true" outlineLevel="0" collapsed="false">
      <c r="A16" s="13" t="s">
        <v>55</v>
      </c>
      <c r="C16" s="17" t="n">
        <v>39</v>
      </c>
      <c r="D16" s="17" t="n">
        <v>40</v>
      </c>
      <c r="E16" s="17" t="n">
        <v>42</v>
      </c>
    </row>
    <row r="17" customFormat="false" ht="15" hidden="false" customHeight="true" outlineLevel="0" collapsed="false">
      <c r="A17" s="13" t="s">
        <v>56</v>
      </c>
      <c r="C17" s="18" t="n">
        <v>0.24</v>
      </c>
      <c r="D17" s="18" t="n">
        <v>0.24</v>
      </c>
      <c r="E17" s="18" t="n">
        <v>0.24</v>
      </c>
    </row>
    <row r="19" customFormat="false" ht="18" hidden="false" customHeight="true" outlineLevel="0" collapsed="false">
      <c r="A19" s="12" t="s">
        <v>57</v>
      </c>
      <c r="B19" s="12"/>
      <c r="C19" s="12"/>
      <c r="D19" s="12"/>
      <c r="E19" s="12"/>
      <c r="F19" s="12"/>
      <c r="G19" s="12"/>
      <c r="H19" s="12"/>
      <c r="I19" s="12"/>
      <c r="J19" s="12"/>
    </row>
    <row r="20" customFormat="false" ht="15" hidden="false" customHeight="true" outlineLevel="0" collapsed="false">
      <c r="A20" s="7" t="s">
        <v>50</v>
      </c>
      <c r="C20" s="16" t="n">
        <v>2026</v>
      </c>
      <c r="D20" s="16" t="n">
        <v>2027</v>
      </c>
      <c r="E20" s="16" t="n">
        <v>2028</v>
      </c>
      <c r="F20" s="16" t="n">
        <v>2029</v>
      </c>
      <c r="G20" s="16" t="n">
        <v>2030</v>
      </c>
    </row>
    <row r="21" customFormat="false" ht="15" hidden="false" customHeight="true" outlineLevel="0" collapsed="false">
      <c r="A21" s="13" t="s">
        <v>58</v>
      </c>
      <c r="C21" s="18" t="n">
        <v>0.05</v>
      </c>
      <c r="D21" s="18" t="n">
        <v>0.045</v>
      </c>
      <c r="E21" s="18" t="n">
        <v>0.04</v>
      </c>
      <c r="F21" s="18" t="n">
        <v>0.035</v>
      </c>
      <c r="G21" s="18" t="n">
        <v>0.03</v>
      </c>
    </row>
    <row r="22" customFormat="false" ht="15" hidden="false" customHeight="true" outlineLevel="0" collapsed="false">
      <c r="A22" s="13" t="s">
        <v>59</v>
      </c>
      <c r="C22" s="18" t="n">
        <v>0.192</v>
      </c>
      <c r="D22" s="18" t="n">
        <v>0.194</v>
      </c>
      <c r="E22" s="18" t="n">
        <v>0.196</v>
      </c>
      <c r="F22" s="18" t="n">
        <v>0.198</v>
      </c>
      <c r="G22" s="18" t="n">
        <v>0.2</v>
      </c>
    </row>
    <row r="23" customFormat="false" ht="15" hidden="false" customHeight="true" outlineLevel="0" collapsed="false">
      <c r="A23" s="13" t="s">
        <v>60</v>
      </c>
      <c r="C23" s="18" t="n">
        <v>0.04</v>
      </c>
      <c r="D23" s="18" t="n">
        <v>0.04</v>
      </c>
      <c r="E23" s="18" t="n">
        <v>0.04</v>
      </c>
      <c r="F23" s="18" t="n">
        <v>0.04</v>
      </c>
      <c r="G23" s="18" t="n">
        <v>0.04</v>
      </c>
    </row>
    <row r="24" customFormat="false" ht="15" hidden="false" customHeight="true" outlineLevel="0" collapsed="false">
      <c r="A24" s="13" t="s">
        <v>61</v>
      </c>
      <c r="C24" s="18" t="n">
        <v>0.043</v>
      </c>
      <c r="D24" s="18" t="n">
        <v>0.042</v>
      </c>
      <c r="E24" s="18" t="n">
        <v>0.041</v>
      </c>
      <c r="F24" s="18" t="n">
        <v>0.04</v>
      </c>
      <c r="G24" s="18" t="n">
        <v>0.04</v>
      </c>
    </row>
    <row r="25" customFormat="false" ht="15" hidden="false" customHeight="true" outlineLevel="0" collapsed="false">
      <c r="A25" s="13" t="s">
        <v>62</v>
      </c>
      <c r="C25" s="18" t="n">
        <v>0.01</v>
      </c>
      <c r="D25" s="18" t="n">
        <v>0.01</v>
      </c>
      <c r="E25" s="18" t="n">
        <v>0.01</v>
      </c>
      <c r="F25" s="18" t="n">
        <v>0.01</v>
      </c>
      <c r="G25" s="18" t="n">
        <v>0.01</v>
      </c>
    </row>
    <row r="27" customFormat="false" ht="18" hidden="false" customHeight="true" outlineLevel="0" collapsed="false">
      <c r="A27" s="12" t="s">
        <v>63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true" outlineLevel="0" collapsed="false">
      <c r="A28" s="13" t="s">
        <v>64</v>
      </c>
      <c r="B28" s="19" t="n">
        <v>1</v>
      </c>
    </row>
    <row r="29" customFormat="false" ht="15" hidden="false" customHeight="true" outlineLevel="0" collapsed="false">
      <c r="A29" s="13" t="s">
        <v>65</v>
      </c>
      <c r="B29" s="20" t="n">
        <v>0.025</v>
      </c>
    </row>
    <row r="30" customFormat="false" ht="15" hidden="false" customHeight="true" outlineLevel="0" collapsed="false">
      <c r="A30" s="13" t="s">
        <v>66</v>
      </c>
      <c r="B30" s="21" t="n">
        <v>9</v>
      </c>
    </row>
    <row r="32" customFormat="false" ht="18" hidden="false" customHeight="true" outlineLevel="0" collapsed="false">
      <c r="A32" s="12" t="s">
        <v>67</v>
      </c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15" hidden="false" customHeight="true" outlineLevel="0" collapsed="false">
      <c r="A33" s="13" t="s">
        <v>68</v>
      </c>
      <c r="B33" s="19" t="n">
        <v>1</v>
      </c>
    </row>
    <row r="35" customFormat="false" ht="18" hidden="false" customHeight="true" outlineLevel="0" collapsed="false">
      <c r="A35" s="12" t="s">
        <v>69</v>
      </c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15" hidden="false" customHeight="true" outlineLevel="0" collapsed="false">
      <c r="A36" s="13" t="s">
        <v>24</v>
      </c>
      <c r="B36" s="20" t="n">
        <v>0.043</v>
      </c>
    </row>
    <row r="37" customFormat="false" ht="15" hidden="false" customHeight="true" outlineLevel="0" collapsed="false">
      <c r="A37" s="13" t="s">
        <v>70</v>
      </c>
      <c r="B37" s="20" t="n">
        <v>0.055</v>
      </c>
    </row>
    <row r="38" customFormat="false" ht="15" hidden="false" customHeight="true" outlineLevel="0" collapsed="false">
      <c r="A38" s="13" t="s">
        <v>28</v>
      </c>
      <c r="B38" s="22" t="n">
        <v>1.15</v>
      </c>
    </row>
    <row r="39" customFormat="false" ht="15" hidden="false" customHeight="true" outlineLevel="0" collapsed="false">
      <c r="A39" s="13" t="s">
        <v>71</v>
      </c>
      <c r="B39" s="20" t="n">
        <v>0.008</v>
      </c>
    </row>
    <row r="40" customFormat="false" ht="15" hidden="false" customHeight="true" outlineLevel="0" collapsed="false">
      <c r="A40" s="13" t="s">
        <v>30</v>
      </c>
      <c r="B40" s="20" t="n">
        <v>0.058</v>
      </c>
    </row>
    <row r="41" customFormat="false" ht="15" hidden="false" customHeight="true" outlineLevel="0" collapsed="false">
      <c r="A41" s="13" t="s">
        <v>72</v>
      </c>
      <c r="B41" s="18" t="n">
        <v>0.24</v>
      </c>
    </row>
    <row r="42" customFormat="false" ht="15" hidden="false" customHeight="true" outlineLevel="0" collapsed="false">
      <c r="A42" s="13" t="s">
        <v>73</v>
      </c>
      <c r="B42" s="17" t="n">
        <v>5200</v>
      </c>
    </row>
    <row r="43" customFormat="false" ht="15" hidden="false" customHeight="true" outlineLevel="0" collapsed="false">
      <c r="A43" s="13" t="s">
        <v>74</v>
      </c>
      <c r="B43" s="17" t="n">
        <v>1450</v>
      </c>
    </row>
    <row r="45" customFormat="false" ht="18" hidden="false" customHeight="true" outlineLevel="0" collapsed="false">
      <c r="A45" s="12" t="s">
        <v>75</v>
      </c>
      <c r="B45" s="12"/>
      <c r="C45" s="12"/>
      <c r="D45" s="12"/>
      <c r="E45" s="12"/>
      <c r="F45" s="12"/>
      <c r="G45" s="12"/>
      <c r="H45" s="12"/>
      <c r="I45" s="12"/>
      <c r="J45" s="12"/>
    </row>
    <row r="46" customFormat="false" ht="15" hidden="false" customHeight="true" outlineLevel="0" collapsed="false">
      <c r="A46" s="13" t="s">
        <v>76</v>
      </c>
      <c r="B46" s="17" t="n">
        <v>320</v>
      </c>
    </row>
    <row r="47" customFormat="false" ht="15" hidden="false" customHeight="true" outlineLevel="0" collapsed="false">
      <c r="A47" s="13" t="s">
        <v>77</v>
      </c>
      <c r="B47" s="23" t="n">
        <f aca="false">B43</f>
        <v>1450</v>
      </c>
    </row>
    <row r="48" customFormat="false" ht="15" hidden="false" customHeight="true" outlineLevel="0" collapsed="false">
      <c r="A48" s="13" t="s">
        <v>78</v>
      </c>
      <c r="B48" s="17" t="n">
        <v>45</v>
      </c>
    </row>
    <row r="49" customFormat="false" ht="15" hidden="false" customHeight="true" outlineLevel="0" collapsed="false">
      <c r="A49" s="13" t="s">
        <v>79</v>
      </c>
      <c r="B49" s="17" t="n">
        <v>0</v>
      </c>
    </row>
    <row r="50" customFormat="false" ht="15" hidden="false" customHeight="true" outlineLevel="0" collapsed="false">
      <c r="A50" s="13" t="s">
        <v>80</v>
      </c>
      <c r="B50" s="17" t="n">
        <v>60</v>
      </c>
    </row>
    <row r="51" customFormat="false" ht="15" hidden="false" customHeight="true" outlineLevel="0" collapsed="false">
      <c r="A51" s="13" t="s">
        <v>81</v>
      </c>
      <c r="B51" s="24" t="n">
        <v>140</v>
      </c>
    </row>
    <row r="52" customFormat="false" ht="15" hidden="false" customHeight="true" outlineLevel="0" collapsed="false">
      <c r="A52" s="13" t="s">
        <v>82</v>
      </c>
      <c r="B52" s="25" t="n">
        <v>37.14</v>
      </c>
    </row>
  </sheetData>
  <mergeCells count="8">
    <mergeCell ref="A1:J1"/>
    <mergeCell ref="A3:J3"/>
    <mergeCell ref="A10:J10"/>
    <mergeCell ref="A19:J19"/>
    <mergeCell ref="A27:J27"/>
    <mergeCell ref="A32:J32"/>
    <mergeCell ref="A35:J35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</cols>
  <sheetData>
    <row r="1" customFormat="false" ht="25.5" hidden="false" customHeight="true" outlineLevel="0" collapsed="false">
      <c r="A1" s="2" t="s">
        <v>83</v>
      </c>
      <c r="B1" s="2"/>
      <c r="C1" s="2"/>
      <c r="D1" s="2"/>
      <c r="E1" s="2"/>
    </row>
    <row r="3" customFormat="false" ht="18" hidden="false" customHeight="true" outlineLevel="0" collapsed="false">
      <c r="A3" s="12" t="s">
        <v>84</v>
      </c>
      <c r="B3" s="12"/>
      <c r="C3" s="12"/>
      <c r="D3" s="12"/>
      <c r="E3" s="12"/>
    </row>
    <row r="4" customFormat="false" ht="15" hidden="false" customHeight="true" outlineLevel="0" collapsed="false">
      <c r="A4" s="13" t="s">
        <v>24</v>
      </c>
      <c r="B4" s="26" t="n">
        <f aca="false">Inputs!B36</f>
        <v>0.043</v>
      </c>
    </row>
    <row r="5" customFormat="false" ht="15" hidden="false" customHeight="true" outlineLevel="0" collapsed="false">
      <c r="A5" s="13" t="s">
        <v>28</v>
      </c>
      <c r="B5" s="27" t="n">
        <f aca="false">Inputs!B38</f>
        <v>1.15</v>
      </c>
    </row>
    <row r="6" customFormat="false" ht="15" hidden="false" customHeight="true" outlineLevel="0" collapsed="false">
      <c r="A6" s="13" t="s">
        <v>70</v>
      </c>
      <c r="B6" s="26" t="n">
        <f aca="false">Inputs!B37</f>
        <v>0.055</v>
      </c>
    </row>
    <row r="7" customFormat="false" ht="15" hidden="false" customHeight="true" outlineLevel="0" collapsed="false">
      <c r="A7" s="13" t="s">
        <v>71</v>
      </c>
      <c r="B7" s="26" t="n">
        <f aca="false">Inputs!B39</f>
        <v>0.008</v>
      </c>
    </row>
    <row r="8" customFormat="false" ht="15" hidden="false" customHeight="true" outlineLevel="0" collapsed="false">
      <c r="A8" s="7" t="s">
        <v>85</v>
      </c>
      <c r="B8" s="28" t="n">
        <f aca="false">B4+(B5*B6)+B7</f>
        <v>0.11425</v>
      </c>
    </row>
    <row r="10" customFormat="false" ht="18" hidden="false" customHeight="true" outlineLevel="0" collapsed="false">
      <c r="A10" s="12" t="s">
        <v>86</v>
      </c>
      <c r="B10" s="12"/>
      <c r="C10" s="12"/>
      <c r="D10" s="12"/>
      <c r="E10" s="12"/>
    </row>
    <row r="11" customFormat="false" ht="15" hidden="false" customHeight="true" outlineLevel="0" collapsed="false">
      <c r="A11" s="13" t="s">
        <v>30</v>
      </c>
      <c r="B11" s="26" t="n">
        <f aca="false">Inputs!B40</f>
        <v>0.058</v>
      </c>
    </row>
    <row r="12" customFormat="false" ht="15" hidden="false" customHeight="true" outlineLevel="0" collapsed="false">
      <c r="A12" s="13" t="s">
        <v>56</v>
      </c>
      <c r="B12" s="29" t="n">
        <f aca="false">Inputs!B41</f>
        <v>0.24</v>
      </c>
    </row>
    <row r="13" customFormat="false" ht="15" hidden="false" customHeight="true" outlineLevel="0" collapsed="false">
      <c r="A13" s="7" t="s">
        <v>87</v>
      </c>
      <c r="B13" s="28" t="n">
        <f aca="false">B11*(1-B12)</f>
        <v>0.04408</v>
      </c>
    </row>
    <row r="15" customFormat="false" ht="18" hidden="false" customHeight="true" outlineLevel="0" collapsed="false">
      <c r="A15" s="12" t="s">
        <v>88</v>
      </c>
      <c r="B15" s="12"/>
      <c r="C15" s="12"/>
      <c r="D15" s="12"/>
      <c r="E15" s="12"/>
    </row>
    <row r="16" customFormat="false" ht="15" hidden="false" customHeight="true" outlineLevel="0" collapsed="false">
      <c r="A16" s="13" t="s">
        <v>89</v>
      </c>
      <c r="B16" s="30" t="n">
        <f aca="false">Inputs!B42</f>
        <v>5200</v>
      </c>
    </row>
    <row r="17" customFormat="false" ht="15" hidden="false" customHeight="true" outlineLevel="0" collapsed="false">
      <c r="A17" s="13" t="s">
        <v>74</v>
      </c>
      <c r="B17" s="30" t="n">
        <f aca="false">Inputs!B43</f>
        <v>1450</v>
      </c>
    </row>
    <row r="18" customFormat="false" ht="15" hidden="false" customHeight="true" outlineLevel="0" collapsed="false">
      <c r="A18" s="13" t="s">
        <v>90</v>
      </c>
      <c r="B18" s="23" t="n">
        <f aca="false">B16+B17</f>
        <v>6650</v>
      </c>
    </row>
    <row r="19" customFormat="false" ht="15" hidden="false" customHeight="true" outlineLevel="0" collapsed="false">
      <c r="A19" s="13" t="s">
        <v>91</v>
      </c>
      <c r="B19" s="31" t="n">
        <f aca="false">B16/B18</f>
        <v>0.781954887218045</v>
      </c>
    </row>
    <row r="20" customFormat="false" ht="15" hidden="false" customHeight="true" outlineLevel="0" collapsed="false">
      <c r="A20" s="13" t="s">
        <v>92</v>
      </c>
      <c r="B20" s="31" t="n">
        <f aca="false">B17/B18</f>
        <v>0.218045112781955</v>
      </c>
    </row>
    <row r="22" customFormat="false" ht="18" hidden="false" customHeight="true" outlineLevel="0" collapsed="false">
      <c r="A22" s="12" t="s">
        <v>93</v>
      </c>
      <c r="B22" s="12"/>
      <c r="C22" s="12"/>
      <c r="D22" s="12"/>
      <c r="E22" s="12"/>
    </row>
    <row r="23" customFormat="false" ht="19.5" hidden="false" customHeight="true" outlineLevel="0" collapsed="false">
      <c r="A23" s="7" t="s">
        <v>94</v>
      </c>
      <c r="B23" s="32" t="n">
        <f aca="false">(B19*B8)+(B20*B13)</f>
        <v>0.0989497744360902</v>
      </c>
    </row>
  </sheetData>
  <mergeCells count="5">
    <mergeCell ref="A1:E1"/>
    <mergeCell ref="A3:E3"/>
    <mergeCell ref="A10:E10"/>
    <mergeCell ref="A15:E15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"/>
    <col collapsed="false" customWidth="true" hidden="false" outlineLevel="0" max="9" min="3" style="1" width="12"/>
  </cols>
  <sheetData>
    <row r="1" customFormat="false" ht="25.5" hidden="false" customHeight="true" outlineLevel="0" collapsed="false">
      <c r="A1" s="2" t="s">
        <v>95</v>
      </c>
      <c r="B1" s="2"/>
      <c r="C1" s="2"/>
      <c r="D1" s="2"/>
      <c r="E1" s="2"/>
      <c r="F1" s="2"/>
      <c r="G1" s="2"/>
      <c r="H1" s="2"/>
      <c r="I1" s="2"/>
    </row>
    <row r="3" customFormat="false" ht="18" hidden="false" customHeight="true" outlineLevel="0" collapsed="false">
      <c r="A3" s="12" t="s">
        <v>96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5" hidden="false" customHeight="true" outlineLevel="0" collapsed="false">
      <c r="A4" s="13"/>
      <c r="C4" s="33" t="n">
        <f aca="false">Inputs!C11</f>
        <v>2023</v>
      </c>
      <c r="D4" s="33" t="n">
        <f aca="false">Inputs!D11</f>
        <v>2024</v>
      </c>
      <c r="E4" s="33" t="n">
        <f aca="false">Inputs!E11</f>
        <v>2025</v>
      </c>
      <c r="F4" s="33" t="n">
        <f aca="false">Inputs!C20</f>
        <v>2026</v>
      </c>
      <c r="G4" s="33" t="n">
        <f aca="false">Inputs!D20</f>
        <v>2027</v>
      </c>
      <c r="H4" s="33" t="n">
        <f aca="false">Inputs!E20</f>
        <v>2028</v>
      </c>
      <c r="I4" s="33" t="n">
        <f aca="false">Inputs!F20</f>
        <v>2029</v>
      </c>
      <c r="J4" s="33" t="n">
        <f aca="false">Inputs!G20</f>
        <v>2030</v>
      </c>
    </row>
    <row r="5" customFormat="false" ht="15" hidden="false" customHeight="true" outlineLevel="0" collapsed="false">
      <c r="A5" s="7" t="s">
        <v>97</v>
      </c>
      <c r="C5" s="34" t="s">
        <v>98</v>
      </c>
      <c r="D5" s="34" t="s">
        <v>98</v>
      </c>
      <c r="E5" s="34" t="s">
        <v>98</v>
      </c>
      <c r="F5" s="34" t="s">
        <v>99</v>
      </c>
      <c r="G5" s="34" t="s">
        <v>99</v>
      </c>
      <c r="H5" s="34" t="s">
        <v>99</v>
      </c>
      <c r="I5" s="34" t="s">
        <v>99</v>
      </c>
      <c r="J5" s="34" t="s">
        <v>99</v>
      </c>
    </row>
    <row r="7" customFormat="false" ht="18" hidden="false" customHeight="true" outlineLevel="0" collapsed="false">
      <c r="A7" s="12" t="s">
        <v>100</v>
      </c>
      <c r="B7" s="12"/>
      <c r="C7" s="12"/>
      <c r="D7" s="12"/>
      <c r="E7" s="12"/>
      <c r="F7" s="12"/>
      <c r="G7" s="12"/>
      <c r="H7" s="12"/>
      <c r="I7" s="12"/>
      <c r="J7" s="12"/>
    </row>
    <row r="8" customFormat="false" ht="15" hidden="false" customHeight="true" outlineLevel="0" collapsed="false">
      <c r="A8" s="13" t="s">
        <v>51</v>
      </c>
      <c r="C8" s="30" t="n">
        <f aca="false">Inputs!C12</f>
        <v>3850</v>
      </c>
      <c r="D8" s="30" t="n">
        <f aca="false">Inputs!D12</f>
        <v>4020</v>
      </c>
      <c r="E8" s="30" t="n">
        <f aca="false">Inputs!E12</f>
        <v>4200</v>
      </c>
      <c r="F8" s="23" t="n">
        <f aca="false">E8*(1+Inputs!C21)</f>
        <v>4410</v>
      </c>
      <c r="G8" s="23" t="n">
        <f aca="false">F8*(1+Inputs!D21)</f>
        <v>4608.45</v>
      </c>
      <c r="H8" s="23" t="n">
        <f aca="false">G8*(1+Inputs!E21)</f>
        <v>4792.788</v>
      </c>
      <c r="I8" s="23" t="n">
        <f aca="false">H8*(1+Inputs!F21)</f>
        <v>4960.53558</v>
      </c>
      <c r="J8" s="23" t="n">
        <f aca="false">I8*(1+Inputs!G21)</f>
        <v>5109.3516474</v>
      </c>
    </row>
    <row r="9" customFormat="false" ht="15" hidden="false" customHeight="true" outlineLevel="0" collapsed="false">
      <c r="A9" s="13" t="s">
        <v>52</v>
      </c>
      <c r="C9" s="30" t="n">
        <f aca="false">Inputs!C13</f>
        <v>690</v>
      </c>
      <c r="D9" s="30" t="n">
        <f aca="false">Inputs!D13</f>
        <v>740</v>
      </c>
      <c r="E9" s="30" t="n">
        <f aca="false">Inputs!E13</f>
        <v>798</v>
      </c>
      <c r="F9" s="23" t="n">
        <f aca="false">F8*Inputs!C22</f>
        <v>846.72</v>
      </c>
      <c r="G9" s="23" t="n">
        <f aca="false">G8*Inputs!D22</f>
        <v>894.0393</v>
      </c>
      <c r="H9" s="23" t="n">
        <f aca="false">H8*Inputs!E22</f>
        <v>939.386448</v>
      </c>
      <c r="I9" s="23" t="n">
        <f aca="false">I8*Inputs!F22</f>
        <v>982.18604484</v>
      </c>
      <c r="J9" s="23" t="n">
        <f aca="false">J8*Inputs!G22</f>
        <v>1021.87032948</v>
      </c>
    </row>
    <row r="10" customFormat="false" ht="15" hidden="false" customHeight="true" outlineLevel="0" collapsed="false">
      <c r="A10" s="13" t="s">
        <v>101</v>
      </c>
      <c r="C10" s="23" t="n">
        <f aca="false">C9-C13</f>
        <v>536</v>
      </c>
      <c r="D10" s="23" t="n">
        <f aca="false">D9-D13</f>
        <v>579</v>
      </c>
      <c r="E10" s="23" t="n">
        <f aca="false">E9-E13</f>
        <v>630</v>
      </c>
      <c r="F10" s="23" t="n">
        <f aca="false">F9-F13</f>
        <v>670.32</v>
      </c>
      <c r="G10" s="23" t="n">
        <f aca="false">G9-G13</f>
        <v>709.7013</v>
      </c>
      <c r="H10" s="23" t="n">
        <f aca="false">H9-H13</f>
        <v>747.674928</v>
      </c>
      <c r="I10" s="23" t="n">
        <f aca="false">I9-I13</f>
        <v>783.76462164</v>
      </c>
      <c r="J10" s="23" t="n">
        <f aca="false">J9-J13</f>
        <v>817.496263584</v>
      </c>
    </row>
    <row r="11" customFormat="false" ht="15" hidden="false" customHeight="true" outlineLevel="0" collapsed="false">
      <c r="A11" s="13" t="s">
        <v>102</v>
      </c>
      <c r="C11" s="23" t="n">
        <f aca="false">C10*Inputs!C17</f>
        <v>128.64</v>
      </c>
      <c r="D11" s="23" t="n">
        <f aca="false">D10*Inputs!D17</f>
        <v>138.96</v>
      </c>
      <c r="E11" s="23" t="n">
        <f aca="false">E10*Inputs!E17</f>
        <v>151.2</v>
      </c>
      <c r="F11" s="23" t="n">
        <f aca="false">F10*Inputs!$B$41</f>
        <v>160.8768</v>
      </c>
      <c r="G11" s="23" t="n">
        <f aca="false">G10*Inputs!$B$41</f>
        <v>170.328312</v>
      </c>
      <c r="H11" s="23" t="n">
        <f aca="false">H10*Inputs!$B$41</f>
        <v>179.44198272</v>
      </c>
      <c r="I11" s="23" t="n">
        <f aca="false">I10*Inputs!$B$41</f>
        <v>188.1035091936</v>
      </c>
      <c r="J11" s="23" t="n">
        <f aca="false">J10*Inputs!$B$41</f>
        <v>196.19910326016</v>
      </c>
    </row>
    <row r="12" customFormat="false" ht="15" hidden="false" customHeight="true" outlineLevel="0" collapsed="false">
      <c r="A12" s="13" t="s">
        <v>103</v>
      </c>
      <c r="C12" s="23" t="n">
        <f aca="false">C10-C11</f>
        <v>407.36</v>
      </c>
      <c r="D12" s="23" t="n">
        <f aca="false">D10-D11</f>
        <v>440.04</v>
      </c>
      <c r="E12" s="23" t="n">
        <f aca="false">E10-E11</f>
        <v>478.8</v>
      </c>
      <c r="F12" s="23" t="n">
        <f aca="false">F10-F11</f>
        <v>509.4432</v>
      </c>
      <c r="G12" s="23" t="n">
        <f aca="false">G10-G11</f>
        <v>539.372988</v>
      </c>
      <c r="H12" s="23" t="n">
        <f aca="false">H10-H11</f>
        <v>568.23294528</v>
      </c>
      <c r="I12" s="23" t="n">
        <f aca="false">I10-I11</f>
        <v>595.6611124464</v>
      </c>
      <c r="J12" s="23" t="n">
        <f aca="false">J10-J11</f>
        <v>621.29716032384</v>
      </c>
    </row>
    <row r="13" customFormat="false" ht="15" hidden="false" customHeight="true" outlineLevel="0" collapsed="false">
      <c r="A13" s="13" t="s">
        <v>104</v>
      </c>
      <c r="C13" s="30" t="n">
        <f aca="false">Inputs!C14</f>
        <v>154</v>
      </c>
      <c r="D13" s="30" t="n">
        <f aca="false">Inputs!D14</f>
        <v>161</v>
      </c>
      <c r="E13" s="30" t="n">
        <f aca="false">Inputs!E14</f>
        <v>168</v>
      </c>
      <c r="F13" s="23" t="n">
        <f aca="false">F8*Inputs!C23</f>
        <v>176.4</v>
      </c>
      <c r="G13" s="23" t="n">
        <f aca="false">G8*Inputs!D23</f>
        <v>184.338</v>
      </c>
      <c r="H13" s="23" t="n">
        <f aca="false">H8*Inputs!E23</f>
        <v>191.71152</v>
      </c>
      <c r="I13" s="23" t="n">
        <f aca="false">I8*Inputs!F23</f>
        <v>198.4214232</v>
      </c>
      <c r="J13" s="23" t="n">
        <f aca="false">J8*Inputs!G23</f>
        <v>204.374065896</v>
      </c>
    </row>
    <row r="14" customFormat="false" ht="15" hidden="false" customHeight="true" outlineLevel="0" collapsed="false">
      <c r="A14" s="13" t="s">
        <v>105</v>
      </c>
      <c r="C14" s="30" t="n">
        <f aca="false">Inputs!C15</f>
        <v>173</v>
      </c>
      <c r="D14" s="30" t="n">
        <f aca="false">Inputs!D15</f>
        <v>181</v>
      </c>
      <c r="E14" s="30" t="n">
        <f aca="false">Inputs!E15</f>
        <v>189</v>
      </c>
      <c r="F14" s="23" t="n">
        <f aca="false">F8*Inputs!C24</f>
        <v>189.63</v>
      </c>
      <c r="G14" s="23" t="n">
        <f aca="false">G8*Inputs!D24</f>
        <v>193.5549</v>
      </c>
      <c r="H14" s="23" t="n">
        <f aca="false">H8*Inputs!E24</f>
        <v>196.504308</v>
      </c>
      <c r="I14" s="23" t="n">
        <f aca="false">I8*Inputs!F24</f>
        <v>198.4214232</v>
      </c>
      <c r="J14" s="23" t="n">
        <f aca="false">J8*Inputs!G24</f>
        <v>204.374065896</v>
      </c>
    </row>
    <row r="15" customFormat="false" ht="15" hidden="false" customHeight="true" outlineLevel="0" collapsed="false">
      <c r="A15" s="13" t="s">
        <v>106</v>
      </c>
      <c r="C15" s="30" t="n">
        <f aca="false">Inputs!C16</f>
        <v>39</v>
      </c>
      <c r="D15" s="30" t="n">
        <f aca="false">Inputs!D16</f>
        <v>40</v>
      </c>
      <c r="E15" s="30" t="n">
        <f aca="false">Inputs!E16</f>
        <v>42</v>
      </c>
      <c r="F15" s="23" t="n">
        <f aca="false">F8*Inputs!C25</f>
        <v>44.1</v>
      </c>
      <c r="G15" s="23" t="n">
        <f aca="false">G8*Inputs!D25</f>
        <v>46.0845</v>
      </c>
      <c r="H15" s="23" t="n">
        <f aca="false">H8*Inputs!E25</f>
        <v>47.92788</v>
      </c>
      <c r="I15" s="23" t="n">
        <f aca="false">I8*Inputs!F25</f>
        <v>49.6053558</v>
      </c>
      <c r="J15" s="23" t="n">
        <f aca="false">J8*Inputs!G25</f>
        <v>51.093516474</v>
      </c>
    </row>
    <row r="16" customFormat="false" ht="15" hidden="false" customHeight="true" outlineLevel="0" collapsed="false">
      <c r="A16" s="7" t="s">
        <v>107</v>
      </c>
      <c r="C16" s="35" t="n">
        <f aca="false">C12+C13-C14-C15</f>
        <v>349.36</v>
      </c>
      <c r="D16" s="35" t="n">
        <f aca="false">D12+D13-D14-D15</f>
        <v>380.04</v>
      </c>
      <c r="E16" s="35" t="n">
        <f aca="false">E12+E13-E14-E15</f>
        <v>415.8</v>
      </c>
      <c r="F16" s="35" t="n">
        <f aca="false">F12+F13-F14-F15</f>
        <v>452.1132</v>
      </c>
      <c r="G16" s="35" t="n">
        <f aca="false">G12+G13-G14-G15</f>
        <v>484.071588</v>
      </c>
      <c r="H16" s="35" t="n">
        <f aca="false">H12+H13-H14-H15</f>
        <v>515.51227728</v>
      </c>
      <c r="I16" s="35" t="n">
        <f aca="false">I12+I13-I14-I15</f>
        <v>546.0557566464</v>
      </c>
      <c r="J16" s="35" t="n">
        <f aca="false">J12+J13-J14-J15</f>
        <v>570.20364384984</v>
      </c>
    </row>
    <row r="18" customFormat="false" ht="18" hidden="false" customHeight="true" outlineLevel="0" collapsed="false">
      <c r="A18" s="12" t="s">
        <v>108</v>
      </c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5" hidden="false" customHeight="true" outlineLevel="0" collapsed="false">
      <c r="A19" s="13" t="s">
        <v>109</v>
      </c>
      <c r="F19" s="36" t="n">
        <f aca="false">F4-$E$4</f>
        <v>1</v>
      </c>
      <c r="G19" s="36" t="n">
        <f aca="false">G4-$E$4</f>
        <v>2</v>
      </c>
      <c r="H19" s="36" t="n">
        <f aca="false">H4-$E$4</f>
        <v>3</v>
      </c>
      <c r="I19" s="36" t="n">
        <f aca="false">I4-$E$4</f>
        <v>4</v>
      </c>
      <c r="J19" s="36" t="n">
        <f aca="false">J4-$E$4</f>
        <v>5</v>
      </c>
    </row>
    <row r="20" customFormat="false" ht="15" hidden="false" customHeight="true" outlineLevel="0" collapsed="false">
      <c r="A20" s="13" t="s">
        <v>110</v>
      </c>
      <c r="F20" s="37" t="n">
        <f aca="false">IF(Inputs!$B$33=1,F19-0.5,F19)</f>
        <v>0.5</v>
      </c>
      <c r="G20" s="37" t="n">
        <f aca="false">IF(Inputs!$B$33=1,G19-0.5,G19)</f>
        <v>1.5</v>
      </c>
      <c r="H20" s="37" t="n">
        <f aca="false">IF(Inputs!$B$33=1,H19-0.5,H19)</f>
        <v>2.5</v>
      </c>
      <c r="I20" s="37" t="n">
        <f aca="false">IF(Inputs!$B$33=1,I19-0.5,I19)</f>
        <v>3.5</v>
      </c>
      <c r="J20" s="37" t="n">
        <f aca="false">IF(Inputs!$B$33=1,J19-0.5,J19)</f>
        <v>4.5</v>
      </c>
    </row>
    <row r="21" customFormat="false" ht="15" hidden="false" customHeight="true" outlineLevel="0" collapsed="false">
      <c r="A21" s="13" t="s">
        <v>111</v>
      </c>
      <c r="F21" s="38" t="n">
        <f aca="false">1/(1+WACC!$B$23)^F20</f>
        <v>0.953918074875844</v>
      </c>
      <c r="G21" s="38" t="n">
        <f aca="false">1/(1+WACC!$B$23)^G20</f>
        <v>0.86802699910952</v>
      </c>
      <c r="H21" s="38" t="n">
        <f aca="false">1/(1+WACC!$B$23)^H20</f>
        <v>0.789869582124384</v>
      </c>
      <c r="I21" s="38" t="n">
        <f aca="false">1/(1+WACC!$B$23)^I20</f>
        <v>0.718749482913988</v>
      </c>
      <c r="J21" s="38" t="n">
        <f aca="false">1/(1+WACC!$B$23)^J20</f>
        <v>0.654033059229485</v>
      </c>
    </row>
    <row r="22" customFormat="false" ht="15" hidden="false" customHeight="true" outlineLevel="0" collapsed="false">
      <c r="A22" s="13" t="s">
        <v>112</v>
      </c>
      <c r="F22" s="23" t="n">
        <f aca="false">F16*F21</f>
        <v>431.278953369957</v>
      </c>
      <c r="G22" s="23" t="n">
        <f aca="false">G16*G21</f>
        <v>420.18720788582</v>
      </c>
      <c r="H22" s="23" t="n">
        <f aca="false">H16*H21</f>
        <v>407.187467035143</v>
      </c>
      <c r="I22" s="23" t="n">
        <f aca="false">I16*I21</f>
        <v>392.477292731807</v>
      </c>
      <c r="J22" s="23" t="n">
        <f aca="false">J16*J21</f>
        <v>372.93203357091</v>
      </c>
    </row>
    <row r="24" customFormat="false" ht="18" hidden="false" customHeight="true" outlineLevel="0" collapsed="false">
      <c r="A24" s="12" t="s">
        <v>113</v>
      </c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15" hidden="false" customHeight="true" outlineLevel="0" collapsed="false">
      <c r="A25" s="13" t="s">
        <v>114</v>
      </c>
      <c r="D25" s="23" t="n">
        <f aca="false">J16*(1+Inputs!B29)/(WACC!$B$23-Inputs!B29)</f>
        <v>7903.4552762726</v>
      </c>
    </row>
    <row r="26" customFormat="false" ht="15" hidden="false" customHeight="true" outlineLevel="0" collapsed="false">
      <c r="A26" s="13" t="s">
        <v>115</v>
      </c>
      <c r="D26" s="23" t="n">
        <f aca="false">J9*Inputs!B30</f>
        <v>9196.83296532</v>
      </c>
    </row>
    <row r="27" customFormat="false" ht="15" hidden="false" customHeight="true" outlineLevel="0" collapsed="false">
      <c r="A27" s="7" t="s">
        <v>116</v>
      </c>
      <c r="D27" s="39" t="n">
        <f aca="false">IF(Inputs!$B$28=1,D25,D26)</f>
        <v>7903.4552762726</v>
      </c>
    </row>
    <row r="28" customFormat="false" ht="15" hidden="false" customHeight="true" outlineLevel="0" collapsed="false">
      <c r="A28" s="13" t="s">
        <v>117</v>
      </c>
      <c r="D28" s="23" t="n">
        <f aca="false">D27*J21</f>
        <v>5169.12103282398</v>
      </c>
    </row>
    <row r="30" customFormat="false" ht="18" hidden="false" customHeight="true" outlineLevel="0" collapsed="false">
      <c r="A30" s="12" t="s">
        <v>118</v>
      </c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15" hidden="false" customHeight="true" outlineLevel="0" collapsed="false">
      <c r="A31" s="13" t="s">
        <v>119</v>
      </c>
      <c r="D31" s="23" t="n">
        <f aca="false">SUM(F22:J22)</f>
        <v>2024.06295459364</v>
      </c>
    </row>
    <row r="32" customFormat="false" ht="15" hidden="false" customHeight="true" outlineLevel="0" collapsed="false">
      <c r="A32" s="13" t="s">
        <v>120</v>
      </c>
      <c r="D32" s="23" t="n">
        <f aca="false">D28</f>
        <v>5169.12103282398</v>
      </c>
    </row>
    <row r="33" customFormat="false" ht="15" hidden="false" customHeight="true" outlineLevel="0" collapsed="false">
      <c r="A33" s="7" t="s">
        <v>121</v>
      </c>
      <c r="D33" s="35" t="n">
        <f aca="false">D31+D32</f>
        <v>7193.18398741762</v>
      </c>
    </row>
    <row r="34" customFormat="false" ht="15" hidden="false" customHeight="true" outlineLevel="0" collapsed="false">
      <c r="A34" s="13" t="s">
        <v>122</v>
      </c>
      <c r="D34" s="30" t="n">
        <f aca="false">-Inputs!B47</f>
        <v>-1450</v>
      </c>
    </row>
    <row r="35" customFormat="false" ht="15" hidden="false" customHeight="true" outlineLevel="0" collapsed="false">
      <c r="A35" s="13" t="s">
        <v>123</v>
      </c>
      <c r="D35" s="30" t="n">
        <f aca="false">Inputs!B46</f>
        <v>320</v>
      </c>
    </row>
    <row r="36" customFormat="false" ht="15" hidden="false" customHeight="true" outlineLevel="0" collapsed="false">
      <c r="A36" s="13" t="s">
        <v>124</v>
      </c>
      <c r="D36" s="30" t="n">
        <f aca="false">-Inputs!B48</f>
        <v>-45</v>
      </c>
    </row>
    <row r="37" customFormat="false" ht="15" hidden="false" customHeight="true" outlineLevel="0" collapsed="false">
      <c r="A37" s="13" t="s">
        <v>125</v>
      </c>
      <c r="D37" s="30" t="n">
        <f aca="false">-Inputs!B49</f>
        <v>-0</v>
      </c>
    </row>
    <row r="38" customFormat="false" ht="15" hidden="false" customHeight="true" outlineLevel="0" collapsed="false">
      <c r="A38" s="13" t="s">
        <v>126</v>
      </c>
      <c r="D38" s="30" t="n">
        <f aca="false">Inputs!B50</f>
        <v>60</v>
      </c>
    </row>
    <row r="39" customFormat="false" ht="15" hidden="false" customHeight="true" outlineLevel="0" collapsed="false">
      <c r="A39" s="7" t="s">
        <v>127</v>
      </c>
      <c r="D39" s="35" t="n">
        <f aca="false">D33+D34+D35+D36+D37+D38</f>
        <v>6078.18398741762</v>
      </c>
    </row>
    <row r="40" customFormat="false" ht="15" hidden="false" customHeight="true" outlineLevel="0" collapsed="false">
      <c r="A40" s="13" t="s">
        <v>128</v>
      </c>
      <c r="D40" s="40" t="n">
        <f aca="false">Inputs!B51</f>
        <v>140</v>
      </c>
    </row>
    <row r="41" customFormat="false" ht="19.5" hidden="false" customHeight="true" outlineLevel="0" collapsed="false">
      <c r="A41" s="7" t="s">
        <v>129</v>
      </c>
      <c r="D41" s="41" t="n">
        <f aca="false">D39/D40</f>
        <v>43.4155999101258</v>
      </c>
    </row>
    <row r="42" customFormat="false" ht="15" hidden="false" customHeight="true" outlineLevel="0" collapsed="false">
      <c r="A42" s="13" t="s">
        <v>82</v>
      </c>
      <c r="D42" s="42" t="n">
        <f aca="false">Inputs!B52</f>
        <v>37.14</v>
      </c>
    </row>
    <row r="43" customFormat="false" ht="15" hidden="false" customHeight="true" outlineLevel="0" collapsed="false">
      <c r="A43" s="7" t="s">
        <v>130</v>
      </c>
      <c r="D43" s="43" t="n">
        <f aca="false">D41/D42-1</f>
        <v>0.168971456923151</v>
      </c>
    </row>
    <row r="44" customFormat="false" ht="15" hidden="false" customHeight="true" outlineLevel="0" collapsed="false">
      <c r="A44" s="13" t="s">
        <v>131</v>
      </c>
      <c r="D44" s="44" t="n">
        <f aca="false">D33/E9</f>
        <v>9.01401502182659</v>
      </c>
    </row>
  </sheetData>
  <mergeCells count="6">
    <mergeCell ref="A1:I1"/>
    <mergeCell ref="A3:J3"/>
    <mergeCell ref="A7:J7"/>
    <mergeCell ref="A18:J18"/>
    <mergeCell ref="A24:J24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"/>
    <col collapsed="false" customWidth="true" hidden="false" outlineLevel="0" max="8" min="3" style="1" width="13"/>
  </cols>
  <sheetData>
    <row r="1" customFormat="false" ht="25.5" hidden="false" customHeight="true" outlineLevel="0" collapsed="false">
      <c r="A1" s="2" t="s">
        <v>132</v>
      </c>
      <c r="B1" s="2"/>
      <c r="C1" s="2"/>
      <c r="D1" s="2"/>
      <c r="E1" s="2"/>
      <c r="F1" s="2"/>
      <c r="G1" s="2"/>
      <c r="H1" s="2"/>
    </row>
    <row r="3" customFormat="false" ht="18" hidden="false" customHeight="true" outlineLevel="0" collapsed="false">
      <c r="A3" s="12" t="s">
        <v>133</v>
      </c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C4" s="45" t="s">
        <v>134</v>
      </c>
      <c r="D4" s="46" t="n">
        <f aca="false">Inputs!$B$29-0.01</f>
        <v>0.015</v>
      </c>
      <c r="E4" s="46" t="n">
        <f aca="false">Inputs!$B$29-0.005</f>
        <v>0.02</v>
      </c>
      <c r="F4" s="46" t="n">
        <f aca="false">Inputs!$B$29</f>
        <v>0.025</v>
      </c>
      <c r="G4" s="46" t="n">
        <f aca="false">Inputs!$B$29+0.005</f>
        <v>0.03</v>
      </c>
      <c r="H4" s="46" t="n">
        <f aca="false">Inputs!$B$29+0.01</f>
        <v>0.035</v>
      </c>
    </row>
    <row r="5" customFormat="false" ht="15" hidden="false" customHeight="true" outlineLevel="0" collapsed="false">
      <c r="C5" s="46" t="n">
        <f aca="false">WACC!$B$23-0.01</f>
        <v>0.0889497744360902</v>
      </c>
      <c r="D5" s="47" t="n">
        <f aca="false">(SUMPRODUCT(DCF!$F$16:$J$16,1/(1+$C5)^DCF!$F$20:$J$20)+(DCF!$J$16*(1+D$4)/($C5-D$4))/(1+$C5)^DCF!$J$20-Inputs!$B$47+Inputs!$B$46-Inputs!$B$48-Inputs!$B$49+Inputs!$B$50)/Inputs!$B$51</f>
        <v>44.9165377346253</v>
      </c>
      <c r="E5" s="47" t="n">
        <f aca="false">(SUMPRODUCT(DCF!$F$16:$J$16,1/(1+$C5)^DCF!$F$20:$J$20)+(DCF!$J$16*(1+E$4)/($C5-E$4))/(1+$C5)^DCF!$J$20-Inputs!$B$47+Inputs!$B$46-Inputs!$B$48-Inputs!$B$49+Inputs!$B$50)/Inputs!$B$51</f>
        <v>47.8805144059388</v>
      </c>
      <c r="F5" s="47" t="n">
        <f aca="false">(SUMPRODUCT(DCF!$F$16:$J$16,1/(1+$C5)^DCF!$F$20:$J$20)+(DCF!$J$16*(1+F$4)/($C5-F$4))/(1+$C5)^DCF!$J$20-Inputs!$B$47+Inputs!$B$46-Inputs!$B$48-Inputs!$B$49+Inputs!$B$50)/Inputs!$B$51</f>
        <v>51.3079761633923</v>
      </c>
      <c r="G5" s="47" t="n">
        <f aca="false">(SUMPRODUCT(DCF!$F$16:$J$16,1/(1+$C5)^DCF!$F$20:$J$20)+(DCF!$J$16*(1+G$4)/($C5-G$4))/(1+$C5)^DCF!$J$20-Inputs!$B$47+Inputs!$B$46-Inputs!$B$48-Inputs!$B$49+Inputs!$B$50)/Inputs!$B$51</f>
        <v>55.3168585946719</v>
      </c>
      <c r="H5" s="47" t="n">
        <f aca="false">(SUMPRODUCT(DCF!$F$16:$J$16,1/(1+$C5)^DCF!$F$20:$J$20)+(DCF!$J$16*(1+H$4)/($C5-H$4))/(1+$C5)^DCF!$J$20-Inputs!$B$47+Inputs!$B$46-Inputs!$B$48-Inputs!$B$49+Inputs!$B$50)/Inputs!$B$51</f>
        <v>60.0688177993361</v>
      </c>
    </row>
    <row r="6" customFormat="false" ht="15" hidden="false" customHeight="true" outlineLevel="0" collapsed="false">
      <c r="C6" s="46" t="n">
        <f aca="false">WACC!$B$23-0.005</f>
        <v>0.0939497744360902</v>
      </c>
      <c r="D6" s="47" t="n">
        <f aca="false">(SUMPRODUCT(DCF!$F$16:$J$16,1/(1+$C6)^DCF!$F$20:$J$20)+(DCF!$J$16*(1+D$4)/($C6-D$4))/(1+$C6)^DCF!$J$20-Inputs!$B$47+Inputs!$B$46-Inputs!$B$48-Inputs!$B$49+Inputs!$B$50)/Inputs!$B$51</f>
        <v>41.6111933383986</v>
      </c>
      <c r="E6" s="47" t="n">
        <f aca="false">(SUMPRODUCT(DCF!$F$16:$J$16,1/(1+$C6)^DCF!$F$20:$J$20)+(DCF!$J$16*(1+E$4)/($C6-E$4))/(1+$C6)^DCF!$J$20-Inputs!$B$47+Inputs!$B$46-Inputs!$B$48-Inputs!$B$49+Inputs!$B$50)/Inputs!$B$51</f>
        <v>44.1585711933199</v>
      </c>
      <c r="F6" s="47" t="n">
        <f aca="false">(SUMPRODUCT(DCF!$F$16:$J$16,1/(1+$C6)^DCF!$F$20:$J$20)+(DCF!$J$16*(1+F$4)/($C6-F$4))/(1+$C6)^DCF!$J$20-Inputs!$B$47+Inputs!$B$46-Inputs!$B$48-Inputs!$B$49+Inputs!$B$50)/Inputs!$B$51</f>
        <v>47.0754031727479</v>
      </c>
      <c r="G6" s="47" t="n">
        <f aca="false">(SUMPRODUCT(DCF!$F$16:$J$16,1/(1+$C6)^DCF!$F$20:$J$20)+(DCF!$J$16*(1+G$4)/($C6-G$4))/(1+$C6)^DCF!$J$20-Inputs!$B$47+Inputs!$B$46-Inputs!$B$48-Inputs!$B$49+Inputs!$B$50)/Inputs!$B$51</f>
        <v>50.4483480947387</v>
      </c>
      <c r="H6" s="47" t="n">
        <f aca="false">(SUMPRODUCT(DCF!$F$16:$J$16,1/(1+$C6)^DCF!$F$20:$J$20)+(DCF!$J$16*(1+H$4)/($C6-H$4))/(1+$C6)^DCF!$J$20-Inputs!$B$47+Inputs!$B$46-Inputs!$B$48-Inputs!$B$49+Inputs!$B$50)/Inputs!$B$51</f>
        <v>54.3934656762955</v>
      </c>
    </row>
    <row r="7" customFormat="false" ht="15" hidden="false" customHeight="true" outlineLevel="0" collapsed="false">
      <c r="C7" s="46" t="n">
        <f aca="false">WACC!$B$23</f>
        <v>0.0989497744360902</v>
      </c>
      <c r="D7" s="47" t="n">
        <f aca="false">(SUMPRODUCT(DCF!$F$16:$J$16,1/(1+$C7)^DCF!$F$20:$J$20)+(DCF!$J$16*(1+D$4)/($C7-D$4))/(1+$C7)^DCF!$J$20-Inputs!$B$47+Inputs!$B$46-Inputs!$B$48-Inputs!$B$49+Inputs!$B$50)/Inputs!$B$51</f>
        <v>38.7001502740427</v>
      </c>
      <c r="E7" s="47" t="n">
        <f aca="false">(SUMPRODUCT(DCF!$F$16:$J$16,1/(1+$C7)^DCF!$F$20:$J$20)+(DCF!$J$16*(1+E$4)/($C7-E$4))/(1+$C7)^DCF!$J$20-Inputs!$B$47+Inputs!$B$46-Inputs!$B$48-Inputs!$B$49+Inputs!$B$50)/Inputs!$B$51</f>
        <v>40.9085570709194</v>
      </c>
      <c r="F7" s="47" t="n">
        <f aca="false">(SUMPRODUCT(DCF!$F$16:$J$16,1/(1+$C7)^DCF!$F$20:$J$20)+(DCF!$J$16*(1+F$4)/($C7-F$4))/(1+$C7)^DCF!$J$20-Inputs!$B$47+Inputs!$B$46-Inputs!$B$48-Inputs!$B$49+Inputs!$B$50)/Inputs!$B$51</f>
        <v>43.4155999101258</v>
      </c>
      <c r="G7" s="47" t="n">
        <f aca="false">(SUMPRODUCT(DCF!$F$16:$J$16,1/(1+$C7)^DCF!$F$20:$J$20)+(DCF!$J$16*(1+G$4)/($C7-G$4))/(1+$C7)^DCF!$J$20-Inputs!$B$47+Inputs!$B$46-Inputs!$B$48-Inputs!$B$49+Inputs!$B$50)/Inputs!$B$51</f>
        <v>46.2862469611966</v>
      </c>
      <c r="H7" s="47" t="n">
        <f aca="false">(SUMPRODUCT(DCF!$F$16:$J$16,1/(1+$C7)^DCF!$F$20:$J$20)+(DCF!$J$16*(1+H$4)/($C7-H$4))/(1+$C7)^DCF!$J$20-Inputs!$B$47+Inputs!$B$46-Inputs!$B$48-Inputs!$B$49+Inputs!$B$50)/Inputs!$B$51</f>
        <v>49.6057848920844</v>
      </c>
    </row>
    <row r="8" customFormat="false" ht="15" hidden="false" customHeight="true" outlineLevel="0" collapsed="false">
      <c r="C8" s="46" t="n">
        <f aca="false">WACC!$B$23+0.005</f>
        <v>0.10394977443609</v>
      </c>
      <c r="D8" s="47" t="n">
        <f aca="false">(SUMPRODUCT(DCF!$F$16:$J$16,1/(1+$C8)^DCF!$F$20:$J$20)+(DCF!$J$16*(1+D$4)/($C8-D$4))/(1+$C8)^DCF!$J$20-Inputs!$B$47+Inputs!$B$46-Inputs!$B$48-Inputs!$B$49+Inputs!$B$50)/Inputs!$B$51</f>
        <v>36.1169015795379</v>
      </c>
      <c r="E8" s="47" t="n">
        <f aca="false">(SUMPRODUCT(DCF!$F$16:$J$16,1/(1+$C8)^DCF!$F$20:$J$20)+(DCF!$J$16*(1+E$4)/($C8-E$4))/(1+$C8)^DCF!$J$20-Inputs!$B$47+Inputs!$B$46-Inputs!$B$48-Inputs!$B$49+Inputs!$B$50)/Inputs!$B$51</f>
        <v>38.0461358566349</v>
      </c>
      <c r="F8" s="47" t="n">
        <f aca="false">(SUMPRODUCT(DCF!$F$16:$J$16,1/(1+$C8)^DCF!$F$20:$J$20)+(DCF!$J$16*(1+F$4)/($C8-F$4))/(1+$C8)^DCF!$J$20-Inputs!$B$47+Inputs!$B$46-Inputs!$B$48-Inputs!$B$49+Inputs!$B$50)/Inputs!$B$51</f>
        <v>40.2197323616011</v>
      </c>
      <c r="G8" s="47" t="n">
        <f aca="false">(SUMPRODUCT(DCF!$F$16:$J$16,1/(1+$C8)^DCF!$F$20:$J$20)+(DCF!$J$16*(1+G$4)/($C8-G$4))/(1+$C8)^DCF!$J$20-Inputs!$B$47+Inputs!$B$46-Inputs!$B$48-Inputs!$B$49+Inputs!$B$50)/Inputs!$B$51</f>
        <v>42.6872576204467</v>
      </c>
      <c r="H8" s="47" t="n">
        <f aca="false">(SUMPRODUCT(DCF!$F$16:$J$16,1/(1+$C8)^DCF!$F$20:$J$20)+(DCF!$J$16*(1+H$4)/($C8-H$4))/(1+$C8)^DCF!$J$20-Inputs!$B$47+Inputs!$B$46-Inputs!$B$48-Inputs!$B$49+Inputs!$B$50)/Inputs!$B$51</f>
        <v>45.5126557337035</v>
      </c>
    </row>
    <row r="9" customFormat="false" ht="15" hidden="false" customHeight="true" outlineLevel="0" collapsed="false">
      <c r="C9" s="46" t="n">
        <f aca="false">WACC!$B$23+0.01</f>
        <v>0.10894977443609</v>
      </c>
      <c r="D9" s="47" t="n">
        <f aca="false">(SUMPRODUCT(DCF!$F$16:$J$16,1/(1+$C9)^DCF!$F$20:$J$20)+(DCF!$J$16*(1+D$4)/($C9-D$4))/(1+$C9)^DCF!$J$20-Inputs!$B$47+Inputs!$B$46-Inputs!$B$48-Inputs!$B$49+Inputs!$B$50)/Inputs!$B$51</f>
        <v>33.8090986437644</v>
      </c>
      <c r="E9" s="47" t="n">
        <f aca="false">(SUMPRODUCT(DCF!$F$16:$J$16,1/(1+$C9)^DCF!$F$20:$J$20)+(DCF!$J$16*(1+E$4)/($C9-E$4))/(1+$C9)^DCF!$J$20-Inputs!$B$47+Inputs!$B$46-Inputs!$B$48-Inputs!$B$49+Inputs!$B$50)/Inputs!$B$51</f>
        <v>35.5059343520257</v>
      </c>
      <c r="F9" s="47" t="n">
        <f aca="false">(SUMPRODUCT(DCF!$F$16:$J$16,1/(1+$C9)^DCF!$F$20:$J$20)+(DCF!$J$16*(1+F$4)/($C9-F$4))/(1+$C9)^DCF!$J$20-Inputs!$B$47+Inputs!$B$46-Inputs!$B$48-Inputs!$B$49+Inputs!$B$50)/Inputs!$B$51</f>
        <v>37.4048951665972</v>
      </c>
      <c r="G9" s="47" t="n">
        <f aca="false">(SUMPRODUCT(DCF!$F$16:$J$16,1/(1+$C9)^DCF!$F$20:$J$20)+(DCF!$J$16*(1+G$4)/($C9-G$4))/(1+$C9)^DCF!$J$20-Inputs!$B$47+Inputs!$B$46-Inputs!$B$48-Inputs!$B$49+Inputs!$B$50)/Inputs!$B$51</f>
        <v>39.5443836873129</v>
      </c>
      <c r="H9" s="47" t="n">
        <f aca="false">(SUMPRODUCT(DCF!$F$16:$J$16,1/(1+$C9)^DCF!$F$20:$J$20)+(DCF!$J$16*(1+H$4)/($C9-H$4))/(1+$C9)^DCF!$J$20-Inputs!$B$47+Inputs!$B$46-Inputs!$B$48-Inputs!$B$49+Inputs!$B$50)/Inputs!$B$51</f>
        <v>41.9731886443572</v>
      </c>
    </row>
    <row r="12" customFormat="false" ht="18" hidden="false" customHeight="true" outlineLevel="0" collapsed="false">
      <c r="A12" s="12" t="s">
        <v>135</v>
      </c>
      <c r="B12" s="12"/>
      <c r="C12" s="12"/>
      <c r="D12" s="12"/>
      <c r="E12" s="12"/>
      <c r="F12" s="12"/>
      <c r="G12" s="12"/>
      <c r="H12" s="12"/>
    </row>
    <row r="13" customFormat="false" ht="15" hidden="false" customHeight="true" outlineLevel="0" collapsed="false">
      <c r="C13" s="45" t="s">
        <v>136</v>
      </c>
      <c r="D13" s="48" t="n">
        <f aca="false">Inputs!$B$30-2</f>
        <v>7</v>
      </c>
      <c r="E13" s="48" t="n">
        <f aca="false">Inputs!$B$30-1</f>
        <v>8</v>
      </c>
      <c r="F13" s="48" t="n">
        <f aca="false">Inputs!$B$30</f>
        <v>9</v>
      </c>
      <c r="G13" s="48" t="n">
        <f aca="false">Inputs!$B$30+1</f>
        <v>10</v>
      </c>
      <c r="H13" s="48" t="n">
        <f aca="false">Inputs!$B$30+2</f>
        <v>11</v>
      </c>
    </row>
    <row r="14" customFormat="false" ht="15" hidden="false" customHeight="true" outlineLevel="0" collapsed="false">
      <c r="C14" s="46" t="n">
        <f aca="false">WACC!$B$23-0.01</f>
        <v>0.0889497744360902</v>
      </c>
      <c r="D14" s="47" t="n">
        <f aca="false">(SUMPRODUCT(DCF!$F$16:$J$16,1/(1+$C14)^DCF!$F$20:$J$20)+(DCF!$J$9*D$13)/(1+$C14)^DCF!$J$20-Inputs!$B$47+Inputs!$B$46-Inputs!$B$48-Inputs!$B$49+Inputs!$B$50)/Inputs!$B$51</f>
        <v>41.6392321911754</v>
      </c>
      <c r="E14" s="47" t="n">
        <f aca="false">(SUMPRODUCT(DCF!$F$16:$J$16,1/(1+$C14)^DCF!$F$20:$J$20)+(DCF!$J$9*E$13)/(1+$C14)^DCF!$J$20-Inputs!$B$47+Inputs!$B$46-Inputs!$B$48-Inputs!$B$49+Inputs!$B$50)/Inputs!$B$51</f>
        <v>46.6135374360459</v>
      </c>
      <c r="F14" s="47" t="n">
        <f aca="false">(SUMPRODUCT(DCF!$F$16:$J$16,1/(1+$C14)^DCF!$F$20:$J$20)+(DCF!$J$9*F$13)/(1+$C14)^DCF!$J$20-Inputs!$B$47+Inputs!$B$46-Inputs!$B$48-Inputs!$B$49+Inputs!$B$50)/Inputs!$B$51</f>
        <v>51.5878426809163</v>
      </c>
      <c r="G14" s="47" t="n">
        <f aca="false">(SUMPRODUCT(DCF!$F$16:$J$16,1/(1+$C14)^DCF!$F$20:$J$20)+(DCF!$J$9*G$13)/(1+$C14)^DCF!$J$20-Inputs!$B$47+Inputs!$B$46-Inputs!$B$48-Inputs!$B$49+Inputs!$B$50)/Inputs!$B$51</f>
        <v>56.5621479257868</v>
      </c>
      <c r="H14" s="47" t="n">
        <f aca="false">(SUMPRODUCT(DCF!$F$16:$J$16,1/(1+$C14)^DCF!$F$20:$J$20)+(DCF!$J$9*H$13)/(1+$C14)^DCF!$J$20-Inputs!$B$47+Inputs!$B$46-Inputs!$B$48-Inputs!$B$49+Inputs!$B$50)/Inputs!$B$51</f>
        <v>61.5364531706573</v>
      </c>
    </row>
    <row r="15" customFormat="false" ht="15" hidden="false" customHeight="true" outlineLevel="0" collapsed="false">
      <c r="C15" s="46" t="n">
        <f aca="false">WACC!$B$23-0.005</f>
        <v>0.0939497744360902</v>
      </c>
      <c r="D15" s="47" t="n">
        <f aca="false">(SUMPRODUCT(DCF!$F$16:$J$16,1/(1+$C15)^DCF!$F$20:$J$20)+(DCF!$J$9*D$13)/(1+$C15)^DCF!$J$20-Inputs!$B$47+Inputs!$B$46-Inputs!$B$48-Inputs!$B$49+Inputs!$B$50)/Inputs!$B$51</f>
        <v>40.7642921836696</v>
      </c>
      <c r="E15" s="47" t="n">
        <f aca="false">(SUMPRODUCT(DCF!$F$16:$J$16,1/(1+$C15)^DCF!$F$20:$J$20)+(DCF!$J$9*E$13)/(1+$C15)^DCF!$J$20-Inputs!$B$47+Inputs!$B$46-Inputs!$B$48-Inputs!$B$49+Inputs!$B$50)/Inputs!$B$51</f>
        <v>45.6371027685143</v>
      </c>
      <c r="F15" s="47" t="n">
        <f aca="false">(SUMPRODUCT(DCF!$F$16:$J$16,1/(1+$C15)^DCF!$F$20:$J$20)+(DCF!$J$9*F$13)/(1+$C15)^DCF!$J$20-Inputs!$B$47+Inputs!$B$46-Inputs!$B$48-Inputs!$B$49+Inputs!$B$50)/Inputs!$B$51</f>
        <v>50.5099133533589</v>
      </c>
      <c r="G15" s="47" t="n">
        <f aca="false">(SUMPRODUCT(DCF!$F$16:$J$16,1/(1+$C15)^DCF!$F$20:$J$20)+(DCF!$J$9*G$13)/(1+$C15)^DCF!$J$20-Inputs!$B$47+Inputs!$B$46-Inputs!$B$48-Inputs!$B$49+Inputs!$B$50)/Inputs!$B$51</f>
        <v>55.3827239382036</v>
      </c>
      <c r="H15" s="47" t="n">
        <f aca="false">(SUMPRODUCT(DCF!$F$16:$J$16,1/(1+$C15)^DCF!$F$20:$J$20)+(DCF!$J$9*H$13)/(1+$C15)^DCF!$J$20-Inputs!$B$47+Inputs!$B$46-Inputs!$B$48-Inputs!$B$49+Inputs!$B$50)/Inputs!$B$51</f>
        <v>60.2555345230482</v>
      </c>
    </row>
    <row r="16" customFormat="false" ht="15" hidden="false" customHeight="true" outlineLevel="0" collapsed="false">
      <c r="C16" s="46" t="n">
        <f aca="false">WACC!$B$23</f>
        <v>0.0989497744360902</v>
      </c>
      <c r="D16" s="47" t="n">
        <f aca="false">(SUMPRODUCT(DCF!$F$16:$J$16,1/(1+$C16)^DCF!$F$20:$J$20)+(DCF!$J$9*D$13)/(1+$C16)^DCF!$J$20-Inputs!$B$47+Inputs!$B$46-Inputs!$B$48-Inputs!$B$49+Inputs!$B$50)/Inputs!$B$51</f>
        <v>39.9101557048083</v>
      </c>
      <c r="E16" s="47" t="n">
        <f aca="false">(SUMPRODUCT(DCF!$F$16:$J$16,1/(1+$C16)^DCF!$F$20:$J$20)+(DCF!$J$9*E$13)/(1+$C16)^DCF!$J$20-Inputs!$B$47+Inputs!$B$46-Inputs!$B$48-Inputs!$B$49+Inputs!$B$50)/Inputs!$B$51</f>
        <v>44.6839912599914</v>
      </c>
      <c r="F16" s="47" t="n">
        <f aca="false">(SUMPRODUCT(DCF!$F$16:$J$16,1/(1+$C16)^DCF!$F$20:$J$20)+(DCF!$J$9*F$13)/(1+$C16)^DCF!$J$20-Inputs!$B$47+Inputs!$B$46-Inputs!$B$48-Inputs!$B$49+Inputs!$B$50)/Inputs!$B$51</f>
        <v>49.4578268151746</v>
      </c>
      <c r="G16" s="47" t="n">
        <f aca="false">(SUMPRODUCT(DCF!$F$16:$J$16,1/(1+$C16)^DCF!$F$20:$J$20)+(DCF!$J$9*G$13)/(1+$C16)^DCF!$J$20-Inputs!$B$47+Inputs!$B$46-Inputs!$B$48-Inputs!$B$49+Inputs!$B$50)/Inputs!$B$51</f>
        <v>54.2316623703578</v>
      </c>
      <c r="H16" s="47" t="n">
        <f aca="false">(SUMPRODUCT(DCF!$F$16:$J$16,1/(1+$C16)^DCF!$F$20:$J$20)+(DCF!$J$9*H$13)/(1+$C16)^DCF!$J$20-Inputs!$B$47+Inputs!$B$46-Inputs!$B$48-Inputs!$B$49+Inputs!$B$50)/Inputs!$B$51</f>
        <v>59.005497925541</v>
      </c>
    </row>
    <row r="17" customFormat="false" ht="15" hidden="false" customHeight="true" outlineLevel="0" collapsed="false">
      <c r="C17" s="46" t="n">
        <f aca="false">WACC!$B$23+0.005</f>
        <v>0.10394977443609</v>
      </c>
      <c r="D17" s="47" t="n">
        <f aca="false">(SUMPRODUCT(DCF!$F$16:$J$16,1/(1+$C17)^DCF!$F$20:$J$20)+(DCF!$J$9*D$13)/(1+$C17)^DCF!$J$20-Inputs!$B$47+Inputs!$B$46-Inputs!$B$48-Inputs!$B$49+Inputs!$B$50)/Inputs!$B$51</f>
        <v>39.0762281201451</v>
      </c>
      <c r="E17" s="47" t="n">
        <f aca="false">(SUMPRODUCT(DCF!$F$16:$J$16,1/(1+$C17)^DCF!$F$20:$J$20)+(DCF!$J$9*E$13)/(1+$C17)^DCF!$J$20-Inputs!$B$47+Inputs!$B$46-Inputs!$B$48-Inputs!$B$49+Inputs!$B$50)/Inputs!$B$51</f>
        <v>43.7535346853662</v>
      </c>
      <c r="F17" s="47" t="n">
        <f aca="false">(SUMPRODUCT(DCF!$F$16:$J$16,1/(1+$C17)^DCF!$F$20:$J$20)+(DCF!$J$9*F$13)/(1+$C17)^DCF!$J$20-Inputs!$B$47+Inputs!$B$46-Inputs!$B$48-Inputs!$B$49+Inputs!$B$50)/Inputs!$B$51</f>
        <v>48.4308412505873</v>
      </c>
      <c r="G17" s="47" t="n">
        <f aca="false">(SUMPRODUCT(DCF!$F$16:$J$16,1/(1+$C17)^DCF!$F$20:$J$20)+(DCF!$J$9*G$13)/(1+$C17)^DCF!$J$20-Inputs!$B$47+Inputs!$B$46-Inputs!$B$48-Inputs!$B$49+Inputs!$B$50)/Inputs!$B$51</f>
        <v>53.1081478158084</v>
      </c>
      <c r="H17" s="47" t="n">
        <f aca="false">(SUMPRODUCT(DCF!$F$16:$J$16,1/(1+$C17)^DCF!$F$20:$J$20)+(DCF!$J$9*H$13)/(1+$C17)^DCF!$J$20-Inputs!$B$47+Inputs!$B$46-Inputs!$B$48-Inputs!$B$49+Inputs!$B$50)/Inputs!$B$51</f>
        <v>57.7854543810295</v>
      </c>
    </row>
    <row r="18" customFormat="false" ht="15" hidden="false" customHeight="true" outlineLevel="0" collapsed="false">
      <c r="C18" s="46" t="n">
        <f aca="false">WACC!$B$23+0.01</f>
        <v>0.10894977443609</v>
      </c>
      <c r="D18" s="47" t="n">
        <f aca="false">(SUMPRODUCT(DCF!$F$16:$J$16,1/(1+$C18)^DCF!$F$20:$J$20)+(DCF!$J$9*D$13)/(1+$C18)^DCF!$J$20-Inputs!$B$47+Inputs!$B$46-Inputs!$B$48-Inputs!$B$49+Inputs!$B$50)/Inputs!$B$51</f>
        <v>38.2619344864782</v>
      </c>
      <c r="E18" s="47" t="n">
        <f aca="false">(SUMPRODUCT(DCF!$F$16:$J$16,1/(1+$C18)^DCF!$F$20:$J$20)+(DCF!$J$9*E$13)/(1+$C18)^DCF!$J$20-Inputs!$B$47+Inputs!$B$46-Inputs!$B$48-Inputs!$B$49+Inputs!$B$50)/Inputs!$B$51</f>
        <v>42.845086979691</v>
      </c>
      <c r="F18" s="47" t="n">
        <f aca="false">(SUMPRODUCT(DCF!$F$16:$J$16,1/(1+$C18)^DCF!$F$20:$J$20)+(DCF!$J$9*F$13)/(1+$C18)^DCF!$J$20-Inputs!$B$47+Inputs!$B$46-Inputs!$B$48-Inputs!$B$49+Inputs!$B$50)/Inputs!$B$51</f>
        <v>47.4282394729038</v>
      </c>
      <c r="G18" s="47" t="n">
        <f aca="false">(SUMPRODUCT(DCF!$F$16:$J$16,1/(1+$C18)^DCF!$F$20:$J$20)+(DCF!$J$9*G$13)/(1+$C18)^DCF!$J$20-Inputs!$B$47+Inputs!$B$46-Inputs!$B$48-Inputs!$B$49+Inputs!$B$50)/Inputs!$B$51</f>
        <v>52.0113919661166</v>
      </c>
      <c r="H18" s="47" t="n">
        <f aca="false">(SUMPRODUCT(DCF!$F$16:$J$16,1/(1+$C18)^DCF!$F$20:$J$20)+(DCF!$J$9*H$13)/(1+$C18)^DCF!$J$20-Inputs!$B$47+Inputs!$B$46-Inputs!$B$48-Inputs!$B$49+Inputs!$B$50)/Inputs!$B$51</f>
        <v>56.5945444593294</v>
      </c>
    </row>
    <row r="20" customFormat="false" ht="15" hidden="false" customHeight="true" outlineLevel="0" collapsed="false">
      <c r="A20" s="49" t="s">
        <v>137</v>
      </c>
      <c r="B20" s="49"/>
      <c r="C20" s="49"/>
      <c r="D20" s="49"/>
      <c r="E20" s="49"/>
      <c r="F20" s="49"/>
      <c r="G20" s="49"/>
      <c r="H20" s="49"/>
    </row>
  </sheetData>
  <mergeCells count="4">
    <mergeCell ref="A1:H1"/>
    <mergeCell ref="A3:H3"/>
    <mergeCell ref="A12:H12"/>
    <mergeCell ref="A20:H20"/>
  </mergeCells>
  <conditionalFormatting sqref="D5:H9">
    <cfRule type="expression" priority="2" aboveAverage="0" equalAverage="0" bottom="0" percent="0" rank="0" text="" dxfId="0">
      <formula>D5&gt;Inputs!$B$52</formula>
    </cfRule>
  </conditionalFormatting>
  <conditionalFormatting sqref="D14:H18">
    <cfRule type="expression" priority="3" aboveAverage="0" equalAverage="0" bottom="0" percent="0" rank="0" text="" dxfId="0">
      <formula>D14&gt;Inputs!$B$52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7" min="2" style="1" width="14"/>
  </cols>
  <sheetData>
    <row r="1" customFormat="false" ht="25.5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</row>
    <row r="3" customFormat="false" ht="18" hidden="false" customHeight="true" outlineLevel="0" collapsed="false">
      <c r="A3" s="12" t="s">
        <v>139</v>
      </c>
      <c r="B3" s="12"/>
      <c r="C3" s="12"/>
      <c r="D3" s="12"/>
      <c r="E3" s="12"/>
      <c r="F3" s="12"/>
      <c r="G3" s="12"/>
    </row>
    <row r="4" customFormat="false" ht="15" hidden="false" customHeight="true" outlineLevel="0" collapsed="false">
      <c r="A4" s="7" t="s">
        <v>50</v>
      </c>
      <c r="B4" s="33" t="n">
        <f aca="false">DCF!F4</f>
        <v>2026</v>
      </c>
      <c r="C4" s="33" t="n">
        <f aca="false">DCF!G4</f>
        <v>2027</v>
      </c>
      <c r="D4" s="33" t="n">
        <f aca="false">DCF!H4</f>
        <v>2028</v>
      </c>
      <c r="E4" s="33" t="n">
        <f aca="false">DCF!I4</f>
        <v>2029</v>
      </c>
      <c r="F4" s="33" t="n">
        <f aca="false">DCF!J4</f>
        <v>2030</v>
      </c>
    </row>
    <row r="5" customFormat="false" ht="15" hidden="false" customHeight="true" outlineLevel="0" collapsed="false">
      <c r="A5" s="7" t="s">
        <v>107</v>
      </c>
      <c r="B5" s="30" t="n">
        <f aca="false">DCF!F16</f>
        <v>452.1132</v>
      </c>
      <c r="C5" s="30" t="n">
        <f aca="false">DCF!G16</f>
        <v>484.071588</v>
      </c>
      <c r="D5" s="30" t="n">
        <f aca="false">DCF!H16</f>
        <v>515.51227728</v>
      </c>
      <c r="E5" s="30" t="n">
        <f aca="false">DCF!I16</f>
        <v>546.0557566464</v>
      </c>
      <c r="F5" s="30" t="n">
        <f aca="false">DCF!J16</f>
        <v>570.20364384984</v>
      </c>
    </row>
    <row r="8" customFormat="false" ht="18" hidden="false" customHeight="true" outlineLevel="0" collapsed="false">
      <c r="A8" s="12" t="s">
        <v>140</v>
      </c>
      <c r="B8" s="12"/>
      <c r="C8" s="12"/>
      <c r="D8" s="12"/>
      <c r="E8" s="12"/>
      <c r="F8" s="12"/>
      <c r="G8" s="12"/>
    </row>
    <row r="9" customFormat="false" ht="15" hidden="false" customHeight="true" outlineLevel="0" collapsed="false">
      <c r="A9" s="7" t="s">
        <v>141</v>
      </c>
      <c r="B9" s="7" t="s">
        <v>142</v>
      </c>
      <c r="C9" s="7" t="s">
        <v>143</v>
      </c>
      <c r="D9" s="7" t="s">
        <v>144</v>
      </c>
      <c r="E9" s="7" t="s">
        <v>145</v>
      </c>
    </row>
    <row r="10" customFormat="false" ht="15" hidden="false" customHeight="true" outlineLevel="0" collapsed="false">
      <c r="A10" s="7" t="s">
        <v>146</v>
      </c>
      <c r="B10" s="42" t="n">
        <f aca="false">MIN(Sensitivity!D5:H9,Sensitivity!D14:H18)</f>
        <v>33.8090986437644</v>
      </c>
      <c r="C10" s="42" t="n">
        <f aca="false">DCF!D41</f>
        <v>43.4155999101258</v>
      </c>
      <c r="D10" s="42" t="n">
        <f aca="false">MAX(Sensitivity!D5:H9,Sensitivity!D14:H18)</f>
        <v>61.5364531706573</v>
      </c>
      <c r="E10" s="42" t="n">
        <f aca="false">DCF!D42</f>
        <v>37.14</v>
      </c>
    </row>
  </sheetData>
  <mergeCells count="3">
    <mergeCell ref="A1:G1"/>
    <mergeCell ref="A3:G3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2026-09-17T08:38:20Z</dcterms:created>
  <dc:creator>openpyxl</dc:creator>
  <dc:description/>
  <dc:language>en-US</dc:language>
  <cp:lastModifiedBy/>
  <dcterms:modified xsi:type="dcterms:W3CDTF">2026-09-18T13:06:21Z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