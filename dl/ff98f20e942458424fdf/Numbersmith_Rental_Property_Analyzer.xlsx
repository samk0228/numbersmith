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eal" sheetId="2" state="visible" r:id="rId4"/>
    <sheet name="10-Year Projection" sheetId="3" state="visible" r:id="rId5"/>
    <sheet name="Amortization" sheetId="4" state="visible" r:id="rId6"/>
    <sheet name="Compare" sheetId="5" state="visible" r:id="rId7"/>
    <sheet name="Char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Numbersmith</author>
  </authors>
  <commentList>
    <comment ref="B7" authorId="0">
      <text>
        <r>
          <rPr>
            <sz val="10"/>
            <rFont val="Arial"/>
            <family val="2"/>
          </rPr>
          <t xml:space="preserve">Typical range 1.5%-3% of purchase price for conventional financing.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</xdr:colOff>
                <xdr:row>3</xdr:row>
                <xdr:rowOff>7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Applied to effective gross income (rent after vacancy, plus other income).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</xdr:colOff>
                <xdr:row>3</xdr:row>
                <xdr:rowOff>7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Maintenance and CapEx reserve are applied to gross rent, a common simplified convention.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</xdr:colOff>
                <xdr:row>3</xdr:row>
                <xdr:rowOff>7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These six cells drive the scorecard on the right. Change them to match your own bar for a good deal.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</xdr:colOff>
                <xdr:row>3</xdr:row>
                <xdr:rowOff>7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Used by 10-Year Projection to place the sale year. Must be between 1 and 10.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-14</xdr:colOff>
                <xdr:row>3</xdr:row>
                <xdr:rowOff>7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Numbersmith</author>
  </authors>
  <commentList>
    <comment ref="A11" authorId="0">
      <text>
        <r>
          <rPr>
            <sz val="10"/>
            <rFont val="Arial"/>
            <family val="2"/>
          </rPr>
          <t xml:space="preserve">Simplified: total Year-1 operating expenses (from the Deal tab) grow at one blended rate (annual expense growth %) rather than escalating each expense line separately.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3</xdr:row>
                <xdr:rowOff>7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IRR over Year 0 (purchase cash out) through Year 10, using operating cash flow plus sale proceeds in the hold year and $0 after the property is sold.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3</xdr:row>
                <xdr:rowOff>7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<sst xmlns="http://schemas.openxmlformats.org/spreadsheetml/2006/main" count="163" uniqueCount="142">
  <si>
    <t xml:space="preserve">Numbersmith - Rental Property Analyzer</t>
  </si>
  <si>
    <t xml:space="preserve">A friendly, formula-open workbook for evaluating a rental property purchase.</t>
  </si>
  <si>
    <t xml:space="preserve">HOW TO USE THIS WORKBOOK - 5 STEPS</t>
  </si>
  <si>
    <t xml:space="preserve">1.</t>
  </si>
  <si>
    <t xml:space="preserve">Open the Deal tab. Blue cells are yours to edit: purchase price, financing terms, rent, and expenses.</t>
  </si>
  <si>
    <t xml:space="preserve">2.</t>
  </si>
  <si>
    <t xml:space="preserve">Check the scorecard at the bottom of the Deal tab. PASS / CAUTION / FAIL updates live, using the editable Thresholds block.</t>
  </si>
  <si>
    <t xml:space="preserve">3.</t>
  </si>
  <si>
    <t xml:space="preserve">Open 10-Year Projection to see rent growth, appreciation, loan paydown, and your IRR and equity multiple over the hold period.</t>
  </si>
  <si>
    <t xml:space="preserve">4.</t>
  </si>
  <si>
    <t xml:space="preserve">Open Amortization for the full month-by-month schedule on the loan, driven straight from the Deal tab.</t>
  </si>
  <si>
    <t xml:space="preserve">5.</t>
  </si>
  <si>
    <t xml:space="preserve">Use Compare to put up to four properties side by side and see which one wins on cash flow, cash-on-cash, cap rate, and DSCR.</t>
  </si>
  <si>
    <t xml:space="preserve">COLOR LEGEND</t>
  </si>
  <si>
    <t xml:space="preserve">  </t>
  </si>
  <si>
    <t xml:space="preserve">Blue text = you type this (an input).</t>
  </si>
  <si>
    <t xml:space="preserve">Black text = calculated automatically. Do not overwrite - it will break the formula.</t>
  </si>
  <si>
    <t xml:space="preserve">WHAT'S INSIDE</t>
  </si>
  <si>
    <t xml:space="preserve">• Deal - single-property analyzer with cash flow, returns, and a PASS/CAUTION/FAIL scorecard.</t>
  </si>
  <si>
    <t xml:space="preserve">• 10-Year Projection - year-by-year rent, expenses, equity, sale proceeds, IRR, and equity multiple.</t>
  </si>
  <si>
    <t xml:space="preserve">• Amortization - full monthly loan schedule (principal / interest / balance).</t>
  </si>
  <si>
    <t xml:space="preserve">• Compare - up to 4 properties side by side, best value per row highlighted.</t>
  </si>
  <si>
    <t xml:space="preserve">• Charts - yearly cash flow and equity vs. loan balance, charted automatically.</t>
  </si>
  <si>
    <t xml:space="preserve">This tool is for planning and screening only, not tax, legal, or investment advice. Verify local numbers before you buy.</t>
  </si>
  <si>
    <t xml:space="preserve">Built by Numbersmith with AI assistance. Formulas are open; nothing is hidden or locked.</t>
  </si>
  <si>
    <t xml:space="preserve">For education and planning only, not financial advice.</t>
  </si>
  <si>
    <t xml:space="preserve">Deal - Single-Property Analyzer</t>
  </si>
  <si>
    <t xml:space="preserve">Sample: duplex, $485,000 purchase, 25% down, 6.75% / 30-yr, $3,900 combined rent.</t>
  </si>
  <si>
    <t xml:space="preserve">Blue = you type. Black = calculated. Edit any blue cell and everything below updates.</t>
  </si>
  <si>
    <t xml:space="preserve">PURCHASE &amp; FINANCING</t>
  </si>
  <si>
    <t xml:space="preserve">FIXED EXPENSES</t>
  </si>
  <si>
    <t xml:space="preserve">MONTHLY INCOME &amp; EXPENSE BUILD</t>
  </si>
  <si>
    <t xml:space="preserve">Purchase price</t>
  </si>
  <si>
    <t xml:space="preserve">Property tax (annual)</t>
  </si>
  <si>
    <t xml:space="preserve">Down payment amount</t>
  </si>
  <si>
    <t xml:space="preserve">Closing costs %</t>
  </si>
  <si>
    <t xml:space="preserve">Insurance (annual)</t>
  </si>
  <si>
    <t xml:space="preserve">Loan amount</t>
  </si>
  <si>
    <t xml:space="preserve">Rehab budget</t>
  </si>
  <si>
    <t xml:space="preserve">HOA (monthly)</t>
  </si>
  <si>
    <t xml:space="preserve">Total cash needed (down + closing + rehab)</t>
  </si>
  <si>
    <t xml:space="preserve">After-repair value (ARV)</t>
  </si>
  <si>
    <t xml:space="preserve">Owner-paid utilities (monthly)</t>
  </si>
  <si>
    <t xml:space="preserve">Effective gross income</t>
  </si>
  <si>
    <t xml:space="preserve">Down payment %</t>
  </si>
  <si>
    <t xml:space="preserve">GROWTH &amp; EXIT ASSUMPTIONS</t>
  </si>
  <si>
    <t xml:space="preserve">Vacancy loss</t>
  </si>
  <si>
    <t xml:space="preserve">Loan interest rate (annual)</t>
  </si>
  <si>
    <t xml:space="preserve">Annual rent growth %</t>
  </si>
  <si>
    <t xml:space="preserve">Management fee</t>
  </si>
  <si>
    <t xml:space="preserve">Loan term (years)</t>
  </si>
  <si>
    <t xml:space="preserve">Annual expense growth %</t>
  </si>
  <si>
    <t xml:space="preserve">Maintenance</t>
  </si>
  <si>
    <t xml:space="preserve">INCOME</t>
  </si>
  <si>
    <t xml:space="preserve">Appreciation % (annual)</t>
  </si>
  <si>
    <t xml:space="preserve">CapEx reserve</t>
  </si>
  <si>
    <t xml:space="preserve">Monthly rent (combined)</t>
  </si>
  <si>
    <t xml:space="preserve">Selling costs % (of sale price)</t>
  </si>
  <si>
    <t xml:space="preserve">Property tax (monthly)</t>
  </si>
  <si>
    <t xml:space="preserve">Other monthly income</t>
  </si>
  <si>
    <t xml:space="preserve">Hold period (years)</t>
  </si>
  <si>
    <t xml:space="preserve">Insurance (monthly)</t>
  </si>
  <si>
    <t xml:space="preserve">OPERATING EXPENSES (% of rent)</t>
  </si>
  <si>
    <t xml:space="preserve">THRESHOLDS - edit to taste</t>
  </si>
  <si>
    <t xml:space="preserve">Vacancy %</t>
  </si>
  <si>
    <t xml:space="preserve">Min DSCR for PASS</t>
  </si>
  <si>
    <t xml:space="preserve">Utilities (monthly)</t>
  </si>
  <si>
    <t xml:space="preserve">Management %</t>
  </si>
  <si>
    <t xml:space="preserve">Min DSCR for CAUTION</t>
  </si>
  <si>
    <t xml:space="preserve">Total operating expenses (excl. debt service)</t>
  </si>
  <si>
    <t xml:space="preserve">Maintenance %</t>
  </si>
  <si>
    <t xml:space="preserve">Min cash-on-cash for PASS %</t>
  </si>
  <si>
    <t xml:space="preserve">Monthly NOI</t>
  </si>
  <si>
    <t xml:space="preserve">CapEx reserve %</t>
  </si>
  <si>
    <t xml:space="preserve">Min cash-on-cash for CAUTION %</t>
  </si>
  <si>
    <t xml:space="preserve">Monthly P&amp;I payment</t>
  </si>
  <si>
    <t xml:space="preserve">Min cap rate for PASS %</t>
  </si>
  <si>
    <t xml:space="preserve">Monthly cash flow</t>
  </si>
  <si>
    <t xml:space="preserve">Min cap rate for CAUTION %</t>
  </si>
  <si>
    <t xml:space="preserve">DEAL METRICS</t>
  </si>
  <si>
    <t xml:space="preserve">Cap rate (on purchase price)</t>
  </si>
  <si>
    <t xml:space="preserve">Cash-on-cash return</t>
  </si>
  <si>
    <t xml:space="preserve">DSCR</t>
  </si>
  <si>
    <t xml:space="preserve">1% rule check (rent / price)</t>
  </si>
  <si>
    <t xml:space="preserve">50% rule check (opex / rent)</t>
  </si>
  <si>
    <t xml:space="preserve">Break-even occupancy</t>
  </si>
  <si>
    <t xml:space="preserve">Built-in equity at close (ARV - price - rehab)</t>
  </si>
  <si>
    <t xml:space="preserve">SCORECARD</t>
  </si>
  <si>
    <t xml:space="preserve">DSCR rating</t>
  </si>
  <si>
    <t xml:space="preserve">Cash-on-cash rating</t>
  </si>
  <si>
    <t xml:space="preserve">Cap rate rating</t>
  </si>
  <si>
    <t xml:space="preserve">OVERALL</t>
  </si>
  <si>
    <t xml:space="preserve">10-Year Projection</t>
  </si>
  <si>
    <t xml:space="preserve">Rolls the Deal tab forward: rent and expense growth, loan paydown, appreciation, and the sale in the hold year.</t>
  </si>
  <si>
    <t xml:space="preserve">All cells here are calculated from the Deal tab. Change the Deal tab to change this projection.</t>
  </si>
  <si>
    <t xml:space="preserve">Metric / Year</t>
  </si>
  <si>
    <t xml:space="preserve">Gross potential rent (annual)</t>
  </si>
  <si>
    <t xml:space="preserve">Other income (annual)</t>
  </si>
  <si>
    <t xml:space="preserve">Gross potential income</t>
  </si>
  <si>
    <t xml:space="preserve">Operating expenses (excl. debt service)</t>
  </si>
  <si>
    <t xml:space="preserve">Net operating income (NOI)</t>
  </si>
  <si>
    <t xml:space="preserve">Debt service (annual P&amp;I)</t>
  </si>
  <si>
    <t xml:space="preserve">Cash flow (operating)</t>
  </si>
  <si>
    <t xml:space="preserve">Principal paydown</t>
  </si>
  <si>
    <t xml:space="preserve">Loan balance (end of year)</t>
  </si>
  <si>
    <t xml:space="preserve">Property value</t>
  </si>
  <si>
    <t xml:space="preserve">Equity (value - loan balance)</t>
  </si>
  <si>
    <t xml:space="preserve">Sale proceeds (hold year only)</t>
  </si>
  <si>
    <t xml:space="preserve">Cumulative total profit</t>
  </si>
  <si>
    <t xml:space="preserve">Net cash flow for IRR (incl. year 0 &amp; sale)</t>
  </si>
  <si>
    <t xml:space="preserve">10-Year IRR</t>
  </si>
  <si>
    <t xml:space="preserve">Equity multiple</t>
  </si>
  <si>
    <t xml:space="preserve">Amortization - Full Monthly Schedule</t>
  </si>
  <si>
    <t xml:space="preserve">Driven entirely from the Deal tab: loan amount, rate, and term.</t>
  </si>
  <si>
    <t xml:space="preserve">Schedule covers up to 360 months (30 years). Rows past your loan term are blank.</t>
  </si>
  <si>
    <t xml:space="preserve">Month</t>
  </si>
  <si>
    <t xml:space="preserve">Beginning Balance</t>
  </si>
  <si>
    <t xml:space="preserve">Payment</t>
  </si>
  <si>
    <t xml:space="preserve">Principal</t>
  </si>
  <si>
    <t xml:space="preserve">Interest</t>
  </si>
  <si>
    <t xml:space="preserve">Ending Balance</t>
  </si>
  <si>
    <t xml:space="preserve">Compare - Up to 4 Properties</t>
  </si>
  <si>
    <t xml:space="preserve">Type your own numbers in each column. The best value in each result row is highlighted.</t>
  </si>
  <si>
    <t xml:space="preserve">Blue = you type. Black = calculated. This view uses down payment only (no closing costs) for a quick side-by-side; use the Deal tab for the full picture.</t>
  </si>
  <si>
    <t xml:space="preserve">Metric</t>
  </si>
  <si>
    <t xml:space="preserve">Property 1 - Duplex</t>
  </si>
  <si>
    <t xml:space="preserve">Property 2 - SFR</t>
  </si>
  <si>
    <t xml:space="preserve">Property 3 - Triplex</t>
  </si>
  <si>
    <t xml:space="preserve">Property 4 - Condo</t>
  </si>
  <si>
    <t xml:space="preserve">INPUTS</t>
  </si>
  <si>
    <t xml:space="preserve">Loan rate (annual)</t>
  </si>
  <si>
    <t xml:space="preserve">Monthly rent</t>
  </si>
  <si>
    <t xml:space="preserve">RESULTS (calculated)</t>
  </si>
  <si>
    <t xml:space="preserve">Down payment (cash needed)</t>
  </si>
  <si>
    <t xml:space="preserve">Monthly P&amp;I</t>
  </si>
  <si>
    <t xml:space="preserve">Effective gross income (monthly)</t>
  </si>
  <si>
    <t xml:space="preserve">Operating expenses (monthly, excl. debt)</t>
  </si>
  <si>
    <t xml:space="preserve">Cap rate</t>
  </si>
  <si>
    <t xml:space="preserve">Charts</t>
  </si>
  <si>
    <t xml:space="preserve">Built automatically from the 10-Year Projection tab. Change any Deal input and these move too.</t>
  </si>
  <si>
    <t xml:space="preserve">YEARLY CASH FLOW</t>
  </si>
  <si>
    <t xml:space="preserve">EQUITY VS. LOAN BALANCE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</si>
</sst>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"/>
    <numFmt numFmtId="166" formatCode="0.0%"/>
    <numFmt numFmtId="167" formatCode="0.00%"/>
    <numFmt numFmtId="168" formatCode="0"/>
    <numFmt numFmtId="169" formatCode="0.00\x"/>
    <numFmt numFmtId="170" formatCode="\$#,##0.00;&quot;($&quot;#,##0.00\)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.5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i val="true"/>
      <sz val="10.5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F"/>
        <bgColor rgb="FFD9E2F3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DCE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DCE6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Yearly Cash Flow (Years 1-10)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"Cash flow"</c:f>
              <c:strCache>
                <c:ptCount val="1"/>
                <c:pt idx="0">
                  <c:v>Cash flow</c:v>
                </c:pt>
              </c:strCache>
            </c:strRef>
          </c:tx>
          <c:spPr>
            <a:solidFill>
              <a:srgbClr val="1F3864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'10-Year Projection'!$C$5:$L$5</c:f>
              <c:multiLvlStrCache>
                <c:ptCount val="1"/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'10-Year Projection'!$C$14:$L$14</c:f>
              <c:numCache>
                <c:formatCode>\$#,##0;"($"#,##0\)</c:formatCode>
                <c:ptCount val="10"/>
                <c:pt idx="0">
                  <c:v>111.893084797401</c:v>
                </c:pt>
                <c:pt idx="1">
                  <c:v>1124.95708479741</c:v>
                </c:pt>
                <c:pt idx="2">
                  <c:v>2171.6203647974</c:v>
                </c:pt>
                <c:pt idx="3">
                  <c:v>3252.95505039741</c:v>
                </c:pt>
                <c:pt idx="4">
                  <c:v>4370.06671390941</c:v>
                </c:pt>
                <c:pt idx="5">
                  <c:v>5524.09540341764</c:v>
                </c:pt>
                <c:pt idx="6">
                  <c:v>6716.21670322383</c:v>
                </c:pt>
                <c:pt idx="7">
                  <c:v>7947.64282662915</c:v>
                </c:pt>
                <c:pt idx="8">
                  <c:v>9219.62374203369</c:v>
                </c:pt>
                <c:pt idx="9">
                  <c:v>10533.4483333633</c:v>
                </c:pt>
              </c:numCache>
            </c:numRef>
          </c:val>
        </c:ser>
        <c:gapWidth val="150"/>
        <c:overlap val="0"/>
        <c:axId val="38652764"/>
        <c:axId val="37295747"/>
      </c:barChart>
      <c:catAx>
        <c:axId val="386527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295747"/>
        <c:crosses val="autoZero"/>
        <c:auto val="1"/>
        <c:lblAlgn val="ctr"/>
        <c:lblOffset val="100"/>
        <c:noMultiLvlLbl val="0"/>
      </c:catAx>
      <c:valAx>
        <c:axId val="372957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Annual cash flow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6527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Equity vs. Loan Balance (Year 0-10)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"Loan balance"</c:f>
              <c:strCache>
                <c:ptCount val="1"/>
                <c:pt idx="0">
                  <c:v>Loan balance</c:v>
                </c:pt>
              </c:strCache>
            </c:strRef>
          </c:tx>
          <c:spPr>
            <a:solidFill>
              <a:srgbClr val="808080"/>
            </a:solidFill>
            <a:ln w="2016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0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'10-Year Projection'!$B$5:$L$5</c:f>
              <c:multiLvlStrCache>
                <c:ptCount val="1"/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  <c:lvl>
                  <c:pt idx="0">
                    <c:v>0</c:v>
                  </c:pt>
                </c:lvl>
              </c:multiLvlStrCache>
            </c:multiLvlStrRef>
          </c:cat>
          <c:val>
            <c:numRef>
              <c:f>'10-Year Projection'!$B$16:$L$16</c:f>
              <c:numCache>
                <c:formatCode>\$#,##0;"($"#,##0\)</c:formatCode>
                <c:ptCount val="11"/>
                <c:pt idx="0">
                  <c:v>363750</c:v>
                </c:pt>
                <c:pt idx="1">
                  <c:v>359873.341451599</c:v>
                </c:pt>
                <c:pt idx="2">
                  <c:v>355726.75916768</c:v>
                </c:pt>
                <c:pt idx="3">
                  <c:v>351291.458915506</c:v>
                </c:pt>
                <c:pt idx="4">
                  <c:v>346547.337858697</c:v>
                </c:pt>
                <c:pt idx="5">
                  <c:v>341472.893441856</c:v>
                </c:pt>
                <c:pt idx="6">
                  <c:v>336045.125931022</c:v>
                </c:pt>
                <c:pt idx="7">
                  <c:v>330239.434168216</c:v>
                </c:pt>
                <c:pt idx="8">
                  <c:v>324029.504067595</c:v>
                </c:pt>
                <c:pt idx="9">
                  <c:v>317387.189347812</c:v>
                </c:pt>
                <c:pt idx="10">
                  <c:v>310282.38396003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"Equity"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'10-Year Projection'!$B$5:$L$5</c:f>
              <c:multiLvlStrCache>
                <c:ptCount val="1"/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  <c:lvl>
                  <c:pt idx="0">
                    <c:v>0</c:v>
                  </c:pt>
                </c:lvl>
              </c:multiLvlStrCache>
            </c:multiLvlStrRef>
          </c:cat>
          <c:val>
            <c:numRef>
              <c:f>'10-Year Projection'!$B$18:$L$18</c:f>
              <c:numCache>
                <c:formatCode>\$#,##0;"($"#,##0\)</c:formatCode>
                <c:ptCount val="11"/>
                <c:pt idx="0">
                  <c:v>121250</c:v>
                </c:pt>
                <c:pt idx="1">
                  <c:v>139676.658548401</c:v>
                </c:pt>
                <c:pt idx="2">
                  <c:v>158809.74083232</c:v>
                </c:pt>
                <c:pt idx="3">
                  <c:v>178681.136084494</c:v>
                </c:pt>
                <c:pt idx="4">
                  <c:v>199324.434991303</c:v>
                </c:pt>
                <c:pt idx="5">
                  <c:v>220775.032593644</c:v>
                </c:pt>
                <c:pt idx="6">
                  <c:v>243070.237885544</c:v>
                </c:pt>
                <c:pt idx="7">
                  <c:v>266249.390562846</c:v>
                </c:pt>
                <c:pt idx="8">
                  <c:v>290353.985405399</c:v>
                </c:pt>
                <c:pt idx="9">
                  <c:v>315427.804809372</c:v>
                </c:pt>
                <c:pt idx="10">
                  <c:v>341517.060021869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061135"/>
        <c:axId val="65671353"/>
      </c:lineChart>
      <c:catAx>
        <c:axId val="450611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671353"/>
        <c:crosses val="autoZero"/>
        <c:auto val="1"/>
        <c:lblAlgn val="ctr"/>
        <c:lblOffset val="100"/>
        <c:noMultiLvlLbl val="0"/>
      </c:catAx>
      <c:valAx>
        <c:axId val="656713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06113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7</xdr:col>
      <xdr:colOff>291240</xdr:colOff>
      <xdr:row>21</xdr:row>
      <xdr:rowOff>720</xdr:rowOff>
    </xdr:to>
    <xdr:graphicFrame>
      <xdr:nvGraphicFramePr>
        <xdr:cNvPr id="1" name="Chart 1"/>
        <xdr:cNvGraphicFramePr/>
      </xdr:nvGraphicFramePr>
      <xdr:xfrm>
        <a:off x="0" y="905040"/>
        <a:ext cx="719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7</xdr:col>
      <xdr:colOff>291240</xdr:colOff>
      <xdr:row>40</xdr:row>
      <xdr:rowOff>190800</xdr:rowOff>
    </xdr:to>
    <xdr:graphicFrame>
      <xdr:nvGraphicFramePr>
        <xdr:cNvPr id="2" name="Chart 2"/>
        <xdr:cNvGraphicFramePr/>
      </xdr:nvGraphicFramePr>
      <xdr:xfrm>
        <a:off x="0" y="4724280"/>
        <a:ext cx="719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5" customFormat="false" ht="15" hidden="false" customHeight="true" outlineLevel="0" collapsed="false">
      <c r="B5" s="4" t="s">
        <v>2</v>
      </c>
    </row>
    <row r="7" customFormat="false" ht="30" hidden="false" customHeight="true" outlineLevel="0" collapsed="false">
      <c r="B7" s="5" t="s">
        <v>3</v>
      </c>
      <c r="C7" s="6" t="s">
        <v>4</v>
      </c>
      <c r="D7" s="6"/>
      <c r="E7" s="6"/>
      <c r="F7" s="6"/>
      <c r="G7" s="6"/>
      <c r="H7" s="6"/>
    </row>
    <row r="8" customFormat="false" ht="30" hidden="false" customHeight="true" outlineLevel="0" collapsed="false">
      <c r="B8" s="5" t="s">
        <v>5</v>
      </c>
      <c r="C8" s="6" t="s">
        <v>6</v>
      </c>
      <c r="D8" s="6"/>
      <c r="E8" s="6"/>
      <c r="F8" s="6"/>
      <c r="G8" s="6"/>
      <c r="H8" s="6"/>
    </row>
    <row r="9" customFormat="false" ht="30" hidden="false" customHeight="true" outlineLevel="0" collapsed="false">
      <c r="B9" s="5" t="s">
        <v>7</v>
      </c>
      <c r="C9" s="6" t="s">
        <v>8</v>
      </c>
      <c r="D9" s="6"/>
      <c r="E9" s="6"/>
      <c r="F9" s="6"/>
      <c r="G9" s="6"/>
      <c r="H9" s="6"/>
    </row>
    <row r="10" customFormat="false" ht="30" hidden="false" customHeight="true" outlineLevel="0" collapsed="false">
      <c r="B10" s="5" t="s">
        <v>9</v>
      </c>
      <c r="C10" s="6" t="s">
        <v>10</v>
      </c>
      <c r="D10" s="6"/>
      <c r="E10" s="6"/>
      <c r="F10" s="6"/>
      <c r="G10" s="6"/>
      <c r="H10" s="6"/>
    </row>
    <row r="11" customFormat="false" ht="30" hidden="false" customHeight="true" outlineLevel="0" collapsed="false">
      <c r="B11" s="5" t="s">
        <v>11</v>
      </c>
      <c r="C11" s="6" t="s">
        <v>12</v>
      </c>
      <c r="D11" s="6"/>
      <c r="E11" s="6"/>
      <c r="F11" s="6"/>
      <c r="G11" s="6"/>
      <c r="H11" s="6"/>
    </row>
    <row r="13" customFormat="false" ht="15" hidden="false" customHeight="true" outlineLevel="0" collapsed="false">
      <c r="B13" s="4" t="s">
        <v>13</v>
      </c>
    </row>
    <row r="14" customFormat="false" ht="15" hidden="false" customHeight="true" outlineLevel="0" collapsed="false">
      <c r="B14" s="7" t="s">
        <v>14</v>
      </c>
      <c r="C14" s="8" t="s">
        <v>15</v>
      </c>
    </row>
    <row r="15" customFormat="false" ht="15" hidden="false" customHeight="true" outlineLevel="0" collapsed="false">
      <c r="B15" s="9" t="s">
        <v>14</v>
      </c>
      <c r="C15" s="10" t="s">
        <v>16</v>
      </c>
    </row>
    <row r="17" customFormat="false" ht="15" hidden="false" customHeight="true" outlineLevel="0" collapsed="false">
      <c r="B17" s="4" t="s">
        <v>17</v>
      </c>
    </row>
    <row r="18" customFormat="false" ht="15" hidden="false" customHeight="true" outlineLevel="0" collapsed="false">
      <c r="B18" s="11" t="s">
        <v>18</v>
      </c>
      <c r="C18" s="11"/>
      <c r="D18" s="11"/>
      <c r="E18" s="11"/>
      <c r="F18" s="11"/>
      <c r="G18" s="11"/>
      <c r="H18" s="11"/>
    </row>
    <row r="19" customFormat="false" ht="15" hidden="false" customHeight="true" outlineLevel="0" collapsed="false">
      <c r="B19" s="11" t="s">
        <v>19</v>
      </c>
      <c r="C19" s="11"/>
      <c r="D19" s="11"/>
      <c r="E19" s="11"/>
      <c r="F19" s="11"/>
      <c r="G19" s="11"/>
      <c r="H19" s="11"/>
    </row>
    <row r="20" customFormat="false" ht="15" hidden="false" customHeight="true" outlineLevel="0" collapsed="false">
      <c r="B20" s="11" t="s">
        <v>20</v>
      </c>
      <c r="C20" s="11"/>
      <c r="D20" s="11"/>
      <c r="E20" s="11"/>
      <c r="F20" s="11"/>
      <c r="G20" s="11"/>
      <c r="H20" s="11"/>
    </row>
    <row r="21" customFormat="false" ht="15" hidden="false" customHeight="true" outlineLevel="0" collapsed="false">
      <c r="B21" s="11" t="s">
        <v>21</v>
      </c>
      <c r="C21" s="11"/>
      <c r="D21" s="11"/>
      <c r="E21" s="11"/>
      <c r="F21" s="11"/>
      <c r="G21" s="11"/>
      <c r="H21" s="11"/>
    </row>
    <row r="22" customFormat="false" ht="15" hidden="false" customHeight="true" outlineLevel="0" collapsed="false">
      <c r="B22" s="11" t="s">
        <v>22</v>
      </c>
      <c r="C22" s="11"/>
      <c r="D22" s="11"/>
      <c r="E22" s="11"/>
      <c r="F22" s="11"/>
      <c r="G22" s="11"/>
      <c r="H22" s="11"/>
    </row>
    <row r="24" customFormat="false" ht="15" hidden="false" customHeight="true" outlineLevel="0" collapsed="false">
      <c r="B24" s="12" t="s">
        <v>23</v>
      </c>
      <c r="C24" s="12"/>
      <c r="D24" s="12"/>
      <c r="E24" s="12"/>
      <c r="F24" s="12"/>
      <c r="G24" s="12"/>
      <c r="H24" s="12"/>
    </row>
    <row r="26" customFormat="false" ht="19.5" hidden="false" customHeight="true" outlineLevel="0" collapsed="false">
      <c r="B26" s="13" t="s">
        <v>24</v>
      </c>
      <c r="C26" s="13"/>
      <c r="D26" s="13"/>
      <c r="E26" s="13"/>
      <c r="F26" s="13"/>
      <c r="G26" s="13"/>
      <c r="H26" s="13"/>
    </row>
    <row r="28" customFormat="false" ht="15" hidden="false" customHeight="true" outlineLevel="0" collapsed="false">
      <c r="B28" s="13" t="s">
        <v>25</v>
      </c>
      <c r="C28" s="13"/>
      <c r="D28" s="13"/>
      <c r="E28" s="13"/>
      <c r="F28" s="13"/>
      <c r="G28" s="13"/>
      <c r="H28" s="13"/>
    </row>
  </sheetData>
  <mergeCells count="15">
    <mergeCell ref="A1:H1"/>
    <mergeCell ref="A2:H2"/>
    <mergeCell ref="C7:H7"/>
    <mergeCell ref="C8:H8"/>
    <mergeCell ref="C9:H9"/>
    <mergeCell ref="C10:H10"/>
    <mergeCell ref="C11:H11"/>
    <mergeCell ref="B18:H18"/>
    <mergeCell ref="B19:H19"/>
    <mergeCell ref="B20:H20"/>
    <mergeCell ref="B21:H21"/>
    <mergeCell ref="B22:H22"/>
    <mergeCell ref="B24:H24"/>
    <mergeCell ref="B26:H26"/>
    <mergeCell ref="B28:H28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3"/>
    <col collapsed="false" customWidth="true" hidden="false" outlineLevel="0" max="4" min="4" style="1" width="32"/>
    <col collapsed="false" customWidth="true" hidden="false" outlineLevel="0" max="5" min="5" style="1" width="13"/>
    <col collapsed="false" customWidth="true" hidden="false" outlineLevel="0" max="6" min="6" style="1" width="3"/>
    <col collapsed="false" customWidth="true" hidden="false" outlineLevel="0" max="7" min="7" style="1" width="36"/>
    <col collapsed="false" customWidth="true" hidden="false" outlineLevel="0" max="8" min="8" style="1" width="14"/>
  </cols>
  <sheetData>
    <row r="1" customFormat="false" ht="25.5" hidden="false" customHeight="true" outlineLevel="0" collapsed="false">
      <c r="A1" s="2" t="s">
        <v>26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27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14" t="s">
        <v>28</v>
      </c>
      <c r="B3" s="14"/>
      <c r="C3" s="14"/>
      <c r="D3" s="14"/>
      <c r="E3" s="14"/>
      <c r="F3" s="14"/>
      <c r="G3" s="14"/>
      <c r="H3" s="14"/>
    </row>
    <row r="5" customFormat="false" ht="15.75" hidden="false" customHeight="true" outlineLevel="0" collapsed="false">
      <c r="A5" s="15" t="s">
        <v>29</v>
      </c>
      <c r="B5" s="15"/>
      <c r="D5" s="15" t="s">
        <v>30</v>
      </c>
      <c r="E5" s="15"/>
      <c r="G5" s="15" t="s">
        <v>31</v>
      </c>
      <c r="H5" s="15"/>
    </row>
    <row r="6" customFormat="false" ht="15" hidden="false" customHeight="true" outlineLevel="0" collapsed="false">
      <c r="A6" s="16" t="s">
        <v>32</v>
      </c>
      <c r="B6" s="17" t="n">
        <v>485000</v>
      </c>
      <c r="D6" s="16" t="s">
        <v>33</v>
      </c>
      <c r="E6" s="17" t="n">
        <v>4200</v>
      </c>
      <c r="G6" s="16" t="s">
        <v>34</v>
      </c>
      <c r="H6" s="18" t="n">
        <f aca="false">B6*B10</f>
        <v>121250</v>
      </c>
    </row>
    <row r="7" customFormat="false" ht="15" hidden="false" customHeight="true" outlineLevel="0" collapsed="false">
      <c r="A7" s="16" t="s">
        <v>35</v>
      </c>
      <c r="B7" s="19" t="n">
        <v>0.02</v>
      </c>
      <c r="D7" s="16" t="s">
        <v>36</v>
      </c>
      <c r="E7" s="17" t="n">
        <v>1800</v>
      </c>
      <c r="G7" s="16" t="s">
        <v>37</v>
      </c>
      <c r="H7" s="18" t="n">
        <f aca="false">B6-H6</f>
        <v>363750</v>
      </c>
    </row>
    <row r="8" customFormat="false" ht="15" hidden="false" customHeight="true" outlineLevel="0" collapsed="false">
      <c r="A8" s="16" t="s">
        <v>38</v>
      </c>
      <c r="B8" s="17" t="n">
        <v>0</v>
      </c>
      <c r="D8" s="16" t="s">
        <v>39</v>
      </c>
      <c r="E8" s="17" t="n">
        <v>0</v>
      </c>
      <c r="G8" s="16" t="s">
        <v>40</v>
      </c>
      <c r="H8" s="20" t="n">
        <f aca="false">H6+B6*B7+B8</f>
        <v>130950</v>
      </c>
    </row>
    <row r="9" customFormat="false" ht="15" hidden="false" customHeight="true" outlineLevel="0" collapsed="false">
      <c r="A9" s="16" t="s">
        <v>41</v>
      </c>
      <c r="B9" s="17" t="n">
        <v>485000</v>
      </c>
      <c r="D9" s="16" t="s">
        <v>42</v>
      </c>
      <c r="E9" s="17" t="n">
        <v>150</v>
      </c>
      <c r="G9" s="16" t="s">
        <v>43</v>
      </c>
      <c r="H9" s="18" t="n">
        <f aca="false">B14*(1-B17)+B15</f>
        <v>3705</v>
      </c>
    </row>
    <row r="10" customFormat="false" ht="15.75" hidden="false" customHeight="true" outlineLevel="0" collapsed="false">
      <c r="A10" s="16" t="s">
        <v>44</v>
      </c>
      <c r="B10" s="19" t="n">
        <v>0.25</v>
      </c>
      <c r="D10" s="15" t="s">
        <v>45</v>
      </c>
      <c r="E10" s="15"/>
      <c r="G10" s="16" t="s">
        <v>46</v>
      </c>
      <c r="H10" s="18" t="n">
        <f aca="false">B14*B17</f>
        <v>195</v>
      </c>
    </row>
    <row r="11" customFormat="false" ht="15" hidden="false" customHeight="true" outlineLevel="0" collapsed="false">
      <c r="A11" s="16" t="s">
        <v>47</v>
      </c>
      <c r="B11" s="21" t="n">
        <v>0.0675</v>
      </c>
      <c r="D11" s="16" t="s">
        <v>48</v>
      </c>
      <c r="E11" s="19" t="n">
        <v>0.03</v>
      </c>
      <c r="G11" s="16" t="s">
        <v>49</v>
      </c>
      <c r="H11" s="18" t="n">
        <f aca="false">B18*H9</f>
        <v>296.4</v>
      </c>
    </row>
    <row r="12" customFormat="false" ht="15" hidden="false" customHeight="true" outlineLevel="0" collapsed="false">
      <c r="A12" s="16" t="s">
        <v>50</v>
      </c>
      <c r="B12" s="22" t="n">
        <v>30</v>
      </c>
      <c r="D12" s="16" t="s">
        <v>51</v>
      </c>
      <c r="E12" s="19" t="n">
        <v>0.02</v>
      </c>
      <c r="G12" s="16" t="s">
        <v>52</v>
      </c>
      <c r="H12" s="18" t="n">
        <f aca="false">B19*B14</f>
        <v>195</v>
      </c>
    </row>
    <row r="13" customFormat="false" ht="15.75" hidden="false" customHeight="true" outlineLevel="0" collapsed="false">
      <c r="A13" s="15" t="s">
        <v>53</v>
      </c>
      <c r="B13" s="15"/>
      <c r="D13" s="16" t="s">
        <v>54</v>
      </c>
      <c r="E13" s="19" t="n">
        <v>0.03</v>
      </c>
      <c r="G13" s="16" t="s">
        <v>55</v>
      </c>
      <c r="H13" s="18" t="n">
        <f aca="false">B20*B14</f>
        <v>195</v>
      </c>
    </row>
    <row r="14" customFormat="false" ht="15" hidden="false" customHeight="true" outlineLevel="0" collapsed="false">
      <c r="A14" s="16" t="s">
        <v>56</v>
      </c>
      <c r="B14" s="17" t="n">
        <v>3900</v>
      </c>
      <c r="D14" s="16" t="s">
        <v>57</v>
      </c>
      <c r="E14" s="19" t="n">
        <v>0.07</v>
      </c>
      <c r="G14" s="16" t="s">
        <v>58</v>
      </c>
      <c r="H14" s="18" t="n">
        <f aca="false">E6/12</f>
        <v>350</v>
      </c>
    </row>
    <row r="15" customFormat="false" ht="15" hidden="false" customHeight="true" outlineLevel="0" collapsed="false">
      <c r="A15" s="16" t="s">
        <v>59</v>
      </c>
      <c r="B15" s="17" t="n">
        <v>0</v>
      </c>
      <c r="D15" s="16" t="s">
        <v>60</v>
      </c>
      <c r="E15" s="22" t="n">
        <v>10</v>
      </c>
      <c r="G15" s="16" t="s">
        <v>61</v>
      </c>
      <c r="H15" s="18" t="n">
        <f aca="false">E7/12</f>
        <v>150</v>
      </c>
    </row>
    <row r="16" customFormat="false" ht="15.75" hidden="false" customHeight="true" outlineLevel="0" collapsed="false">
      <c r="A16" s="15" t="s">
        <v>62</v>
      </c>
      <c r="B16" s="15"/>
      <c r="D16" s="15" t="s">
        <v>63</v>
      </c>
      <c r="E16" s="15"/>
      <c r="G16" s="16" t="s">
        <v>39</v>
      </c>
      <c r="H16" s="18" t="n">
        <f aca="false">E8</f>
        <v>0</v>
      </c>
    </row>
    <row r="17" customFormat="false" ht="15" hidden="false" customHeight="true" outlineLevel="0" collapsed="false">
      <c r="A17" s="16" t="s">
        <v>64</v>
      </c>
      <c r="B17" s="19" t="n">
        <v>0.05</v>
      </c>
      <c r="D17" s="16" t="s">
        <v>65</v>
      </c>
      <c r="E17" s="23" t="n">
        <v>1.25</v>
      </c>
      <c r="G17" s="16" t="s">
        <v>66</v>
      </c>
      <c r="H17" s="18" t="n">
        <f aca="false">E9</f>
        <v>150</v>
      </c>
    </row>
    <row r="18" customFormat="false" ht="15" hidden="false" customHeight="true" outlineLevel="0" collapsed="false">
      <c r="A18" s="16" t="s">
        <v>67</v>
      </c>
      <c r="B18" s="19" t="n">
        <v>0.08</v>
      </c>
      <c r="D18" s="16" t="s">
        <v>68</v>
      </c>
      <c r="E18" s="23" t="n">
        <v>1</v>
      </c>
      <c r="G18" s="24" t="s">
        <v>69</v>
      </c>
      <c r="H18" s="20" t="n">
        <f aca="false">SUM(H11:H17)</f>
        <v>1336.4</v>
      </c>
    </row>
    <row r="19" customFormat="false" ht="15" hidden="false" customHeight="true" outlineLevel="0" collapsed="false">
      <c r="A19" s="16" t="s">
        <v>70</v>
      </c>
      <c r="B19" s="19" t="n">
        <v>0.05</v>
      </c>
      <c r="D19" s="16" t="s">
        <v>71</v>
      </c>
      <c r="E19" s="19" t="n">
        <v>0.08</v>
      </c>
      <c r="G19" s="24" t="s">
        <v>72</v>
      </c>
      <c r="H19" s="20" t="n">
        <f aca="false">H9-H18</f>
        <v>2368.6</v>
      </c>
    </row>
    <row r="20" customFormat="false" ht="15" hidden="false" customHeight="true" outlineLevel="0" collapsed="false">
      <c r="A20" s="16" t="s">
        <v>73</v>
      </c>
      <c r="B20" s="19" t="n">
        <v>0.05</v>
      </c>
      <c r="D20" s="16" t="s">
        <v>74</v>
      </c>
      <c r="E20" s="19" t="n">
        <v>0.04</v>
      </c>
      <c r="G20" s="24" t="s">
        <v>75</v>
      </c>
      <c r="H20" s="20" t="n">
        <f aca="false">-PMT(B11/12,B12*12,H7)</f>
        <v>2359.27557626688</v>
      </c>
    </row>
    <row r="21" customFormat="false" ht="15" hidden="false" customHeight="true" outlineLevel="0" collapsed="false">
      <c r="D21" s="16" t="s">
        <v>76</v>
      </c>
      <c r="E21" s="19" t="n">
        <v>0.06</v>
      </c>
      <c r="G21" s="24" t="s">
        <v>77</v>
      </c>
      <c r="H21" s="20" t="n">
        <f aca="false">H19-H20</f>
        <v>9.32442373311687</v>
      </c>
    </row>
    <row r="22" customFormat="false" ht="15.75" hidden="false" customHeight="true" outlineLevel="0" collapsed="false">
      <c r="D22" s="16" t="s">
        <v>78</v>
      </c>
      <c r="E22" s="19" t="n">
        <v>0.04</v>
      </c>
      <c r="G22" s="15" t="s">
        <v>79</v>
      </c>
      <c r="H22" s="15"/>
    </row>
    <row r="23" customFormat="false" ht="15" hidden="false" customHeight="true" outlineLevel="0" collapsed="false">
      <c r="G23" s="16" t="s">
        <v>80</v>
      </c>
      <c r="H23" s="25" t="n">
        <f aca="false">(H19*12)/B6</f>
        <v>0.0586045360824742</v>
      </c>
    </row>
    <row r="24" customFormat="false" ht="15" hidden="false" customHeight="true" outlineLevel="0" collapsed="false">
      <c r="G24" s="16" t="s">
        <v>81</v>
      </c>
      <c r="H24" s="25" t="n">
        <f aca="false">(H21*12)/H8</f>
        <v>0.000854471819758706</v>
      </c>
    </row>
    <row r="25" customFormat="false" ht="15" hidden="false" customHeight="true" outlineLevel="0" collapsed="false">
      <c r="G25" s="16" t="s">
        <v>82</v>
      </c>
      <c r="H25" s="26" t="n">
        <f aca="false">H19/H20</f>
        <v>1.00395224018208</v>
      </c>
    </row>
    <row r="26" customFormat="false" ht="15" hidden="false" customHeight="true" outlineLevel="0" collapsed="false">
      <c r="G26" s="16" t="s">
        <v>83</v>
      </c>
      <c r="H26" s="25" t="n">
        <f aca="false">B14/B6</f>
        <v>0.00804123711340206</v>
      </c>
    </row>
    <row r="27" customFormat="false" ht="15" hidden="false" customHeight="true" outlineLevel="0" collapsed="false">
      <c r="G27" s="16" t="s">
        <v>84</v>
      </c>
      <c r="H27" s="27" t="n">
        <f aca="false">H18/B14</f>
        <v>0.342666666666667</v>
      </c>
    </row>
    <row r="28" customFormat="false" ht="15" hidden="false" customHeight="true" outlineLevel="0" collapsed="false">
      <c r="G28" s="16" t="s">
        <v>85</v>
      </c>
      <c r="H28" s="27" t="n">
        <f aca="false">(H18+H20)/B14</f>
        <v>0.947609122119714</v>
      </c>
    </row>
    <row r="29" customFormat="false" ht="15" hidden="false" customHeight="true" outlineLevel="0" collapsed="false">
      <c r="G29" s="16" t="s">
        <v>86</v>
      </c>
      <c r="H29" s="18" t="n">
        <f aca="false">B9-B6-B8</f>
        <v>0</v>
      </c>
    </row>
    <row r="30" customFormat="false" ht="15.75" hidden="false" customHeight="true" outlineLevel="0" collapsed="false">
      <c r="G30" s="15" t="s">
        <v>87</v>
      </c>
      <c r="H30" s="15"/>
    </row>
    <row r="31" customFormat="false" ht="15" hidden="false" customHeight="true" outlineLevel="0" collapsed="false">
      <c r="G31" s="16" t="s">
        <v>88</v>
      </c>
      <c r="H31" s="28" t="str">
        <f aca="false">IF(H25&gt;=E17,"PASS",IF(H25&gt;=E18,"CAUTION","FAIL"))</f>
        <v>CAUTION</v>
      </c>
    </row>
    <row r="32" customFormat="false" ht="15" hidden="false" customHeight="true" outlineLevel="0" collapsed="false">
      <c r="G32" s="16" t="s">
        <v>89</v>
      </c>
      <c r="H32" s="28" t="str">
        <f aca="false">IF(H24&gt;=E19,"PASS",IF(H24&gt;=E20,"CAUTION","FAIL"))</f>
        <v>FAIL</v>
      </c>
    </row>
    <row r="33" customFormat="false" ht="15" hidden="false" customHeight="true" outlineLevel="0" collapsed="false">
      <c r="G33" s="16" t="s">
        <v>90</v>
      </c>
      <c r="H33" s="28" t="str">
        <f aca="false">IF(H23&gt;=E21,"PASS",IF(H23&gt;=E22,"CAUTION","FAIL"))</f>
        <v>CAUTION</v>
      </c>
    </row>
    <row r="34" customFormat="false" ht="15" hidden="false" customHeight="true" outlineLevel="0" collapsed="false">
      <c r="G34" s="24" t="s">
        <v>91</v>
      </c>
      <c r="H34" s="29" t="str">
        <f aca="false">IF(OR(H31="FAIL",H32="FAIL",H33="FAIL"),"FAIL",IF(OR(H31="CAUTION",H32="CAUTION",H33="CAUTION"),"CAUTION","PASS"))</f>
        <v>FAIL</v>
      </c>
    </row>
  </sheetData>
  <mergeCells count="12">
    <mergeCell ref="A1:H1"/>
    <mergeCell ref="A2:H2"/>
    <mergeCell ref="A3:H3"/>
    <mergeCell ref="A5:B5"/>
    <mergeCell ref="D5:E5"/>
    <mergeCell ref="G5:H5"/>
    <mergeCell ref="D10:E10"/>
    <mergeCell ref="A13:B13"/>
    <mergeCell ref="A16:B16"/>
    <mergeCell ref="D16:E16"/>
    <mergeCell ref="G22:H22"/>
    <mergeCell ref="G30:H30"/>
  </mergeCells>
  <conditionalFormatting sqref="H31:H34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"CAUTION"</formula>
    </cfRule>
    <cfRule type="cellIs" priority="4" operator="equal" aboveAverage="0" equalAverage="0" bottom="0" percent="0" rank="0" text="" dxfId="2">
      <formula>"FAIL"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12" min="2" style="1" width="12"/>
  </cols>
  <sheetData>
    <row r="1" customFormat="false" ht="25.5" hidden="false" customHeight="true" outlineLevel="0" collapsed="false">
      <c r="A1" s="2" t="s">
        <v>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14" t="s">
        <v>94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5" customFormat="false" ht="15.75" hidden="false" customHeight="true" outlineLevel="0" collapsed="false">
      <c r="A5" s="30" t="s">
        <v>95</v>
      </c>
      <c r="B5" s="31" t="n">
        <v>0</v>
      </c>
      <c r="C5" s="31" t="n">
        <f aca="false">B5+1</f>
        <v>1</v>
      </c>
      <c r="D5" s="31" t="n">
        <f aca="false">C5+1</f>
        <v>2</v>
      </c>
      <c r="E5" s="31" t="n">
        <f aca="false">D5+1</f>
        <v>3</v>
      </c>
      <c r="F5" s="31" t="n">
        <f aca="false">E5+1</f>
        <v>4</v>
      </c>
      <c r="G5" s="31" t="n">
        <f aca="false">F5+1</f>
        <v>5</v>
      </c>
      <c r="H5" s="31" t="n">
        <f aca="false">G5+1</f>
        <v>6</v>
      </c>
      <c r="I5" s="31" t="n">
        <f aca="false">H5+1</f>
        <v>7</v>
      </c>
      <c r="J5" s="31" t="n">
        <f aca="false">I5+1</f>
        <v>8</v>
      </c>
      <c r="K5" s="31" t="n">
        <f aca="false">J5+1</f>
        <v>9</v>
      </c>
      <c r="L5" s="31" t="n">
        <f aca="false">K5+1</f>
        <v>10</v>
      </c>
    </row>
    <row r="6" customFormat="false" ht="15" hidden="false" customHeight="true" outlineLevel="0" collapsed="false">
      <c r="A6" s="16" t="s">
        <v>96</v>
      </c>
      <c r="B6" s="18"/>
      <c r="C6" s="18" t="n">
        <f aca="false">Deal!$B$14*12</f>
        <v>46800</v>
      </c>
      <c r="D6" s="18" t="n">
        <f aca="false">C6*(1+Deal!$E$11)</f>
        <v>48204</v>
      </c>
      <c r="E6" s="18" t="n">
        <f aca="false">D6*(1+Deal!$E$11)</f>
        <v>49650.12</v>
      </c>
      <c r="F6" s="18" t="n">
        <f aca="false">E6*(1+Deal!$E$11)</f>
        <v>51139.6236</v>
      </c>
      <c r="G6" s="18" t="n">
        <f aca="false">F6*(1+Deal!$E$11)</f>
        <v>52673.812308</v>
      </c>
      <c r="H6" s="18" t="n">
        <f aca="false">G6*(1+Deal!$E$11)</f>
        <v>54254.02667724</v>
      </c>
      <c r="I6" s="18" t="n">
        <f aca="false">H6*(1+Deal!$E$11)</f>
        <v>55881.6474775572</v>
      </c>
      <c r="J6" s="18" t="n">
        <f aca="false">I6*(1+Deal!$E$11)</f>
        <v>57558.0969018839</v>
      </c>
      <c r="K6" s="18" t="n">
        <f aca="false">J6*(1+Deal!$E$11)</f>
        <v>59284.8398089404</v>
      </c>
      <c r="L6" s="18" t="n">
        <f aca="false">K6*(1+Deal!$E$11)</f>
        <v>61063.3850032087</v>
      </c>
    </row>
    <row r="7" customFormat="false" ht="15" hidden="false" customHeight="true" outlineLevel="0" collapsed="false">
      <c r="A7" s="16" t="s">
        <v>97</v>
      </c>
      <c r="B7" s="18"/>
      <c r="C7" s="18" t="n">
        <f aca="false">Deal!$B$15*12</f>
        <v>0</v>
      </c>
      <c r="D7" s="18" t="n">
        <f aca="false">C7*(1+Deal!$E$11)</f>
        <v>0</v>
      </c>
      <c r="E7" s="18" t="n">
        <f aca="false">D7*(1+Deal!$E$11)</f>
        <v>0</v>
      </c>
      <c r="F7" s="18" t="n">
        <f aca="false">E7*(1+Deal!$E$11)</f>
        <v>0</v>
      </c>
      <c r="G7" s="18" t="n">
        <f aca="false">F7*(1+Deal!$E$11)</f>
        <v>0</v>
      </c>
      <c r="H7" s="18" t="n">
        <f aca="false">G7*(1+Deal!$E$11)</f>
        <v>0</v>
      </c>
      <c r="I7" s="18" t="n">
        <f aca="false">H7*(1+Deal!$E$11)</f>
        <v>0</v>
      </c>
      <c r="J7" s="18" t="n">
        <f aca="false">I7*(1+Deal!$E$11)</f>
        <v>0</v>
      </c>
      <c r="K7" s="18" t="n">
        <f aca="false">J7*(1+Deal!$E$11)</f>
        <v>0</v>
      </c>
      <c r="L7" s="18" t="n">
        <f aca="false">K7*(1+Deal!$E$11)</f>
        <v>0</v>
      </c>
    </row>
    <row r="8" customFormat="false" ht="15" hidden="false" customHeight="true" outlineLevel="0" collapsed="false">
      <c r="A8" s="16" t="s">
        <v>98</v>
      </c>
      <c r="B8" s="18"/>
      <c r="C8" s="18" t="n">
        <f aca="false">C6+C7</f>
        <v>46800</v>
      </c>
      <c r="D8" s="18" t="n">
        <f aca="false">D6+D7</f>
        <v>48204</v>
      </c>
      <c r="E8" s="18" t="n">
        <f aca="false">E6+E7</f>
        <v>49650.12</v>
      </c>
      <c r="F8" s="18" t="n">
        <f aca="false">F6+F7</f>
        <v>51139.6236</v>
      </c>
      <c r="G8" s="18" t="n">
        <f aca="false">G6+G7</f>
        <v>52673.812308</v>
      </c>
      <c r="H8" s="18" t="n">
        <f aca="false">H6+H7</f>
        <v>54254.02667724</v>
      </c>
      <c r="I8" s="18" t="n">
        <f aca="false">I6+I7</f>
        <v>55881.6474775572</v>
      </c>
      <c r="J8" s="18" t="n">
        <f aca="false">J6+J7</f>
        <v>57558.0969018839</v>
      </c>
      <c r="K8" s="18" t="n">
        <f aca="false">K6+K7</f>
        <v>59284.8398089404</v>
      </c>
      <c r="L8" s="18" t="n">
        <f aca="false">L6+L7</f>
        <v>61063.3850032087</v>
      </c>
    </row>
    <row r="9" customFormat="false" ht="15" hidden="false" customHeight="true" outlineLevel="0" collapsed="false">
      <c r="A9" s="16" t="s">
        <v>46</v>
      </c>
      <c r="B9" s="18"/>
      <c r="C9" s="18" t="n">
        <f aca="false">C8*Deal!$B$17</f>
        <v>2340</v>
      </c>
      <c r="D9" s="18" t="n">
        <f aca="false">D8*Deal!$B$17</f>
        <v>2410.2</v>
      </c>
      <c r="E9" s="18" t="n">
        <f aca="false">E8*Deal!$B$17</f>
        <v>2482.506</v>
      </c>
      <c r="F9" s="18" t="n">
        <f aca="false">F8*Deal!$B$17</f>
        <v>2556.98118</v>
      </c>
      <c r="G9" s="18" t="n">
        <f aca="false">G8*Deal!$B$17</f>
        <v>2633.6906154</v>
      </c>
      <c r="H9" s="18" t="n">
        <f aca="false">H8*Deal!$B$17</f>
        <v>2712.701333862</v>
      </c>
      <c r="I9" s="18" t="n">
        <f aca="false">I8*Deal!$B$17</f>
        <v>2794.08237387786</v>
      </c>
      <c r="J9" s="18" t="n">
        <f aca="false">J8*Deal!$B$17</f>
        <v>2877.9048450942</v>
      </c>
      <c r="K9" s="18" t="n">
        <f aca="false">K8*Deal!$B$17</f>
        <v>2964.24199044702</v>
      </c>
      <c r="L9" s="18" t="n">
        <f aca="false">L8*Deal!$B$17</f>
        <v>3053.16925016043</v>
      </c>
    </row>
    <row r="10" customFormat="false" ht="15" hidden="false" customHeight="true" outlineLevel="0" collapsed="false">
      <c r="A10" s="16" t="s">
        <v>43</v>
      </c>
      <c r="B10" s="18"/>
      <c r="C10" s="18" t="n">
        <f aca="false">C8-C9</f>
        <v>44460</v>
      </c>
      <c r="D10" s="18" t="n">
        <f aca="false">D8-D9</f>
        <v>45793.8</v>
      </c>
      <c r="E10" s="18" t="n">
        <f aca="false">E8-E9</f>
        <v>47167.614</v>
      </c>
      <c r="F10" s="18" t="n">
        <f aca="false">F8-F9</f>
        <v>48582.64242</v>
      </c>
      <c r="G10" s="18" t="n">
        <f aca="false">G8-G9</f>
        <v>50040.1216926</v>
      </c>
      <c r="H10" s="18" t="n">
        <f aca="false">H8-H9</f>
        <v>51541.325343378</v>
      </c>
      <c r="I10" s="18" t="n">
        <f aca="false">I8-I9</f>
        <v>53087.5651036793</v>
      </c>
      <c r="J10" s="18" t="n">
        <f aca="false">J8-J9</f>
        <v>54680.1920567897</v>
      </c>
      <c r="K10" s="18" t="n">
        <f aca="false">K8-K9</f>
        <v>56320.5978184934</v>
      </c>
      <c r="L10" s="18" t="n">
        <f aca="false">L8-L9</f>
        <v>58010.2157530482</v>
      </c>
    </row>
    <row r="11" customFormat="false" ht="15" hidden="false" customHeight="true" outlineLevel="0" collapsed="false">
      <c r="A11" s="16" t="s">
        <v>99</v>
      </c>
      <c r="B11" s="18"/>
      <c r="C11" s="18" t="n">
        <f aca="false">Deal!$H$18*12</f>
        <v>16036.8</v>
      </c>
      <c r="D11" s="18" t="n">
        <f aca="false">C11*(1+Deal!$E$12)</f>
        <v>16357.536</v>
      </c>
      <c r="E11" s="18" t="n">
        <f aca="false">D11*(1+Deal!$E$12)</f>
        <v>16684.68672</v>
      </c>
      <c r="F11" s="18" t="n">
        <f aca="false">E11*(1+Deal!$E$12)</f>
        <v>17018.3804544</v>
      </c>
      <c r="G11" s="18" t="n">
        <f aca="false">F11*(1+Deal!$E$12)</f>
        <v>17358.748063488</v>
      </c>
      <c r="H11" s="18" t="n">
        <f aca="false">G11*(1+Deal!$E$12)</f>
        <v>17705.9230247578</v>
      </c>
      <c r="I11" s="18" t="n">
        <f aca="false">H11*(1+Deal!$E$12)</f>
        <v>18060.0414852529</v>
      </c>
      <c r="J11" s="18" t="n">
        <f aca="false">I11*(1+Deal!$E$12)</f>
        <v>18421.242314958</v>
      </c>
      <c r="K11" s="18" t="n">
        <f aca="false">J11*(1+Deal!$E$12)</f>
        <v>18789.6671612571</v>
      </c>
      <c r="L11" s="18" t="n">
        <f aca="false">K11*(1+Deal!$E$12)</f>
        <v>19165.4605044823</v>
      </c>
    </row>
    <row r="12" customFormat="false" ht="15" hidden="false" customHeight="true" outlineLevel="0" collapsed="false">
      <c r="A12" s="24" t="s">
        <v>100</v>
      </c>
      <c r="B12" s="20"/>
      <c r="C12" s="20" t="n">
        <f aca="false">C10-C11</f>
        <v>28423.2</v>
      </c>
      <c r="D12" s="20" t="n">
        <f aca="false">D10-D11</f>
        <v>29436.264</v>
      </c>
      <c r="E12" s="20" t="n">
        <f aca="false">E10-E11</f>
        <v>30482.92728</v>
      </c>
      <c r="F12" s="20" t="n">
        <f aca="false">F10-F11</f>
        <v>31564.2619656</v>
      </c>
      <c r="G12" s="20" t="n">
        <f aca="false">G10-G11</f>
        <v>32681.373629112</v>
      </c>
      <c r="H12" s="20" t="n">
        <f aca="false">H10-H11</f>
        <v>33835.4023186202</v>
      </c>
      <c r="I12" s="20" t="n">
        <f aca="false">I10-I11</f>
        <v>35027.5236184264</v>
      </c>
      <c r="J12" s="20" t="n">
        <f aca="false">J10-J11</f>
        <v>36258.9497418318</v>
      </c>
      <c r="K12" s="20" t="n">
        <f aca="false">K10-K11</f>
        <v>37530.9306572363</v>
      </c>
      <c r="L12" s="20" t="n">
        <f aca="false">L10-L11</f>
        <v>38844.7552485659</v>
      </c>
    </row>
    <row r="13" customFormat="false" ht="15" hidden="false" customHeight="true" outlineLevel="0" collapsed="false">
      <c r="A13" s="16" t="s">
        <v>101</v>
      </c>
      <c r="B13" s="18"/>
      <c r="C13" s="18" t="n">
        <f aca="false">Deal!$H$20*12</f>
        <v>28311.3069152026</v>
      </c>
      <c r="D13" s="18" t="n">
        <f aca="false">Deal!$H$20*12</f>
        <v>28311.3069152026</v>
      </c>
      <c r="E13" s="18" t="n">
        <f aca="false">Deal!$H$20*12</f>
        <v>28311.3069152026</v>
      </c>
      <c r="F13" s="18" t="n">
        <f aca="false">Deal!$H$20*12</f>
        <v>28311.3069152026</v>
      </c>
      <c r="G13" s="18" t="n">
        <f aca="false">Deal!$H$20*12</f>
        <v>28311.3069152026</v>
      </c>
      <c r="H13" s="18" t="n">
        <f aca="false">Deal!$H$20*12</f>
        <v>28311.3069152026</v>
      </c>
      <c r="I13" s="18" t="n">
        <f aca="false">Deal!$H$20*12</f>
        <v>28311.3069152026</v>
      </c>
      <c r="J13" s="18" t="n">
        <f aca="false">Deal!$H$20*12</f>
        <v>28311.3069152026</v>
      </c>
      <c r="K13" s="18" t="n">
        <f aca="false">Deal!$H$20*12</f>
        <v>28311.3069152026</v>
      </c>
      <c r="L13" s="18" t="n">
        <f aca="false">Deal!$H$20*12</f>
        <v>28311.3069152026</v>
      </c>
    </row>
    <row r="14" customFormat="false" ht="15" hidden="false" customHeight="true" outlineLevel="0" collapsed="false">
      <c r="A14" s="24" t="s">
        <v>102</v>
      </c>
      <c r="B14" s="20"/>
      <c r="C14" s="20" t="n">
        <f aca="false">C12-C13</f>
        <v>111.893084797401</v>
      </c>
      <c r="D14" s="20" t="n">
        <f aca="false">D12-D13</f>
        <v>1124.95708479741</v>
      </c>
      <c r="E14" s="20" t="n">
        <f aca="false">E12-E13</f>
        <v>2171.6203647974</v>
      </c>
      <c r="F14" s="20" t="n">
        <f aca="false">F12-F13</f>
        <v>3252.95505039741</v>
      </c>
      <c r="G14" s="20" t="n">
        <f aca="false">G12-G13</f>
        <v>4370.06671390941</v>
      </c>
      <c r="H14" s="20" t="n">
        <f aca="false">H12-H13</f>
        <v>5524.09540341764</v>
      </c>
      <c r="I14" s="20" t="n">
        <f aca="false">I12-I13</f>
        <v>6716.21670322383</v>
      </c>
      <c r="J14" s="20" t="n">
        <f aca="false">J12-J13</f>
        <v>7947.64282662915</v>
      </c>
      <c r="K14" s="20" t="n">
        <f aca="false">K12-K13</f>
        <v>9219.62374203369</v>
      </c>
      <c r="L14" s="20" t="n">
        <f aca="false">L12-L13</f>
        <v>10533.4483333633</v>
      </c>
    </row>
    <row r="15" customFormat="false" ht="15" hidden="false" customHeight="true" outlineLevel="0" collapsed="false">
      <c r="A15" s="16" t="s">
        <v>103</v>
      </c>
      <c r="B15" s="18"/>
      <c r="C15" s="18" t="n">
        <f aca="false">-CUMPRINC(Deal!$B$11/12,Deal!$B$12*12,Deal!$H$7,(C5-1)*12+1,C5*12,0)</f>
        <v>3876.65854840062</v>
      </c>
      <c r="D15" s="18" t="n">
        <f aca="false">-CUMPRINC(Deal!$B$11/12,Deal!$B$12*12,Deal!$H$7,(D5-1)*12+1,D5*12,0)</f>
        <v>4146.58228391921</v>
      </c>
      <c r="E15" s="18" t="n">
        <f aca="false">-CUMPRINC(Deal!$B$11/12,Deal!$B$12*12,Deal!$H$7,(E5-1)*12+1,E5*12,0)</f>
        <v>4435.30025217372</v>
      </c>
      <c r="F15" s="18" t="n">
        <f aca="false">-CUMPRINC(Deal!$B$11/12,Deal!$B$12*12,Deal!$H$7,(F5-1)*12+1,F5*12,0)</f>
        <v>4744.121056809</v>
      </c>
      <c r="G15" s="18" t="n">
        <f aca="false">-CUMPRINC(Deal!$B$11/12,Deal!$B$12*12,Deal!$H$7,(G5-1)*12+1,G5*12,0)</f>
        <v>5074.44441684147</v>
      </c>
      <c r="H15" s="18" t="n">
        <f aca="false">-CUMPRINC(Deal!$B$11/12,Deal!$B$12*12,Deal!$H$7,(H5-1)*12+1,H5*12,0)</f>
        <v>5427.76751083447</v>
      </c>
      <c r="I15" s="18" t="n">
        <f aca="false">-CUMPRINC(Deal!$B$11/12,Deal!$B$12*12,Deal!$H$7,(I5-1)*12+1,I5*12,0)</f>
        <v>5805.69176280537</v>
      </c>
      <c r="J15" s="18" t="n">
        <f aca="false">-CUMPRINC(Deal!$B$11/12,Deal!$B$12*12,Deal!$H$7,(J5-1)*12+1,J5*12,0)</f>
        <v>6209.93010062145</v>
      </c>
      <c r="K15" s="18" t="n">
        <f aca="false">-CUMPRINC(Deal!$B$11/12,Deal!$B$12*12,Deal!$H$7,(K5-1)*12+1,K5*12,0)</f>
        <v>6642.31471978288</v>
      </c>
      <c r="L15" s="18" t="n">
        <f aca="false">-CUMPRINC(Deal!$B$11/12,Deal!$B$12*12,Deal!$H$7,(L5-1)*12+1,L5*12,0)</f>
        <v>7104.80538778191</v>
      </c>
    </row>
    <row r="16" customFormat="false" ht="15" hidden="false" customHeight="true" outlineLevel="0" collapsed="false">
      <c r="A16" s="16" t="s">
        <v>104</v>
      </c>
      <c r="B16" s="18" t="n">
        <f aca="false">Deal!$H$7</f>
        <v>363750</v>
      </c>
      <c r="C16" s="18" t="n">
        <f aca="false">B16-C15</f>
        <v>359873.341451599</v>
      </c>
      <c r="D16" s="18" t="n">
        <f aca="false">C16-D15</f>
        <v>355726.75916768</v>
      </c>
      <c r="E16" s="18" t="n">
        <f aca="false">D16-E15</f>
        <v>351291.458915506</v>
      </c>
      <c r="F16" s="18" t="n">
        <f aca="false">E16-F15</f>
        <v>346547.337858697</v>
      </c>
      <c r="G16" s="18" t="n">
        <f aca="false">F16-G15</f>
        <v>341472.893441856</v>
      </c>
      <c r="H16" s="18" t="n">
        <f aca="false">G16-H15</f>
        <v>336045.125931022</v>
      </c>
      <c r="I16" s="18" t="n">
        <f aca="false">H16-I15</f>
        <v>330239.434168216</v>
      </c>
      <c r="J16" s="18" t="n">
        <f aca="false">I16-J15</f>
        <v>324029.504067595</v>
      </c>
      <c r="K16" s="18" t="n">
        <f aca="false">J16-K15</f>
        <v>317387.189347812</v>
      </c>
      <c r="L16" s="18" t="n">
        <f aca="false">K16-L15</f>
        <v>310282.38396003</v>
      </c>
    </row>
    <row r="17" customFormat="false" ht="15" hidden="false" customHeight="true" outlineLevel="0" collapsed="false">
      <c r="A17" s="16" t="s">
        <v>105</v>
      </c>
      <c r="B17" s="18" t="n">
        <f aca="false">Deal!$B$6</f>
        <v>485000</v>
      </c>
      <c r="C17" s="18" t="n">
        <f aca="false">Deal!$B$6*(1+Deal!$E$13)^C5</f>
        <v>499550</v>
      </c>
      <c r="D17" s="18" t="n">
        <f aca="false">Deal!$B$6*(1+Deal!$E$13)^D5</f>
        <v>514536.5</v>
      </c>
      <c r="E17" s="18" t="n">
        <f aca="false">Deal!$B$6*(1+Deal!$E$13)^E5</f>
        <v>529972.595</v>
      </c>
      <c r="F17" s="18" t="n">
        <f aca="false">Deal!$B$6*(1+Deal!$E$13)^F5</f>
        <v>545871.77285</v>
      </c>
      <c r="G17" s="18" t="n">
        <f aca="false">Deal!$B$6*(1+Deal!$E$13)^G5</f>
        <v>562247.9260355</v>
      </c>
      <c r="H17" s="18" t="n">
        <f aca="false">Deal!$B$6*(1+Deal!$E$13)^H5</f>
        <v>579115.363816565</v>
      </c>
      <c r="I17" s="18" t="n">
        <f aca="false">Deal!$B$6*(1+Deal!$E$13)^I5</f>
        <v>596488.824731062</v>
      </c>
      <c r="J17" s="18" t="n">
        <f aca="false">Deal!$B$6*(1+Deal!$E$13)^J5</f>
        <v>614383.489472994</v>
      </c>
      <c r="K17" s="18" t="n">
        <f aca="false">Deal!$B$6*(1+Deal!$E$13)^K5</f>
        <v>632814.994157184</v>
      </c>
      <c r="L17" s="18" t="n">
        <f aca="false">Deal!$B$6*(1+Deal!$E$13)^L5</f>
        <v>651799.443981899</v>
      </c>
    </row>
    <row r="18" customFormat="false" ht="15" hidden="false" customHeight="true" outlineLevel="0" collapsed="false">
      <c r="A18" s="24" t="s">
        <v>106</v>
      </c>
      <c r="B18" s="20" t="n">
        <f aca="false">B17-B16</f>
        <v>121250</v>
      </c>
      <c r="C18" s="20" t="n">
        <f aca="false">C17-C16</f>
        <v>139676.658548401</v>
      </c>
      <c r="D18" s="20" t="n">
        <f aca="false">D17-D16</f>
        <v>158809.74083232</v>
      </c>
      <c r="E18" s="20" t="n">
        <f aca="false">E17-E16</f>
        <v>178681.136084494</v>
      </c>
      <c r="F18" s="20" t="n">
        <f aca="false">F17-F16</f>
        <v>199324.434991303</v>
      </c>
      <c r="G18" s="20" t="n">
        <f aca="false">G17-G16</f>
        <v>220775.032593644</v>
      </c>
      <c r="H18" s="20" t="n">
        <f aca="false">H17-H16</f>
        <v>243070.237885544</v>
      </c>
      <c r="I18" s="20" t="n">
        <f aca="false">I17-I16</f>
        <v>266249.390562846</v>
      </c>
      <c r="J18" s="20" t="n">
        <f aca="false">J17-J16</f>
        <v>290353.985405399</v>
      </c>
      <c r="K18" s="20" t="n">
        <f aca="false">K17-K16</f>
        <v>315427.804809372</v>
      </c>
      <c r="L18" s="20" t="n">
        <f aca="false">L17-L16</f>
        <v>341517.060021869</v>
      </c>
    </row>
    <row r="19" customFormat="false" ht="15" hidden="false" customHeight="true" outlineLevel="0" collapsed="false">
      <c r="A19" s="16" t="s">
        <v>107</v>
      </c>
      <c r="B19" s="18"/>
      <c r="C19" s="18" t="str">
        <f aca="false">IF(C5=Deal!$E$15,C17*(1-Deal!$E$14)-C16,"")</f>
        <v/>
      </c>
      <c r="D19" s="18" t="str">
        <f aca="false">IF(D5=Deal!$E$15,D17*(1-Deal!$E$14)-D16,"")</f>
        <v/>
      </c>
      <c r="E19" s="18" t="str">
        <f aca="false">IF(E5=Deal!$E$15,E17*(1-Deal!$E$14)-E16,"")</f>
        <v/>
      </c>
      <c r="F19" s="18" t="str">
        <f aca="false">IF(F5=Deal!$E$15,F17*(1-Deal!$E$14)-F16,"")</f>
        <v/>
      </c>
      <c r="G19" s="18" t="str">
        <f aca="false">IF(G5=Deal!$E$15,G17*(1-Deal!$E$14)-G16,"")</f>
        <v/>
      </c>
      <c r="H19" s="18" t="str">
        <f aca="false">IF(H5=Deal!$E$15,H17*(1-Deal!$E$14)-H16,"")</f>
        <v/>
      </c>
      <c r="I19" s="18" t="str">
        <f aca="false">IF(I5=Deal!$E$15,I17*(1-Deal!$E$14)-I16,"")</f>
        <v/>
      </c>
      <c r="J19" s="18" t="str">
        <f aca="false">IF(J5=Deal!$E$15,J17*(1-Deal!$E$14)-J16,"")</f>
        <v/>
      </c>
      <c r="K19" s="18" t="str">
        <f aca="false">IF(K5=Deal!$E$15,K17*(1-Deal!$E$14)-K16,"")</f>
        <v/>
      </c>
      <c r="L19" s="18" t="n">
        <f aca="false">IF(L5=Deal!$E$15,L17*(1-Deal!$E$14)-L16,"")</f>
        <v>295891.098943136</v>
      </c>
    </row>
    <row r="20" customFormat="false" ht="15" hidden="false" customHeight="true" outlineLevel="0" collapsed="false">
      <c r="A20" s="24" t="s">
        <v>108</v>
      </c>
      <c r="B20" s="20" t="n">
        <f aca="false">-Deal!$H$8</f>
        <v>-130950</v>
      </c>
      <c r="C20" s="20" t="n">
        <f aca="false">SUM($C$14:C14)+N(C19)-Deal!$H$8</f>
        <v>-130838.106915203</v>
      </c>
      <c r="D20" s="20" t="n">
        <f aca="false">SUM($C$14:D14)+N(D19)-Deal!$H$8</f>
        <v>-129713.149830405</v>
      </c>
      <c r="E20" s="20" t="n">
        <f aca="false">SUM($C$14:E14)+N(E19)-Deal!$H$8</f>
        <v>-127541.529465608</v>
      </c>
      <c r="F20" s="20" t="n">
        <f aca="false">SUM($C$14:F14)+N(F19)-Deal!$H$8</f>
        <v>-124288.57441521</v>
      </c>
      <c r="G20" s="20" t="n">
        <f aca="false">SUM($C$14:G14)+N(G19)-Deal!$H$8</f>
        <v>-119918.507701301</v>
      </c>
      <c r="H20" s="20" t="n">
        <f aca="false">SUM($C$14:H14)+N(H19)-Deal!$H$8</f>
        <v>-114394.412297883</v>
      </c>
      <c r="I20" s="20" t="n">
        <f aca="false">SUM($C$14:I14)+N(I19)-Deal!$H$8</f>
        <v>-107678.19559466</v>
      </c>
      <c r="J20" s="20" t="n">
        <f aca="false">SUM($C$14:J14)+N(J19)-Deal!$H$8</f>
        <v>-99730.5527680304</v>
      </c>
      <c r="K20" s="20" t="n">
        <f aca="false">SUM($C$14:K14)+N(K19)-Deal!$H$8</f>
        <v>-90510.9290259967</v>
      </c>
      <c r="L20" s="20" t="n">
        <f aca="false">SUM($C$14:L14)+N(L19)-Deal!$H$8</f>
        <v>215913.618250503</v>
      </c>
    </row>
    <row r="21" customFormat="false" ht="15" hidden="false" customHeight="true" outlineLevel="0" collapsed="false">
      <c r="A21" s="16" t="s">
        <v>109</v>
      </c>
      <c r="B21" s="18" t="n">
        <f aca="false">-Deal!$H$8</f>
        <v>-130950</v>
      </c>
      <c r="C21" s="18" t="n">
        <f aca="false">IF(C5&lt;=Deal!$E$15,C14,0)+N(C19)</f>
        <v>111.893084797401</v>
      </c>
      <c r="D21" s="18" t="n">
        <f aca="false">IF(D5&lt;=Deal!$E$15,D14,0)+N(D19)</f>
        <v>1124.95708479741</v>
      </c>
      <c r="E21" s="18" t="n">
        <f aca="false">IF(E5&lt;=Deal!$E$15,E14,0)+N(E19)</f>
        <v>2171.6203647974</v>
      </c>
      <c r="F21" s="18" t="n">
        <f aca="false">IF(F5&lt;=Deal!$E$15,F14,0)+N(F19)</f>
        <v>3252.95505039741</v>
      </c>
      <c r="G21" s="18" t="n">
        <f aca="false">IF(G5&lt;=Deal!$E$15,G14,0)+N(G19)</f>
        <v>4370.06671390941</v>
      </c>
      <c r="H21" s="18" t="n">
        <f aca="false">IF(H5&lt;=Deal!$E$15,H14,0)+N(H19)</f>
        <v>5524.09540341764</v>
      </c>
      <c r="I21" s="18" t="n">
        <f aca="false">IF(I5&lt;=Deal!$E$15,I14,0)+N(I19)</f>
        <v>6716.21670322383</v>
      </c>
      <c r="J21" s="18" t="n">
        <f aca="false">IF(J5&lt;=Deal!$E$15,J14,0)+N(J19)</f>
        <v>7947.64282662915</v>
      </c>
      <c r="K21" s="18" t="n">
        <f aca="false">IF(K5&lt;=Deal!$E$15,K14,0)+N(K19)</f>
        <v>9219.62374203369</v>
      </c>
      <c r="L21" s="18" t="n">
        <f aca="false">IF(L5&lt;=Deal!$E$15,L14,0)+N(L19)</f>
        <v>306424.5472765</v>
      </c>
    </row>
    <row r="23" customFormat="false" ht="15" hidden="false" customHeight="true" outlineLevel="0" collapsed="false">
      <c r="A23" s="24" t="s">
        <v>110</v>
      </c>
      <c r="B23" s="32" t="n">
        <f aca="false">IRR(B21:L21)</f>
        <v>0.107769856610436</v>
      </c>
    </row>
    <row r="24" customFormat="false" ht="15" hidden="false" customHeight="true" outlineLevel="0" collapsed="false">
      <c r="A24" s="24" t="s">
        <v>111</v>
      </c>
      <c r="B24" s="33" t="n">
        <f aca="false">SUM(C21:L21)/-B21</f>
        <v>2.64882488163805</v>
      </c>
    </row>
  </sheetData>
  <mergeCells count="3">
    <mergeCell ref="A1:L1"/>
    <mergeCell ref="A2:L2"/>
    <mergeCell ref="A3:L3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5" min="3" style="1" width="14"/>
    <col collapsed="false" customWidth="true" hidden="false" outlineLevel="0" max="6" min="6" style="1" width="16"/>
  </cols>
  <sheetData>
    <row r="1" customFormat="false" ht="25.5" hidden="false" customHeight="true" outlineLevel="0" collapsed="false">
      <c r="A1" s="2" t="s">
        <v>112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113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14" t="s">
        <v>114</v>
      </c>
      <c r="B3" s="14"/>
      <c r="C3" s="14"/>
      <c r="D3" s="14"/>
      <c r="E3" s="14"/>
      <c r="F3" s="14"/>
    </row>
    <row r="5" customFormat="false" ht="15.75" hidden="false" customHeight="true" outlineLevel="0" collapsed="false">
      <c r="A5" s="34" t="s">
        <v>115</v>
      </c>
      <c r="B5" s="34" t="s">
        <v>116</v>
      </c>
      <c r="C5" s="34" t="s">
        <v>117</v>
      </c>
      <c r="D5" s="34" t="s">
        <v>118</v>
      </c>
      <c r="E5" s="34" t="s">
        <v>119</v>
      </c>
      <c r="F5" s="34" t="s">
        <v>120</v>
      </c>
    </row>
    <row r="6" customFormat="false" ht="15" hidden="false" customHeight="true" outlineLevel="0" collapsed="false">
      <c r="A6" s="35" t="n">
        <v>1</v>
      </c>
      <c r="B6" s="36" t="n">
        <f aca="false">Deal!$H$7</f>
        <v>363750</v>
      </c>
      <c r="C6" s="36" t="n">
        <f aca="false">IF($A6&lt;=Deal!$B$12*12,Deal!$H$20,"")</f>
        <v>2359.27557626688</v>
      </c>
      <c r="D6" s="36" t="n">
        <f aca="false">IF($A6&lt;=Deal!$B$12*12,-PPMT(Deal!$B$11/12,$A6,Deal!$B$12*12,Deal!$H$7),"")</f>
        <v>313.181826266883</v>
      </c>
      <c r="E6" s="36" t="n">
        <f aca="false">IF($A6&lt;=Deal!$B$12*12,-IPMT(Deal!$B$11/12,$A6,Deal!$B$12*12,Deal!$H$7),"")</f>
        <v>2046.09375</v>
      </c>
      <c r="F6" s="36" t="n">
        <f aca="false">IF($A6&lt;=Deal!$B$12*12,B6-D6,"")</f>
        <v>363436.818173733</v>
      </c>
    </row>
    <row r="7" customFormat="false" ht="15" hidden="false" customHeight="true" outlineLevel="0" collapsed="false">
      <c r="A7" s="35" t="n">
        <f aca="false">A6+1</f>
        <v>2</v>
      </c>
      <c r="B7" s="36" t="n">
        <f aca="false">F6</f>
        <v>363436.818173733</v>
      </c>
      <c r="C7" s="36" t="n">
        <f aca="false">IF($A7&lt;=Deal!$B$12*12,Deal!$H$20,"")</f>
        <v>2359.27557626688</v>
      </c>
      <c r="D7" s="36" t="n">
        <f aca="false">IF($A7&lt;=Deal!$B$12*12,-PPMT(Deal!$B$11/12,$A7,Deal!$B$12*12,Deal!$H$7),"")</f>
        <v>314.943474039634</v>
      </c>
      <c r="E7" s="36" t="n">
        <f aca="false">IF($A7&lt;=Deal!$B$12*12,-IPMT(Deal!$B$11/12,$A7,Deal!$B$12*12,Deal!$H$7),"")</f>
        <v>2044.33210222725</v>
      </c>
      <c r="F7" s="36" t="n">
        <f aca="false">IF($A7&lt;=Deal!$B$12*12,B7-D7,"")</f>
        <v>363121.874699694</v>
      </c>
    </row>
    <row r="8" customFormat="false" ht="15" hidden="false" customHeight="true" outlineLevel="0" collapsed="false">
      <c r="A8" s="35" t="n">
        <f aca="false">A7+1</f>
        <v>3</v>
      </c>
      <c r="B8" s="36" t="n">
        <f aca="false">F7</f>
        <v>363121.874699694</v>
      </c>
      <c r="C8" s="36" t="n">
        <f aca="false">IF($A8&lt;=Deal!$B$12*12,Deal!$H$20,"")</f>
        <v>2359.27557626688</v>
      </c>
      <c r="D8" s="36" t="n">
        <f aca="false">IF($A8&lt;=Deal!$B$12*12,-PPMT(Deal!$B$11/12,$A8,Deal!$B$12*12,Deal!$H$7),"")</f>
        <v>316.715031081107</v>
      </c>
      <c r="E8" s="36" t="n">
        <f aca="false">IF($A8&lt;=Deal!$B$12*12,-IPMT(Deal!$B$11/12,$A8,Deal!$B$12*12,Deal!$H$7),"")</f>
        <v>2042.56054518578</v>
      </c>
      <c r="F8" s="36" t="n">
        <f aca="false">IF($A8&lt;=Deal!$B$12*12,B8-D8,"")</f>
        <v>362805.159668612</v>
      </c>
    </row>
    <row r="9" customFormat="false" ht="15" hidden="false" customHeight="true" outlineLevel="0" collapsed="false">
      <c r="A9" s="35" t="n">
        <f aca="false">A8+1</f>
        <v>4</v>
      </c>
      <c r="B9" s="36" t="n">
        <f aca="false">F8</f>
        <v>362805.159668612</v>
      </c>
      <c r="C9" s="36" t="n">
        <f aca="false">IF($A9&lt;=Deal!$B$12*12,Deal!$H$20,"")</f>
        <v>2359.27557626688</v>
      </c>
      <c r="D9" s="36" t="n">
        <f aca="false">IF($A9&lt;=Deal!$B$12*12,-PPMT(Deal!$B$11/12,$A9,Deal!$B$12*12,Deal!$H$7),"")</f>
        <v>318.496553130938</v>
      </c>
      <c r="E9" s="36" t="n">
        <f aca="false">IF($A9&lt;=Deal!$B$12*12,-IPMT(Deal!$B$11/12,$A9,Deal!$B$12*12,Deal!$H$7),"")</f>
        <v>2040.77902313594</v>
      </c>
      <c r="F9" s="36" t="n">
        <f aca="false">IF($A9&lt;=Deal!$B$12*12,B9-D9,"")</f>
        <v>362486.663115482</v>
      </c>
    </row>
    <row r="10" customFormat="false" ht="15" hidden="false" customHeight="true" outlineLevel="0" collapsed="false">
      <c r="A10" s="35" t="n">
        <f aca="false">A9+1</f>
        <v>5</v>
      </c>
      <c r="B10" s="36" t="n">
        <f aca="false">F9</f>
        <v>362486.663115482</v>
      </c>
      <c r="C10" s="36" t="n">
        <f aca="false">IF($A10&lt;=Deal!$B$12*12,Deal!$H$20,"")</f>
        <v>2359.27557626688</v>
      </c>
      <c r="D10" s="36" t="n">
        <f aca="false">IF($A10&lt;=Deal!$B$12*12,-PPMT(Deal!$B$11/12,$A10,Deal!$B$12*12,Deal!$H$7),"")</f>
        <v>320.2880962423</v>
      </c>
      <c r="E10" s="36" t="n">
        <f aca="false">IF($A10&lt;=Deal!$B$12*12,-IPMT(Deal!$B$11/12,$A10,Deal!$B$12*12,Deal!$H$7),"")</f>
        <v>2038.98748002458</v>
      </c>
      <c r="F10" s="36" t="n">
        <f aca="false">IF($A10&lt;=Deal!$B$12*12,B10-D10,"")</f>
        <v>362166.375019239</v>
      </c>
    </row>
    <row r="11" customFormat="false" ht="15" hidden="false" customHeight="true" outlineLevel="0" collapsed="false">
      <c r="A11" s="35" t="n">
        <f aca="false">A10+1</f>
        <v>6</v>
      </c>
      <c r="B11" s="36" t="n">
        <f aca="false">F10</f>
        <v>362166.375019239</v>
      </c>
      <c r="C11" s="36" t="n">
        <f aca="false">IF($A11&lt;=Deal!$B$12*12,Deal!$H$20,"")</f>
        <v>2359.27557626688</v>
      </c>
      <c r="D11" s="36" t="n">
        <f aca="false">IF($A11&lt;=Deal!$B$12*12,-PPMT(Deal!$B$11/12,$A11,Deal!$B$12*12,Deal!$H$7),"")</f>
        <v>322.089716783663</v>
      </c>
      <c r="E11" s="36" t="n">
        <f aca="false">IF($A11&lt;=Deal!$B$12*12,-IPMT(Deal!$B$11/12,$A11,Deal!$B$12*12,Deal!$H$7),"")</f>
        <v>2037.18585948322</v>
      </c>
      <c r="F11" s="36" t="n">
        <f aca="false">IF($A11&lt;=Deal!$B$12*12,B11-D11,"")</f>
        <v>361844.285302456</v>
      </c>
    </row>
    <row r="12" customFormat="false" ht="15" hidden="false" customHeight="true" outlineLevel="0" collapsed="false">
      <c r="A12" s="35" t="n">
        <f aca="false">A11+1</f>
        <v>7</v>
      </c>
      <c r="B12" s="36" t="n">
        <f aca="false">F11</f>
        <v>361844.285302456</v>
      </c>
      <c r="C12" s="36" t="n">
        <f aca="false">IF($A12&lt;=Deal!$B$12*12,Deal!$H$20,"")</f>
        <v>2359.27557626688</v>
      </c>
      <c r="D12" s="36" t="n">
        <f aca="false">IF($A12&lt;=Deal!$B$12*12,-PPMT(Deal!$B$11/12,$A12,Deal!$B$12*12,Deal!$H$7),"")</f>
        <v>323.901471440571</v>
      </c>
      <c r="E12" s="36" t="n">
        <f aca="false">IF($A12&lt;=Deal!$B$12*12,-IPMT(Deal!$B$11/12,$A12,Deal!$B$12*12,Deal!$H$7),"")</f>
        <v>2035.37410482631</v>
      </c>
      <c r="F12" s="36" t="n">
        <f aca="false">IF($A12&lt;=Deal!$B$12*12,B12-D12,"")</f>
        <v>361520.383831015</v>
      </c>
    </row>
    <row r="13" customFormat="false" ht="15" hidden="false" customHeight="true" outlineLevel="0" collapsed="false">
      <c r="A13" s="35" t="n">
        <f aca="false">A12+1</f>
        <v>8</v>
      </c>
      <c r="B13" s="36" t="n">
        <f aca="false">F12</f>
        <v>361520.383831015</v>
      </c>
      <c r="C13" s="36" t="n">
        <f aca="false">IF($A13&lt;=Deal!$B$12*12,Deal!$H$20,"")</f>
        <v>2359.27557626688</v>
      </c>
      <c r="D13" s="36" t="n">
        <f aca="false">IF($A13&lt;=Deal!$B$12*12,-PPMT(Deal!$B$11/12,$A13,Deal!$B$12*12,Deal!$H$7),"")</f>
        <v>325.723417217424</v>
      </c>
      <c r="E13" s="36" t="n">
        <f aca="false">IF($A13&lt;=Deal!$B$12*12,-IPMT(Deal!$B$11/12,$A13,Deal!$B$12*12,Deal!$H$7),"")</f>
        <v>2033.55215904946</v>
      </c>
      <c r="F13" s="36" t="n">
        <f aca="false">IF($A13&lt;=Deal!$B$12*12,B13-D13,"")</f>
        <v>361194.660413798</v>
      </c>
    </row>
    <row r="14" customFormat="false" ht="15" hidden="false" customHeight="true" outlineLevel="0" collapsed="false">
      <c r="A14" s="35" t="n">
        <f aca="false">A13+1</f>
        <v>9</v>
      </c>
      <c r="B14" s="36" t="n">
        <f aca="false">F13</f>
        <v>361194.660413798</v>
      </c>
      <c r="C14" s="36" t="n">
        <f aca="false">IF($A14&lt;=Deal!$B$12*12,Deal!$H$20,"")</f>
        <v>2359.27557626688</v>
      </c>
      <c r="D14" s="36" t="n">
        <f aca="false">IF($A14&lt;=Deal!$B$12*12,-PPMT(Deal!$B$11/12,$A14,Deal!$B$12*12,Deal!$H$7),"")</f>
        <v>327.555611439272</v>
      </c>
      <c r="E14" s="36" t="n">
        <f aca="false">IF($A14&lt;=Deal!$B$12*12,-IPMT(Deal!$B$11/12,$A14,Deal!$B$12*12,Deal!$H$7),"")</f>
        <v>2031.71996482761</v>
      </c>
      <c r="F14" s="36" t="n">
        <f aca="false">IF($A14&lt;=Deal!$B$12*12,B14-D14,"")</f>
        <v>360867.104802358</v>
      </c>
    </row>
    <row r="15" customFormat="false" ht="15" hidden="false" customHeight="true" outlineLevel="0" collapsed="false">
      <c r="A15" s="35" t="n">
        <f aca="false">A14+1</f>
        <v>10</v>
      </c>
      <c r="B15" s="36" t="n">
        <f aca="false">F14</f>
        <v>360867.104802358</v>
      </c>
      <c r="C15" s="36" t="n">
        <f aca="false">IF($A15&lt;=Deal!$B$12*12,Deal!$H$20,"")</f>
        <v>2359.27557626688</v>
      </c>
      <c r="D15" s="36" t="n">
        <f aca="false">IF($A15&lt;=Deal!$B$12*12,-PPMT(Deal!$B$11/12,$A15,Deal!$B$12*12,Deal!$H$7),"")</f>
        <v>329.398111753618</v>
      </c>
      <c r="E15" s="36" t="n">
        <f aca="false">IF($A15&lt;=Deal!$B$12*12,-IPMT(Deal!$B$11/12,$A15,Deal!$B$12*12,Deal!$H$7),"")</f>
        <v>2029.87746451327</v>
      </c>
      <c r="F15" s="36" t="n">
        <f aca="false">IF($A15&lt;=Deal!$B$12*12,B15-D15,"")</f>
        <v>360537.706690605</v>
      </c>
    </row>
    <row r="16" customFormat="false" ht="15" hidden="false" customHeight="true" outlineLevel="0" collapsed="false">
      <c r="A16" s="35" t="n">
        <f aca="false">A15+1</f>
        <v>11</v>
      </c>
      <c r="B16" s="36" t="n">
        <f aca="false">F15</f>
        <v>360537.706690605</v>
      </c>
      <c r="C16" s="36" t="n">
        <f aca="false">IF($A16&lt;=Deal!$B$12*12,Deal!$H$20,"")</f>
        <v>2359.27557626688</v>
      </c>
      <c r="D16" s="36" t="n">
        <f aca="false">IF($A16&lt;=Deal!$B$12*12,-PPMT(Deal!$B$11/12,$A16,Deal!$B$12*12,Deal!$H$7),"")</f>
        <v>331.250976132232</v>
      </c>
      <c r="E16" s="36" t="n">
        <f aca="false">IF($A16&lt;=Deal!$B$12*12,-IPMT(Deal!$B$11/12,$A16,Deal!$B$12*12,Deal!$H$7),"")</f>
        <v>2028.02460013465</v>
      </c>
      <c r="F16" s="36" t="n">
        <f aca="false">IF($A16&lt;=Deal!$B$12*12,B16-D16,"")</f>
        <v>360206.455714472</v>
      </c>
    </row>
    <row r="17" customFormat="false" ht="15" hidden="false" customHeight="true" outlineLevel="0" collapsed="false">
      <c r="A17" s="37" t="n">
        <f aca="false">A16+1</f>
        <v>12</v>
      </c>
      <c r="B17" s="38" t="n">
        <f aca="false">F16</f>
        <v>360206.455714472</v>
      </c>
      <c r="C17" s="38" t="n">
        <f aca="false">IF($A17&lt;=Deal!$B$12*12,Deal!$H$20,"")</f>
        <v>2359.27557626688</v>
      </c>
      <c r="D17" s="38" t="n">
        <f aca="false">IF($A17&lt;=Deal!$B$12*12,-PPMT(Deal!$B$11/12,$A17,Deal!$B$12*12,Deal!$H$7),"")</f>
        <v>333.114262872976</v>
      </c>
      <c r="E17" s="38" t="n">
        <f aca="false">IF($A17&lt;=Deal!$B$12*12,-IPMT(Deal!$B$11/12,$A17,Deal!$B$12*12,Deal!$H$7),"")</f>
        <v>2026.16131339391</v>
      </c>
      <c r="F17" s="38" t="n">
        <f aca="false">IF($A17&lt;=Deal!$B$12*12,B17-D17,"")</f>
        <v>359873.341451599</v>
      </c>
    </row>
    <row r="18" customFormat="false" ht="15" hidden="false" customHeight="true" outlineLevel="0" collapsed="false">
      <c r="A18" s="35" t="n">
        <f aca="false">A17+1</f>
        <v>13</v>
      </c>
      <c r="B18" s="36" t="n">
        <f aca="false">F17</f>
        <v>359873.341451599</v>
      </c>
      <c r="C18" s="36" t="n">
        <f aca="false">IF($A18&lt;=Deal!$B$12*12,Deal!$H$20,"")</f>
        <v>2359.27557626688</v>
      </c>
      <c r="D18" s="36" t="n">
        <f aca="false">IF($A18&lt;=Deal!$B$12*12,-PPMT(Deal!$B$11/12,$A18,Deal!$B$12*12,Deal!$H$7),"")</f>
        <v>334.988030601636</v>
      </c>
      <c r="E18" s="36" t="n">
        <f aca="false">IF($A18&lt;=Deal!$B$12*12,-IPMT(Deal!$B$11/12,$A18,Deal!$B$12*12,Deal!$H$7),"")</f>
        <v>2024.28754566525</v>
      </c>
      <c r="F18" s="36" t="n">
        <f aca="false">IF($A18&lt;=Deal!$B$12*12,B18-D18,"")</f>
        <v>359538.353420998</v>
      </c>
    </row>
    <row r="19" customFormat="false" ht="15" hidden="false" customHeight="true" outlineLevel="0" collapsed="false">
      <c r="A19" s="35" t="n">
        <f aca="false">A18+1</f>
        <v>14</v>
      </c>
      <c r="B19" s="36" t="n">
        <f aca="false">F18</f>
        <v>359538.353420998</v>
      </c>
      <c r="C19" s="36" t="n">
        <f aca="false">IF($A19&lt;=Deal!$B$12*12,Deal!$H$20,"")</f>
        <v>2359.27557626688</v>
      </c>
      <c r="D19" s="36" t="n">
        <f aca="false">IF($A19&lt;=Deal!$B$12*12,-PPMT(Deal!$B$11/12,$A19,Deal!$B$12*12,Deal!$H$7),"")</f>
        <v>336.872338273771</v>
      </c>
      <c r="E19" s="36" t="n">
        <f aca="false">IF($A19&lt;=Deal!$B$12*12,-IPMT(Deal!$B$11/12,$A19,Deal!$B$12*12,Deal!$H$7),"")</f>
        <v>2022.40323799311</v>
      </c>
      <c r="F19" s="36" t="n">
        <f aca="false">IF($A19&lt;=Deal!$B$12*12,B19-D19,"")</f>
        <v>359201.481082724</v>
      </c>
    </row>
    <row r="20" customFormat="false" ht="15" hidden="false" customHeight="true" outlineLevel="0" collapsed="false">
      <c r="A20" s="35" t="n">
        <f aca="false">A19+1</f>
        <v>15</v>
      </c>
      <c r="B20" s="36" t="n">
        <f aca="false">F19</f>
        <v>359201.481082724</v>
      </c>
      <c r="C20" s="36" t="n">
        <f aca="false">IF($A20&lt;=Deal!$B$12*12,Deal!$H$20,"")</f>
        <v>2359.27557626688</v>
      </c>
      <c r="D20" s="36" t="n">
        <f aca="false">IF($A20&lt;=Deal!$B$12*12,-PPMT(Deal!$B$11/12,$A20,Deal!$B$12*12,Deal!$H$7),"")</f>
        <v>338.76724517656</v>
      </c>
      <c r="E20" s="36" t="n">
        <f aca="false">IF($A20&lt;=Deal!$B$12*12,-IPMT(Deal!$B$11/12,$A20,Deal!$B$12*12,Deal!$H$7),"")</f>
        <v>2020.50833109032</v>
      </c>
      <c r="F20" s="36" t="n">
        <f aca="false">IF($A20&lt;=Deal!$B$12*12,B20-D20,"")</f>
        <v>358862.713837547</v>
      </c>
    </row>
    <row r="21" customFormat="false" ht="15" hidden="false" customHeight="true" outlineLevel="0" collapsed="false">
      <c r="A21" s="35" t="n">
        <f aca="false">A20+1</f>
        <v>16</v>
      </c>
      <c r="B21" s="36" t="n">
        <f aca="false">F20</f>
        <v>358862.713837547</v>
      </c>
      <c r="C21" s="36" t="n">
        <f aca="false">IF($A21&lt;=Deal!$B$12*12,Deal!$H$20,"")</f>
        <v>2359.27557626688</v>
      </c>
      <c r="D21" s="36" t="n">
        <f aca="false">IF($A21&lt;=Deal!$B$12*12,-PPMT(Deal!$B$11/12,$A21,Deal!$B$12*12,Deal!$H$7),"")</f>
        <v>340.672810930679</v>
      </c>
      <c r="E21" s="36" t="n">
        <f aca="false">IF($A21&lt;=Deal!$B$12*12,-IPMT(Deal!$B$11/12,$A21,Deal!$B$12*12,Deal!$H$7),"")</f>
        <v>2018.6027653362</v>
      </c>
      <c r="F21" s="36" t="n">
        <f aca="false">IF($A21&lt;=Deal!$B$12*12,B21-D21,"")</f>
        <v>358522.041026617</v>
      </c>
    </row>
    <row r="22" customFormat="false" ht="15" hidden="false" customHeight="true" outlineLevel="0" collapsed="false">
      <c r="A22" s="35" t="n">
        <f aca="false">A21+1</f>
        <v>17</v>
      </c>
      <c r="B22" s="36" t="n">
        <f aca="false">F21</f>
        <v>358522.041026617</v>
      </c>
      <c r="C22" s="36" t="n">
        <f aca="false">IF($A22&lt;=Deal!$B$12*12,Deal!$H$20,"")</f>
        <v>2359.27557626688</v>
      </c>
      <c r="D22" s="36" t="n">
        <f aca="false">IF($A22&lt;=Deal!$B$12*12,-PPMT(Deal!$B$11/12,$A22,Deal!$B$12*12,Deal!$H$7),"")</f>
        <v>342.589095492164</v>
      </c>
      <c r="E22" s="36" t="n">
        <f aca="false">IF($A22&lt;=Deal!$B$12*12,-IPMT(Deal!$B$11/12,$A22,Deal!$B$12*12,Deal!$H$7),"")</f>
        <v>2016.68648077472</v>
      </c>
      <c r="F22" s="36" t="n">
        <f aca="false">IF($A22&lt;=Deal!$B$12*12,B22-D22,"")</f>
        <v>358179.451931125</v>
      </c>
    </row>
    <row r="23" customFormat="false" ht="15" hidden="false" customHeight="true" outlineLevel="0" collapsed="false">
      <c r="A23" s="35" t="n">
        <f aca="false">A22+1</f>
        <v>18</v>
      </c>
      <c r="B23" s="36" t="n">
        <f aca="false">F22</f>
        <v>358179.451931125</v>
      </c>
      <c r="C23" s="36" t="n">
        <f aca="false">IF($A23&lt;=Deal!$B$12*12,Deal!$H$20,"")</f>
        <v>2359.27557626688</v>
      </c>
      <c r="D23" s="36" t="n">
        <f aca="false">IF($A23&lt;=Deal!$B$12*12,-PPMT(Deal!$B$11/12,$A23,Deal!$B$12*12,Deal!$H$7),"")</f>
        <v>344.516159154307</v>
      </c>
      <c r="E23" s="36" t="n">
        <f aca="false">IF($A23&lt;=Deal!$B$12*12,-IPMT(Deal!$B$11/12,$A23,Deal!$B$12*12,Deal!$H$7),"")</f>
        <v>2014.75941711258</v>
      </c>
      <c r="F23" s="36" t="n">
        <f aca="false">IF($A23&lt;=Deal!$B$12*12,B23-D23,"")</f>
        <v>357834.93577197</v>
      </c>
    </row>
    <row r="24" customFormat="false" ht="15" hidden="false" customHeight="true" outlineLevel="0" collapsed="false">
      <c r="A24" s="35" t="n">
        <f aca="false">A23+1</f>
        <v>19</v>
      </c>
      <c r="B24" s="36" t="n">
        <f aca="false">F23</f>
        <v>357834.93577197</v>
      </c>
      <c r="C24" s="36" t="n">
        <f aca="false">IF($A24&lt;=Deal!$B$12*12,Deal!$H$20,"")</f>
        <v>2359.27557626688</v>
      </c>
      <c r="D24" s="36" t="n">
        <f aca="false">IF($A24&lt;=Deal!$B$12*12,-PPMT(Deal!$B$11/12,$A24,Deal!$B$12*12,Deal!$H$7),"")</f>
        <v>346.45406254955</v>
      </c>
      <c r="E24" s="36" t="n">
        <f aca="false">IF($A24&lt;=Deal!$B$12*12,-IPMT(Deal!$B$11/12,$A24,Deal!$B$12*12,Deal!$H$7),"")</f>
        <v>2012.82151371733</v>
      </c>
      <c r="F24" s="36" t="n">
        <f aca="false">IF($A24&lt;=Deal!$B$12*12,B24-D24,"")</f>
        <v>357488.481709421</v>
      </c>
    </row>
    <row r="25" customFormat="false" ht="15" hidden="false" customHeight="true" outlineLevel="0" collapsed="false">
      <c r="A25" s="35" t="n">
        <f aca="false">A24+1</f>
        <v>20</v>
      </c>
      <c r="B25" s="36" t="n">
        <f aca="false">F24</f>
        <v>357488.481709421</v>
      </c>
      <c r="C25" s="36" t="n">
        <f aca="false">IF($A25&lt;=Deal!$B$12*12,Deal!$H$20,"")</f>
        <v>2359.27557626688</v>
      </c>
      <c r="D25" s="36" t="n">
        <f aca="false">IF($A25&lt;=Deal!$B$12*12,-PPMT(Deal!$B$11/12,$A25,Deal!$B$12*12,Deal!$H$7),"")</f>
        <v>348.402866651391</v>
      </c>
      <c r="E25" s="36" t="n">
        <f aca="false">IF($A25&lt;=Deal!$B$12*12,-IPMT(Deal!$B$11/12,$A25,Deal!$B$12*12,Deal!$H$7),"")</f>
        <v>2010.87270961549</v>
      </c>
      <c r="F25" s="36" t="n">
        <f aca="false">IF($A25&lt;=Deal!$B$12*12,B25-D25,"")</f>
        <v>357140.078842769</v>
      </c>
    </row>
    <row r="26" customFormat="false" ht="15" hidden="false" customHeight="true" outlineLevel="0" collapsed="false">
      <c r="A26" s="35" t="n">
        <f aca="false">A25+1</f>
        <v>21</v>
      </c>
      <c r="B26" s="36" t="n">
        <f aca="false">F25</f>
        <v>357140.078842769</v>
      </c>
      <c r="C26" s="36" t="n">
        <f aca="false">IF($A26&lt;=Deal!$B$12*12,Deal!$H$20,"")</f>
        <v>2359.27557626688</v>
      </c>
      <c r="D26" s="36" t="n">
        <f aca="false">IF($A26&lt;=Deal!$B$12*12,-PPMT(Deal!$B$11/12,$A26,Deal!$B$12*12,Deal!$H$7),"")</f>
        <v>350.362632776305</v>
      </c>
      <c r="E26" s="36" t="n">
        <f aca="false">IF($A26&lt;=Deal!$B$12*12,-IPMT(Deal!$B$11/12,$A26,Deal!$B$12*12,Deal!$H$7),"")</f>
        <v>2008.91294349058</v>
      </c>
      <c r="F26" s="36" t="n">
        <f aca="false">IF($A26&lt;=Deal!$B$12*12,B26-D26,"")</f>
        <v>356789.716209993</v>
      </c>
    </row>
    <row r="27" customFormat="false" ht="15" hidden="false" customHeight="true" outlineLevel="0" collapsed="false">
      <c r="A27" s="35" t="n">
        <f aca="false">A26+1</f>
        <v>22</v>
      </c>
      <c r="B27" s="36" t="n">
        <f aca="false">F26</f>
        <v>356789.716209993</v>
      </c>
      <c r="C27" s="36" t="n">
        <f aca="false">IF($A27&lt;=Deal!$B$12*12,Deal!$H$20,"")</f>
        <v>2359.27557626688</v>
      </c>
      <c r="D27" s="36" t="n">
        <f aca="false">IF($A27&lt;=Deal!$B$12*12,-PPMT(Deal!$B$11/12,$A27,Deal!$B$12*12,Deal!$H$7),"")</f>
        <v>352.333422585672</v>
      </c>
      <c r="E27" s="36" t="n">
        <f aca="false">IF($A27&lt;=Deal!$B$12*12,-IPMT(Deal!$B$11/12,$A27,Deal!$B$12*12,Deal!$H$7),"")</f>
        <v>2006.94215368121</v>
      </c>
      <c r="F27" s="36" t="n">
        <f aca="false">IF($A27&lt;=Deal!$B$12*12,B27-D27,"")</f>
        <v>356437.382787407</v>
      </c>
    </row>
    <row r="28" customFormat="false" ht="15" hidden="false" customHeight="true" outlineLevel="0" collapsed="false">
      <c r="A28" s="35" t="n">
        <f aca="false">A27+1</f>
        <v>23</v>
      </c>
      <c r="B28" s="36" t="n">
        <f aca="false">F27</f>
        <v>356437.382787407</v>
      </c>
      <c r="C28" s="36" t="n">
        <f aca="false">IF($A28&lt;=Deal!$B$12*12,Deal!$H$20,"")</f>
        <v>2359.27557626688</v>
      </c>
      <c r="D28" s="36" t="n">
        <f aca="false">IF($A28&lt;=Deal!$B$12*12,-PPMT(Deal!$B$11/12,$A28,Deal!$B$12*12,Deal!$H$7),"")</f>
        <v>354.315298087716</v>
      </c>
      <c r="E28" s="36" t="n">
        <f aca="false">IF($A28&lt;=Deal!$B$12*12,-IPMT(Deal!$B$11/12,$A28,Deal!$B$12*12,Deal!$H$7),"")</f>
        <v>2004.96027817917</v>
      </c>
      <c r="F28" s="36" t="n">
        <f aca="false">IF($A28&lt;=Deal!$B$12*12,B28-D28,"")</f>
        <v>356083.06748932</v>
      </c>
    </row>
    <row r="29" customFormat="false" ht="15" hidden="false" customHeight="true" outlineLevel="0" collapsed="false">
      <c r="A29" s="37" t="n">
        <f aca="false">A28+1</f>
        <v>24</v>
      </c>
      <c r="B29" s="38" t="n">
        <f aca="false">F28</f>
        <v>356083.06748932</v>
      </c>
      <c r="C29" s="38" t="n">
        <f aca="false">IF($A29&lt;=Deal!$B$12*12,Deal!$H$20,"")</f>
        <v>2359.27557626688</v>
      </c>
      <c r="D29" s="38" t="n">
        <f aca="false">IF($A29&lt;=Deal!$B$12*12,-PPMT(Deal!$B$11/12,$A29,Deal!$B$12*12,Deal!$H$7),"")</f>
        <v>356.30832163946</v>
      </c>
      <c r="E29" s="38" t="n">
        <f aca="false">IF($A29&lt;=Deal!$B$12*12,-IPMT(Deal!$B$11/12,$A29,Deal!$B$12*12,Deal!$H$7),"")</f>
        <v>2002.96725462742</v>
      </c>
      <c r="F29" s="38" t="n">
        <f aca="false">IF($A29&lt;=Deal!$B$12*12,B29-D29,"")</f>
        <v>355726.75916768</v>
      </c>
    </row>
    <row r="30" customFormat="false" ht="15" hidden="false" customHeight="true" outlineLevel="0" collapsed="false">
      <c r="A30" s="35" t="n">
        <f aca="false">A29+1</f>
        <v>25</v>
      </c>
      <c r="B30" s="36" t="n">
        <f aca="false">F29</f>
        <v>355726.75916768</v>
      </c>
      <c r="C30" s="36" t="n">
        <f aca="false">IF($A30&lt;=Deal!$B$12*12,Deal!$H$20,"")</f>
        <v>2359.27557626688</v>
      </c>
      <c r="D30" s="36" t="n">
        <f aca="false">IF($A30&lt;=Deal!$B$12*12,-PPMT(Deal!$B$11/12,$A30,Deal!$B$12*12,Deal!$H$7),"")</f>
        <v>358.312555948682</v>
      </c>
      <c r="E30" s="36" t="n">
        <f aca="false">IF($A30&lt;=Deal!$B$12*12,-IPMT(Deal!$B$11/12,$A30,Deal!$B$12*12,Deal!$H$7),"")</f>
        <v>2000.9630203182</v>
      </c>
      <c r="F30" s="36" t="n">
        <f aca="false">IF($A30&lt;=Deal!$B$12*12,B30-D30,"")</f>
        <v>355368.446611732</v>
      </c>
    </row>
    <row r="31" customFormat="false" ht="15" hidden="false" customHeight="true" outlineLevel="0" collapsed="false">
      <c r="A31" s="35" t="n">
        <f aca="false">A30+1</f>
        <v>26</v>
      </c>
      <c r="B31" s="36" t="n">
        <f aca="false">F30</f>
        <v>355368.446611732</v>
      </c>
      <c r="C31" s="36" t="n">
        <f aca="false">IF($A31&lt;=Deal!$B$12*12,Deal!$H$20,"")</f>
        <v>2359.27557626688</v>
      </c>
      <c r="D31" s="36" t="n">
        <f aca="false">IF($A31&lt;=Deal!$B$12*12,-PPMT(Deal!$B$11/12,$A31,Deal!$B$12*12,Deal!$H$7),"")</f>
        <v>360.328064075893</v>
      </c>
      <c r="E31" s="36" t="n">
        <f aca="false">IF($A31&lt;=Deal!$B$12*12,-IPMT(Deal!$B$11/12,$A31,Deal!$B$12*12,Deal!$H$7),"")</f>
        <v>1998.94751219099</v>
      </c>
      <c r="F31" s="36" t="n">
        <f aca="false">IF($A31&lt;=Deal!$B$12*12,B31-D31,"")</f>
        <v>355008.118547656</v>
      </c>
    </row>
    <row r="32" customFormat="false" ht="15" hidden="false" customHeight="true" outlineLevel="0" collapsed="false">
      <c r="A32" s="35" t="n">
        <f aca="false">A31+1</f>
        <v>27</v>
      </c>
      <c r="B32" s="36" t="n">
        <f aca="false">F31</f>
        <v>355008.118547656</v>
      </c>
      <c r="C32" s="36" t="n">
        <f aca="false">IF($A32&lt;=Deal!$B$12*12,Deal!$H$20,"")</f>
        <v>2359.27557626688</v>
      </c>
      <c r="D32" s="36" t="n">
        <f aca="false">IF($A32&lt;=Deal!$B$12*12,-PPMT(Deal!$B$11/12,$A32,Deal!$B$12*12,Deal!$H$7),"")</f>
        <v>362.35490943632</v>
      </c>
      <c r="E32" s="36" t="n">
        <f aca="false">IF($A32&lt;=Deal!$B$12*12,-IPMT(Deal!$B$11/12,$A32,Deal!$B$12*12,Deal!$H$7),"")</f>
        <v>1996.92066683056</v>
      </c>
      <c r="F32" s="36" t="n">
        <f aca="false">IF($A32&lt;=Deal!$B$12*12,B32-D32,"")</f>
        <v>354645.763638219</v>
      </c>
    </row>
    <row r="33" customFormat="false" ht="15" hidden="false" customHeight="true" outlineLevel="0" collapsed="false">
      <c r="A33" s="35" t="n">
        <f aca="false">A32+1</f>
        <v>28</v>
      </c>
      <c r="B33" s="36" t="n">
        <f aca="false">F32</f>
        <v>354645.763638219</v>
      </c>
      <c r="C33" s="36" t="n">
        <f aca="false">IF($A33&lt;=Deal!$B$12*12,Deal!$H$20,"")</f>
        <v>2359.27557626688</v>
      </c>
      <c r="D33" s="36" t="n">
        <f aca="false">IF($A33&lt;=Deal!$B$12*12,-PPMT(Deal!$B$11/12,$A33,Deal!$B$12*12,Deal!$H$7),"")</f>
        <v>364.393155801899</v>
      </c>
      <c r="E33" s="36" t="n">
        <f aca="false">IF($A33&lt;=Deal!$B$12*12,-IPMT(Deal!$B$11/12,$A33,Deal!$B$12*12,Deal!$H$7),"")</f>
        <v>1994.88242046498</v>
      </c>
      <c r="F33" s="36" t="n">
        <f aca="false">IF($A33&lt;=Deal!$B$12*12,B33-D33,"")</f>
        <v>354281.370482417</v>
      </c>
    </row>
    <row r="34" customFormat="false" ht="15" hidden="false" customHeight="true" outlineLevel="0" collapsed="false">
      <c r="A34" s="35" t="n">
        <f aca="false">A33+1</f>
        <v>29</v>
      </c>
      <c r="B34" s="36" t="n">
        <f aca="false">F33</f>
        <v>354281.370482417</v>
      </c>
      <c r="C34" s="36" t="n">
        <f aca="false">IF($A34&lt;=Deal!$B$12*12,Deal!$H$20,"")</f>
        <v>2359.27557626688</v>
      </c>
      <c r="D34" s="36" t="n">
        <f aca="false">IF($A34&lt;=Deal!$B$12*12,-PPMT(Deal!$B$11/12,$A34,Deal!$B$12*12,Deal!$H$7),"")</f>
        <v>366.442867303285</v>
      </c>
      <c r="E34" s="36" t="n">
        <f aca="false">IF($A34&lt;=Deal!$B$12*12,-IPMT(Deal!$B$11/12,$A34,Deal!$B$12*12,Deal!$H$7),"")</f>
        <v>1992.8327089636</v>
      </c>
      <c r="F34" s="36" t="n">
        <f aca="false">IF($A34&lt;=Deal!$B$12*12,B34-D34,"")</f>
        <v>353914.927615114</v>
      </c>
    </row>
    <row r="35" customFormat="false" ht="15" hidden="false" customHeight="true" outlineLevel="0" collapsed="false">
      <c r="A35" s="35" t="n">
        <f aca="false">A34+1</f>
        <v>30</v>
      </c>
      <c r="B35" s="36" t="n">
        <f aca="false">F34</f>
        <v>353914.927615114</v>
      </c>
      <c r="C35" s="36" t="n">
        <f aca="false">IF($A35&lt;=Deal!$B$12*12,Deal!$H$20,"")</f>
        <v>2359.27557626688</v>
      </c>
      <c r="D35" s="36" t="n">
        <f aca="false">IF($A35&lt;=Deal!$B$12*12,-PPMT(Deal!$B$11/12,$A35,Deal!$B$12*12,Deal!$H$7),"")</f>
        <v>368.504108431866</v>
      </c>
      <c r="E35" s="36" t="n">
        <f aca="false">IF($A35&lt;=Deal!$B$12*12,-IPMT(Deal!$B$11/12,$A35,Deal!$B$12*12,Deal!$H$7),"")</f>
        <v>1990.77146783502</v>
      </c>
      <c r="F35" s="36" t="n">
        <f aca="false">IF($A35&lt;=Deal!$B$12*12,B35-D35,"")</f>
        <v>353546.423506682</v>
      </c>
    </row>
    <row r="36" customFormat="false" ht="15" hidden="false" customHeight="true" outlineLevel="0" collapsed="false">
      <c r="A36" s="35" t="n">
        <f aca="false">A35+1</f>
        <v>31</v>
      </c>
      <c r="B36" s="36" t="n">
        <f aca="false">F35</f>
        <v>353546.423506682</v>
      </c>
      <c r="C36" s="36" t="n">
        <f aca="false">IF($A36&lt;=Deal!$B$12*12,Deal!$H$20,"")</f>
        <v>2359.27557626688</v>
      </c>
      <c r="D36" s="36" t="n">
        <f aca="false">IF($A36&lt;=Deal!$B$12*12,-PPMT(Deal!$B$11/12,$A36,Deal!$B$12*12,Deal!$H$7),"")</f>
        <v>370.576944041795</v>
      </c>
      <c r="E36" s="36" t="n">
        <f aca="false">IF($A36&lt;=Deal!$B$12*12,-IPMT(Deal!$B$11/12,$A36,Deal!$B$12*12,Deal!$H$7),"")</f>
        <v>1988.69863222509</v>
      </c>
      <c r="F36" s="36" t="n">
        <f aca="false">IF($A36&lt;=Deal!$B$12*12,B36-D36,"")</f>
        <v>353175.84656264</v>
      </c>
    </row>
    <row r="37" customFormat="false" ht="15" hidden="false" customHeight="true" outlineLevel="0" collapsed="false">
      <c r="A37" s="35" t="n">
        <f aca="false">A36+1</f>
        <v>32</v>
      </c>
      <c r="B37" s="36" t="n">
        <f aca="false">F36</f>
        <v>353175.84656264</v>
      </c>
      <c r="C37" s="36" t="n">
        <f aca="false">IF($A37&lt;=Deal!$B$12*12,Deal!$H$20,"")</f>
        <v>2359.27557626688</v>
      </c>
      <c r="D37" s="36" t="n">
        <f aca="false">IF($A37&lt;=Deal!$B$12*12,-PPMT(Deal!$B$11/12,$A37,Deal!$B$12*12,Deal!$H$7),"")</f>
        <v>372.66143935203</v>
      </c>
      <c r="E37" s="36" t="n">
        <f aca="false">IF($A37&lt;=Deal!$B$12*12,-IPMT(Deal!$B$11/12,$A37,Deal!$B$12*12,Deal!$H$7),"")</f>
        <v>1986.61413691485</v>
      </c>
      <c r="F37" s="36" t="n">
        <f aca="false">IF($A37&lt;=Deal!$B$12*12,B37-D37,"")</f>
        <v>352803.185123288</v>
      </c>
    </row>
    <row r="38" customFormat="false" ht="15" hidden="false" customHeight="true" outlineLevel="0" collapsed="false">
      <c r="A38" s="35" t="n">
        <f aca="false">A37+1</f>
        <v>33</v>
      </c>
      <c r="B38" s="36" t="n">
        <f aca="false">F37</f>
        <v>352803.185123288</v>
      </c>
      <c r="C38" s="36" t="n">
        <f aca="false">IF($A38&lt;=Deal!$B$12*12,Deal!$H$20,"")</f>
        <v>2359.27557626688</v>
      </c>
      <c r="D38" s="36" t="n">
        <f aca="false">IF($A38&lt;=Deal!$B$12*12,-PPMT(Deal!$B$11/12,$A38,Deal!$B$12*12,Deal!$H$7),"")</f>
        <v>374.757659948386</v>
      </c>
      <c r="E38" s="36" t="n">
        <f aca="false">IF($A38&lt;=Deal!$B$12*12,-IPMT(Deal!$B$11/12,$A38,Deal!$B$12*12,Deal!$H$7),"")</f>
        <v>1984.5179163185</v>
      </c>
      <c r="F38" s="36" t="n">
        <f aca="false">IF($A38&lt;=Deal!$B$12*12,B38-D38,"")</f>
        <v>352428.42746334</v>
      </c>
    </row>
    <row r="39" customFormat="false" ht="15" hidden="false" customHeight="true" outlineLevel="0" collapsed="false">
      <c r="A39" s="35" t="n">
        <f aca="false">A38+1</f>
        <v>34</v>
      </c>
      <c r="B39" s="36" t="n">
        <f aca="false">F38</f>
        <v>352428.42746334</v>
      </c>
      <c r="C39" s="36" t="n">
        <f aca="false">IF($A39&lt;=Deal!$B$12*12,Deal!$H$20,"")</f>
        <v>2359.27557626688</v>
      </c>
      <c r="D39" s="36" t="n">
        <f aca="false">IF($A39&lt;=Deal!$B$12*12,-PPMT(Deal!$B$11/12,$A39,Deal!$B$12*12,Deal!$H$7),"")</f>
        <v>376.865671785595</v>
      </c>
      <c r="E39" s="36" t="n">
        <f aca="false">IF($A39&lt;=Deal!$B$12*12,-IPMT(Deal!$B$11/12,$A39,Deal!$B$12*12,Deal!$H$7),"")</f>
        <v>1982.40990448129</v>
      </c>
      <c r="F39" s="36" t="n">
        <f aca="false">IF($A39&lt;=Deal!$B$12*12,B39-D39,"")</f>
        <v>352051.561791554</v>
      </c>
    </row>
    <row r="40" customFormat="false" ht="15" hidden="false" customHeight="true" outlineLevel="0" collapsed="false">
      <c r="A40" s="35" t="n">
        <f aca="false">A39+1</f>
        <v>35</v>
      </c>
      <c r="B40" s="36" t="n">
        <f aca="false">F39</f>
        <v>352051.561791554</v>
      </c>
      <c r="C40" s="36" t="n">
        <f aca="false">IF($A40&lt;=Deal!$B$12*12,Deal!$H$20,"")</f>
        <v>2359.27557626688</v>
      </c>
      <c r="D40" s="36" t="n">
        <f aca="false">IF($A40&lt;=Deal!$B$12*12,-PPMT(Deal!$B$11/12,$A40,Deal!$B$12*12,Deal!$H$7),"")</f>
        <v>378.985541189389</v>
      </c>
      <c r="E40" s="36" t="n">
        <f aca="false">IF($A40&lt;=Deal!$B$12*12,-IPMT(Deal!$B$11/12,$A40,Deal!$B$12*12,Deal!$H$7),"")</f>
        <v>1980.29003507749</v>
      </c>
      <c r="F40" s="36" t="n">
        <f aca="false">IF($A40&lt;=Deal!$B$12*12,B40-D40,"")</f>
        <v>351672.576250365</v>
      </c>
    </row>
    <row r="41" customFormat="false" ht="15" hidden="false" customHeight="true" outlineLevel="0" collapsed="false">
      <c r="A41" s="37" t="n">
        <f aca="false">A40+1</f>
        <v>36</v>
      </c>
      <c r="B41" s="38" t="n">
        <f aca="false">F40</f>
        <v>351672.576250365</v>
      </c>
      <c r="C41" s="38" t="n">
        <f aca="false">IF($A41&lt;=Deal!$B$12*12,Deal!$H$20,"")</f>
        <v>2359.27557626688</v>
      </c>
      <c r="D41" s="38" t="n">
        <f aca="false">IF($A41&lt;=Deal!$B$12*12,-PPMT(Deal!$B$11/12,$A41,Deal!$B$12*12,Deal!$H$7),"")</f>
        <v>381.117334858579</v>
      </c>
      <c r="E41" s="38" t="n">
        <f aca="false">IF($A41&lt;=Deal!$B$12*12,-IPMT(Deal!$B$11/12,$A41,Deal!$B$12*12,Deal!$H$7),"")</f>
        <v>1978.1582414083</v>
      </c>
      <c r="F41" s="38" t="n">
        <f aca="false">IF($A41&lt;=Deal!$B$12*12,B41-D41,"")</f>
        <v>351291.458915506</v>
      </c>
    </row>
    <row r="42" customFormat="false" ht="15" hidden="false" customHeight="true" outlineLevel="0" collapsed="false">
      <c r="A42" s="35" t="n">
        <f aca="false">A41+1</f>
        <v>37</v>
      </c>
      <c r="B42" s="36" t="n">
        <f aca="false">F41</f>
        <v>351291.458915506</v>
      </c>
      <c r="C42" s="36" t="n">
        <f aca="false">IF($A42&lt;=Deal!$B$12*12,Deal!$H$20,"")</f>
        <v>2359.27557626688</v>
      </c>
      <c r="D42" s="36" t="n">
        <f aca="false">IF($A42&lt;=Deal!$B$12*12,-PPMT(Deal!$B$11/12,$A42,Deal!$B$12*12,Deal!$H$7),"")</f>
        <v>383.261119867159</v>
      </c>
      <c r="E42" s="36" t="n">
        <f aca="false">IF($A42&lt;=Deal!$B$12*12,-IPMT(Deal!$B$11/12,$A42,Deal!$B$12*12,Deal!$H$7),"")</f>
        <v>1976.01445639972</v>
      </c>
      <c r="F42" s="36" t="n">
        <f aca="false">IF($A42&lt;=Deal!$B$12*12,B42-D42,"")</f>
        <v>350908.197795639</v>
      </c>
    </row>
    <row r="43" customFormat="false" ht="15" hidden="false" customHeight="true" outlineLevel="0" collapsed="false">
      <c r="A43" s="35" t="n">
        <f aca="false">A42+1</f>
        <v>38</v>
      </c>
      <c r="B43" s="36" t="n">
        <f aca="false">F42</f>
        <v>350908.197795639</v>
      </c>
      <c r="C43" s="36" t="n">
        <f aca="false">IF($A43&lt;=Deal!$B$12*12,Deal!$H$20,"")</f>
        <v>2359.27557626688</v>
      </c>
      <c r="D43" s="36" t="n">
        <f aca="false">IF($A43&lt;=Deal!$B$12*12,-PPMT(Deal!$B$11/12,$A43,Deal!$B$12*12,Deal!$H$7),"")</f>
        <v>385.416963666411</v>
      </c>
      <c r="E43" s="36" t="n">
        <f aca="false">IF($A43&lt;=Deal!$B$12*12,-IPMT(Deal!$B$11/12,$A43,Deal!$B$12*12,Deal!$H$7),"")</f>
        <v>1973.85861260047</v>
      </c>
      <c r="F43" s="36" t="n">
        <f aca="false">IF($A43&lt;=Deal!$B$12*12,B43-D43,"")</f>
        <v>350522.780831973</v>
      </c>
    </row>
    <row r="44" customFormat="false" ht="15" hidden="false" customHeight="true" outlineLevel="0" collapsed="false">
      <c r="A44" s="35" t="n">
        <f aca="false">A43+1</f>
        <v>39</v>
      </c>
      <c r="B44" s="36" t="n">
        <f aca="false">F43</f>
        <v>350522.780831973</v>
      </c>
      <c r="C44" s="36" t="n">
        <f aca="false">IF($A44&lt;=Deal!$B$12*12,Deal!$H$20,"")</f>
        <v>2359.27557626688</v>
      </c>
      <c r="D44" s="36" t="n">
        <f aca="false">IF($A44&lt;=Deal!$B$12*12,-PPMT(Deal!$B$11/12,$A44,Deal!$B$12*12,Deal!$H$7),"")</f>
        <v>387.584934087035</v>
      </c>
      <c r="E44" s="36" t="n">
        <f aca="false">IF($A44&lt;=Deal!$B$12*12,-IPMT(Deal!$B$11/12,$A44,Deal!$B$12*12,Deal!$H$7),"")</f>
        <v>1971.69064217985</v>
      </c>
      <c r="F44" s="36" t="n">
        <f aca="false">IF($A44&lt;=Deal!$B$12*12,B44-D44,"")</f>
        <v>350135.195897886</v>
      </c>
    </row>
    <row r="45" customFormat="false" ht="15" hidden="false" customHeight="true" outlineLevel="0" collapsed="false">
      <c r="A45" s="35" t="n">
        <f aca="false">A44+1</f>
        <v>40</v>
      </c>
      <c r="B45" s="36" t="n">
        <f aca="false">F44</f>
        <v>350135.195897886</v>
      </c>
      <c r="C45" s="36" t="n">
        <f aca="false">IF($A45&lt;=Deal!$B$12*12,Deal!$H$20,"")</f>
        <v>2359.27557626688</v>
      </c>
      <c r="D45" s="36" t="n">
        <f aca="false">IF($A45&lt;=Deal!$B$12*12,-PPMT(Deal!$B$11/12,$A45,Deal!$B$12*12,Deal!$H$7),"")</f>
        <v>389.765099341275</v>
      </c>
      <c r="E45" s="36" t="n">
        <f aca="false">IF($A45&lt;=Deal!$B$12*12,-IPMT(Deal!$B$11/12,$A45,Deal!$B$12*12,Deal!$H$7),"")</f>
        <v>1969.51047692561</v>
      </c>
      <c r="F45" s="36" t="n">
        <f aca="false">IF($A45&lt;=Deal!$B$12*12,B45-D45,"")</f>
        <v>349745.430798545</v>
      </c>
    </row>
    <row r="46" customFormat="false" ht="15" hidden="false" customHeight="true" outlineLevel="0" collapsed="false">
      <c r="A46" s="35" t="n">
        <f aca="false">A45+1</f>
        <v>41</v>
      </c>
      <c r="B46" s="36" t="n">
        <f aca="false">F45</f>
        <v>349745.430798545</v>
      </c>
      <c r="C46" s="36" t="n">
        <f aca="false">IF($A46&lt;=Deal!$B$12*12,Deal!$H$20,"")</f>
        <v>2359.27557626688</v>
      </c>
      <c r="D46" s="36" t="n">
        <f aca="false">IF($A46&lt;=Deal!$B$12*12,-PPMT(Deal!$B$11/12,$A46,Deal!$B$12*12,Deal!$H$7),"")</f>
        <v>391.957528025069</v>
      </c>
      <c r="E46" s="36" t="n">
        <f aca="false">IF($A46&lt;=Deal!$B$12*12,-IPMT(Deal!$B$11/12,$A46,Deal!$B$12*12,Deal!$H$7),"")</f>
        <v>1967.31804824181</v>
      </c>
      <c r="F46" s="36" t="n">
        <f aca="false">IF($A46&lt;=Deal!$B$12*12,B46-D46,"")</f>
        <v>349353.473270519</v>
      </c>
    </row>
    <row r="47" customFormat="false" ht="15" hidden="false" customHeight="true" outlineLevel="0" collapsed="false">
      <c r="A47" s="35" t="n">
        <f aca="false">A46+1</f>
        <v>42</v>
      </c>
      <c r="B47" s="36" t="n">
        <f aca="false">F46</f>
        <v>349353.473270519</v>
      </c>
      <c r="C47" s="36" t="n">
        <f aca="false">IF($A47&lt;=Deal!$B$12*12,Deal!$H$20,"")</f>
        <v>2359.27557626688</v>
      </c>
      <c r="D47" s="36" t="n">
        <f aca="false">IF($A47&lt;=Deal!$B$12*12,-PPMT(Deal!$B$11/12,$A47,Deal!$B$12*12,Deal!$H$7),"")</f>
        <v>394.162289120211</v>
      </c>
      <c r="E47" s="36" t="n">
        <f aca="false">IF($A47&lt;=Deal!$B$12*12,-IPMT(Deal!$B$11/12,$A47,Deal!$B$12*12,Deal!$H$7),"")</f>
        <v>1965.11328714667</v>
      </c>
      <c r="F47" s="36" t="n">
        <f aca="false">IF($A47&lt;=Deal!$B$12*12,B47-D47,"")</f>
        <v>348959.310981399</v>
      </c>
    </row>
    <row r="48" customFormat="false" ht="15" hidden="false" customHeight="true" outlineLevel="0" collapsed="false">
      <c r="A48" s="35" t="n">
        <f aca="false">A47+1</f>
        <v>43</v>
      </c>
      <c r="B48" s="36" t="n">
        <f aca="false">F47</f>
        <v>348959.310981399</v>
      </c>
      <c r="C48" s="36" t="n">
        <f aca="false">IF($A48&lt;=Deal!$B$12*12,Deal!$H$20,"")</f>
        <v>2359.27557626688</v>
      </c>
      <c r="D48" s="36" t="n">
        <f aca="false">IF($A48&lt;=Deal!$B$12*12,-PPMT(Deal!$B$11/12,$A48,Deal!$B$12*12,Deal!$H$7),"")</f>
        <v>396.379451996512</v>
      </c>
      <c r="E48" s="36" t="n">
        <f aca="false">IF($A48&lt;=Deal!$B$12*12,-IPMT(Deal!$B$11/12,$A48,Deal!$B$12*12,Deal!$H$7),"")</f>
        <v>1962.89612427037</v>
      </c>
      <c r="F48" s="36" t="n">
        <f aca="false">IF($A48&lt;=Deal!$B$12*12,B48-D48,"")</f>
        <v>348562.931529403</v>
      </c>
    </row>
    <row r="49" customFormat="false" ht="15" hidden="false" customHeight="true" outlineLevel="0" collapsed="false">
      <c r="A49" s="35" t="n">
        <f aca="false">A48+1</f>
        <v>44</v>
      </c>
      <c r="B49" s="36" t="n">
        <f aca="false">F48</f>
        <v>348562.931529403</v>
      </c>
      <c r="C49" s="36" t="n">
        <f aca="false">IF($A49&lt;=Deal!$B$12*12,Deal!$H$20,"")</f>
        <v>2359.27557626688</v>
      </c>
      <c r="D49" s="36" t="n">
        <f aca="false">IF($A49&lt;=Deal!$B$12*12,-PPMT(Deal!$B$11/12,$A49,Deal!$B$12*12,Deal!$H$7),"")</f>
        <v>398.609086413992</v>
      </c>
      <c r="E49" s="36" t="n">
        <f aca="false">IF($A49&lt;=Deal!$B$12*12,-IPMT(Deal!$B$11/12,$A49,Deal!$B$12*12,Deal!$H$7),"")</f>
        <v>1960.66648985289</v>
      </c>
      <c r="F49" s="36" t="n">
        <f aca="false">IF($A49&lt;=Deal!$B$12*12,B49-D49,"")</f>
        <v>348164.322442989</v>
      </c>
    </row>
    <row r="50" customFormat="false" ht="15" hidden="false" customHeight="true" outlineLevel="0" collapsed="false">
      <c r="A50" s="35" t="n">
        <f aca="false">A49+1</f>
        <v>45</v>
      </c>
      <c r="B50" s="36" t="n">
        <f aca="false">F49</f>
        <v>348164.322442989</v>
      </c>
      <c r="C50" s="36" t="n">
        <f aca="false">IF($A50&lt;=Deal!$B$12*12,Deal!$H$20,"")</f>
        <v>2359.27557626688</v>
      </c>
      <c r="D50" s="36" t="n">
        <f aca="false">IF($A50&lt;=Deal!$B$12*12,-PPMT(Deal!$B$11/12,$A50,Deal!$B$12*12,Deal!$H$7),"")</f>
        <v>400.851262525071</v>
      </c>
      <c r="E50" s="36" t="n">
        <f aca="false">IF($A50&lt;=Deal!$B$12*12,-IPMT(Deal!$B$11/12,$A50,Deal!$B$12*12,Deal!$H$7),"")</f>
        <v>1958.42431374181</v>
      </c>
      <c r="F50" s="36" t="n">
        <f aca="false">IF($A50&lt;=Deal!$B$12*12,B50-D50,"")</f>
        <v>347763.471180464</v>
      </c>
    </row>
    <row r="51" customFormat="false" ht="15" hidden="false" customHeight="true" outlineLevel="0" collapsed="false">
      <c r="A51" s="35" t="n">
        <f aca="false">A50+1</f>
        <v>46</v>
      </c>
      <c r="B51" s="36" t="n">
        <f aca="false">F50</f>
        <v>347763.471180464</v>
      </c>
      <c r="C51" s="36" t="n">
        <f aca="false">IF($A51&lt;=Deal!$B$12*12,Deal!$H$20,"")</f>
        <v>2359.27557626688</v>
      </c>
      <c r="D51" s="36" t="n">
        <f aca="false">IF($A51&lt;=Deal!$B$12*12,-PPMT(Deal!$B$11/12,$A51,Deal!$B$12*12,Deal!$H$7),"")</f>
        <v>403.106050876774</v>
      </c>
      <c r="E51" s="36" t="n">
        <f aca="false">IF($A51&lt;=Deal!$B$12*12,-IPMT(Deal!$B$11/12,$A51,Deal!$B$12*12,Deal!$H$7),"")</f>
        <v>1956.16952539011</v>
      </c>
      <c r="F51" s="36" t="n">
        <f aca="false">IF($A51&lt;=Deal!$B$12*12,B51-D51,"")</f>
        <v>347360.365129587</v>
      </c>
    </row>
    <row r="52" customFormat="false" ht="15" hidden="false" customHeight="true" outlineLevel="0" collapsed="false">
      <c r="A52" s="35" t="n">
        <f aca="false">A51+1</f>
        <v>47</v>
      </c>
      <c r="B52" s="36" t="n">
        <f aca="false">F51</f>
        <v>347360.365129587</v>
      </c>
      <c r="C52" s="36" t="n">
        <f aca="false">IF($A52&lt;=Deal!$B$12*12,Deal!$H$20,"")</f>
        <v>2359.27557626688</v>
      </c>
      <c r="D52" s="36" t="n">
        <f aca="false">IF($A52&lt;=Deal!$B$12*12,-PPMT(Deal!$B$11/12,$A52,Deal!$B$12*12,Deal!$H$7),"")</f>
        <v>405.373522412956</v>
      </c>
      <c r="E52" s="36" t="n">
        <f aca="false">IF($A52&lt;=Deal!$B$12*12,-IPMT(Deal!$B$11/12,$A52,Deal!$B$12*12,Deal!$H$7),"")</f>
        <v>1953.90205385393</v>
      </c>
      <c r="F52" s="36" t="n">
        <f aca="false">IF($A52&lt;=Deal!$B$12*12,B52-D52,"")</f>
        <v>346954.991607174</v>
      </c>
    </row>
    <row r="53" customFormat="false" ht="15" hidden="false" customHeight="true" outlineLevel="0" collapsed="false">
      <c r="A53" s="37" t="n">
        <f aca="false">A52+1</f>
        <v>48</v>
      </c>
      <c r="B53" s="38" t="n">
        <f aca="false">F52</f>
        <v>346954.991607174</v>
      </c>
      <c r="C53" s="38" t="n">
        <f aca="false">IF($A53&lt;=Deal!$B$12*12,Deal!$H$20,"")</f>
        <v>2359.27557626688</v>
      </c>
      <c r="D53" s="38" t="n">
        <f aca="false">IF($A53&lt;=Deal!$B$12*12,-PPMT(Deal!$B$11/12,$A53,Deal!$B$12*12,Deal!$H$7),"")</f>
        <v>407.653748476529</v>
      </c>
      <c r="E53" s="38" t="n">
        <f aca="false">IF($A53&lt;=Deal!$B$12*12,-IPMT(Deal!$B$11/12,$A53,Deal!$B$12*12,Deal!$H$7),"")</f>
        <v>1951.62182779035</v>
      </c>
      <c r="F53" s="38" t="n">
        <f aca="false">IF($A53&lt;=Deal!$B$12*12,B53-D53,"")</f>
        <v>346547.337858697</v>
      </c>
    </row>
    <row r="54" customFormat="false" ht="15" hidden="false" customHeight="true" outlineLevel="0" collapsed="false">
      <c r="A54" s="35" t="n">
        <f aca="false">A53+1</f>
        <v>49</v>
      </c>
      <c r="B54" s="36" t="n">
        <f aca="false">F53</f>
        <v>346547.337858697</v>
      </c>
      <c r="C54" s="36" t="n">
        <f aca="false">IF($A54&lt;=Deal!$B$12*12,Deal!$H$20,"")</f>
        <v>2359.27557626688</v>
      </c>
      <c r="D54" s="36" t="n">
        <f aca="false">IF($A54&lt;=Deal!$B$12*12,-PPMT(Deal!$B$11/12,$A54,Deal!$B$12*12,Deal!$H$7),"")</f>
        <v>409.94680081171</v>
      </c>
      <c r="E54" s="36" t="n">
        <f aca="false">IF($A54&lt;=Deal!$B$12*12,-IPMT(Deal!$B$11/12,$A54,Deal!$B$12*12,Deal!$H$7),"")</f>
        <v>1949.32877545517</v>
      </c>
      <c r="F54" s="36" t="n">
        <f aca="false">IF($A54&lt;=Deal!$B$12*12,B54-D54,"")</f>
        <v>346137.391057886</v>
      </c>
    </row>
    <row r="55" customFormat="false" ht="15" hidden="false" customHeight="true" outlineLevel="0" collapsed="false">
      <c r="A55" s="35" t="n">
        <f aca="false">A54+1</f>
        <v>50</v>
      </c>
      <c r="B55" s="36" t="n">
        <f aca="false">F54</f>
        <v>346137.391057886</v>
      </c>
      <c r="C55" s="36" t="n">
        <f aca="false">IF($A55&lt;=Deal!$B$12*12,Deal!$H$20,"")</f>
        <v>2359.27557626688</v>
      </c>
      <c r="D55" s="36" t="n">
        <f aca="false">IF($A55&lt;=Deal!$B$12*12,-PPMT(Deal!$B$11/12,$A55,Deal!$B$12*12,Deal!$H$7),"")</f>
        <v>412.252751566275</v>
      </c>
      <c r="E55" s="36" t="n">
        <f aca="false">IF($A55&lt;=Deal!$B$12*12,-IPMT(Deal!$B$11/12,$A55,Deal!$B$12*12,Deal!$H$7),"")</f>
        <v>1947.02282470061</v>
      </c>
      <c r="F55" s="36" t="n">
        <f aca="false">IF($A55&lt;=Deal!$B$12*12,B55-D55,"")</f>
        <v>345725.138306319</v>
      </c>
    </row>
    <row r="56" customFormat="false" ht="15" hidden="false" customHeight="true" outlineLevel="0" collapsed="false">
      <c r="A56" s="35" t="n">
        <f aca="false">A55+1</f>
        <v>51</v>
      </c>
      <c r="B56" s="36" t="n">
        <f aca="false">F55</f>
        <v>345725.138306319</v>
      </c>
      <c r="C56" s="36" t="n">
        <f aca="false">IF($A56&lt;=Deal!$B$12*12,Deal!$H$20,"")</f>
        <v>2359.27557626688</v>
      </c>
      <c r="D56" s="36" t="n">
        <f aca="false">IF($A56&lt;=Deal!$B$12*12,-PPMT(Deal!$B$11/12,$A56,Deal!$B$12*12,Deal!$H$7),"")</f>
        <v>414.571673293836</v>
      </c>
      <c r="E56" s="36" t="n">
        <f aca="false">IF($A56&lt;=Deal!$B$12*12,-IPMT(Deal!$B$11/12,$A56,Deal!$B$12*12,Deal!$H$7),"")</f>
        <v>1944.70390297305</v>
      </c>
      <c r="F56" s="36" t="n">
        <f aca="false">IF($A56&lt;=Deal!$B$12*12,B56-D56,"")</f>
        <v>345310.566633026</v>
      </c>
    </row>
    <row r="57" customFormat="false" ht="15" hidden="false" customHeight="true" outlineLevel="0" collapsed="false">
      <c r="A57" s="35" t="n">
        <f aca="false">A56+1</f>
        <v>52</v>
      </c>
      <c r="B57" s="36" t="n">
        <f aca="false">F56</f>
        <v>345310.566633026</v>
      </c>
      <c r="C57" s="36" t="n">
        <f aca="false">IF($A57&lt;=Deal!$B$12*12,Deal!$H$20,"")</f>
        <v>2359.27557626688</v>
      </c>
      <c r="D57" s="36" t="n">
        <f aca="false">IF($A57&lt;=Deal!$B$12*12,-PPMT(Deal!$B$11/12,$A57,Deal!$B$12*12,Deal!$H$7),"")</f>
        <v>416.903638956113</v>
      </c>
      <c r="E57" s="36" t="n">
        <f aca="false">IF($A57&lt;=Deal!$B$12*12,-IPMT(Deal!$B$11/12,$A57,Deal!$B$12*12,Deal!$H$7),"")</f>
        <v>1942.37193731077</v>
      </c>
      <c r="F57" s="36" t="n">
        <f aca="false">IF($A57&lt;=Deal!$B$12*12,B57-D57,"")</f>
        <v>344893.662994069</v>
      </c>
    </row>
    <row r="58" customFormat="false" ht="15" hidden="false" customHeight="true" outlineLevel="0" collapsed="false">
      <c r="A58" s="35" t="n">
        <f aca="false">A57+1</f>
        <v>53</v>
      </c>
      <c r="B58" s="36" t="n">
        <f aca="false">F57</f>
        <v>344893.662994069</v>
      </c>
      <c r="C58" s="36" t="n">
        <f aca="false">IF($A58&lt;=Deal!$B$12*12,Deal!$H$20,"")</f>
        <v>2359.27557626688</v>
      </c>
      <c r="D58" s="36" t="n">
        <f aca="false">IF($A58&lt;=Deal!$B$12*12,-PPMT(Deal!$B$11/12,$A58,Deal!$B$12*12,Deal!$H$7),"")</f>
        <v>419.248721925241</v>
      </c>
      <c r="E58" s="36" t="n">
        <f aca="false">IF($A58&lt;=Deal!$B$12*12,-IPMT(Deal!$B$11/12,$A58,Deal!$B$12*12,Deal!$H$7),"")</f>
        <v>1940.02685434164</v>
      </c>
      <c r="F58" s="36" t="n">
        <f aca="false">IF($A58&lt;=Deal!$B$12*12,B58-D58,"")</f>
        <v>344474.414272144</v>
      </c>
    </row>
    <row r="59" customFormat="false" ht="15" hidden="false" customHeight="true" outlineLevel="0" collapsed="false">
      <c r="A59" s="35" t="n">
        <f aca="false">A58+1</f>
        <v>54</v>
      </c>
      <c r="B59" s="36" t="n">
        <f aca="false">F58</f>
        <v>344474.414272144</v>
      </c>
      <c r="C59" s="36" t="n">
        <f aca="false">IF($A59&lt;=Deal!$B$12*12,Deal!$H$20,"")</f>
        <v>2359.27557626688</v>
      </c>
      <c r="D59" s="36" t="n">
        <f aca="false">IF($A59&lt;=Deal!$B$12*12,-PPMT(Deal!$B$11/12,$A59,Deal!$B$12*12,Deal!$H$7),"")</f>
        <v>421.606995986071</v>
      </c>
      <c r="E59" s="36" t="n">
        <f aca="false">IF($A59&lt;=Deal!$B$12*12,-IPMT(Deal!$B$11/12,$A59,Deal!$B$12*12,Deal!$H$7),"")</f>
        <v>1937.66858028081</v>
      </c>
      <c r="F59" s="36" t="n">
        <f aca="false">IF($A59&lt;=Deal!$B$12*12,B59-D59,"")</f>
        <v>344052.807276158</v>
      </c>
    </row>
    <row r="60" customFormat="false" ht="15" hidden="false" customHeight="true" outlineLevel="0" collapsed="false">
      <c r="A60" s="35" t="n">
        <f aca="false">A59+1</f>
        <v>55</v>
      </c>
      <c r="B60" s="36" t="n">
        <f aca="false">F59</f>
        <v>344052.807276158</v>
      </c>
      <c r="C60" s="36" t="n">
        <f aca="false">IF($A60&lt;=Deal!$B$12*12,Deal!$H$20,"")</f>
        <v>2359.27557626688</v>
      </c>
      <c r="D60" s="36" t="n">
        <f aca="false">IF($A60&lt;=Deal!$B$12*12,-PPMT(Deal!$B$11/12,$A60,Deal!$B$12*12,Deal!$H$7),"")</f>
        <v>423.978535338493</v>
      </c>
      <c r="E60" s="36" t="n">
        <f aca="false">IF($A60&lt;=Deal!$B$12*12,-IPMT(Deal!$B$11/12,$A60,Deal!$B$12*12,Deal!$H$7),"")</f>
        <v>1935.29704092839</v>
      </c>
      <c r="F60" s="36" t="n">
        <f aca="false">IF($A60&lt;=Deal!$B$12*12,B60-D60,"")</f>
        <v>343628.82874082</v>
      </c>
    </row>
    <row r="61" customFormat="false" ht="15" hidden="false" customHeight="true" outlineLevel="0" collapsed="false">
      <c r="A61" s="35" t="n">
        <f aca="false">A60+1</f>
        <v>56</v>
      </c>
      <c r="B61" s="36" t="n">
        <f aca="false">F60</f>
        <v>343628.82874082</v>
      </c>
      <c r="C61" s="36" t="n">
        <f aca="false">IF($A61&lt;=Deal!$B$12*12,Deal!$H$20,"")</f>
        <v>2359.27557626688</v>
      </c>
      <c r="D61" s="36" t="n">
        <f aca="false">IF($A61&lt;=Deal!$B$12*12,-PPMT(Deal!$B$11/12,$A61,Deal!$B$12*12,Deal!$H$7),"")</f>
        <v>426.363414599772</v>
      </c>
      <c r="E61" s="36" t="n">
        <f aca="false">IF($A61&lt;=Deal!$B$12*12,-IPMT(Deal!$B$11/12,$A61,Deal!$B$12*12,Deal!$H$7),"")</f>
        <v>1932.91216166711</v>
      </c>
      <c r="F61" s="36" t="n">
        <f aca="false">IF($A61&lt;=Deal!$B$12*12,B61-D61,"")</f>
        <v>343202.46532622</v>
      </c>
    </row>
    <row r="62" customFormat="false" ht="15" hidden="false" customHeight="true" outlineLevel="0" collapsed="false">
      <c r="A62" s="35" t="n">
        <f aca="false">A61+1</f>
        <v>57</v>
      </c>
      <c r="B62" s="36" t="n">
        <f aca="false">F61</f>
        <v>343202.46532622</v>
      </c>
      <c r="C62" s="36" t="n">
        <f aca="false">IF($A62&lt;=Deal!$B$12*12,Deal!$H$20,"")</f>
        <v>2359.27557626688</v>
      </c>
      <c r="D62" s="36" t="n">
        <f aca="false">IF($A62&lt;=Deal!$B$12*12,-PPMT(Deal!$B$11/12,$A62,Deal!$B$12*12,Deal!$H$7),"")</f>
        <v>428.761708806896</v>
      </c>
      <c r="E62" s="36" t="n">
        <f aca="false">IF($A62&lt;=Deal!$B$12*12,-IPMT(Deal!$B$11/12,$A62,Deal!$B$12*12,Deal!$H$7),"")</f>
        <v>1930.51386745999</v>
      </c>
      <c r="F62" s="36" t="n">
        <f aca="false">IF($A62&lt;=Deal!$B$12*12,B62-D62,"")</f>
        <v>342773.703617413</v>
      </c>
    </row>
    <row r="63" customFormat="false" ht="15" hidden="false" customHeight="true" outlineLevel="0" collapsed="false">
      <c r="A63" s="35" t="n">
        <f aca="false">A62+1</f>
        <v>58</v>
      </c>
      <c r="B63" s="36" t="n">
        <f aca="false">F62</f>
        <v>342773.703617413</v>
      </c>
      <c r="C63" s="36" t="n">
        <f aca="false">IF($A63&lt;=Deal!$B$12*12,Deal!$H$20,"")</f>
        <v>2359.27557626688</v>
      </c>
      <c r="D63" s="36" t="n">
        <f aca="false">IF($A63&lt;=Deal!$B$12*12,-PPMT(Deal!$B$11/12,$A63,Deal!$B$12*12,Deal!$H$7),"")</f>
        <v>431.173493418934</v>
      </c>
      <c r="E63" s="36" t="n">
        <f aca="false">IF($A63&lt;=Deal!$B$12*12,-IPMT(Deal!$B$11/12,$A63,Deal!$B$12*12,Deal!$H$7),"")</f>
        <v>1928.10208284795</v>
      </c>
      <c r="F63" s="36" t="n">
        <f aca="false">IF($A63&lt;=Deal!$B$12*12,B63-D63,"")</f>
        <v>342342.530123994</v>
      </c>
    </row>
    <row r="64" customFormat="false" ht="15" hidden="false" customHeight="true" outlineLevel="0" collapsed="false">
      <c r="A64" s="35" t="n">
        <f aca="false">A63+1</f>
        <v>59</v>
      </c>
      <c r="B64" s="36" t="n">
        <f aca="false">F63</f>
        <v>342342.530123994</v>
      </c>
      <c r="C64" s="36" t="n">
        <f aca="false">IF($A64&lt;=Deal!$B$12*12,Deal!$H$20,"")</f>
        <v>2359.27557626688</v>
      </c>
      <c r="D64" s="36" t="n">
        <f aca="false">IF($A64&lt;=Deal!$B$12*12,-PPMT(Deal!$B$11/12,$A64,Deal!$B$12*12,Deal!$H$7),"")</f>
        <v>433.598844319416</v>
      </c>
      <c r="E64" s="36" t="n">
        <f aca="false">IF($A64&lt;=Deal!$B$12*12,-IPMT(Deal!$B$11/12,$A64,Deal!$B$12*12,Deal!$H$7),"")</f>
        <v>1925.67673194747</v>
      </c>
      <c r="F64" s="36" t="n">
        <f aca="false">IF($A64&lt;=Deal!$B$12*12,B64-D64,"")</f>
        <v>341908.931279675</v>
      </c>
    </row>
    <row r="65" customFormat="false" ht="15" hidden="false" customHeight="true" outlineLevel="0" collapsed="false">
      <c r="A65" s="37" t="n">
        <f aca="false">A64+1</f>
        <v>60</v>
      </c>
      <c r="B65" s="38" t="n">
        <f aca="false">F64</f>
        <v>341908.931279675</v>
      </c>
      <c r="C65" s="38" t="n">
        <f aca="false">IF($A65&lt;=Deal!$B$12*12,Deal!$H$20,"")</f>
        <v>2359.27557626688</v>
      </c>
      <c r="D65" s="38" t="n">
        <f aca="false">IF($A65&lt;=Deal!$B$12*12,-PPMT(Deal!$B$11/12,$A65,Deal!$B$12*12,Deal!$H$7),"")</f>
        <v>436.037837818712</v>
      </c>
      <c r="E65" s="38" t="n">
        <f aca="false">IF($A65&lt;=Deal!$B$12*12,-IPMT(Deal!$B$11/12,$A65,Deal!$B$12*12,Deal!$H$7),"")</f>
        <v>1923.23773844817</v>
      </c>
      <c r="F65" s="38" t="n">
        <f aca="false">IF($A65&lt;=Deal!$B$12*12,B65-D65,"")</f>
        <v>341472.893441856</v>
      </c>
    </row>
    <row r="66" customFormat="false" ht="15" hidden="false" customHeight="true" outlineLevel="0" collapsed="false">
      <c r="A66" s="35" t="n">
        <f aca="false">A65+1</f>
        <v>61</v>
      </c>
      <c r="B66" s="36" t="n">
        <f aca="false">F65</f>
        <v>341472.893441856</v>
      </c>
      <c r="C66" s="36" t="n">
        <f aca="false">IF($A66&lt;=Deal!$B$12*12,Deal!$H$20,"")</f>
        <v>2359.27557626688</v>
      </c>
      <c r="D66" s="36" t="n">
        <f aca="false">IF($A66&lt;=Deal!$B$12*12,-PPMT(Deal!$B$11/12,$A66,Deal!$B$12*12,Deal!$H$7),"")</f>
        <v>438.490550656443</v>
      </c>
      <c r="E66" s="36" t="n">
        <f aca="false">IF($A66&lt;=Deal!$B$12*12,-IPMT(Deal!$B$11/12,$A66,Deal!$B$12*12,Deal!$H$7),"")</f>
        <v>1920.78502561044</v>
      </c>
      <c r="F66" s="36" t="n">
        <f aca="false">IF($A66&lt;=Deal!$B$12*12,B66-D66,"")</f>
        <v>341034.402891199</v>
      </c>
    </row>
    <row r="67" customFormat="false" ht="15" hidden="false" customHeight="true" outlineLevel="0" collapsed="false">
      <c r="A67" s="35" t="n">
        <f aca="false">A66+1</f>
        <v>62</v>
      </c>
      <c r="B67" s="36" t="n">
        <f aca="false">F66</f>
        <v>341034.402891199</v>
      </c>
      <c r="C67" s="36" t="n">
        <f aca="false">IF($A67&lt;=Deal!$B$12*12,Deal!$H$20,"")</f>
        <v>2359.27557626688</v>
      </c>
      <c r="D67" s="36" t="n">
        <f aca="false">IF($A67&lt;=Deal!$B$12*12,-PPMT(Deal!$B$11/12,$A67,Deal!$B$12*12,Deal!$H$7),"")</f>
        <v>440.957060003885</v>
      </c>
      <c r="E67" s="36" t="n">
        <f aca="false">IF($A67&lt;=Deal!$B$12*12,-IPMT(Deal!$B$11/12,$A67,Deal!$B$12*12,Deal!$H$7),"")</f>
        <v>1918.318516263</v>
      </c>
      <c r="F67" s="36" t="n">
        <f aca="false">IF($A67&lt;=Deal!$B$12*12,B67-D67,"")</f>
        <v>340593.445831196</v>
      </c>
    </row>
    <row r="68" customFormat="false" ht="15" hidden="false" customHeight="true" outlineLevel="0" collapsed="false">
      <c r="A68" s="35" t="n">
        <f aca="false">A67+1</f>
        <v>63</v>
      </c>
      <c r="B68" s="36" t="n">
        <f aca="false">F67</f>
        <v>340593.445831196</v>
      </c>
      <c r="C68" s="36" t="n">
        <f aca="false">IF($A68&lt;=Deal!$B$12*12,Deal!$H$20,"")</f>
        <v>2359.27557626688</v>
      </c>
      <c r="D68" s="36" t="n">
        <f aca="false">IF($A68&lt;=Deal!$B$12*12,-PPMT(Deal!$B$11/12,$A68,Deal!$B$12*12,Deal!$H$7),"")</f>
        <v>443.437443466407</v>
      </c>
      <c r="E68" s="36" t="n">
        <f aca="false">IF($A68&lt;=Deal!$B$12*12,-IPMT(Deal!$B$11/12,$A68,Deal!$B$12*12,Deal!$H$7),"")</f>
        <v>1915.83813280048</v>
      </c>
      <c r="F68" s="36" t="n">
        <f aca="false">IF($A68&lt;=Deal!$B$12*12,B68-D68,"")</f>
        <v>340150.008387729</v>
      </c>
    </row>
    <row r="69" customFormat="false" ht="15" hidden="false" customHeight="true" outlineLevel="0" collapsed="false">
      <c r="A69" s="35" t="n">
        <f aca="false">A68+1</f>
        <v>64</v>
      </c>
      <c r="B69" s="36" t="n">
        <f aca="false">F68</f>
        <v>340150.008387729</v>
      </c>
      <c r="C69" s="36" t="n">
        <f aca="false">IF($A69&lt;=Deal!$B$12*12,Deal!$H$20,"")</f>
        <v>2359.27557626688</v>
      </c>
      <c r="D69" s="36" t="n">
        <f aca="false">IF($A69&lt;=Deal!$B$12*12,-PPMT(Deal!$B$11/12,$A69,Deal!$B$12*12,Deal!$H$7),"")</f>
        <v>445.931779085906</v>
      </c>
      <c r="E69" s="36" t="n">
        <f aca="false">IF($A69&lt;=Deal!$B$12*12,-IPMT(Deal!$B$11/12,$A69,Deal!$B$12*12,Deal!$H$7),"")</f>
        <v>1913.34379718098</v>
      </c>
      <c r="F69" s="36" t="n">
        <f aca="false">IF($A69&lt;=Deal!$B$12*12,B69-D69,"")</f>
        <v>339704.076608643</v>
      </c>
    </row>
    <row r="70" customFormat="false" ht="15" hidden="false" customHeight="true" outlineLevel="0" collapsed="false">
      <c r="A70" s="35" t="n">
        <f aca="false">A69+1</f>
        <v>65</v>
      </c>
      <c r="B70" s="36" t="n">
        <f aca="false">F69</f>
        <v>339704.076608643</v>
      </c>
      <c r="C70" s="36" t="n">
        <f aca="false">IF($A70&lt;=Deal!$B$12*12,Deal!$H$20,"")</f>
        <v>2359.27557626688</v>
      </c>
      <c r="D70" s="36" t="n">
        <f aca="false">IF($A70&lt;=Deal!$B$12*12,-PPMT(Deal!$B$11/12,$A70,Deal!$B$12*12,Deal!$H$7),"")</f>
        <v>448.440145343264</v>
      </c>
      <c r="E70" s="36" t="n">
        <f aca="false">IF($A70&lt;=Deal!$B$12*12,-IPMT(Deal!$B$11/12,$A70,Deal!$B$12*12,Deal!$H$7),"")</f>
        <v>1910.83543092362</v>
      </c>
      <c r="F70" s="36" t="n">
        <f aca="false">IF($A70&lt;=Deal!$B$12*12,B70-D70,"")</f>
        <v>339255.6364633</v>
      </c>
    </row>
    <row r="71" customFormat="false" ht="15" hidden="false" customHeight="true" outlineLevel="0" collapsed="false">
      <c r="A71" s="35" t="n">
        <f aca="false">A70+1</f>
        <v>66</v>
      </c>
      <c r="B71" s="36" t="n">
        <f aca="false">F70</f>
        <v>339255.6364633</v>
      </c>
      <c r="C71" s="36" t="n">
        <f aca="false">IF($A71&lt;=Deal!$B$12*12,Deal!$H$20,"")</f>
        <v>2359.27557626688</v>
      </c>
      <c r="D71" s="36" t="n">
        <f aca="false">IF($A71&lt;=Deal!$B$12*12,-PPMT(Deal!$B$11/12,$A71,Deal!$B$12*12,Deal!$H$7),"")</f>
        <v>450.96262116082</v>
      </c>
      <c r="E71" s="36" t="n">
        <f aca="false">IF($A71&lt;=Deal!$B$12*12,-IPMT(Deal!$B$11/12,$A71,Deal!$B$12*12,Deal!$H$7),"")</f>
        <v>1908.31295510606</v>
      </c>
      <c r="F71" s="36" t="n">
        <f aca="false">IF($A71&lt;=Deal!$B$12*12,B71-D71,"")</f>
        <v>338804.673842139</v>
      </c>
    </row>
    <row r="72" customFormat="false" ht="15" hidden="false" customHeight="true" outlineLevel="0" collapsed="false">
      <c r="A72" s="35" t="n">
        <f aca="false">A71+1</f>
        <v>67</v>
      </c>
      <c r="B72" s="36" t="n">
        <f aca="false">F71</f>
        <v>338804.673842139</v>
      </c>
      <c r="C72" s="36" t="n">
        <f aca="false">IF($A72&lt;=Deal!$B$12*12,Deal!$H$20,"")</f>
        <v>2359.27557626688</v>
      </c>
      <c r="D72" s="36" t="n">
        <f aca="false">IF($A72&lt;=Deal!$B$12*12,-PPMT(Deal!$B$11/12,$A72,Deal!$B$12*12,Deal!$H$7),"")</f>
        <v>453.499285904849</v>
      </c>
      <c r="E72" s="36" t="n">
        <f aca="false">IF($A72&lt;=Deal!$B$12*12,-IPMT(Deal!$B$11/12,$A72,Deal!$B$12*12,Deal!$H$7),"")</f>
        <v>1905.77629036203</v>
      </c>
      <c r="F72" s="36" t="n">
        <f aca="false">IF($A72&lt;=Deal!$B$12*12,B72-D72,"")</f>
        <v>338351.174556234</v>
      </c>
    </row>
    <row r="73" customFormat="false" ht="15" hidden="false" customHeight="true" outlineLevel="0" collapsed="false">
      <c r="A73" s="35" t="n">
        <f aca="false">A72+1</f>
        <v>68</v>
      </c>
      <c r="B73" s="36" t="n">
        <f aca="false">F72</f>
        <v>338351.174556234</v>
      </c>
      <c r="C73" s="36" t="n">
        <f aca="false">IF($A73&lt;=Deal!$B$12*12,Deal!$H$20,"")</f>
        <v>2359.27557626688</v>
      </c>
      <c r="D73" s="36" t="n">
        <f aca="false">IF($A73&lt;=Deal!$B$12*12,-PPMT(Deal!$B$11/12,$A73,Deal!$B$12*12,Deal!$H$7),"")</f>
        <v>456.050219388064</v>
      </c>
      <c r="E73" s="36" t="n">
        <f aca="false">IF($A73&lt;=Deal!$B$12*12,-IPMT(Deal!$B$11/12,$A73,Deal!$B$12*12,Deal!$H$7),"")</f>
        <v>1903.22535687882</v>
      </c>
      <c r="F73" s="36" t="n">
        <f aca="false">IF($A73&lt;=Deal!$B$12*12,B73-D73,"")</f>
        <v>337895.124336846</v>
      </c>
    </row>
    <row r="74" customFormat="false" ht="15" hidden="false" customHeight="true" outlineLevel="0" collapsed="false">
      <c r="A74" s="35" t="n">
        <f aca="false">A73+1</f>
        <v>69</v>
      </c>
      <c r="B74" s="36" t="n">
        <f aca="false">F73</f>
        <v>337895.124336846</v>
      </c>
      <c r="C74" s="36" t="n">
        <f aca="false">IF($A74&lt;=Deal!$B$12*12,Deal!$H$20,"")</f>
        <v>2359.27557626688</v>
      </c>
      <c r="D74" s="36" t="n">
        <f aca="false">IF($A74&lt;=Deal!$B$12*12,-PPMT(Deal!$B$11/12,$A74,Deal!$B$12*12,Deal!$H$7),"")</f>
        <v>458.615501872122</v>
      </c>
      <c r="E74" s="36" t="n">
        <f aca="false">IF($A74&lt;=Deal!$B$12*12,-IPMT(Deal!$B$11/12,$A74,Deal!$B$12*12,Deal!$H$7),"")</f>
        <v>1900.66007439476</v>
      </c>
      <c r="F74" s="36" t="n">
        <f aca="false">IF($A74&lt;=Deal!$B$12*12,B74-D74,"")</f>
        <v>337436.508834974</v>
      </c>
    </row>
    <row r="75" customFormat="false" ht="15" hidden="false" customHeight="true" outlineLevel="0" collapsed="false">
      <c r="A75" s="35" t="n">
        <f aca="false">A74+1</f>
        <v>70</v>
      </c>
      <c r="B75" s="36" t="n">
        <f aca="false">F74</f>
        <v>337436.508834974</v>
      </c>
      <c r="C75" s="36" t="n">
        <f aca="false">IF($A75&lt;=Deal!$B$12*12,Deal!$H$20,"")</f>
        <v>2359.27557626688</v>
      </c>
      <c r="D75" s="36" t="n">
        <f aca="false">IF($A75&lt;=Deal!$B$12*12,-PPMT(Deal!$B$11/12,$A75,Deal!$B$12*12,Deal!$H$7),"")</f>
        <v>461.195214070153</v>
      </c>
      <c r="E75" s="36" t="n">
        <f aca="false">IF($A75&lt;=Deal!$B$12*12,-IPMT(Deal!$B$11/12,$A75,Deal!$B$12*12,Deal!$H$7),"")</f>
        <v>1898.08036219673</v>
      </c>
      <c r="F75" s="36" t="n">
        <f aca="false">IF($A75&lt;=Deal!$B$12*12,B75-D75,"")</f>
        <v>336975.313620904</v>
      </c>
    </row>
    <row r="76" customFormat="false" ht="15" hidden="false" customHeight="true" outlineLevel="0" collapsed="false">
      <c r="A76" s="35" t="n">
        <f aca="false">A75+1</f>
        <v>71</v>
      </c>
      <c r="B76" s="36" t="n">
        <f aca="false">F75</f>
        <v>336975.313620904</v>
      </c>
      <c r="C76" s="36" t="n">
        <f aca="false">IF($A76&lt;=Deal!$B$12*12,Deal!$H$20,"")</f>
        <v>2359.27557626688</v>
      </c>
      <c r="D76" s="36" t="n">
        <f aca="false">IF($A76&lt;=Deal!$B$12*12,-PPMT(Deal!$B$11/12,$A76,Deal!$B$12*12,Deal!$H$7),"")</f>
        <v>463.789437149297</v>
      </c>
      <c r="E76" s="36" t="n">
        <f aca="false">IF($A76&lt;=Deal!$B$12*12,-IPMT(Deal!$B$11/12,$A76,Deal!$B$12*12,Deal!$H$7),"")</f>
        <v>1895.48613911759</v>
      </c>
      <c r="F76" s="36" t="n">
        <f aca="false">IF($A76&lt;=Deal!$B$12*12,B76-D76,"")</f>
        <v>336511.524183755</v>
      </c>
    </row>
    <row r="77" customFormat="false" ht="15" hidden="false" customHeight="true" outlineLevel="0" collapsed="false">
      <c r="A77" s="37" t="n">
        <f aca="false">A76+1</f>
        <v>72</v>
      </c>
      <c r="B77" s="38" t="n">
        <f aca="false">F76</f>
        <v>336511.524183755</v>
      </c>
      <c r="C77" s="38" t="n">
        <f aca="false">IF($A77&lt;=Deal!$B$12*12,Deal!$H$20,"")</f>
        <v>2359.27557626688</v>
      </c>
      <c r="D77" s="38" t="n">
        <f aca="false">IF($A77&lt;=Deal!$B$12*12,-PPMT(Deal!$B$11/12,$A77,Deal!$B$12*12,Deal!$H$7),"")</f>
        <v>466.398252733262</v>
      </c>
      <c r="E77" s="38" t="n">
        <f aca="false">IF($A77&lt;=Deal!$B$12*12,-IPMT(Deal!$B$11/12,$A77,Deal!$B$12*12,Deal!$H$7),"")</f>
        <v>1892.87732353362</v>
      </c>
      <c r="F77" s="38" t="n">
        <f aca="false">IF($A77&lt;=Deal!$B$12*12,B77-D77,"")</f>
        <v>336045.125931021</v>
      </c>
    </row>
    <row r="78" customFormat="false" ht="15" hidden="false" customHeight="true" outlineLevel="0" collapsed="false">
      <c r="A78" s="35" t="n">
        <f aca="false">A77+1</f>
        <v>73</v>
      </c>
      <c r="B78" s="36" t="n">
        <f aca="false">F77</f>
        <v>336045.125931021</v>
      </c>
      <c r="C78" s="36" t="n">
        <f aca="false">IF($A78&lt;=Deal!$B$12*12,Deal!$H$20,"")</f>
        <v>2359.27557626688</v>
      </c>
      <c r="D78" s="36" t="n">
        <f aca="false">IF($A78&lt;=Deal!$B$12*12,-PPMT(Deal!$B$11/12,$A78,Deal!$B$12*12,Deal!$H$7),"")</f>
        <v>469.021742904886</v>
      </c>
      <c r="E78" s="36" t="n">
        <f aca="false">IF($A78&lt;=Deal!$B$12*12,-IPMT(Deal!$B$11/12,$A78,Deal!$B$12*12,Deal!$H$7),"")</f>
        <v>1890.253833362</v>
      </c>
      <c r="F78" s="36" t="n">
        <f aca="false">IF($A78&lt;=Deal!$B$12*12,B78-D78,"")</f>
        <v>335576.104188116</v>
      </c>
    </row>
    <row r="79" customFormat="false" ht="15" hidden="false" customHeight="true" outlineLevel="0" collapsed="false">
      <c r="A79" s="35" t="n">
        <f aca="false">A78+1</f>
        <v>74</v>
      </c>
      <c r="B79" s="36" t="n">
        <f aca="false">F78</f>
        <v>335576.104188116</v>
      </c>
      <c r="C79" s="36" t="n">
        <f aca="false">IF($A79&lt;=Deal!$B$12*12,Deal!$H$20,"")</f>
        <v>2359.27557626688</v>
      </c>
      <c r="D79" s="36" t="n">
        <f aca="false">IF($A79&lt;=Deal!$B$12*12,-PPMT(Deal!$B$11/12,$A79,Deal!$B$12*12,Deal!$H$7),"")</f>
        <v>471.659990208726</v>
      </c>
      <c r="E79" s="36" t="n">
        <f aca="false">IF($A79&lt;=Deal!$B$12*12,-IPMT(Deal!$B$11/12,$A79,Deal!$B$12*12,Deal!$H$7),"")</f>
        <v>1887.61558605816</v>
      </c>
      <c r="F79" s="36" t="n">
        <f aca="false">IF($A79&lt;=Deal!$B$12*12,B79-D79,"")</f>
        <v>335104.444197908</v>
      </c>
    </row>
    <row r="80" customFormat="false" ht="15" hidden="false" customHeight="true" outlineLevel="0" collapsed="false">
      <c r="A80" s="35" t="n">
        <f aca="false">A79+1</f>
        <v>75</v>
      </c>
      <c r="B80" s="36" t="n">
        <f aca="false">F79</f>
        <v>335104.444197908</v>
      </c>
      <c r="C80" s="36" t="n">
        <f aca="false">IF($A80&lt;=Deal!$B$12*12,Deal!$H$20,"")</f>
        <v>2359.27557626688</v>
      </c>
      <c r="D80" s="36" t="n">
        <f aca="false">IF($A80&lt;=Deal!$B$12*12,-PPMT(Deal!$B$11/12,$A80,Deal!$B$12*12,Deal!$H$7),"")</f>
        <v>474.31307765365</v>
      </c>
      <c r="E80" s="36" t="n">
        <f aca="false">IF($A80&lt;=Deal!$B$12*12,-IPMT(Deal!$B$11/12,$A80,Deal!$B$12*12,Deal!$H$7),"")</f>
        <v>1884.96249861323</v>
      </c>
      <c r="F80" s="36" t="n">
        <f aca="false">IF($A80&lt;=Deal!$B$12*12,B80-D80,"")</f>
        <v>334630.131120254</v>
      </c>
    </row>
    <row r="81" customFormat="false" ht="15" hidden="false" customHeight="true" outlineLevel="0" collapsed="false">
      <c r="A81" s="35" t="n">
        <f aca="false">A80+1</f>
        <v>76</v>
      </c>
      <c r="B81" s="36" t="n">
        <f aca="false">F80</f>
        <v>334630.131120254</v>
      </c>
      <c r="C81" s="36" t="n">
        <f aca="false">IF($A81&lt;=Deal!$B$12*12,Deal!$H$20,"")</f>
        <v>2359.27557626688</v>
      </c>
      <c r="D81" s="36" t="n">
        <f aca="false">IF($A81&lt;=Deal!$B$12*12,-PPMT(Deal!$B$11/12,$A81,Deal!$B$12*12,Deal!$H$7),"")</f>
        <v>476.981088715452</v>
      </c>
      <c r="E81" s="36" t="n">
        <f aca="false">IF($A81&lt;=Deal!$B$12*12,-IPMT(Deal!$B$11/12,$A81,Deal!$B$12*12,Deal!$H$7),"")</f>
        <v>1882.29448755143</v>
      </c>
      <c r="F81" s="36" t="n">
        <f aca="false">IF($A81&lt;=Deal!$B$12*12,B81-D81,"")</f>
        <v>334153.150031539</v>
      </c>
    </row>
    <row r="82" customFormat="false" ht="15" hidden="false" customHeight="true" outlineLevel="0" collapsed="false">
      <c r="A82" s="35" t="n">
        <f aca="false">A81+1</f>
        <v>77</v>
      </c>
      <c r="B82" s="36" t="n">
        <f aca="false">F81</f>
        <v>334153.150031539</v>
      </c>
      <c r="C82" s="36" t="n">
        <f aca="false">IF($A82&lt;=Deal!$B$12*12,Deal!$H$20,"")</f>
        <v>2359.27557626688</v>
      </c>
      <c r="D82" s="36" t="n">
        <f aca="false">IF($A82&lt;=Deal!$B$12*12,-PPMT(Deal!$B$11/12,$A82,Deal!$B$12*12,Deal!$H$7),"")</f>
        <v>479.664107339477</v>
      </c>
      <c r="E82" s="36" t="n">
        <f aca="false">IF($A82&lt;=Deal!$B$12*12,-IPMT(Deal!$B$11/12,$A82,Deal!$B$12*12,Deal!$H$7),"")</f>
        <v>1879.61146892741</v>
      </c>
      <c r="F82" s="36" t="n">
        <f aca="false">IF($A82&lt;=Deal!$B$12*12,B82-D82,"")</f>
        <v>333673.485924199</v>
      </c>
    </row>
    <row r="83" customFormat="false" ht="15" hidden="false" customHeight="true" outlineLevel="0" collapsed="false">
      <c r="A83" s="35" t="n">
        <f aca="false">A82+1</f>
        <v>78</v>
      </c>
      <c r="B83" s="36" t="n">
        <f aca="false">F82</f>
        <v>333673.485924199</v>
      </c>
      <c r="C83" s="36" t="n">
        <f aca="false">IF($A83&lt;=Deal!$B$12*12,Deal!$H$20,"")</f>
        <v>2359.27557626688</v>
      </c>
      <c r="D83" s="36" t="n">
        <f aca="false">IF($A83&lt;=Deal!$B$12*12,-PPMT(Deal!$B$11/12,$A83,Deal!$B$12*12,Deal!$H$7),"")</f>
        <v>482.362217943261</v>
      </c>
      <c r="E83" s="36" t="n">
        <f aca="false">IF($A83&lt;=Deal!$B$12*12,-IPMT(Deal!$B$11/12,$A83,Deal!$B$12*12,Deal!$H$7),"")</f>
        <v>1876.91335832362</v>
      </c>
      <c r="F83" s="36" t="n">
        <f aca="false">IF($A83&lt;=Deal!$B$12*12,B83-D83,"")</f>
        <v>333191.123706256</v>
      </c>
    </row>
    <row r="84" customFormat="false" ht="15" hidden="false" customHeight="true" outlineLevel="0" collapsed="false">
      <c r="A84" s="35" t="n">
        <f aca="false">A83+1</f>
        <v>79</v>
      </c>
      <c r="B84" s="36" t="n">
        <f aca="false">F83</f>
        <v>333191.123706256</v>
      </c>
      <c r="C84" s="36" t="n">
        <f aca="false">IF($A84&lt;=Deal!$B$12*12,Deal!$H$20,"")</f>
        <v>2359.27557626688</v>
      </c>
      <c r="D84" s="36" t="n">
        <f aca="false">IF($A84&lt;=Deal!$B$12*12,-PPMT(Deal!$B$11/12,$A84,Deal!$B$12*12,Deal!$H$7),"")</f>
        <v>485.075505419192</v>
      </c>
      <c r="E84" s="36" t="n">
        <f aca="false">IF($A84&lt;=Deal!$B$12*12,-IPMT(Deal!$B$11/12,$A84,Deal!$B$12*12,Deal!$H$7),"")</f>
        <v>1874.20007084769</v>
      </c>
      <c r="F84" s="36" t="n">
        <f aca="false">IF($A84&lt;=Deal!$B$12*12,B84-D84,"")</f>
        <v>332706.048200837</v>
      </c>
    </row>
    <row r="85" customFormat="false" ht="15" hidden="false" customHeight="true" outlineLevel="0" collapsed="false">
      <c r="A85" s="35" t="n">
        <f aca="false">A84+1</f>
        <v>80</v>
      </c>
      <c r="B85" s="36" t="n">
        <f aca="false">F84</f>
        <v>332706.048200837</v>
      </c>
      <c r="C85" s="36" t="n">
        <f aca="false">IF($A85&lt;=Deal!$B$12*12,Deal!$H$20,"")</f>
        <v>2359.27557626688</v>
      </c>
      <c r="D85" s="36" t="n">
        <f aca="false">IF($A85&lt;=Deal!$B$12*12,-PPMT(Deal!$B$11/12,$A85,Deal!$B$12*12,Deal!$H$7),"")</f>
        <v>487.804055137175</v>
      </c>
      <c r="E85" s="36" t="n">
        <f aca="false">IF($A85&lt;=Deal!$B$12*12,-IPMT(Deal!$B$11/12,$A85,Deal!$B$12*12,Deal!$H$7),"")</f>
        <v>1871.47152112971</v>
      </c>
      <c r="F85" s="36" t="n">
        <f aca="false">IF($A85&lt;=Deal!$B$12*12,B85-D85,"")</f>
        <v>332218.2441457</v>
      </c>
    </row>
    <row r="86" customFormat="false" ht="15" hidden="false" customHeight="true" outlineLevel="0" collapsed="false">
      <c r="A86" s="35" t="n">
        <f aca="false">A85+1</f>
        <v>81</v>
      </c>
      <c r="B86" s="36" t="n">
        <f aca="false">F85</f>
        <v>332218.2441457</v>
      </c>
      <c r="C86" s="36" t="n">
        <f aca="false">IF($A86&lt;=Deal!$B$12*12,Deal!$H$20,"")</f>
        <v>2359.27557626688</v>
      </c>
      <c r="D86" s="36" t="n">
        <f aca="false">IF($A86&lt;=Deal!$B$12*12,-PPMT(Deal!$B$11/12,$A86,Deal!$B$12*12,Deal!$H$7),"")</f>
        <v>490.547952947322</v>
      </c>
      <c r="E86" s="36" t="n">
        <f aca="false">IF($A86&lt;=Deal!$B$12*12,-IPMT(Deal!$B$11/12,$A86,Deal!$B$12*12,Deal!$H$7),"")</f>
        <v>1868.72762331956</v>
      </c>
      <c r="F86" s="36" t="n">
        <f aca="false">IF($A86&lt;=Deal!$B$12*12,B86-D86,"")</f>
        <v>331727.696192752</v>
      </c>
    </row>
    <row r="87" customFormat="false" ht="15" hidden="false" customHeight="true" outlineLevel="0" collapsed="false">
      <c r="A87" s="35" t="n">
        <f aca="false">A86+1</f>
        <v>82</v>
      </c>
      <c r="B87" s="36" t="n">
        <f aca="false">F86</f>
        <v>331727.696192752</v>
      </c>
      <c r="C87" s="36" t="n">
        <f aca="false">IF($A87&lt;=Deal!$B$12*12,Deal!$H$20,"")</f>
        <v>2359.27557626688</v>
      </c>
      <c r="D87" s="36" t="n">
        <f aca="false">IF($A87&lt;=Deal!$B$12*12,-PPMT(Deal!$B$11/12,$A87,Deal!$B$12*12,Deal!$H$7),"")</f>
        <v>493.307285182651</v>
      </c>
      <c r="E87" s="36" t="n">
        <f aca="false">IF($A87&lt;=Deal!$B$12*12,-IPMT(Deal!$B$11/12,$A87,Deal!$B$12*12,Deal!$H$7),"")</f>
        <v>1865.96829108423</v>
      </c>
      <c r="F87" s="36" t="n">
        <f aca="false">IF($A87&lt;=Deal!$B$12*12,B87-D87,"")</f>
        <v>331234.38890757</v>
      </c>
    </row>
    <row r="88" customFormat="false" ht="15" hidden="false" customHeight="true" outlineLevel="0" collapsed="false">
      <c r="A88" s="35" t="n">
        <f aca="false">A87+1</f>
        <v>83</v>
      </c>
      <c r="B88" s="36" t="n">
        <f aca="false">F87</f>
        <v>331234.38890757</v>
      </c>
      <c r="C88" s="36" t="n">
        <f aca="false">IF($A88&lt;=Deal!$B$12*12,Deal!$H$20,"")</f>
        <v>2359.27557626688</v>
      </c>
      <c r="D88" s="36" t="n">
        <f aca="false">IF($A88&lt;=Deal!$B$12*12,-PPMT(Deal!$B$11/12,$A88,Deal!$B$12*12,Deal!$H$7),"")</f>
        <v>496.082138661803</v>
      </c>
      <c r="E88" s="36" t="n">
        <f aca="false">IF($A88&lt;=Deal!$B$12*12,-IPMT(Deal!$B$11/12,$A88,Deal!$B$12*12,Deal!$H$7),"")</f>
        <v>1863.19343760508</v>
      </c>
      <c r="F88" s="36" t="n">
        <f aca="false">IF($A88&lt;=Deal!$B$12*12,B88-D88,"")</f>
        <v>330738.306768908</v>
      </c>
    </row>
    <row r="89" customFormat="false" ht="15" hidden="false" customHeight="true" outlineLevel="0" collapsed="false">
      <c r="A89" s="37" t="n">
        <f aca="false">A88+1</f>
        <v>84</v>
      </c>
      <c r="B89" s="38" t="n">
        <f aca="false">F88</f>
        <v>330738.306768908</v>
      </c>
      <c r="C89" s="38" t="n">
        <f aca="false">IF($A89&lt;=Deal!$B$12*12,Deal!$H$20,"")</f>
        <v>2359.27557626688</v>
      </c>
      <c r="D89" s="38" t="n">
        <f aca="false">IF($A89&lt;=Deal!$B$12*12,-PPMT(Deal!$B$11/12,$A89,Deal!$B$12*12,Deal!$H$7),"")</f>
        <v>498.872600691775</v>
      </c>
      <c r="E89" s="38" t="n">
        <f aca="false">IF($A89&lt;=Deal!$B$12*12,-IPMT(Deal!$B$11/12,$A89,Deal!$B$12*12,Deal!$H$7),"")</f>
        <v>1860.40297557511</v>
      </c>
      <c r="F89" s="38" t="n">
        <f aca="false">IF($A89&lt;=Deal!$B$12*12,B89-D89,"")</f>
        <v>330239.434168216</v>
      </c>
    </row>
    <row r="90" customFormat="false" ht="15" hidden="false" customHeight="true" outlineLevel="0" collapsed="false">
      <c r="A90" s="35" t="n">
        <f aca="false">A89+1</f>
        <v>85</v>
      </c>
      <c r="B90" s="36" t="n">
        <f aca="false">F89</f>
        <v>330239.434168216</v>
      </c>
      <c r="C90" s="36" t="n">
        <f aca="false">IF($A90&lt;=Deal!$B$12*12,Deal!$H$20,"")</f>
        <v>2359.27557626688</v>
      </c>
      <c r="D90" s="36" t="n">
        <f aca="false">IF($A90&lt;=Deal!$B$12*12,-PPMT(Deal!$B$11/12,$A90,Deal!$B$12*12,Deal!$H$7),"")</f>
        <v>501.678759070667</v>
      </c>
      <c r="E90" s="36" t="n">
        <f aca="false">IF($A90&lt;=Deal!$B$12*12,-IPMT(Deal!$B$11/12,$A90,Deal!$B$12*12,Deal!$H$7),"")</f>
        <v>1857.59681719622</v>
      </c>
      <c r="F90" s="36" t="n">
        <f aca="false">IF($A90&lt;=Deal!$B$12*12,B90-D90,"")</f>
        <v>329737.755409145</v>
      </c>
    </row>
    <row r="91" customFormat="false" ht="15" hidden="false" customHeight="true" outlineLevel="0" collapsed="false">
      <c r="A91" s="35" t="n">
        <f aca="false">A90+1</f>
        <v>86</v>
      </c>
      <c r="B91" s="36" t="n">
        <f aca="false">F90</f>
        <v>329737.755409145</v>
      </c>
      <c r="C91" s="36" t="n">
        <f aca="false">IF($A91&lt;=Deal!$B$12*12,Deal!$H$20,"")</f>
        <v>2359.27557626688</v>
      </c>
      <c r="D91" s="36" t="n">
        <f aca="false">IF($A91&lt;=Deal!$B$12*12,-PPMT(Deal!$B$11/12,$A91,Deal!$B$12*12,Deal!$H$7),"")</f>
        <v>504.500702090439</v>
      </c>
      <c r="E91" s="36" t="n">
        <f aca="false">IF($A91&lt;=Deal!$B$12*12,-IPMT(Deal!$B$11/12,$A91,Deal!$B$12*12,Deal!$H$7),"")</f>
        <v>1854.77487417644</v>
      </c>
      <c r="F91" s="36" t="n">
        <f aca="false">IF($A91&lt;=Deal!$B$12*12,B91-D91,"")</f>
        <v>329233.254707055</v>
      </c>
    </row>
    <row r="92" customFormat="false" ht="15" hidden="false" customHeight="true" outlineLevel="0" collapsed="false">
      <c r="A92" s="35" t="n">
        <f aca="false">A91+1</f>
        <v>87</v>
      </c>
      <c r="B92" s="36" t="n">
        <f aca="false">F91</f>
        <v>329233.254707055</v>
      </c>
      <c r="C92" s="36" t="n">
        <f aca="false">IF($A92&lt;=Deal!$B$12*12,Deal!$H$20,"")</f>
        <v>2359.27557626688</v>
      </c>
      <c r="D92" s="36" t="n">
        <f aca="false">IF($A92&lt;=Deal!$B$12*12,-PPMT(Deal!$B$11/12,$A92,Deal!$B$12*12,Deal!$H$7),"")</f>
        <v>507.338518539698</v>
      </c>
      <c r="E92" s="36" t="n">
        <f aca="false">IF($A92&lt;=Deal!$B$12*12,-IPMT(Deal!$B$11/12,$A92,Deal!$B$12*12,Deal!$H$7),"")</f>
        <v>1851.93705772719</v>
      </c>
      <c r="F92" s="36" t="n">
        <f aca="false">IF($A92&lt;=Deal!$B$12*12,B92-D92,"")</f>
        <v>328725.916188515</v>
      </c>
    </row>
    <row r="93" customFormat="false" ht="15" hidden="false" customHeight="true" outlineLevel="0" collapsed="false">
      <c r="A93" s="35" t="n">
        <f aca="false">A92+1</f>
        <v>88</v>
      </c>
      <c r="B93" s="36" t="n">
        <f aca="false">F92</f>
        <v>328725.916188515</v>
      </c>
      <c r="C93" s="36" t="n">
        <f aca="false">IF($A93&lt;=Deal!$B$12*12,Deal!$H$20,"")</f>
        <v>2359.27557626688</v>
      </c>
      <c r="D93" s="36" t="n">
        <f aca="false">IF($A93&lt;=Deal!$B$12*12,-PPMT(Deal!$B$11/12,$A93,Deal!$B$12*12,Deal!$H$7),"")</f>
        <v>510.192297706484</v>
      </c>
      <c r="E93" s="36" t="n">
        <f aca="false">IF($A93&lt;=Deal!$B$12*12,-IPMT(Deal!$B$11/12,$A93,Deal!$B$12*12,Deal!$H$7),"")</f>
        <v>1849.0832785604</v>
      </c>
      <c r="F93" s="36" t="n">
        <f aca="false">IF($A93&lt;=Deal!$B$12*12,B93-D93,"")</f>
        <v>328215.723890809</v>
      </c>
    </row>
    <row r="94" customFormat="false" ht="15" hidden="false" customHeight="true" outlineLevel="0" collapsed="false">
      <c r="A94" s="35" t="n">
        <f aca="false">A93+1</f>
        <v>89</v>
      </c>
      <c r="B94" s="36" t="n">
        <f aca="false">F93</f>
        <v>328215.723890809</v>
      </c>
      <c r="C94" s="36" t="n">
        <f aca="false">IF($A94&lt;=Deal!$B$12*12,Deal!$H$20,"")</f>
        <v>2359.27557626688</v>
      </c>
      <c r="D94" s="36" t="n">
        <f aca="false">IF($A94&lt;=Deal!$B$12*12,-PPMT(Deal!$B$11/12,$A94,Deal!$B$12*12,Deal!$H$7),"")</f>
        <v>513.062129381083</v>
      </c>
      <c r="E94" s="36" t="n">
        <f aca="false">IF($A94&lt;=Deal!$B$12*12,-IPMT(Deal!$B$11/12,$A94,Deal!$B$12*12,Deal!$H$7),"")</f>
        <v>1846.2134468858</v>
      </c>
      <c r="F94" s="36" t="n">
        <f aca="false">IF($A94&lt;=Deal!$B$12*12,B94-D94,"")</f>
        <v>327702.661761428</v>
      </c>
    </row>
    <row r="95" customFormat="false" ht="15" hidden="false" customHeight="true" outlineLevel="0" collapsed="false">
      <c r="A95" s="35" t="n">
        <f aca="false">A94+1</f>
        <v>90</v>
      </c>
      <c r="B95" s="36" t="n">
        <f aca="false">F94</f>
        <v>327702.661761428</v>
      </c>
      <c r="C95" s="36" t="n">
        <f aca="false">IF($A95&lt;=Deal!$B$12*12,Deal!$H$20,"")</f>
        <v>2359.27557626688</v>
      </c>
      <c r="D95" s="36" t="n">
        <f aca="false">IF($A95&lt;=Deal!$B$12*12,-PPMT(Deal!$B$11/12,$A95,Deal!$B$12*12,Deal!$H$7),"")</f>
        <v>515.948103858851</v>
      </c>
      <c r="E95" s="36" t="n">
        <f aca="false">IF($A95&lt;=Deal!$B$12*12,-IPMT(Deal!$B$11/12,$A95,Deal!$B$12*12,Deal!$H$7),"")</f>
        <v>1843.32747240803</v>
      </c>
      <c r="F95" s="36" t="n">
        <f aca="false">IF($A95&lt;=Deal!$B$12*12,B95-D95,"")</f>
        <v>327186.713657569</v>
      </c>
    </row>
    <row r="96" customFormat="false" ht="15" hidden="false" customHeight="true" outlineLevel="0" collapsed="false">
      <c r="A96" s="35" t="n">
        <f aca="false">A95+1</f>
        <v>91</v>
      </c>
      <c r="B96" s="36" t="n">
        <f aca="false">F95</f>
        <v>327186.713657569</v>
      </c>
      <c r="C96" s="36" t="n">
        <f aca="false">IF($A96&lt;=Deal!$B$12*12,Deal!$H$20,"")</f>
        <v>2359.27557626688</v>
      </c>
      <c r="D96" s="36" t="n">
        <f aca="false">IF($A96&lt;=Deal!$B$12*12,-PPMT(Deal!$B$11/12,$A96,Deal!$B$12*12,Deal!$H$7),"")</f>
        <v>518.850311943057</v>
      </c>
      <c r="E96" s="36" t="n">
        <f aca="false">IF($A96&lt;=Deal!$B$12*12,-IPMT(Deal!$B$11/12,$A96,Deal!$B$12*12,Deal!$H$7),"")</f>
        <v>1840.42526432383</v>
      </c>
      <c r="F96" s="36" t="n">
        <f aca="false">IF($A96&lt;=Deal!$B$12*12,B96-D96,"")</f>
        <v>326667.863345626</v>
      </c>
    </row>
    <row r="97" customFormat="false" ht="15" hidden="false" customHeight="true" outlineLevel="0" collapsed="false">
      <c r="A97" s="35" t="n">
        <f aca="false">A96+1</f>
        <v>92</v>
      </c>
      <c r="B97" s="36" t="n">
        <f aca="false">F96</f>
        <v>326667.863345626</v>
      </c>
      <c r="C97" s="36" t="n">
        <f aca="false">IF($A97&lt;=Deal!$B$12*12,Deal!$H$20,"")</f>
        <v>2359.27557626688</v>
      </c>
      <c r="D97" s="36" t="n">
        <f aca="false">IF($A97&lt;=Deal!$B$12*12,-PPMT(Deal!$B$11/12,$A97,Deal!$B$12*12,Deal!$H$7),"")</f>
        <v>521.768844947737</v>
      </c>
      <c r="E97" s="36" t="n">
        <f aca="false">IF($A97&lt;=Deal!$B$12*12,-IPMT(Deal!$B$11/12,$A97,Deal!$B$12*12,Deal!$H$7),"")</f>
        <v>1837.50673131915</v>
      </c>
      <c r="F97" s="36" t="n">
        <f aca="false">IF($A97&lt;=Deal!$B$12*12,B97-D97,"")</f>
        <v>326146.094500678</v>
      </c>
    </row>
    <row r="98" customFormat="false" ht="15" hidden="false" customHeight="true" outlineLevel="0" collapsed="false">
      <c r="A98" s="35" t="n">
        <f aca="false">A97+1</f>
        <v>93</v>
      </c>
      <c r="B98" s="36" t="n">
        <f aca="false">F97</f>
        <v>326146.094500678</v>
      </c>
      <c r="C98" s="36" t="n">
        <f aca="false">IF($A98&lt;=Deal!$B$12*12,Deal!$H$20,"")</f>
        <v>2359.27557626688</v>
      </c>
      <c r="D98" s="36" t="n">
        <f aca="false">IF($A98&lt;=Deal!$B$12*12,-PPMT(Deal!$B$11/12,$A98,Deal!$B$12*12,Deal!$H$7),"")</f>
        <v>524.703794700568</v>
      </c>
      <c r="E98" s="36" t="n">
        <f aca="false">IF($A98&lt;=Deal!$B$12*12,-IPMT(Deal!$B$11/12,$A98,Deal!$B$12*12,Deal!$H$7),"")</f>
        <v>1834.57178156632</v>
      </c>
      <c r="F98" s="36" t="n">
        <f aca="false">IF($A98&lt;=Deal!$B$12*12,B98-D98,"")</f>
        <v>325621.390705977</v>
      </c>
    </row>
    <row r="99" customFormat="false" ht="15" hidden="false" customHeight="true" outlineLevel="0" collapsed="false">
      <c r="A99" s="35" t="n">
        <f aca="false">A98+1</f>
        <v>94</v>
      </c>
      <c r="B99" s="36" t="n">
        <f aca="false">F98</f>
        <v>325621.390705977</v>
      </c>
      <c r="C99" s="36" t="n">
        <f aca="false">IF($A99&lt;=Deal!$B$12*12,Deal!$H$20,"")</f>
        <v>2359.27557626688</v>
      </c>
      <c r="D99" s="36" t="n">
        <f aca="false">IF($A99&lt;=Deal!$B$12*12,-PPMT(Deal!$B$11/12,$A99,Deal!$B$12*12,Deal!$H$7),"")</f>
        <v>527.655253545758</v>
      </c>
      <c r="E99" s="36" t="n">
        <f aca="false">IF($A99&lt;=Deal!$B$12*12,-IPMT(Deal!$B$11/12,$A99,Deal!$B$12*12,Deal!$H$7),"")</f>
        <v>1831.62032272112</v>
      </c>
      <c r="F99" s="36" t="n">
        <f aca="false">IF($A99&lt;=Deal!$B$12*12,B99-D99,"")</f>
        <v>325093.735452432</v>
      </c>
    </row>
    <row r="100" customFormat="false" ht="15" hidden="false" customHeight="true" outlineLevel="0" collapsed="false">
      <c r="A100" s="35" t="n">
        <f aca="false">A99+1</f>
        <v>95</v>
      </c>
      <c r="B100" s="36" t="n">
        <f aca="false">F99</f>
        <v>325093.735452432</v>
      </c>
      <c r="C100" s="36" t="n">
        <f aca="false">IF($A100&lt;=Deal!$B$12*12,Deal!$H$20,"")</f>
        <v>2359.27557626688</v>
      </c>
      <c r="D100" s="36" t="n">
        <f aca="false">IF($A100&lt;=Deal!$B$12*12,-PPMT(Deal!$B$11/12,$A100,Deal!$B$12*12,Deal!$H$7),"")</f>
        <v>530.623314346954</v>
      </c>
      <c r="E100" s="36" t="n">
        <f aca="false">IF($A100&lt;=Deal!$B$12*12,-IPMT(Deal!$B$11/12,$A100,Deal!$B$12*12,Deal!$H$7),"")</f>
        <v>1828.65226191993</v>
      </c>
      <c r="F100" s="36" t="n">
        <f aca="false">IF($A100&lt;=Deal!$B$12*12,B100-D100,"")</f>
        <v>324563.112138085</v>
      </c>
    </row>
    <row r="101" customFormat="false" ht="15" hidden="false" customHeight="true" outlineLevel="0" collapsed="false">
      <c r="A101" s="37" t="n">
        <f aca="false">A100+1</f>
        <v>96</v>
      </c>
      <c r="B101" s="38" t="n">
        <f aca="false">F100</f>
        <v>324563.112138085</v>
      </c>
      <c r="C101" s="38" t="n">
        <f aca="false">IF($A101&lt;=Deal!$B$12*12,Deal!$H$20,"")</f>
        <v>2359.27557626688</v>
      </c>
      <c r="D101" s="38" t="n">
        <f aca="false">IF($A101&lt;=Deal!$B$12*12,-PPMT(Deal!$B$11/12,$A101,Deal!$B$12*12,Deal!$H$7),"")</f>
        <v>533.608070490155</v>
      </c>
      <c r="E101" s="38" t="n">
        <f aca="false">IF($A101&lt;=Deal!$B$12*12,-IPMT(Deal!$B$11/12,$A101,Deal!$B$12*12,Deal!$H$7),"")</f>
        <v>1825.66750577673</v>
      </c>
      <c r="F101" s="38" t="n">
        <f aca="false">IF($A101&lt;=Deal!$B$12*12,B101-D101,"")</f>
        <v>324029.504067595</v>
      </c>
    </row>
    <row r="102" customFormat="false" ht="15" hidden="false" customHeight="true" outlineLevel="0" collapsed="false">
      <c r="A102" s="35" t="n">
        <f aca="false">A101+1</f>
        <v>97</v>
      </c>
      <c r="B102" s="36" t="n">
        <f aca="false">F101</f>
        <v>324029.504067595</v>
      </c>
      <c r="C102" s="36" t="n">
        <f aca="false">IF($A102&lt;=Deal!$B$12*12,Deal!$H$20,"")</f>
        <v>2359.27557626688</v>
      </c>
      <c r="D102" s="36" t="n">
        <f aca="false">IF($A102&lt;=Deal!$B$12*12,-PPMT(Deal!$B$11/12,$A102,Deal!$B$12*12,Deal!$H$7),"")</f>
        <v>536.609615886662</v>
      </c>
      <c r="E102" s="36" t="n">
        <f aca="false">IF($A102&lt;=Deal!$B$12*12,-IPMT(Deal!$B$11/12,$A102,Deal!$B$12*12,Deal!$H$7),"")</f>
        <v>1822.66596038022</v>
      </c>
      <c r="F102" s="36" t="n">
        <f aca="false">IF($A102&lt;=Deal!$B$12*12,B102-D102,"")</f>
        <v>323492.894451708</v>
      </c>
    </row>
    <row r="103" customFormat="false" ht="15" hidden="false" customHeight="true" outlineLevel="0" collapsed="false">
      <c r="A103" s="35" t="n">
        <f aca="false">A102+1</f>
        <v>98</v>
      </c>
      <c r="B103" s="36" t="n">
        <f aca="false">F102</f>
        <v>323492.894451708</v>
      </c>
      <c r="C103" s="36" t="n">
        <f aca="false">IF($A103&lt;=Deal!$B$12*12,Deal!$H$20,"")</f>
        <v>2359.27557626688</v>
      </c>
      <c r="D103" s="36" t="n">
        <f aca="false">IF($A103&lt;=Deal!$B$12*12,-PPMT(Deal!$B$11/12,$A103,Deal!$B$12*12,Deal!$H$7),"")</f>
        <v>539.628044976025</v>
      </c>
      <c r="E103" s="36" t="n">
        <f aca="false">IF($A103&lt;=Deal!$B$12*12,-IPMT(Deal!$B$11/12,$A103,Deal!$B$12*12,Deal!$H$7),"")</f>
        <v>1819.64753129086</v>
      </c>
      <c r="F103" s="36" t="n">
        <f aca="false">IF($A103&lt;=Deal!$B$12*12,B103-D103,"")</f>
        <v>322953.266406732</v>
      </c>
    </row>
    <row r="104" customFormat="false" ht="15" hidden="false" customHeight="true" outlineLevel="0" collapsed="false">
      <c r="A104" s="35" t="n">
        <f aca="false">A103+1</f>
        <v>99</v>
      </c>
      <c r="B104" s="36" t="n">
        <f aca="false">F103</f>
        <v>322953.266406732</v>
      </c>
      <c r="C104" s="36" t="n">
        <f aca="false">IF($A104&lt;=Deal!$B$12*12,Deal!$H$20,"")</f>
        <v>2359.27557626688</v>
      </c>
      <c r="D104" s="36" t="n">
        <f aca="false">IF($A104&lt;=Deal!$B$12*12,-PPMT(Deal!$B$11/12,$A104,Deal!$B$12*12,Deal!$H$7),"")</f>
        <v>542.663452729015</v>
      </c>
      <c r="E104" s="36" t="n">
        <f aca="false">IF($A104&lt;=Deal!$B$12*12,-IPMT(Deal!$B$11/12,$A104,Deal!$B$12*12,Deal!$H$7),"")</f>
        <v>1816.61212353787</v>
      </c>
      <c r="F104" s="36" t="n">
        <f aca="false">IF($A104&lt;=Deal!$B$12*12,B104-D104,"")</f>
        <v>322410.602954003</v>
      </c>
    </row>
    <row r="105" customFormat="false" ht="15" hidden="false" customHeight="true" outlineLevel="0" collapsed="false">
      <c r="A105" s="35" t="n">
        <f aca="false">A104+1</f>
        <v>100</v>
      </c>
      <c r="B105" s="36" t="n">
        <f aca="false">F104</f>
        <v>322410.602954003</v>
      </c>
      <c r="C105" s="36" t="n">
        <f aca="false">IF($A105&lt;=Deal!$B$12*12,Deal!$H$20,"")</f>
        <v>2359.27557626688</v>
      </c>
      <c r="D105" s="36" t="n">
        <f aca="false">IF($A105&lt;=Deal!$B$12*12,-PPMT(Deal!$B$11/12,$A105,Deal!$B$12*12,Deal!$H$7),"")</f>
        <v>545.715934650616</v>
      </c>
      <c r="E105" s="36" t="n">
        <f aca="false">IF($A105&lt;=Deal!$B$12*12,-IPMT(Deal!$B$11/12,$A105,Deal!$B$12*12,Deal!$H$7),"")</f>
        <v>1813.55964161627</v>
      </c>
      <c r="F105" s="36" t="n">
        <f aca="false">IF($A105&lt;=Deal!$B$12*12,B105-D105,"")</f>
        <v>321864.887019352</v>
      </c>
    </row>
    <row r="106" customFormat="false" ht="15" hidden="false" customHeight="true" outlineLevel="0" collapsed="false">
      <c r="A106" s="35" t="n">
        <f aca="false">A105+1</f>
        <v>101</v>
      </c>
      <c r="B106" s="36" t="n">
        <f aca="false">F105</f>
        <v>321864.887019352</v>
      </c>
      <c r="C106" s="36" t="n">
        <f aca="false">IF($A106&lt;=Deal!$B$12*12,Deal!$H$20,"")</f>
        <v>2359.27557626688</v>
      </c>
      <c r="D106" s="36" t="n">
        <f aca="false">IF($A106&lt;=Deal!$B$12*12,-PPMT(Deal!$B$11/12,$A106,Deal!$B$12*12,Deal!$H$7),"")</f>
        <v>548.785586783025</v>
      </c>
      <c r="E106" s="36" t="n">
        <f aca="false">IF($A106&lt;=Deal!$B$12*12,-IPMT(Deal!$B$11/12,$A106,Deal!$B$12*12,Deal!$H$7),"")</f>
        <v>1810.48998948386</v>
      </c>
      <c r="F106" s="36" t="n">
        <f aca="false">IF($A106&lt;=Deal!$B$12*12,B106-D106,"")</f>
        <v>321316.101432569</v>
      </c>
    </row>
    <row r="107" customFormat="false" ht="15" hidden="false" customHeight="true" outlineLevel="0" collapsed="false">
      <c r="A107" s="35" t="n">
        <f aca="false">A106+1</f>
        <v>102</v>
      </c>
      <c r="B107" s="36" t="n">
        <f aca="false">F106</f>
        <v>321316.101432569</v>
      </c>
      <c r="C107" s="36" t="n">
        <f aca="false">IF($A107&lt;=Deal!$B$12*12,Deal!$H$20,"")</f>
        <v>2359.27557626688</v>
      </c>
      <c r="D107" s="36" t="n">
        <f aca="false">IF($A107&lt;=Deal!$B$12*12,-PPMT(Deal!$B$11/12,$A107,Deal!$B$12*12,Deal!$H$7),"")</f>
        <v>551.87250570868</v>
      </c>
      <c r="E107" s="36" t="n">
        <f aca="false">IF($A107&lt;=Deal!$B$12*12,-IPMT(Deal!$B$11/12,$A107,Deal!$B$12*12,Deal!$H$7),"")</f>
        <v>1807.4030705582</v>
      </c>
      <c r="F107" s="36" t="n">
        <f aca="false">IF($A107&lt;=Deal!$B$12*12,B107-D107,"")</f>
        <v>320764.228926861</v>
      </c>
    </row>
    <row r="108" customFormat="false" ht="15" hidden="false" customHeight="true" outlineLevel="0" collapsed="false">
      <c r="A108" s="35" t="n">
        <f aca="false">A107+1</f>
        <v>103</v>
      </c>
      <c r="B108" s="36" t="n">
        <f aca="false">F107</f>
        <v>320764.228926861</v>
      </c>
      <c r="C108" s="36" t="n">
        <f aca="false">IF($A108&lt;=Deal!$B$12*12,Deal!$H$20,"")</f>
        <v>2359.27557626688</v>
      </c>
      <c r="D108" s="36" t="n">
        <f aca="false">IF($A108&lt;=Deal!$B$12*12,-PPMT(Deal!$B$11/12,$A108,Deal!$B$12*12,Deal!$H$7),"")</f>
        <v>554.976788553291</v>
      </c>
      <c r="E108" s="36" t="n">
        <f aca="false">IF($A108&lt;=Deal!$B$12*12,-IPMT(Deal!$B$11/12,$A108,Deal!$B$12*12,Deal!$H$7),"")</f>
        <v>1804.29878771359</v>
      </c>
      <c r="F108" s="36" t="n">
        <f aca="false">IF($A108&lt;=Deal!$B$12*12,B108-D108,"")</f>
        <v>320209.252138307</v>
      </c>
    </row>
    <row r="109" customFormat="false" ht="15" hidden="false" customHeight="true" outlineLevel="0" collapsed="false">
      <c r="A109" s="35" t="n">
        <f aca="false">A108+1</f>
        <v>104</v>
      </c>
      <c r="B109" s="36" t="n">
        <f aca="false">F108</f>
        <v>320209.252138307</v>
      </c>
      <c r="C109" s="36" t="n">
        <f aca="false">IF($A109&lt;=Deal!$B$12*12,Deal!$H$20,"")</f>
        <v>2359.27557626688</v>
      </c>
      <c r="D109" s="36" t="n">
        <f aca="false">IF($A109&lt;=Deal!$B$12*12,-PPMT(Deal!$B$11/12,$A109,Deal!$B$12*12,Deal!$H$7),"")</f>
        <v>558.098532988904</v>
      </c>
      <c r="E109" s="36" t="n">
        <f aca="false">IF($A109&lt;=Deal!$B$12*12,-IPMT(Deal!$B$11/12,$A109,Deal!$B$12*12,Deal!$H$7),"")</f>
        <v>1801.17704327798</v>
      </c>
      <c r="F109" s="36" t="n">
        <f aca="false">IF($A109&lt;=Deal!$B$12*12,B109-D109,"")</f>
        <v>319651.153605318</v>
      </c>
    </row>
    <row r="110" customFormat="false" ht="15" hidden="false" customHeight="true" outlineLevel="0" collapsed="false">
      <c r="A110" s="35" t="n">
        <f aca="false">A109+1</f>
        <v>105</v>
      </c>
      <c r="B110" s="36" t="n">
        <f aca="false">F109</f>
        <v>319651.153605318</v>
      </c>
      <c r="C110" s="36" t="n">
        <f aca="false">IF($A110&lt;=Deal!$B$12*12,Deal!$H$20,"")</f>
        <v>2359.27557626688</v>
      </c>
      <c r="D110" s="36" t="n">
        <f aca="false">IF($A110&lt;=Deal!$B$12*12,-PPMT(Deal!$B$11/12,$A110,Deal!$B$12*12,Deal!$H$7),"")</f>
        <v>561.237837236966</v>
      </c>
      <c r="E110" s="36" t="n">
        <f aca="false">IF($A110&lt;=Deal!$B$12*12,-IPMT(Deal!$B$11/12,$A110,Deal!$B$12*12,Deal!$H$7),"")</f>
        <v>1798.03773902992</v>
      </c>
      <c r="F110" s="36" t="n">
        <f aca="false">IF($A110&lt;=Deal!$B$12*12,B110-D110,"")</f>
        <v>319089.915768081</v>
      </c>
    </row>
    <row r="111" customFormat="false" ht="15" hidden="false" customHeight="true" outlineLevel="0" collapsed="false">
      <c r="A111" s="35" t="n">
        <f aca="false">A110+1</f>
        <v>106</v>
      </c>
      <c r="B111" s="36" t="n">
        <f aca="false">F110</f>
        <v>319089.915768081</v>
      </c>
      <c r="C111" s="36" t="n">
        <f aca="false">IF($A111&lt;=Deal!$B$12*12,Deal!$H$20,"")</f>
        <v>2359.27557626688</v>
      </c>
      <c r="D111" s="36" t="n">
        <f aca="false">IF($A111&lt;=Deal!$B$12*12,-PPMT(Deal!$B$11/12,$A111,Deal!$B$12*12,Deal!$H$7),"")</f>
        <v>564.394800071424</v>
      </c>
      <c r="E111" s="36" t="n">
        <f aca="false">IF($A111&lt;=Deal!$B$12*12,-IPMT(Deal!$B$11/12,$A111,Deal!$B$12*12,Deal!$H$7),"")</f>
        <v>1794.88077619546</v>
      </c>
      <c r="F111" s="36" t="n">
        <f aca="false">IF($A111&lt;=Deal!$B$12*12,B111-D111,"")</f>
        <v>318525.52096801</v>
      </c>
    </row>
    <row r="112" customFormat="false" ht="15" hidden="false" customHeight="true" outlineLevel="0" collapsed="false">
      <c r="A112" s="35" t="n">
        <f aca="false">A111+1</f>
        <v>107</v>
      </c>
      <c r="B112" s="36" t="n">
        <f aca="false">F111</f>
        <v>318525.52096801</v>
      </c>
      <c r="C112" s="36" t="n">
        <f aca="false">IF($A112&lt;=Deal!$B$12*12,Deal!$H$20,"")</f>
        <v>2359.27557626688</v>
      </c>
      <c r="D112" s="36" t="n">
        <f aca="false">IF($A112&lt;=Deal!$B$12*12,-PPMT(Deal!$B$11/12,$A112,Deal!$B$12*12,Deal!$H$7),"")</f>
        <v>567.569520821826</v>
      </c>
      <c r="E112" s="36" t="n">
        <f aca="false">IF($A112&lt;=Deal!$B$12*12,-IPMT(Deal!$B$11/12,$A112,Deal!$B$12*12,Deal!$H$7),"")</f>
        <v>1791.70605544506</v>
      </c>
      <c r="F112" s="36" t="n">
        <f aca="false">IF($A112&lt;=Deal!$B$12*12,B112-D112,"")</f>
        <v>317957.951447188</v>
      </c>
    </row>
    <row r="113" customFormat="false" ht="15" hidden="false" customHeight="true" outlineLevel="0" collapsed="false">
      <c r="A113" s="37" t="n">
        <f aca="false">A112+1</f>
        <v>108</v>
      </c>
      <c r="B113" s="38" t="n">
        <f aca="false">F112</f>
        <v>317957.951447188</v>
      </c>
      <c r="C113" s="38" t="n">
        <f aca="false">IF($A113&lt;=Deal!$B$12*12,Deal!$H$20,"")</f>
        <v>2359.27557626688</v>
      </c>
      <c r="D113" s="38" t="n">
        <f aca="false">IF($A113&lt;=Deal!$B$12*12,-PPMT(Deal!$B$11/12,$A113,Deal!$B$12*12,Deal!$H$7),"")</f>
        <v>570.762099376448</v>
      </c>
      <c r="E113" s="38" t="n">
        <f aca="false">IF($A113&lt;=Deal!$B$12*12,-IPMT(Deal!$B$11/12,$A113,Deal!$B$12*12,Deal!$H$7),"")</f>
        <v>1788.51347689044</v>
      </c>
      <c r="F113" s="38" t="n">
        <f aca="false">IF($A113&lt;=Deal!$B$12*12,B113-D113,"")</f>
        <v>317387.189347812</v>
      </c>
    </row>
    <row r="114" customFormat="false" ht="15" hidden="false" customHeight="true" outlineLevel="0" collapsed="false">
      <c r="A114" s="35" t="n">
        <f aca="false">A113+1</f>
        <v>109</v>
      </c>
      <c r="B114" s="36" t="n">
        <f aca="false">F113</f>
        <v>317387.189347812</v>
      </c>
      <c r="C114" s="36" t="n">
        <f aca="false">IF($A114&lt;=Deal!$B$12*12,Deal!$H$20,"")</f>
        <v>2359.27557626688</v>
      </c>
      <c r="D114" s="36" t="n">
        <f aca="false">IF($A114&lt;=Deal!$B$12*12,-PPMT(Deal!$B$11/12,$A114,Deal!$B$12*12,Deal!$H$7),"")</f>
        <v>573.972636185441</v>
      </c>
      <c r="E114" s="36" t="n">
        <f aca="false">IF($A114&lt;=Deal!$B$12*12,-IPMT(Deal!$B$11/12,$A114,Deal!$B$12*12,Deal!$H$7),"")</f>
        <v>1785.30294008144</v>
      </c>
      <c r="F114" s="36" t="n">
        <f aca="false">IF($A114&lt;=Deal!$B$12*12,B114-D114,"")</f>
        <v>316813.216711626</v>
      </c>
    </row>
    <row r="115" customFormat="false" ht="15" hidden="false" customHeight="true" outlineLevel="0" collapsed="false">
      <c r="A115" s="35" t="n">
        <f aca="false">A114+1</f>
        <v>110</v>
      </c>
      <c r="B115" s="36" t="n">
        <f aca="false">F114</f>
        <v>316813.216711626</v>
      </c>
      <c r="C115" s="36" t="n">
        <f aca="false">IF($A115&lt;=Deal!$B$12*12,Deal!$H$20,"")</f>
        <v>2359.27557626688</v>
      </c>
      <c r="D115" s="36" t="n">
        <f aca="false">IF($A115&lt;=Deal!$B$12*12,-PPMT(Deal!$B$11/12,$A115,Deal!$B$12*12,Deal!$H$7),"")</f>
        <v>577.201232263984</v>
      </c>
      <c r="E115" s="36" t="n">
        <f aca="false">IF($A115&lt;=Deal!$B$12*12,-IPMT(Deal!$B$11/12,$A115,Deal!$B$12*12,Deal!$H$7),"")</f>
        <v>1782.0743440029</v>
      </c>
      <c r="F115" s="36" t="n">
        <f aca="false">IF($A115&lt;=Deal!$B$12*12,B115-D115,"")</f>
        <v>316236.015479362</v>
      </c>
    </row>
    <row r="116" customFormat="false" ht="15" hidden="false" customHeight="true" outlineLevel="0" collapsed="false">
      <c r="A116" s="35" t="n">
        <f aca="false">A115+1</f>
        <v>111</v>
      </c>
      <c r="B116" s="36" t="n">
        <f aca="false">F115</f>
        <v>316236.015479362</v>
      </c>
      <c r="C116" s="36" t="n">
        <f aca="false">IF($A116&lt;=Deal!$B$12*12,Deal!$H$20,"")</f>
        <v>2359.27557626688</v>
      </c>
      <c r="D116" s="36" t="n">
        <f aca="false">IF($A116&lt;=Deal!$B$12*12,-PPMT(Deal!$B$11/12,$A116,Deal!$B$12*12,Deal!$H$7),"")</f>
        <v>580.447989195469</v>
      </c>
      <c r="E116" s="36" t="n">
        <f aca="false">IF($A116&lt;=Deal!$B$12*12,-IPMT(Deal!$B$11/12,$A116,Deal!$B$12*12,Deal!$H$7),"")</f>
        <v>1778.82758707141</v>
      </c>
      <c r="F116" s="36" t="n">
        <f aca="false">IF($A116&lt;=Deal!$B$12*12,B116-D116,"")</f>
        <v>315655.567490167</v>
      </c>
    </row>
    <row r="117" customFormat="false" ht="15" hidden="false" customHeight="true" outlineLevel="0" collapsed="false">
      <c r="A117" s="35" t="n">
        <f aca="false">A116+1</f>
        <v>112</v>
      </c>
      <c r="B117" s="36" t="n">
        <f aca="false">F116</f>
        <v>315655.567490167</v>
      </c>
      <c r="C117" s="36" t="n">
        <f aca="false">IF($A117&lt;=Deal!$B$12*12,Deal!$H$20,"")</f>
        <v>2359.27557626688</v>
      </c>
      <c r="D117" s="36" t="n">
        <f aca="false">IF($A117&lt;=Deal!$B$12*12,-PPMT(Deal!$B$11/12,$A117,Deal!$B$12*12,Deal!$H$7),"")</f>
        <v>583.713009134693</v>
      </c>
      <c r="E117" s="36" t="n">
        <f aca="false">IF($A117&lt;=Deal!$B$12*12,-IPMT(Deal!$B$11/12,$A117,Deal!$B$12*12,Deal!$H$7),"")</f>
        <v>1775.56256713219</v>
      </c>
      <c r="F117" s="36" t="n">
        <f aca="false">IF($A117&lt;=Deal!$B$12*12,B117-D117,"")</f>
        <v>315071.854481032</v>
      </c>
    </row>
    <row r="118" customFormat="false" ht="15" hidden="false" customHeight="true" outlineLevel="0" collapsed="false">
      <c r="A118" s="35" t="n">
        <f aca="false">A117+1</f>
        <v>113</v>
      </c>
      <c r="B118" s="36" t="n">
        <f aca="false">F117</f>
        <v>315071.854481032</v>
      </c>
      <c r="C118" s="36" t="n">
        <f aca="false">IF($A118&lt;=Deal!$B$12*12,Deal!$H$20,"")</f>
        <v>2359.27557626688</v>
      </c>
      <c r="D118" s="36" t="n">
        <f aca="false">IF($A118&lt;=Deal!$B$12*12,-PPMT(Deal!$B$11/12,$A118,Deal!$B$12*12,Deal!$H$7),"")</f>
        <v>586.996394811077</v>
      </c>
      <c r="E118" s="36" t="n">
        <f aca="false">IF($A118&lt;=Deal!$B$12*12,-IPMT(Deal!$B$11/12,$A118,Deal!$B$12*12,Deal!$H$7),"")</f>
        <v>1772.27918145581</v>
      </c>
      <c r="F118" s="36" t="n">
        <f aca="false">IF($A118&lt;=Deal!$B$12*12,B118-D118,"")</f>
        <v>314484.858086221</v>
      </c>
    </row>
    <row r="119" customFormat="false" ht="15" hidden="false" customHeight="true" outlineLevel="0" collapsed="false">
      <c r="A119" s="35" t="n">
        <f aca="false">A118+1</f>
        <v>114</v>
      </c>
      <c r="B119" s="36" t="n">
        <f aca="false">F118</f>
        <v>314484.858086221</v>
      </c>
      <c r="C119" s="36" t="n">
        <f aca="false">IF($A119&lt;=Deal!$B$12*12,Deal!$H$20,"")</f>
        <v>2359.27557626688</v>
      </c>
      <c r="D119" s="36" t="n">
        <f aca="false">IF($A119&lt;=Deal!$B$12*12,-PPMT(Deal!$B$11/12,$A119,Deal!$B$12*12,Deal!$H$7),"")</f>
        <v>590.298249531889</v>
      </c>
      <c r="E119" s="36" t="n">
        <f aca="false">IF($A119&lt;=Deal!$B$12*12,-IPMT(Deal!$B$11/12,$A119,Deal!$B$12*12,Deal!$H$7),"")</f>
        <v>1768.97732673499</v>
      </c>
      <c r="F119" s="36" t="n">
        <f aca="false">IF($A119&lt;=Deal!$B$12*12,B119-D119,"")</f>
        <v>313894.559836689</v>
      </c>
    </row>
    <row r="120" customFormat="false" ht="15" hidden="false" customHeight="true" outlineLevel="0" collapsed="false">
      <c r="A120" s="35" t="n">
        <f aca="false">A119+1</f>
        <v>115</v>
      </c>
      <c r="B120" s="36" t="n">
        <f aca="false">F119</f>
        <v>313894.559836689</v>
      </c>
      <c r="C120" s="36" t="n">
        <f aca="false">IF($A120&lt;=Deal!$B$12*12,Deal!$H$20,"")</f>
        <v>2359.27557626688</v>
      </c>
      <c r="D120" s="36" t="n">
        <f aca="false">IF($A120&lt;=Deal!$B$12*12,-PPMT(Deal!$B$11/12,$A120,Deal!$B$12*12,Deal!$H$7),"")</f>
        <v>593.618677185505</v>
      </c>
      <c r="E120" s="36" t="n">
        <f aca="false">IF($A120&lt;=Deal!$B$12*12,-IPMT(Deal!$B$11/12,$A120,Deal!$B$12*12,Deal!$H$7),"")</f>
        <v>1765.65689908138</v>
      </c>
      <c r="F120" s="36" t="n">
        <f aca="false">IF($A120&lt;=Deal!$B$12*12,B120-D120,"")</f>
        <v>313300.941159504</v>
      </c>
    </row>
    <row r="121" customFormat="false" ht="15" hidden="false" customHeight="true" outlineLevel="0" collapsed="false">
      <c r="A121" s="35" t="n">
        <f aca="false">A120+1</f>
        <v>116</v>
      </c>
      <c r="B121" s="36" t="n">
        <f aca="false">F120</f>
        <v>313300.941159504</v>
      </c>
      <c r="C121" s="36" t="n">
        <f aca="false">IF($A121&lt;=Deal!$B$12*12,Deal!$H$20,"")</f>
        <v>2359.27557626688</v>
      </c>
      <c r="D121" s="36" t="n">
        <f aca="false">IF($A121&lt;=Deal!$B$12*12,-PPMT(Deal!$B$11/12,$A121,Deal!$B$12*12,Deal!$H$7),"")</f>
        <v>596.957782244674</v>
      </c>
      <c r="E121" s="36" t="n">
        <f aca="false">IF($A121&lt;=Deal!$B$12*12,-IPMT(Deal!$B$11/12,$A121,Deal!$B$12*12,Deal!$H$7),"")</f>
        <v>1762.31779402221</v>
      </c>
      <c r="F121" s="36" t="n">
        <f aca="false">IF($A121&lt;=Deal!$B$12*12,B121-D121,"")</f>
        <v>312703.983377259</v>
      </c>
    </row>
    <row r="122" customFormat="false" ht="15" hidden="false" customHeight="true" outlineLevel="0" collapsed="false">
      <c r="A122" s="35" t="n">
        <f aca="false">A121+1</f>
        <v>117</v>
      </c>
      <c r="B122" s="36" t="n">
        <f aca="false">F121</f>
        <v>312703.983377259</v>
      </c>
      <c r="C122" s="36" t="n">
        <f aca="false">IF($A122&lt;=Deal!$B$12*12,Deal!$H$20,"")</f>
        <v>2359.27557626688</v>
      </c>
      <c r="D122" s="36" t="n">
        <f aca="false">IF($A122&lt;=Deal!$B$12*12,-PPMT(Deal!$B$11/12,$A122,Deal!$B$12*12,Deal!$H$7),"")</f>
        <v>600.3156697698</v>
      </c>
      <c r="E122" s="36" t="n">
        <f aca="false">IF($A122&lt;=Deal!$B$12*12,-IPMT(Deal!$B$11/12,$A122,Deal!$B$12*12,Deal!$H$7),"")</f>
        <v>1758.95990649708</v>
      </c>
      <c r="F122" s="36" t="n">
        <f aca="false">IF($A122&lt;=Deal!$B$12*12,B122-D122,"")</f>
        <v>312103.667707489</v>
      </c>
    </row>
    <row r="123" customFormat="false" ht="15" hidden="false" customHeight="true" outlineLevel="0" collapsed="false">
      <c r="A123" s="35" t="n">
        <f aca="false">A122+1</f>
        <v>118</v>
      </c>
      <c r="B123" s="36" t="n">
        <f aca="false">F122</f>
        <v>312103.667707489</v>
      </c>
      <c r="C123" s="36" t="n">
        <f aca="false">IF($A123&lt;=Deal!$B$12*12,Deal!$H$20,"")</f>
        <v>2359.27557626688</v>
      </c>
      <c r="D123" s="36" t="n">
        <f aca="false">IF($A123&lt;=Deal!$B$12*12,-PPMT(Deal!$B$11/12,$A123,Deal!$B$12*12,Deal!$H$7),"")</f>
        <v>603.692445412255</v>
      </c>
      <c r="E123" s="36" t="n">
        <f aca="false">IF($A123&lt;=Deal!$B$12*12,-IPMT(Deal!$B$11/12,$A123,Deal!$B$12*12,Deal!$H$7),"")</f>
        <v>1755.58313085463</v>
      </c>
      <c r="F123" s="36" t="n">
        <f aca="false">IF($A123&lt;=Deal!$B$12*12,B123-D123,"")</f>
        <v>311499.975262077</v>
      </c>
    </row>
    <row r="124" customFormat="false" ht="15" hidden="false" customHeight="true" outlineLevel="0" collapsed="false">
      <c r="A124" s="35" t="n">
        <f aca="false">A123+1</f>
        <v>119</v>
      </c>
      <c r="B124" s="36" t="n">
        <f aca="false">F123</f>
        <v>311499.975262077</v>
      </c>
      <c r="C124" s="36" t="n">
        <f aca="false">IF($A124&lt;=Deal!$B$12*12,Deal!$H$20,"")</f>
        <v>2359.27557626688</v>
      </c>
      <c r="D124" s="36" t="n">
        <f aca="false">IF($A124&lt;=Deal!$B$12*12,-PPMT(Deal!$B$11/12,$A124,Deal!$B$12*12,Deal!$H$7),"")</f>
        <v>607.088215417699</v>
      </c>
      <c r="E124" s="36" t="n">
        <f aca="false">IF($A124&lt;=Deal!$B$12*12,-IPMT(Deal!$B$11/12,$A124,Deal!$B$12*12,Deal!$H$7),"")</f>
        <v>1752.18736084918</v>
      </c>
      <c r="F124" s="36" t="n">
        <f aca="false">IF($A124&lt;=Deal!$B$12*12,B124-D124,"")</f>
        <v>310892.887046659</v>
      </c>
    </row>
    <row r="125" customFormat="false" ht="15" hidden="false" customHeight="true" outlineLevel="0" collapsed="false">
      <c r="A125" s="37" t="n">
        <f aca="false">A124+1</f>
        <v>120</v>
      </c>
      <c r="B125" s="38" t="n">
        <f aca="false">F124</f>
        <v>310892.887046659</v>
      </c>
      <c r="C125" s="38" t="n">
        <f aca="false">IF($A125&lt;=Deal!$B$12*12,Deal!$H$20,"")</f>
        <v>2359.27557626688</v>
      </c>
      <c r="D125" s="38" t="n">
        <f aca="false">IF($A125&lt;=Deal!$B$12*12,-PPMT(Deal!$B$11/12,$A125,Deal!$B$12*12,Deal!$H$7),"")</f>
        <v>610.503086629424</v>
      </c>
      <c r="E125" s="38" t="n">
        <f aca="false">IF($A125&lt;=Deal!$B$12*12,-IPMT(Deal!$B$11/12,$A125,Deal!$B$12*12,Deal!$H$7),"")</f>
        <v>1748.77248963746</v>
      </c>
      <c r="F125" s="38" t="n">
        <f aca="false">IF($A125&lt;=Deal!$B$12*12,B125-D125,"")</f>
        <v>310282.38396003</v>
      </c>
    </row>
    <row r="126" customFormat="false" ht="15" hidden="false" customHeight="true" outlineLevel="0" collapsed="false">
      <c r="A126" s="35" t="n">
        <f aca="false">A125+1</f>
        <v>121</v>
      </c>
      <c r="B126" s="36" t="n">
        <f aca="false">F125</f>
        <v>310282.38396003</v>
      </c>
      <c r="C126" s="36" t="n">
        <f aca="false">IF($A126&lt;=Deal!$B$12*12,Deal!$H$20,"")</f>
        <v>2359.27557626688</v>
      </c>
      <c r="D126" s="36" t="n">
        <f aca="false">IF($A126&lt;=Deal!$B$12*12,-PPMT(Deal!$B$11/12,$A126,Deal!$B$12*12,Deal!$H$7),"")</f>
        <v>613.937166491714</v>
      </c>
      <c r="E126" s="36" t="n">
        <f aca="false">IF($A126&lt;=Deal!$B$12*12,-IPMT(Deal!$B$11/12,$A126,Deal!$B$12*12,Deal!$H$7),"")</f>
        <v>1745.33840977517</v>
      </c>
      <c r="F126" s="36" t="n">
        <f aca="false">IF($A126&lt;=Deal!$B$12*12,B126-D126,"")</f>
        <v>309668.446793538</v>
      </c>
    </row>
    <row r="127" customFormat="false" ht="15" hidden="false" customHeight="true" outlineLevel="0" collapsed="false">
      <c r="A127" s="35" t="n">
        <f aca="false">A126+1</f>
        <v>122</v>
      </c>
      <c r="B127" s="36" t="n">
        <f aca="false">F126</f>
        <v>309668.446793538</v>
      </c>
      <c r="C127" s="36" t="n">
        <f aca="false">IF($A127&lt;=Deal!$B$12*12,Deal!$H$20,"")</f>
        <v>2359.27557626688</v>
      </c>
      <c r="D127" s="36" t="n">
        <f aca="false">IF($A127&lt;=Deal!$B$12*12,-PPMT(Deal!$B$11/12,$A127,Deal!$B$12*12,Deal!$H$7),"")</f>
        <v>617.39056305323</v>
      </c>
      <c r="E127" s="36" t="n">
        <f aca="false">IF($A127&lt;=Deal!$B$12*12,-IPMT(Deal!$B$11/12,$A127,Deal!$B$12*12,Deal!$H$7),"")</f>
        <v>1741.88501321365</v>
      </c>
      <c r="F127" s="36" t="n">
        <f aca="false">IF($A127&lt;=Deal!$B$12*12,B127-D127,"")</f>
        <v>309051.056230485</v>
      </c>
    </row>
    <row r="128" customFormat="false" ht="15" hidden="false" customHeight="true" outlineLevel="0" collapsed="false">
      <c r="A128" s="35" t="n">
        <f aca="false">A127+1</f>
        <v>123</v>
      </c>
      <c r="B128" s="36" t="n">
        <f aca="false">F127</f>
        <v>309051.056230485</v>
      </c>
      <c r="C128" s="36" t="n">
        <f aca="false">IF($A128&lt;=Deal!$B$12*12,Deal!$H$20,"")</f>
        <v>2359.27557626688</v>
      </c>
      <c r="D128" s="36" t="n">
        <f aca="false">IF($A128&lt;=Deal!$B$12*12,-PPMT(Deal!$B$11/12,$A128,Deal!$B$12*12,Deal!$H$7),"")</f>
        <v>620.863384970405</v>
      </c>
      <c r="E128" s="36" t="n">
        <f aca="false">IF($A128&lt;=Deal!$B$12*12,-IPMT(Deal!$B$11/12,$A128,Deal!$B$12*12,Deal!$H$7),"")</f>
        <v>1738.41219129648</v>
      </c>
      <c r="F128" s="36" t="n">
        <f aca="false">IF($A128&lt;=Deal!$B$12*12,B128-D128,"")</f>
        <v>308430.192845514</v>
      </c>
    </row>
    <row r="129" customFormat="false" ht="15" hidden="false" customHeight="true" outlineLevel="0" collapsed="false">
      <c r="A129" s="35" t="n">
        <f aca="false">A128+1</f>
        <v>124</v>
      </c>
      <c r="B129" s="36" t="n">
        <f aca="false">F128</f>
        <v>308430.192845514</v>
      </c>
      <c r="C129" s="36" t="n">
        <f aca="false">IF($A129&lt;=Deal!$B$12*12,Deal!$H$20,"")</f>
        <v>2359.27557626688</v>
      </c>
      <c r="D129" s="36" t="n">
        <f aca="false">IF($A129&lt;=Deal!$B$12*12,-PPMT(Deal!$B$11/12,$A129,Deal!$B$12*12,Deal!$H$7),"")</f>
        <v>624.355741510863</v>
      </c>
      <c r="E129" s="36" t="n">
        <f aca="false">IF($A129&lt;=Deal!$B$12*12,-IPMT(Deal!$B$11/12,$A129,Deal!$B$12*12,Deal!$H$7),"")</f>
        <v>1734.91983475602</v>
      </c>
      <c r="F129" s="36" t="n">
        <f aca="false">IF($A129&lt;=Deal!$B$12*12,B129-D129,"")</f>
        <v>307805.837104004</v>
      </c>
    </row>
    <row r="130" customFormat="false" ht="15" hidden="false" customHeight="true" outlineLevel="0" collapsed="false">
      <c r="A130" s="35" t="n">
        <f aca="false">A129+1</f>
        <v>125</v>
      </c>
      <c r="B130" s="36" t="n">
        <f aca="false">F129</f>
        <v>307805.837104004</v>
      </c>
      <c r="C130" s="36" t="n">
        <f aca="false">IF($A130&lt;=Deal!$B$12*12,Deal!$H$20,"")</f>
        <v>2359.27557626688</v>
      </c>
      <c r="D130" s="36" t="n">
        <f aca="false">IF($A130&lt;=Deal!$B$12*12,-PPMT(Deal!$B$11/12,$A130,Deal!$B$12*12,Deal!$H$7),"")</f>
        <v>627.867742556862</v>
      </c>
      <c r="E130" s="36" t="n">
        <f aca="false">IF($A130&lt;=Deal!$B$12*12,-IPMT(Deal!$B$11/12,$A130,Deal!$B$12*12,Deal!$H$7),"")</f>
        <v>1731.40783371002</v>
      </c>
      <c r="F130" s="36" t="n">
        <f aca="false">IF($A130&lt;=Deal!$B$12*12,B130-D130,"")</f>
        <v>307177.969361447</v>
      </c>
    </row>
    <row r="131" customFormat="false" ht="15" hidden="false" customHeight="true" outlineLevel="0" collapsed="false">
      <c r="A131" s="35" t="n">
        <f aca="false">A130+1</f>
        <v>126</v>
      </c>
      <c r="B131" s="36" t="n">
        <f aca="false">F130</f>
        <v>307177.969361447</v>
      </c>
      <c r="C131" s="36" t="n">
        <f aca="false">IF($A131&lt;=Deal!$B$12*12,Deal!$H$20,"")</f>
        <v>2359.27557626688</v>
      </c>
      <c r="D131" s="36" t="n">
        <f aca="false">IF($A131&lt;=Deal!$B$12*12,-PPMT(Deal!$B$11/12,$A131,Deal!$B$12*12,Deal!$H$7),"")</f>
        <v>631.399498608744</v>
      </c>
      <c r="E131" s="36" t="n">
        <f aca="false">IF($A131&lt;=Deal!$B$12*12,-IPMT(Deal!$B$11/12,$A131,Deal!$B$12*12,Deal!$H$7),"")</f>
        <v>1727.87607765814</v>
      </c>
      <c r="F131" s="36" t="n">
        <f aca="false">IF($A131&lt;=Deal!$B$12*12,B131-D131,"")</f>
        <v>306546.569862838</v>
      </c>
    </row>
    <row r="132" customFormat="false" ht="15" hidden="false" customHeight="true" outlineLevel="0" collapsed="false">
      <c r="A132" s="35" t="n">
        <f aca="false">A131+1</f>
        <v>127</v>
      </c>
      <c r="B132" s="36" t="n">
        <f aca="false">F131</f>
        <v>306546.569862838</v>
      </c>
      <c r="C132" s="36" t="n">
        <f aca="false">IF($A132&lt;=Deal!$B$12*12,Deal!$H$20,"")</f>
        <v>2359.27557626688</v>
      </c>
      <c r="D132" s="36" t="n">
        <f aca="false">IF($A132&lt;=Deal!$B$12*12,-PPMT(Deal!$B$11/12,$A132,Deal!$B$12*12,Deal!$H$7),"")</f>
        <v>634.951120788418</v>
      </c>
      <c r="E132" s="36" t="n">
        <f aca="false">IF($A132&lt;=Deal!$B$12*12,-IPMT(Deal!$B$11/12,$A132,Deal!$B$12*12,Deal!$H$7),"")</f>
        <v>1724.32445547846</v>
      </c>
      <c r="F132" s="36" t="n">
        <f aca="false">IF($A132&lt;=Deal!$B$12*12,B132-D132,"")</f>
        <v>305911.61874205</v>
      </c>
    </row>
    <row r="133" customFormat="false" ht="15" hidden="false" customHeight="true" outlineLevel="0" collapsed="false">
      <c r="A133" s="35" t="n">
        <f aca="false">A132+1</f>
        <v>128</v>
      </c>
      <c r="B133" s="36" t="n">
        <f aca="false">F132</f>
        <v>305911.61874205</v>
      </c>
      <c r="C133" s="36" t="n">
        <f aca="false">IF($A133&lt;=Deal!$B$12*12,Deal!$H$20,"")</f>
        <v>2359.27557626688</v>
      </c>
      <c r="D133" s="36" t="n">
        <f aca="false">IF($A133&lt;=Deal!$B$12*12,-PPMT(Deal!$B$11/12,$A133,Deal!$B$12*12,Deal!$H$7),"")</f>
        <v>638.522720842853</v>
      </c>
      <c r="E133" s="36" t="n">
        <f aca="false">IF($A133&lt;=Deal!$B$12*12,-IPMT(Deal!$B$11/12,$A133,Deal!$B$12*12,Deal!$H$7),"")</f>
        <v>1720.75285542403</v>
      </c>
      <c r="F133" s="36" t="n">
        <f aca="false">IF($A133&lt;=Deal!$B$12*12,B133-D133,"")</f>
        <v>305273.096021207</v>
      </c>
    </row>
    <row r="134" customFormat="false" ht="15" hidden="false" customHeight="true" outlineLevel="0" collapsed="false">
      <c r="A134" s="35" t="n">
        <f aca="false">A133+1</f>
        <v>129</v>
      </c>
      <c r="B134" s="36" t="n">
        <f aca="false">F133</f>
        <v>305273.096021207</v>
      </c>
      <c r="C134" s="36" t="n">
        <f aca="false">IF($A134&lt;=Deal!$B$12*12,Deal!$H$20,"")</f>
        <v>2359.27557626688</v>
      </c>
      <c r="D134" s="36" t="n">
        <f aca="false">IF($A134&lt;=Deal!$B$12*12,-PPMT(Deal!$B$11/12,$A134,Deal!$B$12*12,Deal!$H$7),"")</f>
        <v>642.114411147594</v>
      </c>
      <c r="E134" s="36" t="n">
        <f aca="false">IF($A134&lt;=Deal!$B$12*12,-IPMT(Deal!$B$11/12,$A134,Deal!$B$12*12,Deal!$H$7),"")</f>
        <v>1717.16116511929</v>
      </c>
      <c r="F134" s="36" t="n">
        <f aca="false">IF($A134&lt;=Deal!$B$12*12,B134-D134,"")</f>
        <v>304630.981610059</v>
      </c>
    </row>
    <row r="135" customFormat="false" ht="15" hidden="false" customHeight="true" outlineLevel="0" collapsed="false">
      <c r="A135" s="35" t="n">
        <f aca="false">A134+1</f>
        <v>130</v>
      </c>
      <c r="B135" s="36" t="n">
        <f aca="false">F134</f>
        <v>304630.981610059</v>
      </c>
      <c r="C135" s="36" t="n">
        <f aca="false">IF($A135&lt;=Deal!$B$12*12,Deal!$H$20,"")</f>
        <v>2359.27557626688</v>
      </c>
      <c r="D135" s="36" t="n">
        <f aca="false">IF($A135&lt;=Deal!$B$12*12,-PPMT(Deal!$B$11/12,$A135,Deal!$B$12*12,Deal!$H$7),"")</f>
        <v>645.726304710299</v>
      </c>
      <c r="E135" s="36" t="n">
        <f aca="false">IF($A135&lt;=Deal!$B$12*12,-IPMT(Deal!$B$11/12,$A135,Deal!$B$12*12,Deal!$H$7),"")</f>
        <v>1713.54927155658</v>
      </c>
      <c r="F135" s="36" t="n">
        <f aca="false">IF($A135&lt;=Deal!$B$12*12,B135-D135,"")</f>
        <v>303985.255305349</v>
      </c>
    </row>
    <row r="136" customFormat="false" ht="15" hidden="false" customHeight="true" outlineLevel="0" collapsed="false">
      <c r="A136" s="35" t="n">
        <f aca="false">A135+1</f>
        <v>131</v>
      </c>
      <c r="B136" s="36" t="n">
        <f aca="false">F135</f>
        <v>303985.255305349</v>
      </c>
      <c r="C136" s="36" t="n">
        <f aca="false">IF($A136&lt;=Deal!$B$12*12,Deal!$H$20,"")</f>
        <v>2359.27557626688</v>
      </c>
      <c r="D136" s="36" t="n">
        <f aca="false">IF($A136&lt;=Deal!$B$12*12,-PPMT(Deal!$B$11/12,$A136,Deal!$B$12*12,Deal!$H$7),"")</f>
        <v>649.358515174295</v>
      </c>
      <c r="E136" s="36" t="n">
        <f aca="false">IF($A136&lt;=Deal!$B$12*12,-IPMT(Deal!$B$11/12,$A136,Deal!$B$12*12,Deal!$H$7),"")</f>
        <v>1709.91706109259</v>
      </c>
      <c r="F136" s="36" t="n">
        <f aca="false">IF($A136&lt;=Deal!$B$12*12,B136-D136,"")</f>
        <v>303335.896790175</v>
      </c>
    </row>
    <row r="137" customFormat="false" ht="15" hidden="false" customHeight="true" outlineLevel="0" collapsed="false">
      <c r="A137" s="37" t="n">
        <f aca="false">A136+1</f>
        <v>132</v>
      </c>
      <c r="B137" s="38" t="n">
        <f aca="false">F136</f>
        <v>303335.896790175</v>
      </c>
      <c r="C137" s="38" t="n">
        <f aca="false">IF($A137&lt;=Deal!$B$12*12,Deal!$H$20,"")</f>
        <v>2359.27557626688</v>
      </c>
      <c r="D137" s="38" t="n">
        <f aca="false">IF($A137&lt;=Deal!$B$12*12,-PPMT(Deal!$B$11/12,$A137,Deal!$B$12*12,Deal!$H$7),"")</f>
        <v>653.01115682215</v>
      </c>
      <c r="E137" s="38" t="n">
        <f aca="false">IF($A137&lt;=Deal!$B$12*12,-IPMT(Deal!$B$11/12,$A137,Deal!$B$12*12,Deal!$H$7),"")</f>
        <v>1706.26441944473</v>
      </c>
      <c r="F137" s="38" t="n">
        <f aca="false">IF($A137&lt;=Deal!$B$12*12,B137-D137,"")</f>
        <v>302682.885633352</v>
      </c>
    </row>
    <row r="138" customFormat="false" ht="15" hidden="false" customHeight="true" outlineLevel="0" collapsed="false">
      <c r="A138" s="35" t="n">
        <f aca="false">A137+1</f>
        <v>133</v>
      </c>
      <c r="B138" s="36" t="n">
        <f aca="false">F137</f>
        <v>302682.885633352</v>
      </c>
      <c r="C138" s="36" t="n">
        <f aca="false">IF($A138&lt;=Deal!$B$12*12,Deal!$H$20,"")</f>
        <v>2359.27557626688</v>
      </c>
      <c r="D138" s="36" t="n">
        <f aca="false">IF($A138&lt;=Deal!$B$12*12,-PPMT(Deal!$B$11/12,$A138,Deal!$B$12*12,Deal!$H$7),"")</f>
        <v>656.684344579274</v>
      </c>
      <c r="E138" s="36" t="n">
        <f aca="false">IF($A138&lt;=Deal!$B$12*12,-IPMT(Deal!$B$11/12,$A138,Deal!$B$12*12,Deal!$H$7),"")</f>
        <v>1702.59123168761</v>
      </c>
      <c r="F138" s="36" t="n">
        <f aca="false">IF($A138&lt;=Deal!$B$12*12,B138-D138,"")</f>
        <v>302026.201288773</v>
      </c>
    </row>
    <row r="139" customFormat="false" ht="15" hidden="false" customHeight="true" outlineLevel="0" collapsed="false">
      <c r="A139" s="35" t="n">
        <f aca="false">A138+1</f>
        <v>134</v>
      </c>
      <c r="B139" s="36" t="n">
        <f aca="false">F138</f>
        <v>302026.201288773</v>
      </c>
      <c r="C139" s="36" t="n">
        <f aca="false">IF($A139&lt;=Deal!$B$12*12,Deal!$H$20,"")</f>
        <v>2359.27557626688</v>
      </c>
      <c r="D139" s="36" t="n">
        <f aca="false">IF($A139&lt;=Deal!$B$12*12,-PPMT(Deal!$B$11/12,$A139,Deal!$B$12*12,Deal!$H$7),"")</f>
        <v>660.378194017533</v>
      </c>
      <c r="E139" s="36" t="n">
        <f aca="false">IF($A139&lt;=Deal!$B$12*12,-IPMT(Deal!$B$11/12,$A139,Deal!$B$12*12,Deal!$H$7),"")</f>
        <v>1698.89738224935</v>
      </c>
      <c r="F139" s="36" t="n">
        <f aca="false">IF($A139&lt;=Deal!$B$12*12,B139-D139,"")</f>
        <v>301365.823094756</v>
      </c>
    </row>
    <row r="140" customFormat="false" ht="15" hidden="false" customHeight="true" outlineLevel="0" collapsed="false">
      <c r="A140" s="35" t="n">
        <f aca="false">A139+1</f>
        <v>135</v>
      </c>
      <c r="B140" s="36" t="n">
        <f aca="false">F139</f>
        <v>301365.823094756</v>
      </c>
      <c r="C140" s="36" t="n">
        <f aca="false">IF($A140&lt;=Deal!$B$12*12,Deal!$H$20,"")</f>
        <v>2359.27557626688</v>
      </c>
      <c r="D140" s="36" t="n">
        <f aca="false">IF($A140&lt;=Deal!$B$12*12,-PPMT(Deal!$B$11/12,$A140,Deal!$B$12*12,Deal!$H$7),"")</f>
        <v>664.092821358882</v>
      </c>
      <c r="E140" s="36" t="n">
        <f aca="false">IF($A140&lt;=Deal!$B$12*12,-IPMT(Deal!$B$11/12,$A140,Deal!$B$12*12,Deal!$H$7),"")</f>
        <v>1695.182754908</v>
      </c>
      <c r="F140" s="36" t="n">
        <f aca="false">IF($A140&lt;=Deal!$B$12*12,B140-D140,"")</f>
        <v>300701.730273397</v>
      </c>
    </row>
    <row r="141" customFormat="false" ht="15" hidden="false" customHeight="true" outlineLevel="0" collapsed="false">
      <c r="A141" s="35" t="n">
        <f aca="false">A140+1</f>
        <v>136</v>
      </c>
      <c r="B141" s="36" t="n">
        <f aca="false">F140</f>
        <v>300701.730273397</v>
      </c>
      <c r="C141" s="36" t="n">
        <f aca="false">IF($A141&lt;=Deal!$B$12*12,Deal!$H$20,"")</f>
        <v>2359.27557626688</v>
      </c>
      <c r="D141" s="36" t="n">
        <f aca="false">IF($A141&lt;=Deal!$B$12*12,-PPMT(Deal!$B$11/12,$A141,Deal!$B$12*12,Deal!$H$7),"")</f>
        <v>667.828343479025</v>
      </c>
      <c r="E141" s="36" t="n">
        <f aca="false">IF($A141&lt;=Deal!$B$12*12,-IPMT(Deal!$B$11/12,$A141,Deal!$B$12*12,Deal!$H$7),"")</f>
        <v>1691.44723278786</v>
      </c>
      <c r="F141" s="36" t="n">
        <f aca="false">IF($A141&lt;=Deal!$B$12*12,B141-D141,"")</f>
        <v>300033.901929918</v>
      </c>
    </row>
    <row r="142" customFormat="false" ht="15" hidden="false" customHeight="true" outlineLevel="0" collapsed="false">
      <c r="A142" s="35" t="n">
        <f aca="false">A141+1</f>
        <v>137</v>
      </c>
      <c r="B142" s="36" t="n">
        <f aca="false">F141</f>
        <v>300033.901929918</v>
      </c>
      <c r="C142" s="36" t="n">
        <f aca="false">IF($A142&lt;=Deal!$B$12*12,Deal!$H$20,"")</f>
        <v>2359.27557626688</v>
      </c>
      <c r="D142" s="36" t="n">
        <f aca="false">IF($A142&lt;=Deal!$B$12*12,-PPMT(Deal!$B$11/12,$A142,Deal!$B$12*12,Deal!$H$7),"")</f>
        <v>671.584877911095</v>
      </c>
      <c r="E142" s="36" t="n">
        <f aca="false">IF($A142&lt;=Deal!$B$12*12,-IPMT(Deal!$B$11/12,$A142,Deal!$B$12*12,Deal!$H$7),"")</f>
        <v>1687.69069835579</v>
      </c>
      <c r="F142" s="36" t="n">
        <f aca="false">IF($A142&lt;=Deal!$B$12*12,B142-D142,"")</f>
        <v>299362.317052007</v>
      </c>
    </row>
    <row r="143" customFormat="false" ht="15" hidden="false" customHeight="true" outlineLevel="0" collapsed="false">
      <c r="A143" s="35" t="n">
        <f aca="false">A142+1</f>
        <v>138</v>
      </c>
      <c r="B143" s="36" t="n">
        <f aca="false">F142</f>
        <v>299362.317052007</v>
      </c>
      <c r="C143" s="36" t="n">
        <f aca="false">IF($A143&lt;=Deal!$B$12*12,Deal!$H$20,"")</f>
        <v>2359.27557626688</v>
      </c>
      <c r="D143" s="36" t="n">
        <f aca="false">IF($A143&lt;=Deal!$B$12*12,-PPMT(Deal!$B$11/12,$A143,Deal!$B$12*12,Deal!$H$7),"")</f>
        <v>675.362542849344</v>
      </c>
      <c r="E143" s="36" t="n">
        <f aca="false">IF($A143&lt;=Deal!$B$12*12,-IPMT(Deal!$B$11/12,$A143,Deal!$B$12*12,Deal!$H$7),"")</f>
        <v>1683.91303341754</v>
      </c>
      <c r="F143" s="36" t="n">
        <f aca="false">IF($A143&lt;=Deal!$B$12*12,B143-D143,"")</f>
        <v>298686.954509157</v>
      </c>
    </row>
    <row r="144" customFormat="false" ht="15" hidden="false" customHeight="true" outlineLevel="0" collapsed="false">
      <c r="A144" s="35" t="n">
        <f aca="false">A143+1</f>
        <v>139</v>
      </c>
      <c r="B144" s="36" t="n">
        <f aca="false">F143</f>
        <v>298686.954509157</v>
      </c>
      <c r="C144" s="36" t="n">
        <f aca="false">IF($A144&lt;=Deal!$B$12*12,Deal!$H$20,"")</f>
        <v>2359.27557626688</v>
      </c>
      <c r="D144" s="36" t="n">
        <f aca="false">IF($A144&lt;=Deal!$B$12*12,-PPMT(Deal!$B$11/12,$A144,Deal!$B$12*12,Deal!$H$7),"")</f>
        <v>679.161457152873</v>
      </c>
      <c r="E144" s="36" t="n">
        <f aca="false">IF($A144&lt;=Deal!$B$12*12,-IPMT(Deal!$B$11/12,$A144,Deal!$B$12*12,Deal!$H$7),"")</f>
        <v>1680.11411911401</v>
      </c>
      <c r="F144" s="36" t="n">
        <f aca="false">IF($A144&lt;=Deal!$B$12*12,B144-D144,"")</f>
        <v>298007.793052004</v>
      </c>
    </row>
    <row r="145" customFormat="false" ht="15" hidden="false" customHeight="true" outlineLevel="0" collapsed="false">
      <c r="A145" s="35" t="n">
        <f aca="false">A144+1</f>
        <v>140</v>
      </c>
      <c r="B145" s="36" t="n">
        <f aca="false">F144</f>
        <v>298007.793052004</v>
      </c>
      <c r="C145" s="36" t="n">
        <f aca="false">IF($A145&lt;=Deal!$B$12*12,Deal!$H$20,"")</f>
        <v>2359.27557626688</v>
      </c>
      <c r="D145" s="36" t="n">
        <f aca="false">IF($A145&lt;=Deal!$B$12*12,-PPMT(Deal!$B$11/12,$A145,Deal!$B$12*12,Deal!$H$7),"")</f>
        <v>682.981740349357</v>
      </c>
      <c r="E145" s="36" t="n">
        <f aca="false">IF($A145&lt;=Deal!$B$12*12,-IPMT(Deal!$B$11/12,$A145,Deal!$B$12*12,Deal!$H$7),"")</f>
        <v>1676.29383591753</v>
      </c>
      <c r="F145" s="36" t="n">
        <f aca="false">IF($A145&lt;=Deal!$B$12*12,B145-D145,"")</f>
        <v>297324.811311655</v>
      </c>
    </row>
    <row r="146" customFormat="false" ht="15" hidden="false" customHeight="true" outlineLevel="0" collapsed="false">
      <c r="A146" s="35" t="n">
        <f aca="false">A145+1</f>
        <v>141</v>
      </c>
      <c r="B146" s="36" t="n">
        <f aca="false">F145</f>
        <v>297324.811311655</v>
      </c>
      <c r="C146" s="36" t="n">
        <f aca="false">IF($A146&lt;=Deal!$B$12*12,Deal!$H$20,"")</f>
        <v>2359.27557626688</v>
      </c>
      <c r="D146" s="36" t="n">
        <f aca="false">IF($A146&lt;=Deal!$B$12*12,-PPMT(Deal!$B$11/12,$A146,Deal!$B$12*12,Deal!$H$7),"")</f>
        <v>686.823512638822</v>
      </c>
      <c r="E146" s="36" t="n">
        <f aca="false">IF($A146&lt;=Deal!$B$12*12,-IPMT(Deal!$B$11/12,$A146,Deal!$B$12*12,Deal!$H$7),"")</f>
        <v>1672.45206362806</v>
      </c>
      <c r="F146" s="36" t="n">
        <f aca="false">IF($A146&lt;=Deal!$B$12*12,B146-D146,"")</f>
        <v>296637.987799016</v>
      </c>
    </row>
    <row r="147" customFormat="false" ht="15" hidden="false" customHeight="true" outlineLevel="0" collapsed="false">
      <c r="A147" s="35" t="n">
        <f aca="false">A146+1</f>
        <v>142</v>
      </c>
      <c r="B147" s="36" t="n">
        <f aca="false">F146</f>
        <v>296637.987799016</v>
      </c>
      <c r="C147" s="36" t="n">
        <f aca="false">IF($A147&lt;=Deal!$B$12*12,Deal!$H$20,"")</f>
        <v>2359.27557626688</v>
      </c>
      <c r="D147" s="36" t="n">
        <f aca="false">IF($A147&lt;=Deal!$B$12*12,-PPMT(Deal!$B$11/12,$A147,Deal!$B$12*12,Deal!$H$7),"")</f>
        <v>690.686894897415</v>
      </c>
      <c r="E147" s="36" t="n">
        <f aca="false">IF($A147&lt;=Deal!$B$12*12,-IPMT(Deal!$B$11/12,$A147,Deal!$B$12*12,Deal!$H$7),"")</f>
        <v>1668.58868136947</v>
      </c>
      <c r="F147" s="36" t="n">
        <f aca="false">IF($A147&lt;=Deal!$B$12*12,B147-D147,"")</f>
        <v>295947.300904119</v>
      </c>
    </row>
    <row r="148" customFormat="false" ht="15" hidden="false" customHeight="true" outlineLevel="0" collapsed="false">
      <c r="A148" s="35" t="n">
        <f aca="false">A147+1</f>
        <v>143</v>
      </c>
      <c r="B148" s="36" t="n">
        <f aca="false">F147</f>
        <v>295947.300904119</v>
      </c>
      <c r="C148" s="36" t="n">
        <f aca="false">IF($A148&lt;=Deal!$B$12*12,Deal!$H$20,"")</f>
        <v>2359.27557626688</v>
      </c>
      <c r="D148" s="36" t="n">
        <f aca="false">IF($A148&lt;=Deal!$B$12*12,-PPMT(Deal!$B$11/12,$A148,Deal!$B$12*12,Deal!$H$7),"")</f>
        <v>694.572008681214</v>
      </c>
      <c r="E148" s="36" t="n">
        <f aca="false">IF($A148&lt;=Deal!$B$12*12,-IPMT(Deal!$B$11/12,$A148,Deal!$B$12*12,Deal!$H$7),"")</f>
        <v>1664.70356758567</v>
      </c>
      <c r="F148" s="36" t="n">
        <f aca="false">IF($A148&lt;=Deal!$B$12*12,B148-D148,"")</f>
        <v>295252.728895438</v>
      </c>
    </row>
    <row r="149" customFormat="false" ht="15" hidden="false" customHeight="true" outlineLevel="0" collapsed="false">
      <c r="A149" s="37" t="n">
        <f aca="false">A148+1</f>
        <v>144</v>
      </c>
      <c r="B149" s="38" t="n">
        <f aca="false">F148</f>
        <v>295252.728895438</v>
      </c>
      <c r="C149" s="38" t="n">
        <f aca="false">IF($A149&lt;=Deal!$B$12*12,Deal!$H$20,"")</f>
        <v>2359.27557626688</v>
      </c>
      <c r="D149" s="38" t="n">
        <f aca="false">IF($A149&lt;=Deal!$B$12*12,-PPMT(Deal!$B$11/12,$A149,Deal!$B$12*12,Deal!$H$7),"")</f>
        <v>698.478976230045</v>
      </c>
      <c r="E149" s="38" t="n">
        <f aca="false">IF($A149&lt;=Deal!$B$12*12,-IPMT(Deal!$B$11/12,$A149,Deal!$B$12*12,Deal!$H$7),"")</f>
        <v>1660.79660003684</v>
      </c>
      <c r="F149" s="38" t="n">
        <f aca="false">IF($A149&lt;=Deal!$B$12*12,B149-D149,"")</f>
        <v>294554.249919208</v>
      </c>
    </row>
    <row r="150" customFormat="false" ht="15" hidden="false" customHeight="true" outlineLevel="0" collapsed="false">
      <c r="A150" s="35" t="n">
        <f aca="false">A149+1</f>
        <v>145</v>
      </c>
      <c r="B150" s="36" t="n">
        <f aca="false">F149</f>
        <v>294554.249919208</v>
      </c>
      <c r="C150" s="36" t="n">
        <f aca="false">IF($A150&lt;=Deal!$B$12*12,Deal!$H$20,"")</f>
        <v>2359.27557626688</v>
      </c>
      <c r="D150" s="36" t="n">
        <f aca="false">IF($A150&lt;=Deal!$B$12*12,-PPMT(Deal!$B$11/12,$A150,Deal!$B$12*12,Deal!$H$7),"")</f>
        <v>702.40792047134</v>
      </c>
      <c r="E150" s="36" t="n">
        <f aca="false">IF($A150&lt;=Deal!$B$12*12,-IPMT(Deal!$B$11/12,$A150,Deal!$B$12*12,Deal!$H$7),"")</f>
        <v>1656.86765579554</v>
      </c>
      <c r="F150" s="36" t="n">
        <f aca="false">IF($A150&lt;=Deal!$B$12*12,B150-D150,"")</f>
        <v>293851.841998736</v>
      </c>
    </row>
    <row r="151" customFormat="false" ht="15" hidden="false" customHeight="true" outlineLevel="0" collapsed="false">
      <c r="A151" s="35" t="n">
        <f aca="false">A150+1</f>
        <v>146</v>
      </c>
      <c r="B151" s="36" t="n">
        <f aca="false">F150</f>
        <v>293851.841998736</v>
      </c>
      <c r="C151" s="36" t="n">
        <f aca="false">IF($A151&lt;=Deal!$B$12*12,Deal!$H$20,"")</f>
        <v>2359.27557626688</v>
      </c>
      <c r="D151" s="36" t="n">
        <f aca="false">IF($A151&lt;=Deal!$B$12*12,-PPMT(Deal!$B$11/12,$A151,Deal!$B$12*12,Deal!$H$7),"")</f>
        <v>706.358965023991</v>
      </c>
      <c r="E151" s="36" t="n">
        <f aca="false">IF($A151&lt;=Deal!$B$12*12,-IPMT(Deal!$B$11/12,$A151,Deal!$B$12*12,Deal!$H$7),"")</f>
        <v>1652.91661124289</v>
      </c>
      <c r="F151" s="36" t="n">
        <f aca="false">IF($A151&lt;=Deal!$B$12*12,B151-D151,"")</f>
        <v>293145.483033712</v>
      </c>
    </row>
    <row r="152" customFormat="false" ht="15" hidden="false" customHeight="true" outlineLevel="0" collapsed="false">
      <c r="A152" s="35" t="n">
        <f aca="false">A151+1</f>
        <v>147</v>
      </c>
      <c r="B152" s="36" t="n">
        <f aca="false">F151</f>
        <v>293145.483033712</v>
      </c>
      <c r="C152" s="36" t="n">
        <f aca="false">IF($A152&lt;=Deal!$B$12*12,Deal!$H$20,"")</f>
        <v>2359.27557626688</v>
      </c>
      <c r="D152" s="36" t="n">
        <f aca="false">IF($A152&lt;=Deal!$B$12*12,-PPMT(Deal!$B$11/12,$A152,Deal!$B$12*12,Deal!$H$7),"")</f>
        <v>710.33223420225</v>
      </c>
      <c r="E152" s="36" t="n">
        <f aca="false">IF($A152&lt;=Deal!$B$12*12,-IPMT(Deal!$B$11/12,$A152,Deal!$B$12*12,Deal!$H$7),"")</f>
        <v>1648.94334206463</v>
      </c>
      <c r="F152" s="36" t="n">
        <f aca="false">IF($A152&lt;=Deal!$B$12*12,B152-D152,"")</f>
        <v>292435.15079951</v>
      </c>
    </row>
    <row r="153" customFormat="false" ht="15" hidden="false" customHeight="true" outlineLevel="0" collapsed="false">
      <c r="A153" s="35" t="n">
        <f aca="false">A152+1</f>
        <v>148</v>
      </c>
      <c r="B153" s="36" t="n">
        <f aca="false">F152</f>
        <v>292435.15079951</v>
      </c>
      <c r="C153" s="36" t="n">
        <f aca="false">IF($A153&lt;=Deal!$B$12*12,Deal!$H$20,"")</f>
        <v>2359.27557626688</v>
      </c>
      <c r="D153" s="36" t="n">
        <f aca="false">IF($A153&lt;=Deal!$B$12*12,-PPMT(Deal!$B$11/12,$A153,Deal!$B$12*12,Deal!$H$7),"")</f>
        <v>714.327853019638</v>
      </c>
      <c r="E153" s="36" t="n">
        <f aca="false">IF($A153&lt;=Deal!$B$12*12,-IPMT(Deal!$B$11/12,$A153,Deal!$B$12*12,Deal!$H$7),"")</f>
        <v>1644.94772324724</v>
      </c>
      <c r="F153" s="36" t="n">
        <f aca="false">IF($A153&lt;=Deal!$B$12*12,B153-D153,"")</f>
        <v>291720.82294649</v>
      </c>
    </row>
    <row r="154" customFormat="false" ht="15" hidden="false" customHeight="true" outlineLevel="0" collapsed="false">
      <c r="A154" s="35" t="n">
        <f aca="false">A153+1</f>
        <v>149</v>
      </c>
      <c r="B154" s="36" t="n">
        <f aca="false">F153</f>
        <v>291720.82294649</v>
      </c>
      <c r="C154" s="36" t="n">
        <f aca="false">IF($A154&lt;=Deal!$B$12*12,Deal!$H$20,"")</f>
        <v>2359.27557626688</v>
      </c>
      <c r="D154" s="36" t="n">
        <f aca="false">IF($A154&lt;=Deal!$B$12*12,-PPMT(Deal!$B$11/12,$A154,Deal!$B$12*12,Deal!$H$7),"")</f>
        <v>718.345947192874</v>
      </c>
      <c r="E154" s="36" t="n">
        <f aca="false">IF($A154&lt;=Deal!$B$12*12,-IPMT(Deal!$B$11/12,$A154,Deal!$B$12*12,Deal!$H$7),"")</f>
        <v>1640.92962907401</v>
      </c>
      <c r="F154" s="36" t="n">
        <f aca="false">IF($A154&lt;=Deal!$B$12*12,B154-D154,"")</f>
        <v>291002.476999297</v>
      </c>
    </row>
    <row r="155" customFormat="false" ht="15" hidden="false" customHeight="true" outlineLevel="0" collapsed="false">
      <c r="A155" s="35" t="n">
        <f aca="false">A154+1</f>
        <v>150</v>
      </c>
      <c r="B155" s="36" t="n">
        <f aca="false">F154</f>
        <v>291002.476999297</v>
      </c>
      <c r="C155" s="36" t="n">
        <f aca="false">IF($A155&lt;=Deal!$B$12*12,Deal!$H$20,"")</f>
        <v>2359.27557626688</v>
      </c>
      <c r="D155" s="36" t="n">
        <f aca="false">IF($A155&lt;=Deal!$B$12*12,-PPMT(Deal!$B$11/12,$A155,Deal!$B$12*12,Deal!$H$7),"")</f>
        <v>722.386643145834</v>
      </c>
      <c r="E155" s="36" t="n">
        <f aca="false">IF($A155&lt;=Deal!$B$12*12,-IPMT(Deal!$B$11/12,$A155,Deal!$B$12*12,Deal!$H$7),"")</f>
        <v>1636.88893312105</v>
      </c>
      <c r="F155" s="36" t="n">
        <f aca="false">IF($A155&lt;=Deal!$B$12*12,B155-D155,"")</f>
        <v>290280.090356152</v>
      </c>
    </row>
    <row r="156" customFormat="false" ht="15" hidden="false" customHeight="true" outlineLevel="0" collapsed="false">
      <c r="A156" s="35" t="n">
        <f aca="false">A155+1</f>
        <v>151</v>
      </c>
      <c r="B156" s="36" t="n">
        <f aca="false">F155</f>
        <v>290280.090356152</v>
      </c>
      <c r="C156" s="36" t="n">
        <f aca="false">IF($A156&lt;=Deal!$B$12*12,Deal!$H$20,"")</f>
        <v>2359.27557626688</v>
      </c>
      <c r="D156" s="36" t="n">
        <f aca="false">IF($A156&lt;=Deal!$B$12*12,-PPMT(Deal!$B$11/12,$A156,Deal!$B$12*12,Deal!$H$7),"")</f>
        <v>726.450068013529</v>
      </c>
      <c r="E156" s="36" t="n">
        <f aca="false">IF($A156&lt;=Deal!$B$12*12,-IPMT(Deal!$B$11/12,$A156,Deal!$B$12*12,Deal!$H$7),"")</f>
        <v>1632.82550825335</v>
      </c>
      <c r="F156" s="36" t="n">
        <f aca="false">IF($A156&lt;=Deal!$B$12*12,B156-D156,"")</f>
        <v>289553.640288138</v>
      </c>
    </row>
    <row r="157" customFormat="false" ht="15" hidden="false" customHeight="true" outlineLevel="0" collapsed="false">
      <c r="A157" s="35" t="n">
        <f aca="false">A156+1</f>
        <v>152</v>
      </c>
      <c r="B157" s="36" t="n">
        <f aca="false">F156</f>
        <v>289553.640288138</v>
      </c>
      <c r="C157" s="36" t="n">
        <f aca="false">IF($A157&lt;=Deal!$B$12*12,Deal!$H$20,"")</f>
        <v>2359.27557626688</v>
      </c>
      <c r="D157" s="36" t="n">
        <f aca="false">IF($A157&lt;=Deal!$B$12*12,-PPMT(Deal!$B$11/12,$A157,Deal!$B$12*12,Deal!$H$7),"")</f>
        <v>730.536349646105</v>
      </c>
      <c r="E157" s="36" t="n">
        <f aca="false">IF($A157&lt;=Deal!$B$12*12,-IPMT(Deal!$B$11/12,$A157,Deal!$B$12*12,Deal!$H$7),"")</f>
        <v>1628.73922662078</v>
      </c>
      <c r="F157" s="36" t="n">
        <f aca="false">IF($A157&lt;=Deal!$B$12*12,B157-D157,"")</f>
        <v>288823.103938492</v>
      </c>
    </row>
    <row r="158" customFormat="false" ht="15" hidden="false" customHeight="true" outlineLevel="0" collapsed="false">
      <c r="A158" s="35" t="n">
        <f aca="false">A157+1</f>
        <v>153</v>
      </c>
      <c r="B158" s="36" t="n">
        <f aca="false">F157</f>
        <v>288823.103938492</v>
      </c>
      <c r="C158" s="36" t="n">
        <f aca="false">IF($A158&lt;=Deal!$B$12*12,Deal!$H$20,"")</f>
        <v>2359.27557626688</v>
      </c>
      <c r="D158" s="36" t="n">
        <f aca="false">IF($A158&lt;=Deal!$B$12*12,-PPMT(Deal!$B$11/12,$A158,Deal!$B$12*12,Deal!$H$7),"")</f>
        <v>734.645616612865</v>
      </c>
      <c r="E158" s="36" t="n">
        <f aca="false">IF($A158&lt;=Deal!$B$12*12,-IPMT(Deal!$B$11/12,$A158,Deal!$B$12*12,Deal!$H$7),"")</f>
        <v>1624.62995965402</v>
      </c>
      <c r="F158" s="36" t="n">
        <f aca="false">IF($A158&lt;=Deal!$B$12*12,B158-D158,"")</f>
        <v>288088.458321879</v>
      </c>
    </row>
    <row r="159" customFormat="false" ht="15" hidden="false" customHeight="true" outlineLevel="0" collapsed="false">
      <c r="A159" s="35" t="n">
        <f aca="false">A158+1</f>
        <v>154</v>
      </c>
      <c r="B159" s="36" t="n">
        <f aca="false">F158</f>
        <v>288088.458321879</v>
      </c>
      <c r="C159" s="36" t="n">
        <f aca="false">IF($A159&lt;=Deal!$B$12*12,Deal!$H$20,"")</f>
        <v>2359.27557626688</v>
      </c>
      <c r="D159" s="36" t="n">
        <f aca="false">IF($A159&lt;=Deal!$B$12*12,-PPMT(Deal!$B$11/12,$A159,Deal!$B$12*12,Deal!$H$7),"")</f>
        <v>738.777998206312</v>
      </c>
      <c r="E159" s="36" t="n">
        <f aca="false">IF($A159&lt;=Deal!$B$12*12,-IPMT(Deal!$B$11/12,$A159,Deal!$B$12*12,Deal!$H$7),"")</f>
        <v>1620.49757806057</v>
      </c>
      <c r="F159" s="36" t="n">
        <f aca="false">IF($A159&lt;=Deal!$B$12*12,B159-D159,"")</f>
        <v>287349.680323673</v>
      </c>
    </row>
    <row r="160" customFormat="false" ht="15" hidden="false" customHeight="true" outlineLevel="0" collapsed="false">
      <c r="A160" s="35" t="n">
        <f aca="false">A159+1</f>
        <v>155</v>
      </c>
      <c r="B160" s="36" t="n">
        <f aca="false">F159</f>
        <v>287349.680323673</v>
      </c>
      <c r="C160" s="36" t="n">
        <f aca="false">IF($A160&lt;=Deal!$B$12*12,Deal!$H$20,"")</f>
        <v>2359.27557626688</v>
      </c>
      <c r="D160" s="36" t="n">
        <f aca="false">IF($A160&lt;=Deal!$B$12*12,-PPMT(Deal!$B$11/12,$A160,Deal!$B$12*12,Deal!$H$7),"")</f>
        <v>742.933624446222</v>
      </c>
      <c r="E160" s="36" t="n">
        <f aca="false">IF($A160&lt;=Deal!$B$12*12,-IPMT(Deal!$B$11/12,$A160,Deal!$B$12*12,Deal!$H$7),"")</f>
        <v>1616.34195182066</v>
      </c>
      <c r="F160" s="36" t="n">
        <f aca="false">IF($A160&lt;=Deal!$B$12*12,B160-D160,"")</f>
        <v>286606.746699227</v>
      </c>
    </row>
    <row r="161" customFormat="false" ht="15" hidden="false" customHeight="true" outlineLevel="0" collapsed="false">
      <c r="A161" s="37" t="n">
        <f aca="false">A160+1</f>
        <v>156</v>
      </c>
      <c r="B161" s="38" t="n">
        <f aca="false">F160</f>
        <v>286606.746699227</v>
      </c>
      <c r="C161" s="38" t="n">
        <f aca="false">IF($A161&lt;=Deal!$B$12*12,Deal!$H$20,"")</f>
        <v>2359.27557626688</v>
      </c>
      <c r="D161" s="38" t="n">
        <f aca="false">IF($A161&lt;=Deal!$B$12*12,-PPMT(Deal!$B$11/12,$A161,Deal!$B$12*12,Deal!$H$7),"")</f>
        <v>747.112626083733</v>
      </c>
      <c r="E161" s="38" t="n">
        <f aca="false">IF($A161&lt;=Deal!$B$12*12,-IPMT(Deal!$B$11/12,$A161,Deal!$B$12*12,Deal!$H$7),"")</f>
        <v>1612.16295018315</v>
      </c>
      <c r="F161" s="38" t="n">
        <f aca="false">IF($A161&lt;=Deal!$B$12*12,B161-D161,"")</f>
        <v>285859.634073143</v>
      </c>
    </row>
    <row r="162" customFormat="false" ht="15" hidden="false" customHeight="true" outlineLevel="0" collapsed="false">
      <c r="A162" s="35" t="n">
        <f aca="false">A161+1</f>
        <v>157</v>
      </c>
      <c r="B162" s="36" t="n">
        <f aca="false">F161</f>
        <v>285859.634073143</v>
      </c>
      <c r="C162" s="36" t="n">
        <f aca="false">IF($A162&lt;=Deal!$B$12*12,Deal!$H$20,"")</f>
        <v>2359.27557626688</v>
      </c>
      <c r="D162" s="36" t="n">
        <f aca="false">IF($A162&lt;=Deal!$B$12*12,-PPMT(Deal!$B$11/12,$A162,Deal!$B$12*12,Deal!$H$7),"")</f>
        <v>751.315134605453</v>
      </c>
      <c r="E162" s="36" t="n">
        <f aca="false">IF($A162&lt;=Deal!$B$12*12,-IPMT(Deal!$B$11/12,$A162,Deal!$B$12*12,Deal!$H$7),"")</f>
        <v>1607.96044166143</v>
      </c>
      <c r="F162" s="36" t="n">
        <f aca="false">IF($A162&lt;=Deal!$B$12*12,B162-D162,"")</f>
        <v>285108.318938537</v>
      </c>
    </row>
    <row r="163" customFormat="false" ht="15" hidden="false" customHeight="true" outlineLevel="0" collapsed="false">
      <c r="A163" s="35" t="n">
        <f aca="false">A162+1</f>
        <v>158</v>
      </c>
      <c r="B163" s="36" t="n">
        <f aca="false">F162</f>
        <v>285108.318938537</v>
      </c>
      <c r="C163" s="36" t="n">
        <f aca="false">IF($A163&lt;=Deal!$B$12*12,Deal!$H$20,"")</f>
        <v>2359.27557626688</v>
      </c>
      <c r="D163" s="36" t="n">
        <f aca="false">IF($A163&lt;=Deal!$B$12*12,-PPMT(Deal!$B$11/12,$A163,Deal!$B$12*12,Deal!$H$7),"")</f>
        <v>755.541282237609</v>
      </c>
      <c r="E163" s="36" t="n">
        <f aca="false">IF($A163&lt;=Deal!$B$12*12,-IPMT(Deal!$B$11/12,$A163,Deal!$B$12*12,Deal!$H$7),"")</f>
        <v>1603.73429402927</v>
      </c>
      <c r="F163" s="36" t="n">
        <f aca="false">IF($A163&lt;=Deal!$B$12*12,B163-D163,"")</f>
        <v>284352.7776563</v>
      </c>
    </row>
    <row r="164" customFormat="false" ht="15" hidden="false" customHeight="true" outlineLevel="0" collapsed="false">
      <c r="A164" s="35" t="n">
        <f aca="false">A163+1</f>
        <v>159</v>
      </c>
      <c r="B164" s="36" t="n">
        <f aca="false">F163</f>
        <v>284352.7776563</v>
      </c>
      <c r="C164" s="36" t="n">
        <f aca="false">IF($A164&lt;=Deal!$B$12*12,Deal!$H$20,"")</f>
        <v>2359.27557626688</v>
      </c>
      <c r="D164" s="36" t="n">
        <f aca="false">IF($A164&lt;=Deal!$B$12*12,-PPMT(Deal!$B$11/12,$A164,Deal!$B$12*12,Deal!$H$7),"")</f>
        <v>759.791201950196</v>
      </c>
      <c r="E164" s="36" t="n">
        <f aca="false">IF($A164&lt;=Deal!$B$12*12,-IPMT(Deal!$B$11/12,$A164,Deal!$B$12*12,Deal!$H$7),"")</f>
        <v>1599.48437431669</v>
      </c>
      <c r="F164" s="36" t="n">
        <f aca="false">IF($A164&lt;=Deal!$B$12*12,B164-D164,"")</f>
        <v>283592.98645435</v>
      </c>
    </row>
    <row r="165" customFormat="false" ht="15" hidden="false" customHeight="true" outlineLevel="0" collapsed="false">
      <c r="A165" s="35" t="n">
        <f aca="false">A164+1</f>
        <v>160</v>
      </c>
      <c r="B165" s="36" t="n">
        <f aca="false">F164</f>
        <v>283592.98645435</v>
      </c>
      <c r="C165" s="36" t="n">
        <f aca="false">IF($A165&lt;=Deal!$B$12*12,Deal!$H$20,"")</f>
        <v>2359.27557626688</v>
      </c>
      <c r="D165" s="36" t="n">
        <f aca="false">IF($A165&lt;=Deal!$B$12*12,-PPMT(Deal!$B$11/12,$A165,Deal!$B$12*12,Deal!$H$7),"")</f>
        <v>764.065027461165</v>
      </c>
      <c r="E165" s="36" t="n">
        <f aca="false">IF($A165&lt;=Deal!$B$12*12,-IPMT(Deal!$B$11/12,$A165,Deal!$B$12*12,Deal!$H$7),"")</f>
        <v>1595.21054880572</v>
      </c>
      <c r="F165" s="36" t="n">
        <f aca="false">IF($A165&lt;=Deal!$B$12*12,B165-D165,"")</f>
        <v>282828.921426889</v>
      </c>
    </row>
    <row r="166" customFormat="false" ht="15" hidden="false" customHeight="true" outlineLevel="0" collapsed="false">
      <c r="A166" s="35" t="n">
        <f aca="false">A165+1</f>
        <v>161</v>
      </c>
      <c r="B166" s="36" t="n">
        <f aca="false">F165</f>
        <v>282828.921426889</v>
      </c>
      <c r="C166" s="36" t="n">
        <f aca="false">IF($A166&lt;=Deal!$B$12*12,Deal!$H$20,"")</f>
        <v>2359.27557626688</v>
      </c>
      <c r="D166" s="36" t="n">
        <f aca="false">IF($A166&lt;=Deal!$B$12*12,-PPMT(Deal!$B$11/12,$A166,Deal!$B$12*12,Deal!$H$7),"")</f>
        <v>768.362893240634</v>
      </c>
      <c r="E166" s="36" t="n">
        <f aca="false">IF($A166&lt;=Deal!$B$12*12,-IPMT(Deal!$B$11/12,$A166,Deal!$B$12*12,Deal!$H$7),"")</f>
        <v>1590.91268302625</v>
      </c>
      <c r="F166" s="36" t="n">
        <f aca="false">IF($A166&lt;=Deal!$B$12*12,B166-D166,"")</f>
        <v>282060.558533648</v>
      </c>
    </row>
    <row r="167" customFormat="false" ht="15" hidden="false" customHeight="true" outlineLevel="0" collapsed="false">
      <c r="A167" s="35" t="n">
        <f aca="false">A166+1</f>
        <v>162</v>
      </c>
      <c r="B167" s="36" t="n">
        <f aca="false">F166</f>
        <v>282060.558533648</v>
      </c>
      <c r="C167" s="36" t="n">
        <f aca="false">IF($A167&lt;=Deal!$B$12*12,Deal!$H$20,"")</f>
        <v>2359.27557626688</v>
      </c>
      <c r="D167" s="36" t="n">
        <f aca="false">IF($A167&lt;=Deal!$B$12*12,-PPMT(Deal!$B$11/12,$A167,Deal!$B$12*12,Deal!$H$7),"")</f>
        <v>772.684934515113</v>
      </c>
      <c r="E167" s="36" t="n">
        <f aca="false">IF($A167&lt;=Deal!$B$12*12,-IPMT(Deal!$B$11/12,$A167,Deal!$B$12*12,Deal!$H$7),"")</f>
        <v>1586.59064175177</v>
      </c>
      <c r="F167" s="36" t="n">
        <f aca="false">IF($A167&lt;=Deal!$B$12*12,B167-D167,"")</f>
        <v>281287.873599133</v>
      </c>
    </row>
    <row r="168" customFormat="false" ht="15" hidden="false" customHeight="true" outlineLevel="0" collapsed="false">
      <c r="A168" s="35" t="n">
        <f aca="false">A167+1</f>
        <v>163</v>
      </c>
      <c r="B168" s="36" t="n">
        <f aca="false">F167</f>
        <v>281287.873599133</v>
      </c>
      <c r="C168" s="36" t="n">
        <f aca="false">IF($A168&lt;=Deal!$B$12*12,Deal!$H$20,"")</f>
        <v>2359.27557626688</v>
      </c>
      <c r="D168" s="36" t="n">
        <f aca="false">IF($A168&lt;=Deal!$B$12*12,-PPMT(Deal!$B$11/12,$A168,Deal!$B$12*12,Deal!$H$7),"")</f>
        <v>777.03128727176</v>
      </c>
      <c r="E168" s="36" t="n">
        <f aca="false">IF($A168&lt;=Deal!$B$12*12,-IPMT(Deal!$B$11/12,$A168,Deal!$B$12*12,Deal!$H$7),"")</f>
        <v>1582.24428899512</v>
      </c>
      <c r="F168" s="36" t="n">
        <f aca="false">IF($A168&lt;=Deal!$B$12*12,B168-D168,"")</f>
        <v>280510.842311861</v>
      </c>
    </row>
    <row r="169" customFormat="false" ht="15" hidden="false" customHeight="true" outlineLevel="0" collapsed="false">
      <c r="A169" s="35" t="n">
        <f aca="false">A168+1</f>
        <v>164</v>
      </c>
      <c r="B169" s="36" t="n">
        <f aca="false">F168</f>
        <v>280510.842311861</v>
      </c>
      <c r="C169" s="36" t="n">
        <f aca="false">IF($A169&lt;=Deal!$B$12*12,Deal!$H$20,"")</f>
        <v>2359.27557626688</v>
      </c>
      <c r="D169" s="36" t="n">
        <f aca="false">IF($A169&lt;=Deal!$B$12*12,-PPMT(Deal!$B$11/12,$A169,Deal!$B$12*12,Deal!$H$7),"")</f>
        <v>781.402088262664</v>
      </c>
      <c r="E169" s="36" t="n">
        <f aca="false">IF($A169&lt;=Deal!$B$12*12,-IPMT(Deal!$B$11/12,$A169,Deal!$B$12*12,Deal!$H$7),"")</f>
        <v>1577.87348800422</v>
      </c>
      <c r="F169" s="36" t="n">
        <f aca="false">IF($A169&lt;=Deal!$B$12*12,B169-D169,"")</f>
        <v>279729.440223598</v>
      </c>
    </row>
    <row r="170" customFormat="false" ht="15" hidden="false" customHeight="true" outlineLevel="0" collapsed="false">
      <c r="A170" s="35" t="n">
        <f aca="false">A169+1</f>
        <v>165</v>
      </c>
      <c r="B170" s="36" t="n">
        <f aca="false">F169</f>
        <v>279729.440223598</v>
      </c>
      <c r="C170" s="36" t="n">
        <f aca="false">IF($A170&lt;=Deal!$B$12*12,Deal!$H$20,"")</f>
        <v>2359.27557626688</v>
      </c>
      <c r="D170" s="36" t="n">
        <f aca="false">IF($A170&lt;=Deal!$B$12*12,-PPMT(Deal!$B$11/12,$A170,Deal!$B$12*12,Deal!$H$7),"")</f>
        <v>785.797475009142</v>
      </c>
      <c r="E170" s="36" t="n">
        <f aca="false">IF($A170&lt;=Deal!$B$12*12,-IPMT(Deal!$B$11/12,$A170,Deal!$B$12*12,Deal!$H$7),"")</f>
        <v>1573.47810125774</v>
      </c>
      <c r="F170" s="36" t="n">
        <f aca="false">IF($A170&lt;=Deal!$B$12*12,B170-D170,"")</f>
        <v>278943.642748589</v>
      </c>
    </row>
    <row r="171" customFormat="false" ht="15" hidden="false" customHeight="true" outlineLevel="0" collapsed="false">
      <c r="A171" s="35" t="n">
        <f aca="false">A170+1</f>
        <v>166</v>
      </c>
      <c r="B171" s="36" t="n">
        <f aca="false">F170</f>
        <v>278943.642748589</v>
      </c>
      <c r="C171" s="36" t="n">
        <f aca="false">IF($A171&lt;=Deal!$B$12*12,Deal!$H$20,"")</f>
        <v>2359.27557626688</v>
      </c>
      <c r="D171" s="36" t="n">
        <f aca="false">IF($A171&lt;=Deal!$B$12*12,-PPMT(Deal!$B$11/12,$A171,Deal!$B$12*12,Deal!$H$7),"")</f>
        <v>790.217585806068</v>
      </c>
      <c r="E171" s="36" t="n">
        <f aca="false">IF($A171&lt;=Deal!$B$12*12,-IPMT(Deal!$B$11/12,$A171,Deal!$B$12*12,Deal!$H$7),"")</f>
        <v>1569.05799046082</v>
      </c>
      <c r="F171" s="36" t="n">
        <f aca="false">IF($A171&lt;=Deal!$B$12*12,B171-D171,"")</f>
        <v>278153.425162783</v>
      </c>
    </row>
    <row r="172" customFormat="false" ht="15" hidden="false" customHeight="true" outlineLevel="0" collapsed="false">
      <c r="A172" s="35" t="n">
        <f aca="false">A171+1</f>
        <v>167</v>
      </c>
      <c r="B172" s="36" t="n">
        <f aca="false">F171</f>
        <v>278153.425162783</v>
      </c>
      <c r="C172" s="36" t="n">
        <f aca="false">IF($A172&lt;=Deal!$B$12*12,Deal!$H$20,"")</f>
        <v>2359.27557626688</v>
      </c>
      <c r="D172" s="36" t="n">
        <f aca="false">IF($A172&lt;=Deal!$B$12*12,-PPMT(Deal!$B$11/12,$A172,Deal!$B$12*12,Deal!$H$7),"")</f>
        <v>794.662559726227</v>
      </c>
      <c r="E172" s="36" t="n">
        <f aca="false">IF($A172&lt;=Deal!$B$12*12,-IPMT(Deal!$B$11/12,$A172,Deal!$B$12*12,Deal!$H$7),"")</f>
        <v>1564.61301654066</v>
      </c>
      <c r="F172" s="36" t="n">
        <f aca="false">IF($A172&lt;=Deal!$B$12*12,B172-D172,"")</f>
        <v>277358.762603057</v>
      </c>
    </row>
    <row r="173" customFormat="false" ht="15" hidden="false" customHeight="true" outlineLevel="0" collapsed="false">
      <c r="A173" s="37" t="n">
        <f aca="false">A172+1</f>
        <v>168</v>
      </c>
      <c r="B173" s="38" t="n">
        <f aca="false">F172</f>
        <v>277358.762603057</v>
      </c>
      <c r="C173" s="38" t="n">
        <f aca="false">IF($A173&lt;=Deal!$B$12*12,Deal!$H$20,"")</f>
        <v>2359.27557626688</v>
      </c>
      <c r="D173" s="38" t="n">
        <f aca="false">IF($A173&lt;=Deal!$B$12*12,-PPMT(Deal!$B$11/12,$A173,Deal!$B$12*12,Deal!$H$7),"")</f>
        <v>799.132536624687</v>
      </c>
      <c r="E173" s="38" t="n">
        <f aca="false">IF($A173&lt;=Deal!$B$12*12,-IPMT(Deal!$B$11/12,$A173,Deal!$B$12*12,Deal!$H$7),"")</f>
        <v>1560.1430396422</v>
      </c>
      <c r="F173" s="38" t="n">
        <f aca="false">IF($A173&lt;=Deal!$B$12*12,B173-D173,"")</f>
        <v>276559.630066432</v>
      </c>
    </row>
    <row r="174" customFormat="false" ht="15" hidden="false" customHeight="true" outlineLevel="0" collapsed="false">
      <c r="A174" s="35" t="n">
        <f aca="false">A173+1</f>
        <v>169</v>
      </c>
      <c r="B174" s="36" t="n">
        <f aca="false">F173</f>
        <v>276559.630066432</v>
      </c>
      <c r="C174" s="36" t="n">
        <f aca="false">IF($A174&lt;=Deal!$B$12*12,Deal!$H$20,"")</f>
        <v>2359.27557626688</v>
      </c>
      <c r="D174" s="36" t="n">
        <f aca="false">IF($A174&lt;=Deal!$B$12*12,-PPMT(Deal!$B$11/12,$A174,Deal!$B$12*12,Deal!$H$7),"")</f>
        <v>803.627657143201</v>
      </c>
      <c r="E174" s="36" t="n">
        <f aca="false">IF($A174&lt;=Deal!$B$12*12,-IPMT(Deal!$B$11/12,$A174,Deal!$B$12*12,Deal!$H$7),"")</f>
        <v>1555.64791912368</v>
      </c>
      <c r="F174" s="36" t="n">
        <f aca="false">IF($A174&lt;=Deal!$B$12*12,B174-D174,"")</f>
        <v>275756.002409289</v>
      </c>
    </row>
    <row r="175" customFormat="false" ht="15" hidden="false" customHeight="true" outlineLevel="0" collapsed="false">
      <c r="A175" s="35" t="n">
        <f aca="false">A174+1</f>
        <v>170</v>
      </c>
      <c r="B175" s="36" t="n">
        <f aca="false">F174</f>
        <v>275756.002409289</v>
      </c>
      <c r="C175" s="36" t="n">
        <f aca="false">IF($A175&lt;=Deal!$B$12*12,Deal!$H$20,"")</f>
        <v>2359.27557626688</v>
      </c>
      <c r="D175" s="36" t="n">
        <f aca="false">IF($A175&lt;=Deal!$B$12*12,-PPMT(Deal!$B$11/12,$A175,Deal!$B$12*12,Deal!$H$7),"")</f>
        <v>808.148062714631</v>
      </c>
      <c r="E175" s="36" t="n">
        <f aca="false">IF($A175&lt;=Deal!$B$12*12,-IPMT(Deal!$B$11/12,$A175,Deal!$B$12*12,Deal!$H$7),"")</f>
        <v>1551.12751355225</v>
      </c>
      <c r="F175" s="36" t="n">
        <f aca="false">IF($A175&lt;=Deal!$B$12*12,B175-D175,"")</f>
        <v>274947.854346574</v>
      </c>
    </row>
    <row r="176" customFormat="false" ht="15" hidden="false" customHeight="true" outlineLevel="0" collapsed="false">
      <c r="A176" s="35" t="n">
        <f aca="false">A175+1</f>
        <v>171</v>
      </c>
      <c r="B176" s="36" t="n">
        <f aca="false">F175</f>
        <v>274947.854346574</v>
      </c>
      <c r="C176" s="36" t="n">
        <f aca="false">IF($A176&lt;=Deal!$B$12*12,Deal!$H$20,"")</f>
        <v>2359.27557626688</v>
      </c>
      <c r="D176" s="36" t="n">
        <f aca="false">IF($A176&lt;=Deal!$B$12*12,-PPMT(Deal!$B$11/12,$A176,Deal!$B$12*12,Deal!$H$7),"")</f>
        <v>812.693895567401</v>
      </c>
      <c r="E176" s="36" t="n">
        <f aca="false">IF($A176&lt;=Deal!$B$12*12,-IPMT(Deal!$B$11/12,$A176,Deal!$B$12*12,Deal!$H$7),"")</f>
        <v>1546.58168069948</v>
      </c>
      <c r="F176" s="36" t="n">
        <f aca="false">IF($A176&lt;=Deal!$B$12*12,B176-D176,"")</f>
        <v>274135.160451007</v>
      </c>
    </row>
    <row r="177" customFormat="false" ht="15" hidden="false" customHeight="true" outlineLevel="0" collapsed="false">
      <c r="A177" s="35" t="n">
        <f aca="false">A176+1</f>
        <v>172</v>
      </c>
      <c r="B177" s="36" t="n">
        <f aca="false">F176</f>
        <v>274135.160451007</v>
      </c>
      <c r="C177" s="36" t="n">
        <f aca="false">IF($A177&lt;=Deal!$B$12*12,Deal!$H$20,"")</f>
        <v>2359.27557626688</v>
      </c>
      <c r="D177" s="36" t="n">
        <f aca="false">IF($A177&lt;=Deal!$B$12*12,-PPMT(Deal!$B$11/12,$A177,Deal!$B$12*12,Deal!$H$7),"")</f>
        <v>817.265298729968</v>
      </c>
      <c r="E177" s="36" t="n">
        <f aca="false">IF($A177&lt;=Deal!$B$12*12,-IPMT(Deal!$B$11/12,$A177,Deal!$B$12*12,Deal!$H$7),"")</f>
        <v>1542.01027753692</v>
      </c>
      <c r="F177" s="36" t="n">
        <f aca="false">IF($A177&lt;=Deal!$B$12*12,B177-D177,"")</f>
        <v>273317.895152277</v>
      </c>
    </row>
    <row r="178" customFormat="false" ht="15" hidden="false" customHeight="true" outlineLevel="0" collapsed="false">
      <c r="A178" s="35" t="n">
        <f aca="false">A177+1</f>
        <v>173</v>
      </c>
      <c r="B178" s="36" t="n">
        <f aca="false">F177</f>
        <v>273317.895152277</v>
      </c>
      <c r="C178" s="36" t="n">
        <f aca="false">IF($A178&lt;=Deal!$B$12*12,Deal!$H$20,"")</f>
        <v>2359.27557626688</v>
      </c>
      <c r="D178" s="36" t="n">
        <f aca="false">IF($A178&lt;=Deal!$B$12*12,-PPMT(Deal!$B$11/12,$A178,Deal!$B$12*12,Deal!$H$7),"")</f>
        <v>821.862416035324</v>
      </c>
      <c r="E178" s="36" t="n">
        <f aca="false">IF($A178&lt;=Deal!$B$12*12,-IPMT(Deal!$B$11/12,$A178,Deal!$B$12*12,Deal!$H$7),"")</f>
        <v>1537.41316023156</v>
      </c>
      <c r="F178" s="36" t="n">
        <f aca="false">IF($A178&lt;=Deal!$B$12*12,B178-D178,"")</f>
        <v>272496.032736242</v>
      </c>
    </row>
    <row r="179" customFormat="false" ht="15" hidden="false" customHeight="true" outlineLevel="0" collapsed="false">
      <c r="A179" s="35" t="n">
        <f aca="false">A178+1</f>
        <v>174</v>
      </c>
      <c r="B179" s="36" t="n">
        <f aca="false">F178</f>
        <v>272496.032736242</v>
      </c>
      <c r="C179" s="36" t="n">
        <f aca="false">IF($A179&lt;=Deal!$B$12*12,Deal!$H$20,"")</f>
        <v>2359.27557626688</v>
      </c>
      <c r="D179" s="36" t="n">
        <f aca="false">IF($A179&lt;=Deal!$B$12*12,-PPMT(Deal!$B$11/12,$A179,Deal!$B$12*12,Deal!$H$7),"")</f>
        <v>826.485392125522</v>
      </c>
      <c r="E179" s="36" t="n">
        <f aca="false">IF($A179&lt;=Deal!$B$12*12,-IPMT(Deal!$B$11/12,$A179,Deal!$B$12*12,Deal!$H$7),"")</f>
        <v>1532.79018414136</v>
      </c>
      <c r="F179" s="36" t="n">
        <f aca="false">IF($A179&lt;=Deal!$B$12*12,B179-D179,"")</f>
        <v>271669.547344116</v>
      </c>
    </row>
    <row r="180" customFormat="false" ht="15" hidden="false" customHeight="true" outlineLevel="0" collapsed="false">
      <c r="A180" s="35" t="n">
        <f aca="false">A179+1</f>
        <v>175</v>
      </c>
      <c r="B180" s="36" t="n">
        <f aca="false">F179</f>
        <v>271669.547344116</v>
      </c>
      <c r="C180" s="36" t="n">
        <f aca="false">IF($A180&lt;=Deal!$B$12*12,Deal!$H$20,"")</f>
        <v>2359.27557626688</v>
      </c>
      <c r="D180" s="36" t="n">
        <f aca="false">IF($A180&lt;=Deal!$B$12*12,-PPMT(Deal!$B$11/12,$A180,Deal!$B$12*12,Deal!$H$7),"")</f>
        <v>831.134372456228</v>
      </c>
      <c r="E180" s="36" t="n">
        <f aca="false">IF($A180&lt;=Deal!$B$12*12,-IPMT(Deal!$B$11/12,$A180,Deal!$B$12*12,Deal!$H$7),"")</f>
        <v>1528.14120381065</v>
      </c>
      <c r="F180" s="36" t="n">
        <f aca="false">IF($A180&lt;=Deal!$B$12*12,B180-D180,"")</f>
        <v>270838.41297166</v>
      </c>
    </row>
    <row r="181" customFormat="false" ht="15" hidden="false" customHeight="true" outlineLevel="0" collapsed="false">
      <c r="A181" s="35" t="n">
        <f aca="false">A180+1</f>
        <v>176</v>
      </c>
      <c r="B181" s="36" t="n">
        <f aca="false">F180</f>
        <v>270838.41297166</v>
      </c>
      <c r="C181" s="36" t="n">
        <f aca="false">IF($A181&lt;=Deal!$B$12*12,Deal!$H$20,"")</f>
        <v>2359.27557626688</v>
      </c>
      <c r="D181" s="36" t="n">
        <f aca="false">IF($A181&lt;=Deal!$B$12*12,-PPMT(Deal!$B$11/12,$A181,Deal!$B$12*12,Deal!$H$7),"")</f>
        <v>835.809503301295</v>
      </c>
      <c r="E181" s="36" t="n">
        <f aca="false">IF($A181&lt;=Deal!$B$12*12,-IPMT(Deal!$B$11/12,$A181,Deal!$B$12*12,Deal!$H$7),"")</f>
        <v>1523.46607296559</v>
      </c>
      <c r="F181" s="36" t="n">
        <f aca="false">IF($A181&lt;=Deal!$B$12*12,B181-D181,"")</f>
        <v>270002.603468359</v>
      </c>
    </row>
    <row r="182" customFormat="false" ht="15" hidden="false" customHeight="true" outlineLevel="0" collapsed="false">
      <c r="A182" s="35" t="n">
        <f aca="false">A181+1</f>
        <v>177</v>
      </c>
      <c r="B182" s="36" t="n">
        <f aca="false">F181</f>
        <v>270002.603468359</v>
      </c>
      <c r="C182" s="36" t="n">
        <f aca="false">IF($A182&lt;=Deal!$B$12*12,Deal!$H$20,"")</f>
        <v>2359.27557626688</v>
      </c>
      <c r="D182" s="36" t="n">
        <f aca="false">IF($A182&lt;=Deal!$B$12*12,-PPMT(Deal!$B$11/12,$A182,Deal!$B$12*12,Deal!$H$7),"")</f>
        <v>840.510931757364</v>
      </c>
      <c r="E182" s="36" t="n">
        <f aca="false">IF($A182&lt;=Deal!$B$12*12,-IPMT(Deal!$B$11/12,$A182,Deal!$B$12*12,Deal!$H$7),"")</f>
        <v>1518.76464450952</v>
      </c>
      <c r="F182" s="36" t="n">
        <f aca="false">IF($A182&lt;=Deal!$B$12*12,B182-D182,"")</f>
        <v>269162.092536601</v>
      </c>
    </row>
    <row r="183" customFormat="false" ht="15" hidden="false" customHeight="true" outlineLevel="0" collapsed="false">
      <c r="A183" s="35" t="n">
        <f aca="false">A182+1</f>
        <v>178</v>
      </c>
      <c r="B183" s="36" t="n">
        <f aca="false">F182</f>
        <v>269162.092536601</v>
      </c>
      <c r="C183" s="36" t="n">
        <f aca="false">IF($A183&lt;=Deal!$B$12*12,Deal!$H$20,"")</f>
        <v>2359.27557626688</v>
      </c>
      <c r="D183" s="36" t="n">
        <f aca="false">IF($A183&lt;=Deal!$B$12*12,-PPMT(Deal!$B$11/12,$A183,Deal!$B$12*12,Deal!$H$7),"")</f>
        <v>845.2388057485</v>
      </c>
      <c r="E183" s="36" t="n">
        <f aca="false">IF($A183&lt;=Deal!$B$12*12,-IPMT(Deal!$B$11/12,$A183,Deal!$B$12*12,Deal!$H$7),"")</f>
        <v>1514.03677051838</v>
      </c>
      <c r="F183" s="36" t="n">
        <f aca="false">IF($A183&lt;=Deal!$B$12*12,B183-D183,"")</f>
        <v>268316.853730853</v>
      </c>
    </row>
    <row r="184" customFormat="false" ht="15" hidden="false" customHeight="true" outlineLevel="0" collapsed="false">
      <c r="A184" s="35" t="n">
        <f aca="false">A183+1</f>
        <v>179</v>
      </c>
      <c r="B184" s="36" t="n">
        <f aca="false">F183</f>
        <v>268316.853730853</v>
      </c>
      <c r="C184" s="36" t="n">
        <f aca="false">IF($A184&lt;=Deal!$B$12*12,Deal!$H$20,"")</f>
        <v>2359.27557626688</v>
      </c>
      <c r="D184" s="36" t="n">
        <f aca="false">IF($A184&lt;=Deal!$B$12*12,-PPMT(Deal!$B$11/12,$A184,Deal!$B$12*12,Deal!$H$7),"")</f>
        <v>849.993274030835</v>
      </c>
      <c r="E184" s="36" t="n">
        <f aca="false">IF($A184&lt;=Deal!$B$12*12,-IPMT(Deal!$B$11/12,$A184,Deal!$B$12*12,Deal!$H$7),"")</f>
        <v>1509.28230223605</v>
      </c>
      <c r="F184" s="36" t="n">
        <f aca="false">IF($A184&lt;=Deal!$B$12*12,B184-D184,"")</f>
        <v>267466.860456822</v>
      </c>
    </row>
    <row r="185" customFormat="false" ht="15" hidden="false" customHeight="true" outlineLevel="0" collapsed="false">
      <c r="A185" s="37" t="n">
        <f aca="false">A184+1</f>
        <v>180</v>
      </c>
      <c r="B185" s="38" t="n">
        <f aca="false">F184</f>
        <v>267466.860456822</v>
      </c>
      <c r="C185" s="38" t="n">
        <f aca="false">IF($A185&lt;=Deal!$B$12*12,Deal!$H$20,"")</f>
        <v>2359.27557626688</v>
      </c>
      <c r="D185" s="38" t="n">
        <f aca="false">IF($A185&lt;=Deal!$B$12*12,-PPMT(Deal!$B$11/12,$A185,Deal!$B$12*12,Deal!$H$7),"")</f>
        <v>854.774486197259</v>
      </c>
      <c r="E185" s="38" t="n">
        <f aca="false">IF($A185&lt;=Deal!$B$12*12,-IPMT(Deal!$B$11/12,$A185,Deal!$B$12*12,Deal!$H$7),"")</f>
        <v>1504.50109006962</v>
      </c>
      <c r="F185" s="38" t="n">
        <f aca="false">IF($A185&lt;=Deal!$B$12*12,B185-D185,"")</f>
        <v>266612.085970625</v>
      </c>
    </row>
    <row r="186" customFormat="false" ht="15" hidden="false" customHeight="true" outlineLevel="0" collapsed="false">
      <c r="A186" s="35" t="n">
        <f aca="false">A185+1</f>
        <v>181</v>
      </c>
      <c r="B186" s="36" t="n">
        <f aca="false">F185</f>
        <v>266612.085970625</v>
      </c>
      <c r="C186" s="36" t="n">
        <f aca="false">IF($A186&lt;=Deal!$B$12*12,Deal!$H$20,"")</f>
        <v>2359.27557626688</v>
      </c>
      <c r="D186" s="36" t="n">
        <f aca="false">IF($A186&lt;=Deal!$B$12*12,-PPMT(Deal!$B$11/12,$A186,Deal!$B$12*12,Deal!$H$7),"")</f>
        <v>859.582592682119</v>
      </c>
      <c r="E186" s="36" t="n">
        <f aca="false">IF($A186&lt;=Deal!$B$12*12,-IPMT(Deal!$B$11/12,$A186,Deal!$B$12*12,Deal!$H$7),"")</f>
        <v>1499.69298358476</v>
      </c>
      <c r="F186" s="36" t="n">
        <f aca="false">IF($A186&lt;=Deal!$B$12*12,B186-D186,"")</f>
        <v>265752.503377943</v>
      </c>
    </row>
    <row r="187" customFormat="false" ht="15" hidden="false" customHeight="true" outlineLevel="0" collapsed="false">
      <c r="A187" s="35" t="n">
        <f aca="false">A186+1</f>
        <v>182</v>
      </c>
      <c r="B187" s="36" t="n">
        <f aca="false">F186</f>
        <v>265752.503377943</v>
      </c>
      <c r="C187" s="36" t="n">
        <f aca="false">IF($A187&lt;=Deal!$B$12*12,Deal!$H$20,"")</f>
        <v>2359.27557626688</v>
      </c>
      <c r="D187" s="36" t="n">
        <f aca="false">IF($A187&lt;=Deal!$B$12*12,-PPMT(Deal!$B$11/12,$A187,Deal!$B$12*12,Deal!$H$7),"")</f>
        <v>864.417744765955</v>
      </c>
      <c r="E187" s="36" t="n">
        <f aca="false">IF($A187&lt;=Deal!$B$12*12,-IPMT(Deal!$B$11/12,$A187,Deal!$B$12*12,Deal!$H$7),"")</f>
        <v>1494.85783150093</v>
      </c>
      <c r="F187" s="36" t="n">
        <f aca="false">IF($A187&lt;=Deal!$B$12*12,B187-D187,"")</f>
        <v>264888.085633177</v>
      </c>
    </row>
    <row r="188" customFormat="false" ht="15" hidden="false" customHeight="true" outlineLevel="0" collapsed="false">
      <c r="A188" s="35" t="n">
        <f aca="false">A187+1</f>
        <v>183</v>
      </c>
      <c r="B188" s="36" t="n">
        <f aca="false">F187</f>
        <v>264888.085633177</v>
      </c>
      <c r="C188" s="36" t="n">
        <f aca="false">IF($A188&lt;=Deal!$B$12*12,Deal!$H$20,"")</f>
        <v>2359.27557626688</v>
      </c>
      <c r="D188" s="36" t="n">
        <f aca="false">IF($A188&lt;=Deal!$B$12*12,-PPMT(Deal!$B$11/12,$A188,Deal!$B$12*12,Deal!$H$7),"")</f>
        <v>869.280094580263</v>
      </c>
      <c r="E188" s="36" t="n">
        <f aca="false">IF($A188&lt;=Deal!$B$12*12,-IPMT(Deal!$B$11/12,$A188,Deal!$B$12*12,Deal!$H$7),"")</f>
        <v>1489.99548168662</v>
      </c>
      <c r="F188" s="36" t="n">
        <f aca="false">IF($A188&lt;=Deal!$B$12*12,B188-D188,"")</f>
        <v>264018.805538596</v>
      </c>
    </row>
    <row r="189" customFormat="false" ht="15" hidden="false" customHeight="true" outlineLevel="0" collapsed="false">
      <c r="A189" s="35" t="n">
        <f aca="false">A188+1</f>
        <v>184</v>
      </c>
      <c r="B189" s="36" t="n">
        <f aca="false">F188</f>
        <v>264018.805538596</v>
      </c>
      <c r="C189" s="36" t="n">
        <f aca="false">IF($A189&lt;=Deal!$B$12*12,Deal!$H$20,"")</f>
        <v>2359.27557626688</v>
      </c>
      <c r="D189" s="36" t="n">
        <f aca="false">IF($A189&lt;=Deal!$B$12*12,-PPMT(Deal!$B$11/12,$A189,Deal!$B$12*12,Deal!$H$7),"")</f>
        <v>874.169795112277</v>
      </c>
      <c r="E189" s="36" t="n">
        <f aca="false">IF($A189&lt;=Deal!$B$12*12,-IPMT(Deal!$B$11/12,$A189,Deal!$B$12*12,Deal!$H$7),"")</f>
        <v>1485.10578115461</v>
      </c>
      <c r="F189" s="36" t="n">
        <f aca="false">IF($A189&lt;=Deal!$B$12*12,B189-D189,"")</f>
        <v>263144.635743484</v>
      </c>
    </row>
    <row r="190" customFormat="false" ht="15" hidden="false" customHeight="true" outlineLevel="0" collapsed="false">
      <c r="A190" s="35" t="n">
        <f aca="false">A189+1</f>
        <v>185</v>
      </c>
      <c r="B190" s="36" t="n">
        <f aca="false">F189</f>
        <v>263144.635743484</v>
      </c>
      <c r="C190" s="36" t="n">
        <f aca="false">IF($A190&lt;=Deal!$B$12*12,Deal!$H$20,"")</f>
        <v>2359.27557626688</v>
      </c>
      <c r="D190" s="36" t="n">
        <f aca="false">IF($A190&lt;=Deal!$B$12*12,-PPMT(Deal!$B$11/12,$A190,Deal!$B$12*12,Deal!$H$7),"")</f>
        <v>879.087000209784</v>
      </c>
      <c r="E190" s="36" t="n">
        <f aca="false">IF($A190&lt;=Deal!$B$12*12,-IPMT(Deal!$B$11/12,$A190,Deal!$B$12*12,Deal!$H$7),"")</f>
        <v>1480.1885760571</v>
      </c>
      <c r="F190" s="36" t="n">
        <f aca="false">IF($A190&lt;=Deal!$B$12*12,B190-D190,"")</f>
        <v>262265.548743274</v>
      </c>
    </row>
    <row r="191" customFormat="false" ht="15" hidden="false" customHeight="true" outlineLevel="0" collapsed="false">
      <c r="A191" s="35" t="n">
        <f aca="false">A190+1</f>
        <v>186</v>
      </c>
      <c r="B191" s="36" t="n">
        <f aca="false">F190</f>
        <v>262265.548743274</v>
      </c>
      <c r="C191" s="36" t="n">
        <f aca="false">IF($A191&lt;=Deal!$B$12*12,Deal!$H$20,"")</f>
        <v>2359.27557626688</v>
      </c>
      <c r="D191" s="36" t="n">
        <f aca="false">IF($A191&lt;=Deal!$B$12*12,-PPMT(Deal!$B$11/12,$A191,Deal!$B$12*12,Deal!$H$7),"")</f>
        <v>884.031864585964</v>
      </c>
      <c r="E191" s="36" t="n">
        <f aca="false">IF($A191&lt;=Deal!$B$12*12,-IPMT(Deal!$B$11/12,$A191,Deal!$B$12*12,Deal!$H$7),"")</f>
        <v>1475.24371168092</v>
      </c>
      <c r="F191" s="36" t="n">
        <f aca="false">IF($A191&lt;=Deal!$B$12*12,B191-D191,"")</f>
        <v>261381.516878688</v>
      </c>
    </row>
    <row r="192" customFormat="false" ht="15" hidden="false" customHeight="true" outlineLevel="0" collapsed="false">
      <c r="A192" s="35" t="n">
        <f aca="false">A191+1</f>
        <v>187</v>
      </c>
      <c r="B192" s="36" t="n">
        <f aca="false">F191</f>
        <v>261381.516878688</v>
      </c>
      <c r="C192" s="36" t="n">
        <f aca="false">IF($A192&lt;=Deal!$B$12*12,Deal!$H$20,"")</f>
        <v>2359.27557626688</v>
      </c>
      <c r="D192" s="36" t="n">
        <f aca="false">IF($A192&lt;=Deal!$B$12*12,-PPMT(Deal!$B$11/12,$A192,Deal!$B$12*12,Deal!$H$7),"")</f>
        <v>889.00454382426</v>
      </c>
      <c r="E192" s="36" t="n">
        <f aca="false">IF($A192&lt;=Deal!$B$12*12,-IPMT(Deal!$B$11/12,$A192,Deal!$B$12*12,Deal!$H$7),"")</f>
        <v>1470.27103244262</v>
      </c>
      <c r="F192" s="36" t="n">
        <f aca="false">IF($A192&lt;=Deal!$B$12*12,B192-D192,"")</f>
        <v>260492.512334864</v>
      </c>
    </row>
    <row r="193" customFormat="false" ht="15" hidden="false" customHeight="true" outlineLevel="0" collapsed="false">
      <c r="A193" s="35" t="n">
        <f aca="false">A192+1</f>
        <v>188</v>
      </c>
      <c r="B193" s="36" t="n">
        <f aca="false">F192</f>
        <v>260492.512334864</v>
      </c>
      <c r="C193" s="36" t="n">
        <f aca="false">IF($A193&lt;=Deal!$B$12*12,Deal!$H$20,"")</f>
        <v>2359.27557626688</v>
      </c>
      <c r="D193" s="36" t="n">
        <f aca="false">IF($A193&lt;=Deal!$B$12*12,-PPMT(Deal!$B$11/12,$A193,Deal!$B$12*12,Deal!$H$7),"")</f>
        <v>894.005194383271</v>
      </c>
      <c r="E193" s="36" t="n">
        <f aca="false">IF($A193&lt;=Deal!$B$12*12,-IPMT(Deal!$B$11/12,$A193,Deal!$B$12*12,Deal!$H$7),"")</f>
        <v>1465.27038188361</v>
      </c>
      <c r="F193" s="36" t="n">
        <f aca="false">IF($A193&lt;=Deal!$B$12*12,B193-D193,"")</f>
        <v>259598.507140481</v>
      </c>
    </row>
    <row r="194" customFormat="false" ht="15" hidden="false" customHeight="true" outlineLevel="0" collapsed="false">
      <c r="A194" s="35" t="n">
        <f aca="false">A193+1</f>
        <v>189</v>
      </c>
      <c r="B194" s="36" t="n">
        <f aca="false">F193</f>
        <v>259598.507140481</v>
      </c>
      <c r="C194" s="36" t="n">
        <f aca="false">IF($A194&lt;=Deal!$B$12*12,Deal!$H$20,"")</f>
        <v>2359.27557626688</v>
      </c>
      <c r="D194" s="36" t="n">
        <f aca="false">IF($A194&lt;=Deal!$B$12*12,-PPMT(Deal!$B$11/12,$A194,Deal!$B$12*12,Deal!$H$7),"")</f>
        <v>899.033973601678</v>
      </c>
      <c r="E194" s="36" t="n">
        <f aca="false">IF($A194&lt;=Deal!$B$12*12,-IPMT(Deal!$B$11/12,$A194,Deal!$B$12*12,Deal!$H$7),"")</f>
        <v>1460.24160266521</v>
      </c>
      <c r="F194" s="36" t="n">
        <f aca="false">IF($A194&lt;=Deal!$B$12*12,B194-D194,"")</f>
        <v>258699.473166879</v>
      </c>
    </row>
    <row r="195" customFormat="false" ht="15" hidden="false" customHeight="true" outlineLevel="0" collapsed="false">
      <c r="A195" s="35" t="n">
        <f aca="false">A194+1</f>
        <v>190</v>
      </c>
      <c r="B195" s="36" t="n">
        <f aca="false">F194</f>
        <v>258699.473166879</v>
      </c>
      <c r="C195" s="36" t="n">
        <f aca="false">IF($A195&lt;=Deal!$B$12*12,Deal!$H$20,"")</f>
        <v>2359.27557626688</v>
      </c>
      <c r="D195" s="36" t="n">
        <f aca="false">IF($A195&lt;=Deal!$B$12*12,-PPMT(Deal!$B$11/12,$A195,Deal!$B$12*12,Deal!$H$7),"")</f>
        <v>904.091039703187</v>
      </c>
      <c r="E195" s="36" t="n">
        <f aca="false">IF($A195&lt;=Deal!$B$12*12,-IPMT(Deal!$B$11/12,$A195,Deal!$B$12*12,Deal!$H$7),"")</f>
        <v>1455.1845365637</v>
      </c>
      <c r="F195" s="36" t="n">
        <f aca="false">IF($A195&lt;=Deal!$B$12*12,B195-D195,"")</f>
        <v>257795.382127176</v>
      </c>
    </row>
    <row r="196" customFormat="false" ht="15" hidden="false" customHeight="true" outlineLevel="0" collapsed="false">
      <c r="A196" s="35" t="n">
        <f aca="false">A195+1</f>
        <v>191</v>
      </c>
      <c r="B196" s="36" t="n">
        <f aca="false">F195</f>
        <v>257795.382127176</v>
      </c>
      <c r="C196" s="36" t="n">
        <f aca="false">IF($A196&lt;=Deal!$B$12*12,Deal!$H$20,"")</f>
        <v>2359.27557626688</v>
      </c>
      <c r="D196" s="36" t="n">
        <f aca="false">IF($A196&lt;=Deal!$B$12*12,-PPMT(Deal!$B$11/12,$A196,Deal!$B$12*12,Deal!$H$7),"")</f>
        <v>909.176551801517</v>
      </c>
      <c r="E196" s="36" t="n">
        <f aca="false">IF($A196&lt;=Deal!$B$12*12,-IPMT(Deal!$B$11/12,$A196,Deal!$B$12*12,Deal!$H$7),"")</f>
        <v>1450.09902446537</v>
      </c>
      <c r="F196" s="36" t="n">
        <f aca="false">IF($A196&lt;=Deal!$B$12*12,B196-D196,"")</f>
        <v>256886.205575374</v>
      </c>
    </row>
    <row r="197" customFormat="false" ht="15" hidden="false" customHeight="true" outlineLevel="0" collapsed="false">
      <c r="A197" s="37" t="n">
        <f aca="false">A196+1</f>
        <v>192</v>
      </c>
      <c r="B197" s="38" t="n">
        <f aca="false">F196</f>
        <v>256886.205575374</v>
      </c>
      <c r="C197" s="38" t="n">
        <f aca="false">IF($A197&lt;=Deal!$B$12*12,Deal!$H$20,"")</f>
        <v>2359.27557626688</v>
      </c>
      <c r="D197" s="38" t="n">
        <f aca="false">IF($A197&lt;=Deal!$B$12*12,-PPMT(Deal!$B$11/12,$A197,Deal!$B$12*12,Deal!$H$7),"")</f>
        <v>914.290669905401</v>
      </c>
      <c r="E197" s="38" t="n">
        <f aca="false">IF($A197&lt;=Deal!$B$12*12,-IPMT(Deal!$B$11/12,$A197,Deal!$B$12*12,Deal!$H$7),"")</f>
        <v>1444.98490636148</v>
      </c>
      <c r="F197" s="38" t="n">
        <f aca="false">IF($A197&lt;=Deal!$B$12*12,B197-D197,"")</f>
        <v>255971.914905469</v>
      </c>
    </row>
    <row r="198" customFormat="false" ht="15" hidden="false" customHeight="true" outlineLevel="0" collapsed="false">
      <c r="A198" s="35" t="n">
        <f aca="false">A197+1</f>
        <v>193</v>
      </c>
      <c r="B198" s="36" t="n">
        <f aca="false">F197</f>
        <v>255971.914905469</v>
      </c>
      <c r="C198" s="36" t="n">
        <f aca="false">IF($A198&lt;=Deal!$B$12*12,Deal!$H$20,"")</f>
        <v>2359.27557626688</v>
      </c>
      <c r="D198" s="36" t="n">
        <f aca="false">IF($A198&lt;=Deal!$B$12*12,-PPMT(Deal!$B$11/12,$A198,Deal!$B$12*12,Deal!$H$7),"")</f>
        <v>919.433554923619</v>
      </c>
      <c r="E198" s="36" t="n">
        <f aca="false">IF($A198&lt;=Deal!$B$12*12,-IPMT(Deal!$B$11/12,$A198,Deal!$B$12*12,Deal!$H$7),"")</f>
        <v>1439.84202134326</v>
      </c>
      <c r="F198" s="36" t="n">
        <f aca="false">IF($A198&lt;=Deal!$B$12*12,B198-D198,"")</f>
        <v>255052.481350545</v>
      </c>
    </row>
    <row r="199" customFormat="false" ht="15" hidden="false" customHeight="true" outlineLevel="0" collapsed="false">
      <c r="A199" s="35" t="n">
        <f aca="false">A198+1</f>
        <v>194</v>
      </c>
      <c r="B199" s="36" t="n">
        <f aca="false">F198</f>
        <v>255052.481350545</v>
      </c>
      <c r="C199" s="36" t="n">
        <f aca="false">IF($A199&lt;=Deal!$B$12*12,Deal!$H$20,"")</f>
        <v>2359.27557626688</v>
      </c>
      <c r="D199" s="36" t="n">
        <f aca="false">IF($A199&lt;=Deal!$B$12*12,-PPMT(Deal!$B$11/12,$A199,Deal!$B$12*12,Deal!$H$7),"")</f>
        <v>924.605368670064</v>
      </c>
      <c r="E199" s="36" t="n">
        <f aca="false">IF($A199&lt;=Deal!$B$12*12,-IPMT(Deal!$B$11/12,$A199,Deal!$B$12*12,Deal!$H$7),"")</f>
        <v>1434.67020759682</v>
      </c>
      <c r="F199" s="36" t="n">
        <f aca="false">IF($A199&lt;=Deal!$B$12*12,B199-D199,"")</f>
        <v>254127.875981875</v>
      </c>
    </row>
    <row r="200" customFormat="false" ht="15" hidden="false" customHeight="true" outlineLevel="0" collapsed="false">
      <c r="A200" s="35" t="n">
        <f aca="false">A199+1</f>
        <v>195</v>
      </c>
      <c r="B200" s="36" t="n">
        <f aca="false">F199</f>
        <v>254127.875981875</v>
      </c>
      <c r="C200" s="36" t="n">
        <f aca="false">IF($A200&lt;=Deal!$B$12*12,Deal!$H$20,"")</f>
        <v>2359.27557626688</v>
      </c>
      <c r="D200" s="36" t="n">
        <f aca="false">IF($A200&lt;=Deal!$B$12*12,-PPMT(Deal!$B$11/12,$A200,Deal!$B$12*12,Deal!$H$7),"")</f>
        <v>929.806273868833</v>
      </c>
      <c r="E200" s="36" t="n">
        <f aca="false">IF($A200&lt;=Deal!$B$12*12,-IPMT(Deal!$B$11/12,$A200,Deal!$B$12*12,Deal!$H$7),"")</f>
        <v>1429.46930239805</v>
      </c>
      <c r="F200" s="36" t="n">
        <f aca="false">IF($A200&lt;=Deal!$B$12*12,B200-D200,"")</f>
        <v>253198.069708006</v>
      </c>
    </row>
    <row r="201" customFormat="false" ht="15" hidden="false" customHeight="true" outlineLevel="0" collapsed="false">
      <c r="A201" s="35" t="n">
        <f aca="false">A200+1</f>
        <v>196</v>
      </c>
      <c r="B201" s="36" t="n">
        <f aca="false">F200</f>
        <v>253198.069708006</v>
      </c>
      <c r="C201" s="36" t="n">
        <f aca="false">IF($A201&lt;=Deal!$B$12*12,Deal!$H$20,"")</f>
        <v>2359.27557626688</v>
      </c>
      <c r="D201" s="36" t="n">
        <f aca="false">IF($A201&lt;=Deal!$B$12*12,-PPMT(Deal!$B$11/12,$A201,Deal!$B$12*12,Deal!$H$7),"")</f>
        <v>935.036434159345</v>
      </c>
      <c r="E201" s="36" t="n">
        <f aca="false">IF($A201&lt;=Deal!$B$12*12,-IPMT(Deal!$B$11/12,$A201,Deal!$B$12*12,Deal!$H$7),"")</f>
        <v>1424.23914210754</v>
      </c>
      <c r="F201" s="36" t="n">
        <f aca="false">IF($A201&lt;=Deal!$B$12*12,B201-D201,"")</f>
        <v>252263.033273847</v>
      </c>
    </row>
    <row r="202" customFormat="false" ht="15" hidden="false" customHeight="true" outlineLevel="0" collapsed="false">
      <c r="A202" s="35" t="n">
        <f aca="false">A201+1</f>
        <v>197</v>
      </c>
      <c r="B202" s="36" t="n">
        <f aca="false">F201</f>
        <v>252263.033273847</v>
      </c>
      <c r="C202" s="36" t="n">
        <f aca="false">IF($A202&lt;=Deal!$B$12*12,Deal!$H$20,"")</f>
        <v>2359.27557626688</v>
      </c>
      <c r="D202" s="36" t="n">
        <f aca="false">IF($A202&lt;=Deal!$B$12*12,-PPMT(Deal!$B$11/12,$A202,Deal!$B$12*12,Deal!$H$7),"")</f>
        <v>940.296014101492</v>
      </c>
      <c r="E202" s="36" t="n">
        <f aca="false">IF($A202&lt;=Deal!$B$12*12,-IPMT(Deal!$B$11/12,$A202,Deal!$B$12*12,Deal!$H$7),"")</f>
        <v>1418.97956216539</v>
      </c>
      <c r="F202" s="36" t="n">
        <f aca="false">IF($A202&lt;=Deal!$B$12*12,B202-D202,"")</f>
        <v>251322.737259746</v>
      </c>
    </row>
    <row r="203" customFormat="false" ht="15" hidden="false" customHeight="true" outlineLevel="0" collapsed="false">
      <c r="A203" s="35" t="n">
        <f aca="false">A202+1</f>
        <v>198</v>
      </c>
      <c r="B203" s="36" t="n">
        <f aca="false">F202</f>
        <v>251322.737259746</v>
      </c>
      <c r="C203" s="36" t="n">
        <f aca="false">IF($A203&lt;=Deal!$B$12*12,Deal!$H$20,"")</f>
        <v>2359.27557626688</v>
      </c>
      <c r="D203" s="36" t="n">
        <f aca="false">IF($A203&lt;=Deal!$B$12*12,-PPMT(Deal!$B$11/12,$A203,Deal!$B$12*12,Deal!$H$7),"")</f>
        <v>945.585179180813</v>
      </c>
      <c r="E203" s="36" t="n">
        <f aca="false">IF($A203&lt;=Deal!$B$12*12,-IPMT(Deal!$B$11/12,$A203,Deal!$B$12*12,Deal!$H$7),"")</f>
        <v>1413.69039708607</v>
      </c>
      <c r="F203" s="36" t="n">
        <f aca="false">IF($A203&lt;=Deal!$B$12*12,B203-D203,"")</f>
        <v>250377.152080565</v>
      </c>
    </row>
    <row r="204" customFormat="false" ht="15" hidden="false" customHeight="true" outlineLevel="0" collapsed="false">
      <c r="A204" s="35" t="n">
        <f aca="false">A203+1</f>
        <v>199</v>
      </c>
      <c r="B204" s="36" t="n">
        <f aca="false">F203</f>
        <v>250377.152080565</v>
      </c>
      <c r="C204" s="36" t="n">
        <f aca="false">IF($A204&lt;=Deal!$B$12*12,Deal!$H$20,"")</f>
        <v>2359.27557626688</v>
      </c>
      <c r="D204" s="36" t="n">
        <f aca="false">IF($A204&lt;=Deal!$B$12*12,-PPMT(Deal!$B$11/12,$A204,Deal!$B$12*12,Deal!$H$7),"")</f>
        <v>950.904095813704</v>
      </c>
      <c r="E204" s="36" t="n">
        <f aca="false">IF($A204&lt;=Deal!$B$12*12,-IPMT(Deal!$B$11/12,$A204,Deal!$B$12*12,Deal!$H$7),"")</f>
        <v>1408.37148045318</v>
      </c>
      <c r="F204" s="36" t="n">
        <f aca="false">IF($A204&lt;=Deal!$B$12*12,B204-D204,"")</f>
        <v>249426.247984751</v>
      </c>
    </row>
    <row r="205" customFormat="false" ht="15" hidden="false" customHeight="true" outlineLevel="0" collapsed="false">
      <c r="A205" s="35" t="n">
        <f aca="false">A204+1</f>
        <v>200</v>
      </c>
      <c r="B205" s="36" t="n">
        <f aca="false">F204</f>
        <v>249426.247984751</v>
      </c>
      <c r="C205" s="36" t="n">
        <f aca="false">IF($A205&lt;=Deal!$B$12*12,Deal!$H$20,"")</f>
        <v>2359.27557626688</v>
      </c>
      <c r="D205" s="36" t="n">
        <f aca="false">IF($A205&lt;=Deal!$B$12*12,-PPMT(Deal!$B$11/12,$A205,Deal!$B$12*12,Deal!$H$7),"")</f>
        <v>956.252931352657</v>
      </c>
      <c r="E205" s="36" t="n">
        <f aca="false">IF($A205&lt;=Deal!$B$12*12,-IPMT(Deal!$B$11/12,$A205,Deal!$B$12*12,Deal!$H$7),"")</f>
        <v>1403.02264491423</v>
      </c>
      <c r="F205" s="36" t="n">
        <f aca="false">IF($A205&lt;=Deal!$B$12*12,B205-D205,"")</f>
        <v>248469.995053398</v>
      </c>
    </row>
    <row r="206" customFormat="false" ht="15" hidden="false" customHeight="true" outlineLevel="0" collapsed="false">
      <c r="A206" s="35" t="n">
        <f aca="false">A205+1</f>
        <v>201</v>
      </c>
      <c r="B206" s="36" t="n">
        <f aca="false">F205</f>
        <v>248469.995053398</v>
      </c>
      <c r="C206" s="36" t="n">
        <f aca="false">IF($A206&lt;=Deal!$B$12*12,Deal!$H$20,"")</f>
        <v>2359.27557626688</v>
      </c>
      <c r="D206" s="36" t="n">
        <f aca="false">IF($A206&lt;=Deal!$B$12*12,-PPMT(Deal!$B$11/12,$A206,Deal!$B$12*12,Deal!$H$7),"")</f>
        <v>961.631854091515</v>
      </c>
      <c r="E206" s="36" t="n">
        <f aca="false">IF($A206&lt;=Deal!$B$12*12,-IPMT(Deal!$B$11/12,$A206,Deal!$B$12*12,Deal!$H$7),"")</f>
        <v>1397.64372217537</v>
      </c>
      <c r="F206" s="36" t="n">
        <f aca="false">IF($A206&lt;=Deal!$B$12*12,B206-D206,"")</f>
        <v>247508.363199307</v>
      </c>
    </row>
    <row r="207" customFormat="false" ht="15" hidden="false" customHeight="true" outlineLevel="0" collapsed="false">
      <c r="A207" s="35" t="n">
        <f aca="false">A206+1</f>
        <v>202</v>
      </c>
      <c r="B207" s="36" t="n">
        <f aca="false">F206</f>
        <v>247508.363199307</v>
      </c>
      <c r="C207" s="36" t="n">
        <f aca="false">IF($A207&lt;=Deal!$B$12*12,Deal!$H$20,"")</f>
        <v>2359.27557626688</v>
      </c>
      <c r="D207" s="36" t="n">
        <f aca="false">IF($A207&lt;=Deal!$B$12*12,-PPMT(Deal!$B$11/12,$A207,Deal!$B$12*12,Deal!$H$7),"")</f>
        <v>967.04103327078</v>
      </c>
      <c r="E207" s="36" t="n">
        <f aca="false">IF($A207&lt;=Deal!$B$12*12,-IPMT(Deal!$B$11/12,$A207,Deal!$B$12*12,Deal!$H$7),"")</f>
        <v>1392.2345429961</v>
      </c>
      <c r="F207" s="36" t="n">
        <f aca="false">IF($A207&lt;=Deal!$B$12*12,B207-D207,"")</f>
        <v>246541.322166036</v>
      </c>
    </row>
    <row r="208" customFormat="false" ht="15" hidden="false" customHeight="true" outlineLevel="0" collapsed="false">
      <c r="A208" s="35" t="n">
        <f aca="false">A207+1</f>
        <v>203</v>
      </c>
      <c r="B208" s="36" t="n">
        <f aca="false">F207</f>
        <v>246541.322166036</v>
      </c>
      <c r="C208" s="36" t="n">
        <f aca="false">IF($A208&lt;=Deal!$B$12*12,Deal!$H$20,"")</f>
        <v>2359.27557626688</v>
      </c>
      <c r="D208" s="36" t="n">
        <f aca="false">IF($A208&lt;=Deal!$B$12*12,-PPMT(Deal!$B$11/12,$A208,Deal!$B$12*12,Deal!$H$7),"")</f>
        <v>972.480639082928</v>
      </c>
      <c r="E208" s="36" t="n">
        <f aca="false">IF($A208&lt;=Deal!$B$12*12,-IPMT(Deal!$B$11/12,$A208,Deal!$B$12*12,Deal!$H$7),"")</f>
        <v>1386.79493718396</v>
      </c>
      <c r="F208" s="36" t="n">
        <f aca="false">IF($A208&lt;=Deal!$B$12*12,B208-D208,"")</f>
        <v>245568.841526953</v>
      </c>
    </row>
    <row r="209" customFormat="false" ht="15" hidden="false" customHeight="true" outlineLevel="0" collapsed="false">
      <c r="A209" s="37" t="n">
        <f aca="false">A208+1</f>
        <v>204</v>
      </c>
      <c r="B209" s="38" t="n">
        <f aca="false">F208</f>
        <v>245568.841526953</v>
      </c>
      <c r="C209" s="38" t="n">
        <f aca="false">IF($A209&lt;=Deal!$B$12*12,Deal!$H$20,"")</f>
        <v>2359.27557626688</v>
      </c>
      <c r="D209" s="38" t="n">
        <f aca="false">IF($A209&lt;=Deal!$B$12*12,-PPMT(Deal!$B$11/12,$A209,Deal!$B$12*12,Deal!$H$7),"")</f>
        <v>977.95084267777</v>
      </c>
      <c r="E209" s="38" t="n">
        <f aca="false">IF($A209&lt;=Deal!$B$12*12,-IPMT(Deal!$B$11/12,$A209,Deal!$B$12*12,Deal!$H$7),"")</f>
        <v>1381.32473358911</v>
      </c>
      <c r="F209" s="38" t="n">
        <f aca="false">IF($A209&lt;=Deal!$B$12*12,B209-D209,"")</f>
        <v>244590.890684276</v>
      </c>
    </row>
    <row r="210" customFormat="false" ht="15" hidden="false" customHeight="true" outlineLevel="0" collapsed="false">
      <c r="A210" s="35" t="n">
        <f aca="false">A209+1</f>
        <v>205</v>
      </c>
      <c r="B210" s="36" t="n">
        <f aca="false">F209</f>
        <v>244590.890684276</v>
      </c>
      <c r="C210" s="36" t="n">
        <f aca="false">IF($A210&lt;=Deal!$B$12*12,Deal!$H$20,"")</f>
        <v>2359.27557626688</v>
      </c>
      <c r="D210" s="36" t="n">
        <f aca="false">IF($A210&lt;=Deal!$B$12*12,-PPMT(Deal!$B$11/12,$A210,Deal!$B$12*12,Deal!$H$7),"")</f>
        <v>983.451816167832</v>
      </c>
      <c r="E210" s="36" t="n">
        <f aca="false">IF($A210&lt;=Deal!$B$12*12,-IPMT(Deal!$B$11/12,$A210,Deal!$B$12*12,Deal!$H$7),"")</f>
        <v>1375.82376009905</v>
      </c>
      <c r="F210" s="36" t="n">
        <f aca="false">IF($A210&lt;=Deal!$B$12*12,B210-D210,"")</f>
        <v>243607.438868108</v>
      </c>
    </row>
    <row r="211" customFormat="false" ht="15" hidden="false" customHeight="true" outlineLevel="0" collapsed="false">
      <c r="A211" s="35" t="n">
        <f aca="false">A210+1</f>
        <v>206</v>
      </c>
      <c r="B211" s="36" t="n">
        <f aca="false">F210</f>
        <v>243607.438868108</v>
      </c>
      <c r="C211" s="36" t="n">
        <f aca="false">IF($A211&lt;=Deal!$B$12*12,Deal!$H$20,"")</f>
        <v>2359.27557626688</v>
      </c>
      <c r="D211" s="36" t="n">
        <f aca="false">IF($A211&lt;=Deal!$B$12*12,-PPMT(Deal!$B$11/12,$A211,Deal!$B$12*12,Deal!$H$7),"")</f>
        <v>988.983732633776</v>
      </c>
      <c r="E211" s="36" t="n">
        <f aca="false">IF($A211&lt;=Deal!$B$12*12,-IPMT(Deal!$B$11/12,$A211,Deal!$B$12*12,Deal!$H$7),"")</f>
        <v>1370.29184363311</v>
      </c>
      <c r="F211" s="36" t="n">
        <f aca="false">IF($A211&lt;=Deal!$B$12*12,B211-D211,"")</f>
        <v>242618.455135474</v>
      </c>
    </row>
    <row r="212" customFormat="false" ht="15" hidden="false" customHeight="true" outlineLevel="0" collapsed="false">
      <c r="A212" s="35" t="n">
        <f aca="false">A211+1</f>
        <v>207</v>
      </c>
      <c r="B212" s="36" t="n">
        <f aca="false">F211</f>
        <v>242618.455135474</v>
      </c>
      <c r="C212" s="36" t="n">
        <f aca="false">IF($A212&lt;=Deal!$B$12*12,Deal!$H$20,"")</f>
        <v>2359.27557626688</v>
      </c>
      <c r="D212" s="36" t="n">
        <f aca="false">IF($A212&lt;=Deal!$B$12*12,-PPMT(Deal!$B$11/12,$A212,Deal!$B$12*12,Deal!$H$7),"")</f>
        <v>994.546766129841</v>
      </c>
      <c r="E212" s="36" t="n">
        <f aca="false">IF($A212&lt;=Deal!$B$12*12,-IPMT(Deal!$B$11/12,$A212,Deal!$B$12*12,Deal!$H$7),"")</f>
        <v>1364.72881013704</v>
      </c>
      <c r="F212" s="36" t="n">
        <f aca="false">IF($A212&lt;=Deal!$B$12*12,B212-D212,"")</f>
        <v>241623.908369344</v>
      </c>
    </row>
    <row r="213" customFormat="false" ht="15" hidden="false" customHeight="true" outlineLevel="0" collapsed="false">
      <c r="A213" s="35" t="n">
        <f aca="false">A212+1</f>
        <v>208</v>
      </c>
      <c r="B213" s="36" t="n">
        <f aca="false">F212</f>
        <v>241623.908369344</v>
      </c>
      <c r="C213" s="36" t="n">
        <f aca="false">IF($A213&lt;=Deal!$B$12*12,Deal!$H$20,"")</f>
        <v>2359.27557626688</v>
      </c>
      <c r="D213" s="36" t="n">
        <f aca="false">IF($A213&lt;=Deal!$B$12*12,-PPMT(Deal!$B$11/12,$A213,Deal!$B$12*12,Deal!$H$7),"")</f>
        <v>1000.14109168932</v>
      </c>
      <c r="E213" s="36" t="n">
        <f aca="false">IF($A213&lt;=Deal!$B$12*12,-IPMT(Deal!$B$11/12,$A213,Deal!$B$12*12,Deal!$H$7),"")</f>
        <v>1359.13448457756</v>
      </c>
      <c r="F213" s="36" t="n">
        <f aca="false">IF($A213&lt;=Deal!$B$12*12,B213-D213,"")</f>
        <v>240623.767277655</v>
      </c>
    </row>
    <row r="214" customFormat="false" ht="15" hidden="false" customHeight="true" outlineLevel="0" collapsed="false">
      <c r="A214" s="35" t="n">
        <f aca="false">A213+1</f>
        <v>209</v>
      </c>
      <c r="B214" s="36" t="n">
        <f aca="false">F213</f>
        <v>240623.767277655</v>
      </c>
      <c r="C214" s="36" t="n">
        <f aca="false">IF($A214&lt;=Deal!$B$12*12,Deal!$H$20,"")</f>
        <v>2359.27557626688</v>
      </c>
      <c r="D214" s="36" t="n">
        <f aca="false">IF($A214&lt;=Deal!$B$12*12,-PPMT(Deal!$B$11/12,$A214,Deal!$B$12*12,Deal!$H$7),"")</f>
        <v>1005.76688533007</v>
      </c>
      <c r="E214" s="36" t="n">
        <f aca="false">IF($A214&lt;=Deal!$B$12*12,-IPMT(Deal!$B$11/12,$A214,Deal!$B$12*12,Deal!$H$7),"")</f>
        <v>1353.50869093681</v>
      </c>
      <c r="F214" s="36" t="n">
        <f aca="false">IF($A214&lt;=Deal!$B$12*12,B214-D214,"")</f>
        <v>239618.000392325</v>
      </c>
    </row>
    <row r="215" customFormat="false" ht="15" hidden="false" customHeight="true" outlineLevel="0" collapsed="false">
      <c r="A215" s="35" t="n">
        <f aca="false">A214+1</f>
        <v>210</v>
      </c>
      <c r="B215" s="36" t="n">
        <f aca="false">F214</f>
        <v>239618.000392325</v>
      </c>
      <c r="C215" s="36" t="n">
        <f aca="false">IF($A215&lt;=Deal!$B$12*12,Deal!$H$20,"")</f>
        <v>2359.27557626688</v>
      </c>
      <c r="D215" s="36" t="n">
        <f aca="false">IF($A215&lt;=Deal!$B$12*12,-PPMT(Deal!$B$11/12,$A215,Deal!$B$12*12,Deal!$H$7),"")</f>
        <v>1011.42432406006</v>
      </c>
      <c r="E215" s="36" t="n">
        <f aca="false">IF($A215&lt;=Deal!$B$12*12,-IPMT(Deal!$B$11/12,$A215,Deal!$B$12*12,Deal!$H$7),"")</f>
        <v>1347.85125220683</v>
      </c>
      <c r="F215" s="36" t="n">
        <f aca="false">IF($A215&lt;=Deal!$B$12*12,B215-D215,"")</f>
        <v>238606.576068265</v>
      </c>
    </row>
    <row r="216" customFormat="false" ht="15" hidden="false" customHeight="true" outlineLevel="0" collapsed="false">
      <c r="A216" s="35" t="n">
        <f aca="false">A215+1</f>
        <v>211</v>
      </c>
      <c r="B216" s="36" t="n">
        <f aca="false">F215</f>
        <v>238606.576068265</v>
      </c>
      <c r="C216" s="36" t="n">
        <f aca="false">IF($A216&lt;=Deal!$B$12*12,Deal!$H$20,"")</f>
        <v>2359.27557626688</v>
      </c>
      <c r="D216" s="36" t="n">
        <f aca="false">IF($A216&lt;=Deal!$B$12*12,-PPMT(Deal!$B$11/12,$A216,Deal!$B$12*12,Deal!$H$7),"")</f>
        <v>1017.11358588289</v>
      </c>
      <c r="E216" s="36" t="n">
        <f aca="false">IF($A216&lt;=Deal!$B$12*12,-IPMT(Deal!$B$11/12,$A216,Deal!$B$12*12,Deal!$H$7),"")</f>
        <v>1342.16199038399</v>
      </c>
      <c r="F216" s="36" t="n">
        <f aca="false">IF($A216&lt;=Deal!$B$12*12,B216-D216,"")</f>
        <v>237589.462482382</v>
      </c>
    </row>
    <row r="217" customFormat="false" ht="15" hidden="false" customHeight="true" outlineLevel="0" collapsed="false">
      <c r="A217" s="35" t="n">
        <f aca="false">A216+1</f>
        <v>212</v>
      </c>
      <c r="B217" s="36" t="n">
        <f aca="false">F216</f>
        <v>237589.462482382</v>
      </c>
      <c r="C217" s="36" t="n">
        <f aca="false">IF($A217&lt;=Deal!$B$12*12,Deal!$H$20,"")</f>
        <v>2359.27557626688</v>
      </c>
      <c r="D217" s="36" t="n">
        <f aca="false">IF($A217&lt;=Deal!$B$12*12,-PPMT(Deal!$B$11/12,$A217,Deal!$B$12*12,Deal!$H$7),"")</f>
        <v>1022.83484980348</v>
      </c>
      <c r="E217" s="36" t="n">
        <f aca="false">IF($A217&lt;=Deal!$B$12*12,-IPMT(Deal!$B$11/12,$A217,Deal!$B$12*12,Deal!$H$7),"")</f>
        <v>1336.4407264634</v>
      </c>
      <c r="F217" s="36" t="n">
        <f aca="false">IF($A217&lt;=Deal!$B$12*12,B217-D217,"")</f>
        <v>236566.627632578</v>
      </c>
    </row>
    <row r="218" customFormat="false" ht="15" hidden="false" customHeight="true" outlineLevel="0" collapsed="false">
      <c r="A218" s="35" t="n">
        <f aca="false">A217+1</f>
        <v>213</v>
      </c>
      <c r="B218" s="36" t="n">
        <f aca="false">F217</f>
        <v>236566.627632578</v>
      </c>
      <c r="C218" s="36" t="n">
        <f aca="false">IF($A218&lt;=Deal!$B$12*12,Deal!$H$20,"")</f>
        <v>2359.27557626688</v>
      </c>
      <c r="D218" s="36" t="n">
        <f aca="false">IF($A218&lt;=Deal!$B$12*12,-PPMT(Deal!$B$11/12,$A218,Deal!$B$12*12,Deal!$H$7),"")</f>
        <v>1028.58829583363</v>
      </c>
      <c r="E218" s="36" t="n">
        <f aca="false">IF($A218&lt;=Deal!$B$12*12,-IPMT(Deal!$B$11/12,$A218,Deal!$B$12*12,Deal!$H$7),"")</f>
        <v>1330.68728043325</v>
      </c>
      <c r="F218" s="36" t="n">
        <f aca="false">IF($A218&lt;=Deal!$B$12*12,B218-D218,"")</f>
        <v>235538.039336745</v>
      </c>
    </row>
    <row r="219" customFormat="false" ht="15" hidden="false" customHeight="true" outlineLevel="0" collapsed="false">
      <c r="A219" s="35" t="n">
        <f aca="false">A218+1</f>
        <v>214</v>
      </c>
      <c r="B219" s="36" t="n">
        <f aca="false">F218</f>
        <v>235538.039336745</v>
      </c>
      <c r="C219" s="36" t="n">
        <f aca="false">IF($A219&lt;=Deal!$B$12*12,Deal!$H$20,"")</f>
        <v>2359.27557626688</v>
      </c>
      <c r="D219" s="36" t="n">
        <f aca="false">IF($A219&lt;=Deal!$B$12*12,-PPMT(Deal!$B$11/12,$A219,Deal!$B$12*12,Deal!$H$7),"")</f>
        <v>1034.37410499769</v>
      </c>
      <c r="E219" s="36" t="n">
        <f aca="false">IF($A219&lt;=Deal!$B$12*12,-IPMT(Deal!$B$11/12,$A219,Deal!$B$12*12,Deal!$H$7),"")</f>
        <v>1324.90147126919</v>
      </c>
      <c r="F219" s="36" t="n">
        <f aca="false">IF($A219&lt;=Deal!$B$12*12,B219-D219,"")</f>
        <v>234503.665231747</v>
      </c>
    </row>
    <row r="220" customFormat="false" ht="15" hidden="false" customHeight="true" outlineLevel="0" collapsed="false">
      <c r="A220" s="35" t="n">
        <f aca="false">A219+1</f>
        <v>215</v>
      </c>
      <c r="B220" s="36" t="n">
        <f aca="false">F219</f>
        <v>234503.665231747</v>
      </c>
      <c r="C220" s="36" t="n">
        <f aca="false">IF($A220&lt;=Deal!$B$12*12,Deal!$H$20,"")</f>
        <v>2359.27557626688</v>
      </c>
      <c r="D220" s="36" t="n">
        <f aca="false">IF($A220&lt;=Deal!$B$12*12,-PPMT(Deal!$B$11/12,$A220,Deal!$B$12*12,Deal!$H$7),"")</f>
        <v>1040.19245933831</v>
      </c>
      <c r="E220" s="36" t="n">
        <f aca="false">IF($A220&lt;=Deal!$B$12*12,-IPMT(Deal!$B$11/12,$A220,Deal!$B$12*12,Deal!$H$7),"")</f>
        <v>1319.08311692858</v>
      </c>
      <c r="F220" s="36" t="n">
        <f aca="false">IF($A220&lt;=Deal!$B$12*12,B220-D220,"")</f>
        <v>233463.472772409</v>
      </c>
    </row>
    <row r="221" customFormat="false" ht="15" hidden="false" customHeight="true" outlineLevel="0" collapsed="false">
      <c r="A221" s="37" t="n">
        <f aca="false">A220+1</f>
        <v>216</v>
      </c>
      <c r="B221" s="38" t="n">
        <f aca="false">F220</f>
        <v>233463.472772409</v>
      </c>
      <c r="C221" s="38" t="n">
        <f aca="false">IF($A221&lt;=Deal!$B$12*12,Deal!$H$20,"")</f>
        <v>2359.27557626688</v>
      </c>
      <c r="D221" s="38" t="n">
        <f aca="false">IF($A221&lt;=Deal!$B$12*12,-PPMT(Deal!$B$11/12,$A221,Deal!$B$12*12,Deal!$H$7),"")</f>
        <v>1046.04354192208</v>
      </c>
      <c r="E221" s="38" t="n">
        <f aca="false">IF($A221&lt;=Deal!$B$12*12,-IPMT(Deal!$B$11/12,$A221,Deal!$B$12*12,Deal!$H$7),"")</f>
        <v>1313.2320343448</v>
      </c>
      <c r="F221" s="38" t="n">
        <f aca="false">IF($A221&lt;=Deal!$B$12*12,B221-D221,"")</f>
        <v>232417.429230486</v>
      </c>
    </row>
    <row r="222" customFormat="false" ht="15" hidden="false" customHeight="true" outlineLevel="0" collapsed="false">
      <c r="A222" s="35" t="n">
        <f aca="false">A221+1</f>
        <v>217</v>
      </c>
      <c r="B222" s="36" t="n">
        <f aca="false">F221</f>
        <v>232417.429230486</v>
      </c>
      <c r="C222" s="36" t="n">
        <f aca="false">IF($A222&lt;=Deal!$B$12*12,Deal!$H$20,"")</f>
        <v>2359.27557626688</v>
      </c>
      <c r="D222" s="36" t="n">
        <f aca="false">IF($A222&lt;=Deal!$B$12*12,-PPMT(Deal!$B$11/12,$A222,Deal!$B$12*12,Deal!$H$7),"")</f>
        <v>1051.9275368454</v>
      </c>
      <c r="E222" s="36" t="n">
        <f aca="false">IF($A222&lt;=Deal!$B$12*12,-IPMT(Deal!$B$11/12,$A222,Deal!$B$12*12,Deal!$H$7),"")</f>
        <v>1307.34803942149</v>
      </c>
      <c r="F222" s="36" t="n">
        <f aca="false">IF($A222&lt;=Deal!$B$12*12,B222-D222,"")</f>
        <v>231365.501693641</v>
      </c>
    </row>
    <row r="223" customFormat="false" ht="15" hidden="false" customHeight="true" outlineLevel="0" collapsed="false">
      <c r="A223" s="35" t="n">
        <f aca="false">A222+1</f>
        <v>218</v>
      </c>
      <c r="B223" s="36" t="n">
        <f aca="false">F222</f>
        <v>231365.501693641</v>
      </c>
      <c r="C223" s="36" t="n">
        <f aca="false">IF($A223&lt;=Deal!$B$12*12,Deal!$H$20,"")</f>
        <v>2359.27557626688</v>
      </c>
      <c r="D223" s="36" t="n">
        <f aca="false">IF($A223&lt;=Deal!$B$12*12,-PPMT(Deal!$B$11/12,$A223,Deal!$B$12*12,Deal!$H$7),"")</f>
        <v>1057.84462924015</v>
      </c>
      <c r="E223" s="36" t="n">
        <f aca="false">IF($A223&lt;=Deal!$B$12*12,-IPMT(Deal!$B$11/12,$A223,Deal!$B$12*12,Deal!$H$7),"")</f>
        <v>1301.43094702673</v>
      </c>
      <c r="F223" s="36" t="n">
        <f aca="false">IF($A223&lt;=Deal!$B$12*12,B223-D223,"")</f>
        <v>230307.657064401</v>
      </c>
    </row>
    <row r="224" customFormat="false" ht="15" hidden="false" customHeight="true" outlineLevel="0" collapsed="false">
      <c r="A224" s="35" t="n">
        <f aca="false">A223+1</f>
        <v>219</v>
      </c>
      <c r="B224" s="36" t="n">
        <f aca="false">F223</f>
        <v>230307.657064401</v>
      </c>
      <c r="C224" s="36" t="n">
        <f aca="false">IF($A224&lt;=Deal!$B$12*12,Deal!$H$20,"")</f>
        <v>2359.27557626688</v>
      </c>
      <c r="D224" s="36" t="n">
        <f aca="false">IF($A224&lt;=Deal!$B$12*12,-PPMT(Deal!$B$11/12,$A224,Deal!$B$12*12,Deal!$H$7),"")</f>
        <v>1063.79500527963</v>
      </c>
      <c r="E224" s="36" t="n">
        <f aca="false">IF($A224&lt;=Deal!$B$12*12,-IPMT(Deal!$B$11/12,$A224,Deal!$B$12*12,Deal!$H$7),"")</f>
        <v>1295.48057098726</v>
      </c>
      <c r="F224" s="36" t="n">
        <f aca="false">IF($A224&lt;=Deal!$B$12*12,B224-D224,"")</f>
        <v>229243.862059121</v>
      </c>
    </row>
    <row r="225" customFormat="false" ht="15" hidden="false" customHeight="true" outlineLevel="0" collapsed="false">
      <c r="A225" s="35" t="n">
        <f aca="false">A224+1</f>
        <v>220</v>
      </c>
      <c r="B225" s="36" t="n">
        <f aca="false">F224</f>
        <v>229243.862059121</v>
      </c>
      <c r="C225" s="36" t="n">
        <f aca="false">IF($A225&lt;=Deal!$B$12*12,Deal!$H$20,"")</f>
        <v>2359.27557626688</v>
      </c>
      <c r="D225" s="36" t="n">
        <f aca="false">IF($A225&lt;=Deal!$B$12*12,-PPMT(Deal!$B$11/12,$A225,Deal!$B$12*12,Deal!$H$7),"")</f>
        <v>1069.77885218432</v>
      </c>
      <c r="E225" s="36" t="n">
        <f aca="false">IF($A225&lt;=Deal!$B$12*12,-IPMT(Deal!$B$11/12,$A225,Deal!$B$12*12,Deal!$H$7),"")</f>
        <v>1289.49672408256</v>
      </c>
      <c r="F225" s="36" t="n">
        <f aca="false">IF($A225&lt;=Deal!$B$12*12,B225-D225,"")</f>
        <v>228174.083206937</v>
      </c>
    </row>
    <row r="226" customFormat="false" ht="15" hidden="false" customHeight="true" outlineLevel="0" collapsed="false">
      <c r="A226" s="35" t="n">
        <f aca="false">A225+1</f>
        <v>221</v>
      </c>
      <c r="B226" s="36" t="n">
        <f aca="false">F225</f>
        <v>228174.083206937</v>
      </c>
      <c r="C226" s="36" t="n">
        <f aca="false">IF($A226&lt;=Deal!$B$12*12,Deal!$H$20,"")</f>
        <v>2359.27557626688</v>
      </c>
      <c r="D226" s="36" t="n">
        <f aca="false">IF($A226&lt;=Deal!$B$12*12,-PPMT(Deal!$B$11/12,$A226,Deal!$B$12*12,Deal!$H$7),"")</f>
        <v>1075.79635822786</v>
      </c>
      <c r="E226" s="36" t="n">
        <f aca="false">IF($A226&lt;=Deal!$B$12*12,-IPMT(Deal!$B$11/12,$A226,Deal!$B$12*12,Deal!$H$7),"")</f>
        <v>1283.47921803902</v>
      </c>
      <c r="F226" s="36" t="n">
        <f aca="false">IF($A226&lt;=Deal!$B$12*12,B226-D226,"")</f>
        <v>227098.286848709</v>
      </c>
    </row>
    <row r="227" customFormat="false" ht="15" hidden="false" customHeight="true" outlineLevel="0" collapsed="false">
      <c r="A227" s="35" t="n">
        <f aca="false">A226+1</f>
        <v>222</v>
      </c>
      <c r="B227" s="36" t="n">
        <f aca="false">F226</f>
        <v>227098.286848709</v>
      </c>
      <c r="C227" s="36" t="n">
        <f aca="false">IF($A227&lt;=Deal!$B$12*12,Deal!$H$20,"")</f>
        <v>2359.27557626688</v>
      </c>
      <c r="D227" s="36" t="n">
        <f aca="false">IF($A227&lt;=Deal!$B$12*12,-PPMT(Deal!$B$11/12,$A227,Deal!$B$12*12,Deal!$H$7),"")</f>
        <v>1081.84771274289</v>
      </c>
      <c r="E227" s="36" t="n">
        <f aca="false">IF($A227&lt;=Deal!$B$12*12,-IPMT(Deal!$B$11/12,$A227,Deal!$B$12*12,Deal!$H$7),"")</f>
        <v>1277.42786352399</v>
      </c>
      <c r="F227" s="36" t="n">
        <f aca="false">IF($A227&lt;=Deal!$B$12*12,B227-D227,"")</f>
        <v>226016.439135966</v>
      </c>
    </row>
    <row r="228" customFormat="false" ht="15" hidden="false" customHeight="true" outlineLevel="0" collapsed="false">
      <c r="A228" s="35" t="n">
        <f aca="false">A227+1</f>
        <v>223</v>
      </c>
      <c r="B228" s="36" t="n">
        <f aca="false">F227</f>
        <v>226016.439135966</v>
      </c>
      <c r="C228" s="36" t="n">
        <f aca="false">IF($A228&lt;=Deal!$B$12*12,Deal!$H$20,"")</f>
        <v>2359.27557626688</v>
      </c>
      <c r="D228" s="36" t="n">
        <f aca="false">IF($A228&lt;=Deal!$B$12*12,-PPMT(Deal!$B$11/12,$A228,Deal!$B$12*12,Deal!$H$7),"")</f>
        <v>1087.93310612707</v>
      </c>
      <c r="E228" s="36" t="n">
        <f aca="false">IF($A228&lt;=Deal!$B$12*12,-IPMT(Deal!$B$11/12,$A228,Deal!$B$12*12,Deal!$H$7),"")</f>
        <v>1271.34247013981</v>
      </c>
      <c r="F228" s="36" t="n">
        <f aca="false">IF($A228&lt;=Deal!$B$12*12,B228-D228,"")</f>
        <v>224928.506029839</v>
      </c>
    </row>
    <row r="229" customFormat="false" ht="15" hidden="false" customHeight="true" outlineLevel="0" collapsed="false">
      <c r="A229" s="35" t="n">
        <f aca="false">A228+1</f>
        <v>224</v>
      </c>
      <c r="B229" s="36" t="n">
        <f aca="false">F228</f>
        <v>224928.506029839</v>
      </c>
      <c r="C229" s="36" t="n">
        <f aca="false">IF($A229&lt;=Deal!$B$12*12,Deal!$H$20,"")</f>
        <v>2359.27557626688</v>
      </c>
      <c r="D229" s="36" t="n">
        <f aca="false">IF($A229&lt;=Deal!$B$12*12,-PPMT(Deal!$B$11/12,$A229,Deal!$B$12*12,Deal!$H$7),"")</f>
        <v>1094.05272984904</v>
      </c>
      <c r="E229" s="36" t="n">
        <f aca="false">IF($A229&lt;=Deal!$B$12*12,-IPMT(Deal!$B$11/12,$A229,Deal!$B$12*12,Deal!$H$7),"")</f>
        <v>1265.22284641785</v>
      </c>
      <c r="F229" s="36" t="n">
        <f aca="false">IF($A229&lt;=Deal!$B$12*12,B229-D229,"")</f>
        <v>223834.45329999</v>
      </c>
    </row>
    <row r="230" customFormat="false" ht="15" hidden="false" customHeight="true" outlineLevel="0" collapsed="false">
      <c r="A230" s="35" t="n">
        <f aca="false">A229+1</f>
        <v>225</v>
      </c>
      <c r="B230" s="36" t="n">
        <f aca="false">F229</f>
        <v>223834.45329999</v>
      </c>
      <c r="C230" s="36" t="n">
        <f aca="false">IF($A230&lt;=Deal!$B$12*12,Deal!$H$20,"")</f>
        <v>2359.27557626688</v>
      </c>
      <c r="D230" s="36" t="n">
        <f aca="false">IF($A230&lt;=Deal!$B$12*12,-PPMT(Deal!$B$11/12,$A230,Deal!$B$12*12,Deal!$H$7),"")</f>
        <v>1100.20677645444</v>
      </c>
      <c r="E230" s="36" t="n">
        <f aca="false">IF($A230&lt;=Deal!$B$12*12,-IPMT(Deal!$B$11/12,$A230,Deal!$B$12*12,Deal!$H$7),"")</f>
        <v>1259.06879981245</v>
      </c>
      <c r="F230" s="36" t="n">
        <f aca="false">IF($A230&lt;=Deal!$B$12*12,B230-D230,"")</f>
        <v>222734.246523536</v>
      </c>
    </row>
    <row r="231" customFormat="false" ht="15" hidden="false" customHeight="true" outlineLevel="0" collapsed="false">
      <c r="A231" s="35" t="n">
        <f aca="false">A230+1</f>
        <v>226</v>
      </c>
      <c r="B231" s="36" t="n">
        <f aca="false">F230</f>
        <v>222734.246523536</v>
      </c>
      <c r="C231" s="36" t="n">
        <f aca="false">IF($A231&lt;=Deal!$B$12*12,Deal!$H$20,"")</f>
        <v>2359.27557626688</v>
      </c>
      <c r="D231" s="36" t="n">
        <f aca="false">IF($A231&lt;=Deal!$B$12*12,-PPMT(Deal!$B$11/12,$A231,Deal!$B$12*12,Deal!$H$7),"")</f>
        <v>1106.39543957199</v>
      </c>
      <c r="E231" s="36" t="n">
        <f aca="false">IF($A231&lt;=Deal!$B$12*12,-IPMT(Deal!$B$11/12,$A231,Deal!$B$12*12,Deal!$H$7),"")</f>
        <v>1252.88013669489</v>
      </c>
      <c r="F231" s="36" t="n">
        <f aca="false">IF($A231&lt;=Deal!$B$12*12,B231-D231,"")</f>
        <v>221627.851083964</v>
      </c>
    </row>
    <row r="232" customFormat="false" ht="15" hidden="false" customHeight="true" outlineLevel="0" collapsed="false">
      <c r="A232" s="35" t="n">
        <f aca="false">A231+1</f>
        <v>227</v>
      </c>
      <c r="B232" s="36" t="n">
        <f aca="false">F231</f>
        <v>221627.851083964</v>
      </c>
      <c r="C232" s="36" t="n">
        <f aca="false">IF($A232&lt;=Deal!$B$12*12,Deal!$H$20,"")</f>
        <v>2359.27557626688</v>
      </c>
      <c r="D232" s="36" t="n">
        <f aca="false">IF($A232&lt;=Deal!$B$12*12,-PPMT(Deal!$B$11/12,$A232,Deal!$B$12*12,Deal!$H$7),"")</f>
        <v>1112.61891391959</v>
      </c>
      <c r="E232" s="36" t="n">
        <f aca="false">IF($A232&lt;=Deal!$B$12*12,-IPMT(Deal!$B$11/12,$A232,Deal!$B$12*12,Deal!$H$7),"")</f>
        <v>1246.6566623473</v>
      </c>
      <c r="F232" s="36" t="n">
        <f aca="false">IF($A232&lt;=Deal!$B$12*12,B232-D232,"")</f>
        <v>220515.232170044</v>
      </c>
    </row>
    <row r="233" customFormat="false" ht="15" hidden="false" customHeight="true" outlineLevel="0" collapsed="false">
      <c r="A233" s="37" t="n">
        <f aca="false">A232+1</f>
        <v>228</v>
      </c>
      <c r="B233" s="38" t="n">
        <f aca="false">F232</f>
        <v>220515.232170044</v>
      </c>
      <c r="C233" s="38" t="n">
        <f aca="false">IF($A233&lt;=Deal!$B$12*12,Deal!$H$20,"")</f>
        <v>2359.27557626688</v>
      </c>
      <c r="D233" s="38" t="n">
        <f aca="false">IF($A233&lt;=Deal!$B$12*12,-PPMT(Deal!$B$11/12,$A233,Deal!$B$12*12,Deal!$H$7),"")</f>
        <v>1118.87739531038</v>
      </c>
      <c r="E233" s="38" t="n">
        <f aca="false">IF($A233&lt;=Deal!$B$12*12,-IPMT(Deal!$B$11/12,$A233,Deal!$B$12*12,Deal!$H$7),"")</f>
        <v>1240.3981809565</v>
      </c>
      <c r="F233" s="38" t="n">
        <f aca="false">IF($A233&lt;=Deal!$B$12*12,B233-D233,"")</f>
        <v>219396.354774734</v>
      </c>
    </row>
    <row r="234" customFormat="false" ht="15" hidden="false" customHeight="true" outlineLevel="0" collapsed="false">
      <c r="A234" s="35" t="n">
        <f aca="false">A233+1</f>
        <v>229</v>
      </c>
      <c r="B234" s="36" t="n">
        <f aca="false">F233</f>
        <v>219396.354774734</v>
      </c>
      <c r="C234" s="36" t="n">
        <f aca="false">IF($A234&lt;=Deal!$B$12*12,Deal!$H$20,"")</f>
        <v>2359.27557626688</v>
      </c>
      <c r="D234" s="36" t="n">
        <f aca="false">IF($A234&lt;=Deal!$B$12*12,-PPMT(Deal!$B$11/12,$A234,Deal!$B$12*12,Deal!$H$7),"")</f>
        <v>1125.171080659</v>
      </c>
      <c r="E234" s="36" t="n">
        <f aca="false">IF($A234&lt;=Deal!$B$12*12,-IPMT(Deal!$B$11/12,$A234,Deal!$B$12*12,Deal!$H$7),"")</f>
        <v>1234.10449560788</v>
      </c>
      <c r="F234" s="36" t="n">
        <f aca="false">IF($A234&lt;=Deal!$B$12*12,B234-D234,"")</f>
        <v>218271.183694075</v>
      </c>
    </row>
    <row r="235" customFormat="false" ht="15" hidden="false" customHeight="true" outlineLevel="0" collapsed="false">
      <c r="A235" s="35" t="n">
        <f aca="false">A234+1</f>
        <v>230</v>
      </c>
      <c r="B235" s="36" t="n">
        <f aca="false">F234</f>
        <v>218271.183694075</v>
      </c>
      <c r="C235" s="36" t="n">
        <f aca="false">IF($A235&lt;=Deal!$B$12*12,Deal!$H$20,"")</f>
        <v>2359.27557626688</v>
      </c>
      <c r="D235" s="36" t="n">
        <f aca="false">IF($A235&lt;=Deal!$B$12*12,-PPMT(Deal!$B$11/12,$A235,Deal!$B$12*12,Deal!$H$7),"")</f>
        <v>1131.50016798771</v>
      </c>
      <c r="E235" s="36" t="n">
        <f aca="false">IF($A235&lt;=Deal!$B$12*12,-IPMT(Deal!$B$11/12,$A235,Deal!$B$12*12,Deal!$H$7),"")</f>
        <v>1227.77540827917</v>
      </c>
      <c r="F235" s="36" t="n">
        <f aca="false">IF($A235&lt;=Deal!$B$12*12,B235-D235,"")</f>
        <v>217139.683526087</v>
      </c>
    </row>
    <row r="236" customFormat="false" ht="15" hidden="false" customHeight="true" outlineLevel="0" collapsed="false">
      <c r="A236" s="35" t="n">
        <f aca="false">A235+1</f>
        <v>231</v>
      </c>
      <c r="B236" s="36" t="n">
        <f aca="false">F235</f>
        <v>217139.683526087</v>
      </c>
      <c r="C236" s="36" t="n">
        <f aca="false">IF($A236&lt;=Deal!$B$12*12,Deal!$H$20,"")</f>
        <v>2359.27557626688</v>
      </c>
      <c r="D236" s="36" t="n">
        <f aca="false">IF($A236&lt;=Deal!$B$12*12,-PPMT(Deal!$B$11/12,$A236,Deal!$B$12*12,Deal!$H$7),"")</f>
        <v>1137.86485643264</v>
      </c>
      <c r="E236" s="36" t="n">
        <f aca="false">IF($A236&lt;=Deal!$B$12*12,-IPMT(Deal!$B$11/12,$A236,Deal!$B$12*12,Deal!$H$7),"")</f>
        <v>1221.41071983424</v>
      </c>
      <c r="F236" s="36" t="n">
        <f aca="false">IF($A236&lt;=Deal!$B$12*12,B236-D236,"")</f>
        <v>216001.818669654</v>
      </c>
    </row>
    <row r="237" customFormat="false" ht="15" hidden="false" customHeight="true" outlineLevel="0" collapsed="false">
      <c r="A237" s="35" t="n">
        <f aca="false">A236+1</f>
        <v>232</v>
      </c>
      <c r="B237" s="36" t="n">
        <f aca="false">F236</f>
        <v>216001.818669654</v>
      </c>
      <c r="C237" s="36" t="n">
        <f aca="false">IF($A237&lt;=Deal!$B$12*12,Deal!$H$20,"")</f>
        <v>2359.27557626688</v>
      </c>
      <c r="D237" s="36" t="n">
        <f aca="false">IF($A237&lt;=Deal!$B$12*12,-PPMT(Deal!$B$11/12,$A237,Deal!$B$12*12,Deal!$H$7),"")</f>
        <v>1144.26534625008</v>
      </c>
      <c r="E237" s="36" t="n">
        <f aca="false">IF($A237&lt;=Deal!$B$12*12,-IPMT(Deal!$B$11/12,$A237,Deal!$B$12*12,Deal!$H$7),"")</f>
        <v>1215.01023001681</v>
      </c>
      <c r="F237" s="36" t="n">
        <f aca="false">IF($A237&lt;=Deal!$B$12*12,B237-D237,"")</f>
        <v>214857.553323404</v>
      </c>
    </row>
    <row r="238" customFormat="false" ht="15" hidden="false" customHeight="true" outlineLevel="0" collapsed="false">
      <c r="A238" s="35" t="n">
        <f aca="false">A237+1</f>
        <v>233</v>
      </c>
      <c r="B238" s="36" t="n">
        <f aca="false">F237</f>
        <v>214857.553323404</v>
      </c>
      <c r="C238" s="36" t="n">
        <f aca="false">IF($A238&lt;=Deal!$B$12*12,Deal!$H$20,"")</f>
        <v>2359.27557626688</v>
      </c>
      <c r="D238" s="36" t="n">
        <f aca="false">IF($A238&lt;=Deal!$B$12*12,-PPMT(Deal!$B$11/12,$A238,Deal!$B$12*12,Deal!$H$7),"")</f>
        <v>1150.70183882273</v>
      </c>
      <c r="E238" s="36" t="n">
        <f aca="false">IF($A238&lt;=Deal!$B$12*12,-IPMT(Deal!$B$11/12,$A238,Deal!$B$12*12,Deal!$H$7),"")</f>
        <v>1208.57373744415</v>
      </c>
      <c r="F238" s="36" t="n">
        <f aca="false">IF($A238&lt;=Deal!$B$12*12,B238-D238,"")</f>
        <v>213706.851484582</v>
      </c>
    </row>
    <row r="239" customFormat="false" ht="15" hidden="false" customHeight="true" outlineLevel="0" collapsed="false">
      <c r="A239" s="35" t="n">
        <f aca="false">A238+1</f>
        <v>234</v>
      </c>
      <c r="B239" s="36" t="n">
        <f aca="false">F238</f>
        <v>213706.851484582</v>
      </c>
      <c r="C239" s="36" t="n">
        <f aca="false">IF($A239&lt;=Deal!$B$12*12,Deal!$H$20,"")</f>
        <v>2359.27557626688</v>
      </c>
      <c r="D239" s="36" t="n">
        <f aca="false">IF($A239&lt;=Deal!$B$12*12,-PPMT(Deal!$B$11/12,$A239,Deal!$B$12*12,Deal!$H$7),"")</f>
        <v>1157.17453666611</v>
      </c>
      <c r="E239" s="36" t="n">
        <f aca="false">IF($A239&lt;=Deal!$B$12*12,-IPMT(Deal!$B$11/12,$A239,Deal!$B$12*12,Deal!$H$7),"")</f>
        <v>1202.10103960077</v>
      </c>
      <c r="F239" s="36" t="n">
        <f aca="false">IF($A239&lt;=Deal!$B$12*12,B239-D239,"")</f>
        <v>212549.676947915</v>
      </c>
    </row>
    <row r="240" customFormat="false" ht="15" hidden="false" customHeight="true" outlineLevel="0" collapsed="false">
      <c r="A240" s="35" t="n">
        <f aca="false">A239+1</f>
        <v>235</v>
      </c>
      <c r="B240" s="36" t="n">
        <f aca="false">F239</f>
        <v>212549.676947915</v>
      </c>
      <c r="C240" s="36" t="n">
        <f aca="false">IF($A240&lt;=Deal!$B$12*12,Deal!$H$20,"")</f>
        <v>2359.27557626688</v>
      </c>
      <c r="D240" s="36" t="n">
        <f aca="false">IF($A240&lt;=Deal!$B$12*12,-PPMT(Deal!$B$11/12,$A240,Deal!$B$12*12,Deal!$H$7),"")</f>
        <v>1163.68364343486</v>
      </c>
      <c r="E240" s="36" t="n">
        <f aca="false">IF($A240&lt;=Deal!$B$12*12,-IPMT(Deal!$B$11/12,$A240,Deal!$B$12*12,Deal!$H$7),"")</f>
        <v>1195.59193283203</v>
      </c>
      <c r="F240" s="36" t="n">
        <f aca="false">IF($A240&lt;=Deal!$B$12*12,B240-D240,"")</f>
        <v>211385.993304481</v>
      </c>
    </row>
    <row r="241" customFormat="false" ht="15" hidden="false" customHeight="true" outlineLevel="0" collapsed="false">
      <c r="A241" s="35" t="n">
        <f aca="false">A240+1</f>
        <v>236</v>
      </c>
      <c r="B241" s="36" t="n">
        <f aca="false">F240</f>
        <v>211385.993304481</v>
      </c>
      <c r="C241" s="36" t="n">
        <f aca="false">IF($A241&lt;=Deal!$B$12*12,Deal!$H$20,"")</f>
        <v>2359.27557626688</v>
      </c>
      <c r="D241" s="36" t="n">
        <f aca="false">IF($A241&lt;=Deal!$B$12*12,-PPMT(Deal!$B$11/12,$A241,Deal!$B$12*12,Deal!$H$7),"")</f>
        <v>1170.22936392918</v>
      </c>
      <c r="E241" s="36" t="n">
        <f aca="false">IF($A241&lt;=Deal!$B$12*12,-IPMT(Deal!$B$11/12,$A241,Deal!$B$12*12,Deal!$H$7),"")</f>
        <v>1189.04621233771</v>
      </c>
      <c r="F241" s="36" t="n">
        <f aca="false">IF($A241&lt;=Deal!$B$12*12,B241-D241,"")</f>
        <v>210215.763940551</v>
      </c>
    </row>
    <row r="242" customFormat="false" ht="15" hidden="false" customHeight="true" outlineLevel="0" collapsed="false">
      <c r="A242" s="35" t="n">
        <f aca="false">A241+1</f>
        <v>237</v>
      </c>
      <c r="B242" s="36" t="n">
        <f aca="false">F241</f>
        <v>210215.763940551</v>
      </c>
      <c r="C242" s="36" t="n">
        <f aca="false">IF($A242&lt;=Deal!$B$12*12,Deal!$H$20,"")</f>
        <v>2359.27557626688</v>
      </c>
      <c r="D242" s="36" t="n">
        <f aca="false">IF($A242&lt;=Deal!$B$12*12,-PPMT(Deal!$B$11/12,$A242,Deal!$B$12*12,Deal!$H$7),"")</f>
        <v>1176.81190410128</v>
      </c>
      <c r="E242" s="36" t="n">
        <f aca="false">IF($A242&lt;=Deal!$B$12*12,-IPMT(Deal!$B$11/12,$A242,Deal!$B$12*12,Deal!$H$7),"")</f>
        <v>1182.4636721656</v>
      </c>
      <c r="F242" s="36" t="n">
        <f aca="false">IF($A242&lt;=Deal!$B$12*12,B242-D242,"")</f>
        <v>209038.95203645</v>
      </c>
    </row>
    <row r="243" customFormat="false" ht="15" hidden="false" customHeight="true" outlineLevel="0" collapsed="false">
      <c r="A243" s="35" t="n">
        <f aca="false">A242+1</f>
        <v>238</v>
      </c>
      <c r="B243" s="36" t="n">
        <f aca="false">F242</f>
        <v>209038.95203645</v>
      </c>
      <c r="C243" s="36" t="n">
        <f aca="false">IF($A243&lt;=Deal!$B$12*12,Deal!$H$20,"")</f>
        <v>2359.27557626688</v>
      </c>
      <c r="D243" s="36" t="n">
        <f aca="false">IF($A243&lt;=Deal!$B$12*12,-PPMT(Deal!$B$11/12,$A243,Deal!$B$12*12,Deal!$H$7),"")</f>
        <v>1183.43147106185</v>
      </c>
      <c r="E243" s="36" t="n">
        <f aca="false">IF($A243&lt;=Deal!$B$12*12,-IPMT(Deal!$B$11/12,$A243,Deal!$B$12*12,Deal!$H$7),"")</f>
        <v>1175.84410520503</v>
      </c>
      <c r="F243" s="36" t="n">
        <f aca="false">IF($A243&lt;=Deal!$B$12*12,B243-D243,"")</f>
        <v>207855.520565388</v>
      </c>
    </row>
    <row r="244" customFormat="false" ht="15" hidden="false" customHeight="true" outlineLevel="0" collapsed="false">
      <c r="A244" s="35" t="n">
        <f aca="false">A243+1</f>
        <v>239</v>
      </c>
      <c r="B244" s="36" t="n">
        <f aca="false">F243</f>
        <v>207855.520565388</v>
      </c>
      <c r="C244" s="36" t="n">
        <f aca="false">IF($A244&lt;=Deal!$B$12*12,Deal!$H$20,"")</f>
        <v>2359.27557626688</v>
      </c>
      <c r="D244" s="36" t="n">
        <f aca="false">IF($A244&lt;=Deal!$B$12*12,-PPMT(Deal!$B$11/12,$A244,Deal!$B$12*12,Deal!$H$7),"")</f>
        <v>1190.08827308657</v>
      </c>
      <c r="E244" s="36" t="n">
        <f aca="false">IF($A244&lt;=Deal!$B$12*12,-IPMT(Deal!$B$11/12,$A244,Deal!$B$12*12,Deal!$H$7),"")</f>
        <v>1169.18730318031</v>
      </c>
      <c r="F244" s="36" t="n">
        <f aca="false">IF($A244&lt;=Deal!$B$12*12,B244-D244,"")</f>
        <v>206665.432292302</v>
      </c>
    </row>
    <row r="245" customFormat="false" ht="15" hidden="false" customHeight="true" outlineLevel="0" collapsed="false">
      <c r="A245" s="37" t="n">
        <f aca="false">A244+1</f>
        <v>240</v>
      </c>
      <c r="B245" s="38" t="n">
        <f aca="false">F244</f>
        <v>206665.432292302</v>
      </c>
      <c r="C245" s="38" t="n">
        <f aca="false">IF($A245&lt;=Deal!$B$12*12,Deal!$H$20,"")</f>
        <v>2359.27557626688</v>
      </c>
      <c r="D245" s="38" t="n">
        <f aca="false">IF($A245&lt;=Deal!$B$12*12,-PPMT(Deal!$B$11/12,$A245,Deal!$B$12*12,Deal!$H$7),"")</f>
        <v>1196.78251962268</v>
      </c>
      <c r="E245" s="38" t="n">
        <f aca="false">IF($A245&lt;=Deal!$B$12*12,-IPMT(Deal!$B$11/12,$A245,Deal!$B$12*12,Deal!$H$7),"")</f>
        <v>1162.4930566442</v>
      </c>
      <c r="F245" s="38" t="n">
        <f aca="false">IF($A245&lt;=Deal!$B$12*12,B245-D245,"")</f>
        <v>205468.649772679</v>
      </c>
    </row>
    <row r="246" customFormat="false" ht="15" hidden="false" customHeight="true" outlineLevel="0" collapsed="false">
      <c r="A246" s="35" t="n">
        <f aca="false">A245+1</f>
        <v>241</v>
      </c>
      <c r="B246" s="36" t="n">
        <f aca="false">F245</f>
        <v>205468.649772679</v>
      </c>
      <c r="C246" s="36" t="n">
        <f aca="false">IF($A246&lt;=Deal!$B$12*12,Deal!$H$20,"")</f>
        <v>2359.27557626688</v>
      </c>
      <c r="D246" s="36" t="n">
        <f aca="false">IF($A246&lt;=Deal!$B$12*12,-PPMT(Deal!$B$11/12,$A246,Deal!$B$12*12,Deal!$H$7),"")</f>
        <v>1203.51442129556</v>
      </c>
      <c r="E246" s="36" t="n">
        <f aca="false">IF($A246&lt;=Deal!$B$12*12,-IPMT(Deal!$B$11/12,$A246,Deal!$B$12*12,Deal!$H$7),"")</f>
        <v>1155.76115497132</v>
      </c>
      <c r="F246" s="36" t="n">
        <f aca="false">IF($A246&lt;=Deal!$B$12*12,B246-D246,"")</f>
        <v>204265.135351383</v>
      </c>
    </row>
    <row r="247" customFormat="false" ht="15" hidden="false" customHeight="true" outlineLevel="0" collapsed="false">
      <c r="A247" s="35" t="n">
        <f aca="false">A246+1</f>
        <v>242</v>
      </c>
      <c r="B247" s="36" t="n">
        <f aca="false">F246</f>
        <v>204265.135351383</v>
      </c>
      <c r="C247" s="36" t="n">
        <f aca="false">IF($A247&lt;=Deal!$B$12*12,Deal!$H$20,"")</f>
        <v>2359.27557626688</v>
      </c>
      <c r="D247" s="36" t="n">
        <f aca="false">IF($A247&lt;=Deal!$B$12*12,-PPMT(Deal!$B$11/12,$A247,Deal!$B$12*12,Deal!$H$7),"")</f>
        <v>1210.28418991535</v>
      </c>
      <c r="E247" s="36" t="n">
        <f aca="false">IF($A247&lt;=Deal!$B$12*12,-IPMT(Deal!$B$11/12,$A247,Deal!$B$12*12,Deal!$H$7),"")</f>
        <v>1148.99138635153</v>
      </c>
      <c r="F247" s="36" t="n">
        <f aca="false">IF($A247&lt;=Deal!$B$12*12,B247-D247,"")</f>
        <v>203054.851161468</v>
      </c>
    </row>
    <row r="248" customFormat="false" ht="15" hidden="false" customHeight="true" outlineLevel="0" collapsed="false">
      <c r="A248" s="35" t="n">
        <f aca="false">A247+1</f>
        <v>243</v>
      </c>
      <c r="B248" s="36" t="n">
        <f aca="false">F247</f>
        <v>203054.851161468</v>
      </c>
      <c r="C248" s="36" t="n">
        <f aca="false">IF($A248&lt;=Deal!$B$12*12,Deal!$H$20,"")</f>
        <v>2359.27557626688</v>
      </c>
      <c r="D248" s="36" t="n">
        <f aca="false">IF($A248&lt;=Deal!$B$12*12,-PPMT(Deal!$B$11/12,$A248,Deal!$B$12*12,Deal!$H$7),"")</f>
        <v>1217.09203848362</v>
      </c>
      <c r="E248" s="36" t="n">
        <f aca="false">IF($A248&lt;=Deal!$B$12*12,-IPMT(Deal!$B$11/12,$A248,Deal!$B$12*12,Deal!$H$7),"")</f>
        <v>1142.18353778326</v>
      </c>
      <c r="F248" s="36" t="n">
        <f aca="false">IF($A248&lt;=Deal!$B$12*12,B248-D248,"")</f>
        <v>201837.759122984</v>
      </c>
    </row>
    <row r="249" customFormat="false" ht="15" hidden="false" customHeight="true" outlineLevel="0" collapsed="false">
      <c r="A249" s="35" t="n">
        <f aca="false">A248+1</f>
        <v>244</v>
      </c>
      <c r="B249" s="36" t="n">
        <f aca="false">F248</f>
        <v>201837.759122984</v>
      </c>
      <c r="C249" s="36" t="n">
        <f aca="false">IF($A249&lt;=Deal!$B$12*12,Deal!$H$20,"")</f>
        <v>2359.27557626688</v>
      </c>
      <c r="D249" s="36" t="n">
        <f aca="false">IF($A249&lt;=Deal!$B$12*12,-PPMT(Deal!$B$11/12,$A249,Deal!$B$12*12,Deal!$H$7),"")</f>
        <v>1223.93818120009</v>
      </c>
      <c r="E249" s="36" t="n">
        <f aca="false">IF($A249&lt;=Deal!$B$12*12,-IPMT(Deal!$B$11/12,$A249,Deal!$B$12*12,Deal!$H$7),"")</f>
        <v>1135.33739506679</v>
      </c>
      <c r="F249" s="36" t="n">
        <f aca="false">IF($A249&lt;=Deal!$B$12*12,B249-D249,"")</f>
        <v>200613.820941784</v>
      </c>
    </row>
    <row r="250" customFormat="false" ht="15" hidden="false" customHeight="true" outlineLevel="0" collapsed="false">
      <c r="A250" s="35" t="n">
        <f aca="false">A249+1</f>
        <v>245</v>
      </c>
      <c r="B250" s="36" t="n">
        <f aca="false">F249</f>
        <v>200613.820941784</v>
      </c>
      <c r="C250" s="36" t="n">
        <f aca="false">IF($A250&lt;=Deal!$B$12*12,Deal!$H$20,"")</f>
        <v>2359.27557626688</v>
      </c>
      <c r="D250" s="36" t="n">
        <f aca="false">IF($A250&lt;=Deal!$B$12*12,-PPMT(Deal!$B$11/12,$A250,Deal!$B$12*12,Deal!$H$7),"")</f>
        <v>1230.82283346934</v>
      </c>
      <c r="E250" s="36" t="n">
        <f aca="false">IF($A250&lt;=Deal!$B$12*12,-IPMT(Deal!$B$11/12,$A250,Deal!$B$12*12,Deal!$H$7),"")</f>
        <v>1128.45274279754</v>
      </c>
      <c r="F250" s="36" t="n">
        <f aca="false">IF($A250&lt;=Deal!$B$12*12,B250-D250,"")</f>
        <v>199382.998108315</v>
      </c>
    </row>
    <row r="251" customFormat="false" ht="15" hidden="false" customHeight="true" outlineLevel="0" collapsed="false">
      <c r="A251" s="35" t="n">
        <f aca="false">A250+1</f>
        <v>246</v>
      </c>
      <c r="B251" s="36" t="n">
        <f aca="false">F250</f>
        <v>199382.998108315</v>
      </c>
      <c r="C251" s="36" t="n">
        <f aca="false">IF($A251&lt;=Deal!$B$12*12,Deal!$H$20,"")</f>
        <v>2359.27557626688</v>
      </c>
      <c r="D251" s="36" t="n">
        <f aca="false">IF($A251&lt;=Deal!$B$12*12,-PPMT(Deal!$B$11/12,$A251,Deal!$B$12*12,Deal!$H$7),"")</f>
        <v>1237.74621190761</v>
      </c>
      <c r="E251" s="36" t="n">
        <f aca="false">IF($A251&lt;=Deal!$B$12*12,-IPMT(Deal!$B$11/12,$A251,Deal!$B$12*12,Deal!$H$7),"")</f>
        <v>1121.52936435927</v>
      </c>
      <c r="F251" s="36" t="n">
        <f aca="false">IF($A251&lt;=Deal!$B$12*12,B251-D251,"")</f>
        <v>198145.251896407</v>
      </c>
    </row>
    <row r="252" customFormat="false" ht="15" hidden="false" customHeight="true" outlineLevel="0" collapsed="false">
      <c r="A252" s="35" t="n">
        <f aca="false">A251+1</f>
        <v>247</v>
      </c>
      <c r="B252" s="36" t="n">
        <f aca="false">F251</f>
        <v>198145.251896407</v>
      </c>
      <c r="C252" s="36" t="n">
        <f aca="false">IF($A252&lt;=Deal!$B$12*12,Deal!$H$20,"")</f>
        <v>2359.27557626688</v>
      </c>
      <c r="D252" s="36" t="n">
        <f aca="false">IF($A252&lt;=Deal!$B$12*12,-PPMT(Deal!$B$11/12,$A252,Deal!$B$12*12,Deal!$H$7),"")</f>
        <v>1244.70853434959</v>
      </c>
      <c r="E252" s="36" t="n">
        <f aca="false">IF($A252&lt;=Deal!$B$12*12,-IPMT(Deal!$B$11/12,$A252,Deal!$B$12*12,Deal!$H$7),"")</f>
        <v>1114.56704191729</v>
      </c>
      <c r="F252" s="36" t="n">
        <f aca="false">IF($A252&lt;=Deal!$B$12*12,B252-D252,"")</f>
        <v>196900.543362058</v>
      </c>
    </row>
    <row r="253" customFormat="false" ht="15" hidden="false" customHeight="true" outlineLevel="0" collapsed="false">
      <c r="A253" s="35" t="n">
        <f aca="false">A252+1</f>
        <v>248</v>
      </c>
      <c r="B253" s="36" t="n">
        <f aca="false">F252</f>
        <v>196900.543362058</v>
      </c>
      <c r="C253" s="36" t="n">
        <f aca="false">IF($A253&lt;=Deal!$B$12*12,Deal!$H$20,"")</f>
        <v>2359.27557626688</v>
      </c>
      <c r="D253" s="36" t="n">
        <f aca="false">IF($A253&lt;=Deal!$B$12*12,-PPMT(Deal!$B$11/12,$A253,Deal!$B$12*12,Deal!$H$7),"")</f>
        <v>1251.71001985531</v>
      </c>
      <c r="E253" s="36" t="n">
        <f aca="false">IF($A253&lt;=Deal!$B$12*12,-IPMT(Deal!$B$11/12,$A253,Deal!$B$12*12,Deal!$H$7),"")</f>
        <v>1107.56555641158</v>
      </c>
      <c r="F253" s="36" t="n">
        <f aca="false">IF($A253&lt;=Deal!$B$12*12,B253-D253,"")</f>
        <v>195648.833342203</v>
      </c>
    </row>
    <row r="254" customFormat="false" ht="15" hidden="false" customHeight="true" outlineLevel="0" collapsed="false">
      <c r="A254" s="35" t="n">
        <f aca="false">A253+1</f>
        <v>249</v>
      </c>
      <c r="B254" s="36" t="n">
        <f aca="false">F253</f>
        <v>195648.833342203</v>
      </c>
      <c r="C254" s="36" t="n">
        <f aca="false">IF($A254&lt;=Deal!$B$12*12,Deal!$H$20,"")</f>
        <v>2359.27557626688</v>
      </c>
      <c r="D254" s="36" t="n">
        <f aca="false">IF($A254&lt;=Deal!$B$12*12,-PPMT(Deal!$B$11/12,$A254,Deal!$B$12*12,Deal!$H$7),"")</f>
        <v>1258.75088871699</v>
      </c>
      <c r="E254" s="36" t="n">
        <f aca="false">IF($A254&lt;=Deal!$B$12*12,-IPMT(Deal!$B$11/12,$A254,Deal!$B$12*12,Deal!$H$7),"")</f>
        <v>1100.52468754989</v>
      </c>
      <c r="F254" s="36" t="n">
        <f aca="false">IF($A254&lt;=Deal!$B$12*12,B254-D254,"")</f>
        <v>194390.082453486</v>
      </c>
    </row>
    <row r="255" customFormat="false" ht="15" hidden="false" customHeight="true" outlineLevel="0" collapsed="false">
      <c r="A255" s="35" t="n">
        <f aca="false">A254+1</f>
        <v>250</v>
      </c>
      <c r="B255" s="36" t="n">
        <f aca="false">F254</f>
        <v>194390.082453486</v>
      </c>
      <c r="C255" s="36" t="n">
        <f aca="false">IF($A255&lt;=Deal!$B$12*12,Deal!$H$20,"")</f>
        <v>2359.27557626688</v>
      </c>
      <c r="D255" s="36" t="n">
        <f aca="false">IF($A255&lt;=Deal!$B$12*12,-PPMT(Deal!$B$11/12,$A255,Deal!$B$12*12,Deal!$H$7),"")</f>
        <v>1265.83136246602</v>
      </c>
      <c r="E255" s="36" t="n">
        <f aca="false">IF($A255&lt;=Deal!$B$12*12,-IPMT(Deal!$B$11/12,$A255,Deal!$B$12*12,Deal!$H$7),"")</f>
        <v>1093.44421380086</v>
      </c>
      <c r="F255" s="36" t="n">
        <f aca="false">IF($A255&lt;=Deal!$B$12*12,B255-D255,"")</f>
        <v>193124.251091019</v>
      </c>
    </row>
    <row r="256" customFormat="false" ht="15" hidden="false" customHeight="true" outlineLevel="0" collapsed="false">
      <c r="A256" s="35" t="n">
        <f aca="false">A255+1</f>
        <v>251</v>
      </c>
      <c r="B256" s="36" t="n">
        <f aca="false">F255</f>
        <v>193124.251091019</v>
      </c>
      <c r="C256" s="36" t="n">
        <f aca="false">IF($A256&lt;=Deal!$B$12*12,Deal!$H$20,"")</f>
        <v>2359.27557626688</v>
      </c>
      <c r="D256" s="36" t="n">
        <f aca="false">IF($A256&lt;=Deal!$B$12*12,-PPMT(Deal!$B$11/12,$A256,Deal!$B$12*12,Deal!$H$7),"")</f>
        <v>1272.9516638799</v>
      </c>
      <c r="E256" s="36" t="n">
        <f aca="false">IF($A256&lt;=Deal!$B$12*12,-IPMT(Deal!$B$11/12,$A256,Deal!$B$12*12,Deal!$H$7),"")</f>
        <v>1086.32391238699</v>
      </c>
      <c r="F256" s="36" t="n">
        <f aca="false">IF($A256&lt;=Deal!$B$12*12,B256-D256,"")</f>
        <v>191851.29942714</v>
      </c>
    </row>
    <row r="257" customFormat="false" ht="15" hidden="false" customHeight="true" outlineLevel="0" collapsed="false">
      <c r="A257" s="37" t="n">
        <f aca="false">A256+1</f>
        <v>252</v>
      </c>
      <c r="B257" s="38" t="n">
        <f aca="false">F256</f>
        <v>191851.29942714</v>
      </c>
      <c r="C257" s="38" t="n">
        <f aca="false">IF($A257&lt;=Deal!$B$12*12,Deal!$H$20,"")</f>
        <v>2359.27557626688</v>
      </c>
      <c r="D257" s="38" t="n">
        <f aca="false">IF($A257&lt;=Deal!$B$12*12,-PPMT(Deal!$B$11/12,$A257,Deal!$B$12*12,Deal!$H$7),"")</f>
        <v>1280.11201698922</v>
      </c>
      <c r="E257" s="38" t="n">
        <f aca="false">IF($A257&lt;=Deal!$B$12*12,-IPMT(Deal!$B$11/12,$A257,Deal!$B$12*12,Deal!$H$7),"")</f>
        <v>1079.16355927766</v>
      </c>
      <c r="F257" s="38" t="n">
        <f aca="false">IF($A257&lt;=Deal!$B$12*12,B257-D257,"")</f>
        <v>190571.18741015</v>
      </c>
    </row>
    <row r="258" customFormat="false" ht="15" hidden="false" customHeight="true" outlineLevel="0" collapsed="false">
      <c r="A258" s="35" t="n">
        <f aca="false">A257+1</f>
        <v>253</v>
      </c>
      <c r="B258" s="36" t="n">
        <f aca="false">F257</f>
        <v>190571.18741015</v>
      </c>
      <c r="C258" s="36" t="n">
        <f aca="false">IF($A258&lt;=Deal!$B$12*12,Deal!$H$20,"")</f>
        <v>2359.27557626688</v>
      </c>
      <c r="D258" s="36" t="n">
        <f aca="false">IF($A258&lt;=Deal!$B$12*12,-PPMT(Deal!$B$11/12,$A258,Deal!$B$12*12,Deal!$H$7),"")</f>
        <v>1287.31264708479</v>
      </c>
      <c r="E258" s="36" t="n">
        <f aca="false">IF($A258&lt;=Deal!$B$12*12,-IPMT(Deal!$B$11/12,$A258,Deal!$B$12*12,Deal!$H$7),"")</f>
        <v>1071.9629291821</v>
      </c>
      <c r="F258" s="36" t="n">
        <f aca="false">IF($A258&lt;=Deal!$B$12*12,B258-D258,"")</f>
        <v>189283.874763066</v>
      </c>
    </row>
    <row r="259" customFormat="false" ht="15" hidden="false" customHeight="true" outlineLevel="0" collapsed="false">
      <c r="A259" s="35" t="n">
        <f aca="false">A258+1</f>
        <v>254</v>
      </c>
      <c r="B259" s="36" t="n">
        <f aca="false">F258</f>
        <v>189283.874763066</v>
      </c>
      <c r="C259" s="36" t="n">
        <f aca="false">IF($A259&lt;=Deal!$B$12*12,Deal!$H$20,"")</f>
        <v>2359.27557626688</v>
      </c>
      <c r="D259" s="36" t="n">
        <f aca="false">IF($A259&lt;=Deal!$B$12*12,-PPMT(Deal!$B$11/12,$A259,Deal!$B$12*12,Deal!$H$7),"")</f>
        <v>1294.55378072464</v>
      </c>
      <c r="E259" s="36" t="n">
        <f aca="false">IF($A259&lt;=Deal!$B$12*12,-IPMT(Deal!$B$11/12,$A259,Deal!$B$12*12,Deal!$H$7),"")</f>
        <v>1064.72179554225</v>
      </c>
      <c r="F259" s="36" t="n">
        <f aca="false">IF($A259&lt;=Deal!$B$12*12,B259-D259,"")</f>
        <v>187989.320982341</v>
      </c>
    </row>
    <row r="260" customFormat="false" ht="15" hidden="false" customHeight="true" outlineLevel="0" collapsed="false">
      <c r="A260" s="35" t="n">
        <f aca="false">A259+1</f>
        <v>255</v>
      </c>
      <c r="B260" s="36" t="n">
        <f aca="false">F259</f>
        <v>187989.320982341</v>
      </c>
      <c r="C260" s="36" t="n">
        <f aca="false">IF($A260&lt;=Deal!$B$12*12,Deal!$H$20,"")</f>
        <v>2359.27557626688</v>
      </c>
      <c r="D260" s="36" t="n">
        <f aca="false">IF($A260&lt;=Deal!$B$12*12,-PPMT(Deal!$B$11/12,$A260,Deal!$B$12*12,Deal!$H$7),"")</f>
        <v>1301.83564574121</v>
      </c>
      <c r="E260" s="36" t="n">
        <f aca="false">IF($A260&lt;=Deal!$B$12*12,-IPMT(Deal!$B$11/12,$A260,Deal!$B$12*12,Deal!$H$7),"")</f>
        <v>1057.43993052567</v>
      </c>
      <c r="F260" s="36" t="n">
        <f aca="false">IF($A260&lt;=Deal!$B$12*12,B260-D260,"")</f>
        <v>186687.4853366</v>
      </c>
    </row>
    <row r="261" customFormat="false" ht="15" hidden="false" customHeight="true" outlineLevel="0" collapsed="false">
      <c r="A261" s="35" t="n">
        <f aca="false">A260+1</f>
        <v>256</v>
      </c>
      <c r="B261" s="36" t="n">
        <f aca="false">F260</f>
        <v>186687.4853366</v>
      </c>
      <c r="C261" s="36" t="n">
        <f aca="false">IF($A261&lt;=Deal!$B$12*12,Deal!$H$20,"")</f>
        <v>2359.27557626688</v>
      </c>
      <c r="D261" s="36" t="n">
        <f aca="false">IF($A261&lt;=Deal!$B$12*12,-PPMT(Deal!$B$11/12,$A261,Deal!$B$12*12,Deal!$H$7),"")</f>
        <v>1309.15847124851</v>
      </c>
      <c r="E261" s="36" t="n">
        <f aca="false">IF($A261&lt;=Deal!$B$12*12,-IPMT(Deal!$B$11/12,$A261,Deal!$B$12*12,Deal!$H$7),"")</f>
        <v>1050.11710501838</v>
      </c>
      <c r="F261" s="36" t="n">
        <f aca="false">IF($A261&lt;=Deal!$B$12*12,B261-D261,"")</f>
        <v>185378.326865351</v>
      </c>
    </row>
    <row r="262" customFormat="false" ht="15" hidden="false" customHeight="true" outlineLevel="0" collapsed="false">
      <c r="A262" s="35" t="n">
        <f aca="false">A261+1</f>
        <v>257</v>
      </c>
      <c r="B262" s="36" t="n">
        <f aca="false">F261</f>
        <v>185378.326865351</v>
      </c>
      <c r="C262" s="36" t="n">
        <f aca="false">IF($A262&lt;=Deal!$B$12*12,Deal!$H$20,"")</f>
        <v>2359.27557626688</v>
      </c>
      <c r="D262" s="36" t="n">
        <f aca="false">IF($A262&lt;=Deal!$B$12*12,-PPMT(Deal!$B$11/12,$A262,Deal!$B$12*12,Deal!$H$7),"")</f>
        <v>1316.52248764928</v>
      </c>
      <c r="E262" s="36" t="n">
        <f aca="false">IF($A262&lt;=Deal!$B$12*12,-IPMT(Deal!$B$11/12,$A262,Deal!$B$12*12,Deal!$H$7),"")</f>
        <v>1042.7530886176</v>
      </c>
      <c r="F262" s="36" t="n">
        <f aca="false">IF($A262&lt;=Deal!$B$12*12,B262-D262,"")</f>
        <v>184061.804377702</v>
      </c>
    </row>
    <row r="263" customFormat="false" ht="15" hidden="false" customHeight="true" outlineLevel="0" collapsed="false">
      <c r="A263" s="35" t="n">
        <f aca="false">A262+1</f>
        <v>258</v>
      </c>
      <c r="B263" s="36" t="n">
        <f aca="false">F262</f>
        <v>184061.804377702</v>
      </c>
      <c r="C263" s="36" t="n">
        <f aca="false">IF($A263&lt;=Deal!$B$12*12,Deal!$H$20,"")</f>
        <v>2359.27557626688</v>
      </c>
      <c r="D263" s="36" t="n">
        <f aca="false">IF($A263&lt;=Deal!$B$12*12,-PPMT(Deal!$B$11/12,$A263,Deal!$B$12*12,Deal!$H$7),"")</f>
        <v>1323.92792664231</v>
      </c>
      <c r="E263" s="36" t="n">
        <f aca="false">IF($A263&lt;=Deal!$B$12*12,-IPMT(Deal!$B$11/12,$A263,Deal!$B$12*12,Deal!$H$7),"")</f>
        <v>1035.34764962458</v>
      </c>
      <c r="F263" s="36" t="n">
        <f aca="false">IF($A263&lt;=Deal!$B$12*12,B263-D263,"")</f>
        <v>182737.87645106</v>
      </c>
    </row>
    <row r="264" customFormat="false" ht="15" hidden="false" customHeight="true" outlineLevel="0" collapsed="false">
      <c r="A264" s="35" t="n">
        <f aca="false">A263+1</f>
        <v>259</v>
      </c>
      <c r="B264" s="36" t="n">
        <f aca="false">F263</f>
        <v>182737.87645106</v>
      </c>
      <c r="C264" s="36" t="n">
        <f aca="false">IF($A264&lt;=Deal!$B$12*12,Deal!$H$20,"")</f>
        <v>2359.27557626688</v>
      </c>
      <c r="D264" s="36" t="n">
        <f aca="false">IF($A264&lt;=Deal!$B$12*12,-PPMT(Deal!$B$11/12,$A264,Deal!$B$12*12,Deal!$H$7),"")</f>
        <v>1331.37502122967</v>
      </c>
      <c r="E264" s="36" t="n">
        <f aca="false">IF($A264&lt;=Deal!$B$12*12,-IPMT(Deal!$B$11/12,$A264,Deal!$B$12*12,Deal!$H$7),"")</f>
        <v>1027.90055503721</v>
      </c>
      <c r="F264" s="36" t="n">
        <f aca="false">IF($A264&lt;=Deal!$B$12*12,B264-D264,"")</f>
        <v>181406.50142983</v>
      </c>
    </row>
    <row r="265" customFormat="false" ht="15" hidden="false" customHeight="true" outlineLevel="0" collapsed="false">
      <c r="A265" s="35" t="n">
        <f aca="false">A264+1</f>
        <v>260</v>
      </c>
      <c r="B265" s="36" t="n">
        <f aca="false">F264</f>
        <v>181406.50142983</v>
      </c>
      <c r="C265" s="36" t="n">
        <f aca="false">IF($A265&lt;=Deal!$B$12*12,Deal!$H$20,"")</f>
        <v>2359.27557626688</v>
      </c>
      <c r="D265" s="36" t="n">
        <f aca="false">IF($A265&lt;=Deal!$B$12*12,-PPMT(Deal!$B$11/12,$A265,Deal!$B$12*12,Deal!$H$7),"")</f>
        <v>1338.86400572409</v>
      </c>
      <c r="E265" s="36" t="n">
        <f aca="false">IF($A265&lt;=Deal!$B$12*12,-IPMT(Deal!$B$11/12,$A265,Deal!$B$12*12,Deal!$H$7),"")</f>
        <v>1020.4115705428</v>
      </c>
      <c r="F265" s="36" t="n">
        <f aca="false">IF($A265&lt;=Deal!$B$12*12,B265-D265,"")</f>
        <v>180067.637424106</v>
      </c>
    </row>
    <row r="266" customFormat="false" ht="15" hidden="false" customHeight="true" outlineLevel="0" collapsed="false">
      <c r="A266" s="35" t="n">
        <f aca="false">A265+1</f>
        <v>261</v>
      </c>
      <c r="B266" s="36" t="n">
        <f aca="false">F265</f>
        <v>180067.637424106</v>
      </c>
      <c r="C266" s="36" t="n">
        <f aca="false">IF($A266&lt;=Deal!$B$12*12,Deal!$H$20,"")</f>
        <v>2359.27557626688</v>
      </c>
      <c r="D266" s="36" t="n">
        <f aca="false">IF($A266&lt;=Deal!$B$12*12,-PPMT(Deal!$B$11/12,$A266,Deal!$B$12*12,Deal!$H$7),"")</f>
        <v>1346.39511575628</v>
      </c>
      <c r="E266" s="36" t="n">
        <f aca="false">IF($A266&lt;=Deal!$B$12*12,-IPMT(Deal!$B$11/12,$A266,Deal!$B$12*12,Deal!$H$7),"")</f>
        <v>1012.8804605106</v>
      </c>
      <c r="F266" s="36" t="n">
        <f aca="false">IF($A266&lt;=Deal!$B$12*12,B266-D266,"")</f>
        <v>178721.24230835</v>
      </c>
    </row>
    <row r="267" customFormat="false" ht="15" hidden="false" customHeight="true" outlineLevel="0" collapsed="false">
      <c r="A267" s="35" t="n">
        <f aca="false">A266+1</f>
        <v>262</v>
      </c>
      <c r="B267" s="36" t="n">
        <f aca="false">F266</f>
        <v>178721.24230835</v>
      </c>
      <c r="C267" s="36" t="n">
        <f aca="false">IF($A267&lt;=Deal!$B$12*12,Deal!$H$20,"")</f>
        <v>2359.27557626688</v>
      </c>
      <c r="D267" s="36" t="n">
        <f aca="false">IF($A267&lt;=Deal!$B$12*12,-PPMT(Deal!$B$11/12,$A267,Deal!$B$12*12,Deal!$H$7),"")</f>
        <v>1353.96858828241</v>
      </c>
      <c r="E267" s="36" t="n">
        <f aca="false">IF($A267&lt;=Deal!$B$12*12,-IPMT(Deal!$B$11/12,$A267,Deal!$B$12*12,Deal!$H$7),"")</f>
        <v>1005.30698798447</v>
      </c>
      <c r="F267" s="36" t="n">
        <f aca="false">IF($A267&lt;=Deal!$B$12*12,B267-D267,"")</f>
        <v>177367.273720067</v>
      </c>
    </row>
    <row r="268" customFormat="false" ht="15" hidden="false" customHeight="true" outlineLevel="0" collapsed="false">
      <c r="A268" s="35" t="n">
        <f aca="false">A267+1</f>
        <v>263</v>
      </c>
      <c r="B268" s="36" t="n">
        <f aca="false">F267</f>
        <v>177367.273720067</v>
      </c>
      <c r="C268" s="36" t="n">
        <f aca="false">IF($A268&lt;=Deal!$B$12*12,Deal!$H$20,"")</f>
        <v>2359.27557626688</v>
      </c>
      <c r="D268" s="36" t="n">
        <f aca="false">IF($A268&lt;=Deal!$B$12*12,-PPMT(Deal!$B$11/12,$A268,Deal!$B$12*12,Deal!$H$7),"")</f>
        <v>1361.5846615915</v>
      </c>
      <c r="E268" s="36" t="n">
        <f aca="false">IF($A268&lt;=Deal!$B$12*12,-IPMT(Deal!$B$11/12,$A268,Deal!$B$12*12,Deal!$H$7),"")</f>
        <v>997.69091467538</v>
      </c>
      <c r="F268" s="36" t="n">
        <f aca="false">IF($A268&lt;=Deal!$B$12*12,B268-D268,"")</f>
        <v>176005.689058476</v>
      </c>
    </row>
    <row r="269" customFormat="false" ht="15" hidden="false" customHeight="true" outlineLevel="0" collapsed="false">
      <c r="A269" s="37" t="n">
        <f aca="false">A268+1</f>
        <v>264</v>
      </c>
      <c r="B269" s="38" t="n">
        <f aca="false">F268</f>
        <v>176005.689058476</v>
      </c>
      <c r="C269" s="38" t="n">
        <f aca="false">IF($A269&lt;=Deal!$B$12*12,Deal!$H$20,"")</f>
        <v>2359.27557626688</v>
      </c>
      <c r="D269" s="38" t="n">
        <f aca="false">IF($A269&lt;=Deal!$B$12*12,-PPMT(Deal!$B$11/12,$A269,Deal!$B$12*12,Deal!$H$7),"")</f>
        <v>1369.24357531295</v>
      </c>
      <c r="E269" s="38" t="n">
        <f aca="false">IF($A269&lt;=Deal!$B$12*12,-IPMT(Deal!$B$11/12,$A269,Deal!$B$12*12,Deal!$H$7),"")</f>
        <v>990.032000953929</v>
      </c>
      <c r="F269" s="38" t="n">
        <f aca="false">IF($A269&lt;=Deal!$B$12*12,B269-D269,"")</f>
        <v>174636.445483163</v>
      </c>
    </row>
    <row r="270" customFormat="false" ht="15" hidden="false" customHeight="true" outlineLevel="0" collapsed="false">
      <c r="A270" s="35" t="n">
        <f aca="false">A269+1</f>
        <v>265</v>
      </c>
      <c r="B270" s="36" t="n">
        <f aca="false">F269</f>
        <v>174636.445483163</v>
      </c>
      <c r="C270" s="36" t="n">
        <f aca="false">IF($A270&lt;=Deal!$B$12*12,Deal!$H$20,"")</f>
        <v>2359.27557626688</v>
      </c>
      <c r="D270" s="36" t="n">
        <f aca="false">IF($A270&lt;=Deal!$B$12*12,-PPMT(Deal!$B$11/12,$A270,Deal!$B$12*12,Deal!$H$7),"")</f>
        <v>1376.94557042409</v>
      </c>
      <c r="E270" s="36" t="n">
        <f aca="false">IF($A270&lt;=Deal!$B$12*12,-IPMT(Deal!$B$11/12,$A270,Deal!$B$12*12,Deal!$H$7),"")</f>
        <v>982.330005842793</v>
      </c>
      <c r="F270" s="36" t="n">
        <f aca="false">IF($A270&lt;=Deal!$B$12*12,B270-D270,"")</f>
        <v>173259.499912739</v>
      </c>
    </row>
    <row r="271" customFormat="false" ht="15" hidden="false" customHeight="true" outlineLevel="0" collapsed="false">
      <c r="A271" s="35" t="n">
        <f aca="false">A270+1</f>
        <v>266</v>
      </c>
      <c r="B271" s="36" t="n">
        <f aca="false">F270</f>
        <v>173259.499912739</v>
      </c>
      <c r="C271" s="36" t="n">
        <f aca="false">IF($A271&lt;=Deal!$B$12*12,Deal!$H$20,"")</f>
        <v>2359.27557626688</v>
      </c>
      <c r="D271" s="36" t="n">
        <f aca="false">IF($A271&lt;=Deal!$B$12*12,-PPMT(Deal!$B$11/12,$A271,Deal!$B$12*12,Deal!$H$7),"")</f>
        <v>1384.69088925773</v>
      </c>
      <c r="E271" s="36" t="n">
        <f aca="false">IF($A271&lt;=Deal!$B$12*12,-IPMT(Deal!$B$11/12,$A271,Deal!$B$12*12,Deal!$H$7),"")</f>
        <v>974.584687009158</v>
      </c>
      <c r="F271" s="36" t="n">
        <f aca="false">IF($A271&lt;=Deal!$B$12*12,B271-D271,"")</f>
        <v>171874.809023481</v>
      </c>
    </row>
    <row r="272" customFormat="false" ht="15" hidden="false" customHeight="true" outlineLevel="0" collapsed="false">
      <c r="A272" s="35" t="n">
        <f aca="false">A271+1</f>
        <v>267</v>
      </c>
      <c r="B272" s="36" t="n">
        <f aca="false">F271</f>
        <v>171874.809023481</v>
      </c>
      <c r="C272" s="36" t="n">
        <f aca="false">IF($A272&lt;=Deal!$B$12*12,Deal!$H$20,"")</f>
        <v>2359.27557626688</v>
      </c>
      <c r="D272" s="36" t="n">
        <f aca="false">IF($A272&lt;=Deal!$B$12*12,-PPMT(Deal!$B$11/12,$A272,Deal!$B$12*12,Deal!$H$7),"")</f>
        <v>1392.4797755098</v>
      </c>
      <c r="E272" s="36" t="n">
        <f aca="false">IF($A272&lt;=Deal!$B$12*12,-IPMT(Deal!$B$11/12,$A272,Deal!$B$12*12,Deal!$H$7),"")</f>
        <v>966.795800757082</v>
      </c>
      <c r="F272" s="36" t="n">
        <f aca="false">IF($A272&lt;=Deal!$B$12*12,B272-D272,"")</f>
        <v>170482.329247971</v>
      </c>
    </row>
    <row r="273" customFormat="false" ht="15" hidden="false" customHeight="true" outlineLevel="0" collapsed="false">
      <c r="A273" s="35" t="n">
        <f aca="false">A272+1</f>
        <v>268</v>
      </c>
      <c r="B273" s="36" t="n">
        <f aca="false">F272</f>
        <v>170482.329247971</v>
      </c>
      <c r="C273" s="36" t="n">
        <f aca="false">IF($A273&lt;=Deal!$B$12*12,Deal!$H$20,"")</f>
        <v>2359.27557626688</v>
      </c>
      <c r="D273" s="36" t="n">
        <f aca="false">IF($A273&lt;=Deal!$B$12*12,-PPMT(Deal!$B$11/12,$A273,Deal!$B$12*12,Deal!$H$7),"")</f>
        <v>1400.31247424704</v>
      </c>
      <c r="E273" s="36" t="n">
        <f aca="false">IF($A273&lt;=Deal!$B$12*12,-IPMT(Deal!$B$11/12,$A273,Deal!$B$12*12,Deal!$H$7),"")</f>
        <v>958.96310201984</v>
      </c>
      <c r="F273" s="36" t="n">
        <f aca="false">IF($A273&lt;=Deal!$B$12*12,B273-D273,"")</f>
        <v>169082.016773724</v>
      </c>
    </row>
    <row r="274" customFormat="false" ht="15" hidden="false" customHeight="true" outlineLevel="0" collapsed="false">
      <c r="A274" s="35" t="n">
        <f aca="false">A273+1</f>
        <v>269</v>
      </c>
      <c r="B274" s="36" t="n">
        <f aca="false">F273</f>
        <v>169082.016773724</v>
      </c>
      <c r="C274" s="36" t="n">
        <f aca="false">IF($A274&lt;=Deal!$B$12*12,Deal!$H$20,"")</f>
        <v>2359.27557626688</v>
      </c>
      <c r="D274" s="36" t="n">
        <f aca="false">IF($A274&lt;=Deal!$B$12*12,-PPMT(Deal!$B$11/12,$A274,Deal!$B$12*12,Deal!$H$7),"")</f>
        <v>1408.18923191468</v>
      </c>
      <c r="E274" s="36" t="n">
        <f aca="false">IF($A274&lt;=Deal!$B$12*12,-IPMT(Deal!$B$11/12,$A274,Deal!$B$12*12,Deal!$H$7),"")</f>
        <v>951.0863443522</v>
      </c>
      <c r="F274" s="36" t="n">
        <f aca="false">IF($A274&lt;=Deal!$B$12*12,B274-D274,"")</f>
        <v>167673.827541809</v>
      </c>
    </row>
    <row r="275" customFormat="false" ht="15" hidden="false" customHeight="true" outlineLevel="0" collapsed="false">
      <c r="A275" s="35" t="n">
        <f aca="false">A274+1</f>
        <v>270</v>
      </c>
      <c r="B275" s="36" t="n">
        <f aca="false">F274</f>
        <v>167673.827541809</v>
      </c>
      <c r="C275" s="36" t="n">
        <f aca="false">IF($A275&lt;=Deal!$B$12*12,Deal!$H$20,"")</f>
        <v>2359.27557626688</v>
      </c>
      <c r="D275" s="36" t="n">
        <f aca="false">IF($A275&lt;=Deal!$B$12*12,-PPMT(Deal!$B$11/12,$A275,Deal!$B$12*12,Deal!$H$7),"")</f>
        <v>1416.1102963442</v>
      </c>
      <c r="E275" s="36" t="n">
        <f aca="false">IF($A275&lt;=Deal!$B$12*12,-IPMT(Deal!$B$11/12,$A275,Deal!$B$12*12,Deal!$H$7),"")</f>
        <v>943.165279922679</v>
      </c>
      <c r="F275" s="36" t="n">
        <f aca="false">IF($A275&lt;=Deal!$B$12*12,B275-D275,"")</f>
        <v>166257.717245465</v>
      </c>
    </row>
    <row r="276" customFormat="false" ht="15" hidden="false" customHeight="true" outlineLevel="0" collapsed="false">
      <c r="A276" s="35" t="n">
        <f aca="false">A275+1</f>
        <v>271</v>
      </c>
      <c r="B276" s="36" t="n">
        <f aca="false">F275</f>
        <v>166257.717245465</v>
      </c>
      <c r="C276" s="36" t="n">
        <f aca="false">IF($A276&lt;=Deal!$B$12*12,Deal!$H$20,"")</f>
        <v>2359.27557626688</v>
      </c>
      <c r="D276" s="36" t="n">
        <f aca="false">IF($A276&lt;=Deal!$B$12*12,-PPMT(Deal!$B$11/12,$A276,Deal!$B$12*12,Deal!$H$7),"")</f>
        <v>1424.07591676114</v>
      </c>
      <c r="E276" s="36" t="n">
        <f aca="false">IF($A276&lt;=Deal!$B$12*12,-IPMT(Deal!$B$11/12,$A276,Deal!$B$12*12,Deal!$H$7),"")</f>
        <v>935.199659505745</v>
      </c>
      <c r="F276" s="36" t="n">
        <f aca="false">IF($A276&lt;=Deal!$B$12*12,B276-D276,"")</f>
        <v>164833.641328704</v>
      </c>
    </row>
    <row r="277" customFormat="false" ht="15" hidden="false" customHeight="true" outlineLevel="0" collapsed="false">
      <c r="A277" s="35" t="n">
        <f aca="false">A276+1</f>
        <v>272</v>
      </c>
      <c r="B277" s="36" t="n">
        <f aca="false">F276</f>
        <v>164833.641328704</v>
      </c>
      <c r="C277" s="36" t="n">
        <f aca="false">IF($A277&lt;=Deal!$B$12*12,Deal!$H$20,"")</f>
        <v>2359.27557626688</v>
      </c>
      <c r="D277" s="36" t="n">
        <f aca="false">IF($A277&lt;=Deal!$B$12*12,-PPMT(Deal!$B$11/12,$A277,Deal!$B$12*12,Deal!$H$7),"")</f>
        <v>1432.08634379292</v>
      </c>
      <c r="E277" s="36" t="n">
        <f aca="false">IF($A277&lt;=Deal!$B$12*12,-IPMT(Deal!$B$11/12,$A277,Deal!$B$12*12,Deal!$H$7),"")</f>
        <v>927.189232473962</v>
      </c>
      <c r="F277" s="36" t="n">
        <f aca="false">IF($A277&lt;=Deal!$B$12*12,B277-D277,"")</f>
        <v>163401.554984911</v>
      </c>
    </row>
    <row r="278" customFormat="false" ht="15" hidden="false" customHeight="true" outlineLevel="0" collapsed="false">
      <c r="A278" s="35" t="n">
        <f aca="false">A277+1</f>
        <v>273</v>
      </c>
      <c r="B278" s="36" t="n">
        <f aca="false">F277</f>
        <v>163401.554984911</v>
      </c>
      <c r="C278" s="36" t="n">
        <f aca="false">IF($A278&lt;=Deal!$B$12*12,Deal!$H$20,"")</f>
        <v>2359.27557626688</v>
      </c>
      <c r="D278" s="36" t="n">
        <f aca="false">IF($A278&lt;=Deal!$B$12*12,-PPMT(Deal!$B$11/12,$A278,Deal!$B$12*12,Deal!$H$7),"")</f>
        <v>1440.14182947676</v>
      </c>
      <c r="E278" s="36" t="n">
        <f aca="false">IF($A278&lt;=Deal!$B$12*12,-IPMT(Deal!$B$11/12,$A278,Deal!$B$12*12,Deal!$H$7),"")</f>
        <v>919.133746790128</v>
      </c>
      <c r="F278" s="36" t="n">
        <f aca="false">IF($A278&lt;=Deal!$B$12*12,B278-D278,"")</f>
        <v>161961.413155434</v>
      </c>
    </row>
    <row r="279" customFormat="false" ht="15" hidden="false" customHeight="true" outlineLevel="0" collapsed="false">
      <c r="A279" s="35" t="n">
        <f aca="false">A278+1</f>
        <v>274</v>
      </c>
      <c r="B279" s="36" t="n">
        <f aca="false">F278</f>
        <v>161961.413155434</v>
      </c>
      <c r="C279" s="36" t="n">
        <f aca="false">IF($A279&lt;=Deal!$B$12*12,Deal!$H$20,"")</f>
        <v>2359.27557626688</v>
      </c>
      <c r="D279" s="36" t="n">
        <f aca="false">IF($A279&lt;=Deal!$B$12*12,-PPMT(Deal!$B$11/12,$A279,Deal!$B$12*12,Deal!$H$7),"")</f>
        <v>1448.24262726756</v>
      </c>
      <c r="E279" s="36" t="n">
        <f aca="false">IF($A279&lt;=Deal!$B$12*12,-IPMT(Deal!$B$11/12,$A279,Deal!$B$12*12,Deal!$H$7),"")</f>
        <v>911.03294899932</v>
      </c>
      <c r="F279" s="36" t="n">
        <f aca="false">IF($A279&lt;=Deal!$B$12*12,B279-D279,"")</f>
        <v>160513.170528167</v>
      </c>
    </row>
    <row r="280" customFormat="false" ht="15" hidden="false" customHeight="true" outlineLevel="0" collapsed="false">
      <c r="A280" s="35" t="n">
        <f aca="false">A279+1</f>
        <v>275</v>
      </c>
      <c r="B280" s="36" t="n">
        <f aca="false">F279</f>
        <v>160513.170528167</v>
      </c>
      <c r="C280" s="36" t="n">
        <f aca="false">IF($A280&lt;=Deal!$B$12*12,Deal!$H$20,"")</f>
        <v>2359.27557626688</v>
      </c>
      <c r="D280" s="36" t="n">
        <f aca="false">IF($A280&lt;=Deal!$B$12*12,-PPMT(Deal!$B$11/12,$A280,Deal!$B$12*12,Deal!$H$7),"")</f>
        <v>1456.38899204594</v>
      </c>
      <c r="E280" s="36" t="n">
        <f aca="false">IF($A280&lt;=Deal!$B$12*12,-IPMT(Deal!$B$11/12,$A280,Deal!$B$12*12,Deal!$H$7),"")</f>
        <v>902.88658422094</v>
      </c>
      <c r="F280" s="36" t="n">
        <f aca="false">IF($A280&lt;=Deal!$B$12*12,B280-D280,"")</f>
        <v>159056.781536121</v>
      </c>
    </row>
    <row r="281" customFormat="false" ht="15" hidden="false" customHeight="true" outlineLevel="0" collapsed="false">
      <c r="A281" s="37" t="n">
        <f aca="false">A280+1</f>
        <v>276</v>
      </c>
      <c r="B281" s="38" t="n">
        <f aca="false">F280</f>
        <v>159056.781536121</v>
      </c>
      <c r="C281" s="38" t="n">
        <f aca="false">IF($A281&lt;=Deal!$B$12*12,Deal!$H$20,"")</f>
        <v>2359.27557626688</v>
      </c>
      <c r="D281" s="38" t="n">
        <f aca="false">IF($A281&lt;=Deal!$B$12*12,-PPMT(Deal!$B$11/12,$A281,Deal!$B$12*12,Deal!$H$7),"")</f>
        <v>1464.5811801262</v>
      </c>
      <c r="E281" s="38" t="n">
        <f aca="false">IF($A281&lt;=Deal!$B$12*12,-IPMT(Deal!$B$11/12,$A281,Deal!$B$12*12,Deal!$H$7),"")</f>
        <v>894.694396140681</v>
      </c>
      <c r="F281" s="38" t="n">
        <f aca="false">IF($A281&lt;=Deal!$B$12*12,B281-D281,"")</f>
        <v>157592.200355995</v>
      </c>
    </row>
    <row r="282" customFormat="false" ht="15" hidden="false" customHeight="true" outlineLevel="0" collapsed="false">
      <c r="A282" s="35" t="n">
        <f aca="false">A281+1</f>
        <v>277</v>
      </c>
      <c r="B282" s="36" t="n">
        <f aca="false">F281</f>
        <v>157592.200355995</v>
      </c>
      <c r="C282" s="36" t="n">
        <f aca="false">IF($A282&lt;=Deal!$B$12*12,Deal!$H$20,"")</f>
        <v>2359.27557626688</v>
      </c>
      <c r="D282" s="36" t="n">
        <f aca="false">IF($A282&lt;=Deal!$B$12*12,-PPMT(Deal!$B$11/12,$A282,Deal!$B$12*12,Deal!$H$7),"")</f>
        <v>1472.81944926441</v>
      </c>
      <c r="E282" s="36" t="n">
        <f aca="false">IF($A282&lt;=Deal!$B$12*12,-IPMT(Deal!$B$11/12,$A282,Deal!$B$12*12,Deal!$H$7),"")</f>
        <v>886.456127002473</v>
      </c>
      <c r="F282" s="36" t="n">
        <f aca="false">IF($A282&lt;=Deal!$B$12*12,B282-D282,"")</f>
        <v>156119.38090673</v>
      </c>
    </row>
    <row r="283" customFormat="false" ht="15" hidden="false" customHeight="true" outlineLevel="0" collapsed="false">
      <c r="A283" s="35" t="n">
        <f aca="false">A282+1</f>
        <v>278</v>
      </c>
      <c r="B283" s="36" t="n">
        <f aca="false">F282</f>
        <v>156119.38090673</v>
      </c>
      <c r="C283" s="36" t="n">
        <f aca="false">IF($A283&lt;=Deal!$B$12*12,Deal!$H$20,"")</f>
        <v>2359.27557626688</v>
      </c>
      <c r="D283" s="36" t="n">
        <f aca="false">IF($A283&lt;=Deal!$B$12*12,-PPMT(Deal!$B$11/12,$A283,Deal!$B$12*12,Deal!$H$7),"")</f>
        <v>1481.10405866652</v>
      </c>
      <c r="E283" s="36" t="n">
        <f aca="false">IF($A283&lt;=Deal!$B$12*12,-IPMT(Deal!$B$11/12,$A283,Deal!$B$12*12,Deal!$H$7),"")</f>
        <v>878.171517600359</v>
      </c>
      <c r="F283" s="36" t="n">
        <f aca="false">IF($A283&lt;=Deal!$B$12*12,B283-D283,"")</f>
        <v>154638.276848064</v>
      </c>
    </row>
    <row r="284" customFormat="false" ht="15" hidden="false" customHeight="true" outlineLevel="0" collapsed="false">
      <c r="A284" s="35" t="n">
        <f aca="false">A283+1</f>
        <v>279</v>
      </c>
      <c r="B284" s="36" t="n">
        <f aca="false">F283</f>
        <v>154638.276848064</v>
      </c>
      <c r="C284" s="36" t="n">
        <f aca="false">IF($A284&lt;=Deal!$B$12*12,Deal!$H$20,"")</f>
        <v>2359.27557626688</v>
      </c>
      <c r="D284" s="36" t="n">
        <f aca="false">IF($A284&lt;=Deal!$B$12*12,-PPMT(Deal!$B$11/12,$A284,Deal!$B$12*12,Deal!$H$7),"")</f>
        <v>1489.43526899652</v>
      </c>
      <c r="E284" s="36" t="n">
        <f aca="false">IF($A284&lt;=Deal!$B$12*12,-IPMT(Deal!$B$11/12,$A284,Deal!$B$12*12,Deal!$H$7),"")</f>
        <v>869.840307270362</v>
      </c>
      <c r="F284" s="36" t="n">
        <f aca="false">IF($A284&lt;=Deal!$B$12*12,B284-D284,"")</f>
        <v>153148.841579067</v>
      </c>
    </row>
    <row r="285" customFormat="false" ht="15" hidden="false" customHeight="true" outlineLevel="0" collapsed="false">
      <c r="A285" s="35" t="n">
        <f aca="false">A284+1</f>
        <v>280</v>
      </c>
      <c r="B285" s="36" t="n">
        <f aca="false">F284</f>
        <v>153148.841579067</v>
      </c>
      <c r="C285" s="36" t="n">
        <f aca="false">IF($A285&lt;=Deal!$B$12*12,Deal!$H$20,"")</f>
        <v>2359.27557626688</v>
      </c>
      <c r="D285" s="36" t="n">
        <f aca="false">IF($A285&lt;=Deal!$B$12*12,-PPMT(Deal!$B$11/12,$A285,Deal!$B$12*12,Deal!$H$7),"")</f>
        <v>1497.81334238463</v>
      </c>
      <c r="E285" s="36" t="n">
        <f aca="false">IF($A285&lt;=Deal!$B$12*12,-IPMT(Deal!$B$11/12,$A285,Deal!$B$12*12,Deal!$H$7),"")</f>
        <v>861.462233882255</v>
      </c>
      <c r="F285" s="36" t="n">
        <f aca="false">IF($A285&lt;=Deal!$B$12*12,B285-D285,"")</f>
        <v>151651.028236683</v>
      </c>
    </row>
    <row r="286" customFormat="false" ht="15" hidden="false" customHeight="true" outlineLevel="0" collapsed="false">
      <c r="A286" s="35" t="n">
        <f aca="false">A285+1</f>
        <v>281</v>
      </c>
      <c r="B286" s="36" t="n">
        <f aca="false">F285</f>
        <v>151651.028236683</v>
      </c>
      <c r="C286" s="36" t="n">
        <f aca="false">IF($A286&lt;=Deal!$B$12*12,Deal!$H$20,"")</f>
        <v>2359.27557626688</v>
      </c>
      <c r="D286" s="36" t="n">
        <f aca="false">IF($A286&lt;=Deal!$B$12*12,-PPMT(Deal!$B$11/12,$A286,Deal!$B$12*12,Deal!$H$7),"")</f>
        <v>1506.23854243554</v>
      </c>
      <c r="E286" s="36" t="n">
        <f aca="false">IF($A286&lt;=Deal!$B$12*12,-IPMT(Deal!$B$11/12,$A286,Deal!$B$12*12,Deal!$H$7),"")</f>
        <v>853.037033831341</v>
      </c>
      <c r="F286" s="36" t="n">
        <f aca="false">IF($A286&lt;=Deal!$B$12*12,B286-D286,"")</f>
        <v>150144.789694247</v>
      </c>
    </row>
    <row r="287" customFormat="false" ht="15" hidden="false" customHeight="true" outlineLevel="0" collapsed="false">
      <c r="A287" s="35" t="n">
        <f aca="false">A286+1</f>
        <v>282</v>
      </c>
      <c r="B287" s="36" t="n">
        <f aca="false">F286</f>
        <v>150144.789694247</v>
      </c>
      <c r="C287" s="36" t="n">
        <f aca="false">IF($A287&lt;=Deal!$B$12*12,Deal!$H$20,"")</f>
        <v>2359.27557626688</v>
      </c>
      <c r="D287" s="36" t="n">
        <f aca="false">IF($A287&lt;=Deal!$B$12*12,-PPMT(Deal!$B$11/12,$A287,Deal!$B$12*12,Deal!$H$7),"")</f>
        <v>1514.71113423674</v>
      </c>
      <c r="E287" s="36" t="n">
        <f aca="false">IF($A287&lt;=Deal!$B$12*12,-IPMT(Deal!$B$11/12,$A287,Deal!$B$12*12,Deal!$H$7),"")</f>
        <v>844.564442030141</v>
      </c>
      <c r="F287" s="36" t="n">
        <f aca="false">IF($A287&lt;=Deal!$B$12*12,B287-D287,"")</f>
        <v>148630.07856001</v>
      </c>
    </row>
    <row r="288" customFormat="false" ht="15" hidden="false" customHeight="true" outlineLevel="0" collapsed="false">
      <c r="A288" s="35" t="n">
        <f aca="false">A287+1</f>
        <v>283</v>
      </c>
      <c r="B288" s="36" t="n">
        <f aca="false">F287</f>
        <v>148630.07856001</v>
      </c>
      <c r="C288" s="36" t="n">
        <f aca="false">IF($A288&lt;=Deal!$B$12*12,Deal!$H$20,"")</f>
        <v>2359.27557626688</v>
      </c>
      <c r="D288" s="36" t="n">
        <f aca="false">IF($A288&lt;=Deal!$B$12*12,-PPMT(Deal!$B$11/12,$A288,Deal!$B$12*12,Deal!$H$7),"")</f>
        <v>1523.23138436682</v>
      </c>
      <c r="E288" s="36" t="n">
        <f aca="false">IF($A288&lt;=Deal!$B$12*12,-IPMT(Deal!$B$11/12,$A288,Deal!$B$12*12,Deal!$H$7),"")</f>
        <v>836.044191900062</v>
      </c>
      <c r="F288" s="36" t="n">
        <f aca="false">IF($A288&lt;=Deal!$B$12*12,B288-D288,"")</f>
        <v>147106.847175644</v>
      </c>
    </row>
    <row r="289" customFormat="false" ht="15" hidden="false" customHeight="true" outlineLevel="0" collapsed="false">
      <c r="A289" s="35" t="n">
        <f aca="false">A288+1</f>
        <v>284</v>
      </c>
      <c r="B289" s="36" t="n">
        <f aca="false">F288</f>
        <v>147106.847175644</v>
      </c>
      <c r="C289" s="36" t="n">
        <f aca="false">IF($A289&lt;=Deal!$B$12*12,Deal!$H$20,"")</f>
        <v>2359.27557626688</v>
      </c>
      <c r="D289" s="36" t="n">
        <f aca="false">IF($A289&lt;=Deal!$B$12*12,-PPMT(Deal!$B$11/12,$A289,Deal!$B$12*12,Deal!$H$7),"")</f>
        <v>1531.79956090389</v>
      </c>
      <c r="E289" s="36" t="n">
        <f aca="false">IF($A289&lt;=Deal!$B$12*12,-IPMT(Deal!$B$11/12,$A289,Deal!$B$12*12,Deal!$H$7),"")</f>
        <v>827.476015362997</v>
      </c>
      <c r="F289" s="36" t="n">
        <f aca="false">IF($A289&lt;=Deal!$B$12*12,B289-D289,"")</f>
        <v>145575.04761474</v>
      </c>
    </row>
    <row r="290" customFormat="false" ht="15" hidden="false" customHeight="true" outlineLevel="0" collapsed="false">
      <c r="A290" s="35" t="n">
        <f aca="false">A289+1</f>
        <v>285</v>
      </c>
      <c r="B290" s="36" t="n">
        <f aca="false">F289</f>
        <v>145575.04761474</v>
      </c>
      <c r="C290" s="36" t="n">
        <f aca="false">IF($A290&lt;=Deal!$B$12*12,Deal!$H$20,"")</f>
        <v>2359.27557626688</v>
      </c>
      <c r="D290" s="36" t="n">
        <f aca="false">IF($A290&lt;=Deal!$B$12*12,-PPMT(Deal!$B$11/12,$A290,Deal!$B$12*12,Deal!$H$7),"")</f>
        <v>1540.41593343397</v>
      </c>
      <c r="E290" s="36" t="n">
        <f aca="false">IF($A290&lt;=Deal!$B$12*12,-IPMT(Deal!$B$11/12,$A290,Deal!$B$12*12,Deal!$H$7),"")</f>
        <v>818.859642832913</v>
      </c>
      <c r="F290" s="36" t="n">
        <f aca="false">IF($A290&lt;=Deal!$B$12*12,B290-D290,"")</f>
        <v>144034.631681306</v>
      </c>
    </row>
    <row r="291" customFormat="false" ht="15" hidden="false" customHeight="true" outlineLevel="0" collapsed="false">
      <c r="A291" s="35" t="n">
        <f aca="false">A290+1</f>
        <v>286</v>
      </c>
      <c r="B291" s="36" t="n">
        <f aca="false">F290</f>
        <v>144034.631681306</v>
      </c>
      <c r="C291" s="36" t="n">
        <f aca="false">IF($A291&lt;=Deal!$B$12*12,Deal!$H$20,"")</f>
        <v>2359.27557626688</v>
      </c>
      <c r="D291" s="36" t="n">
        <f aca="false">IF($A291&lt;=Deal!$B$12*12,-PPMT(Deal!$B$11/12,$A291,Deal!$B$12*12,Deal!$H$7),"")</f>
        <v>1549.08077305954</v>
      </c>
      <c r="E291" s="36" t="n">
        <f aca="false">IF($A291&lt;=Deal!$B$12*12,-IPMT(Deal!$B$11/12,$A291,Deal!$B$12*12,Deal!$H$7),"")</f>
        <v>810.194803207346</v>
      </c>
      <c r="F291" s="36" t="n">
        <f aca="false">IF($A291&lt;=Deal!$B$12*12,B291-D291,"")</f>
        <v>142485.550908246</v>
      </c>
    </row>
    <row r="292" customFormat="false" ht="15" hidden="false" customHeight="true" outlineLevel="0" collapsed="false">
      <c r="A292" s="35" t="n">
        <f aca="false">A291+1</f>
        <v>287</v>
      </c>
      <c r="B292" s="36" t="n">
        <f aca="false">F291</f>
        <v>142485.550908246</v>
      </c>
      <c r="C292" s="36" t="n">
        <f aca="false">IF($A292&lt;=Deal!$B$12*12,Deal!$H$20,"")</f>
        <v>2359.27557626688</v>
      </c>
      <c r="D292" s="36" t="n">
        <f aca="false">IF($A292&lt;=Deal!$B$12*12,-PPMT(Deal!$B$11/12,$A292,Deal!$B$12*12,Deal!$H$7),"")</f>
        <v>1557.794352408</v>
      </c>
      <c r="E292" s="36" t="n">
        <f aca="false">IF($A292&lt;=Deal!$B$12*12,-IPMT(Deal!$B$11/12,$A292,Deal!$B$12*12,Deal!$H$7),"")</f>
        <v>801.481223858886</v>
      </c>
      <c r="F292" s="36" t="n">
        <f aca="false">IF($A292&lt;=Deal!$B$12*12,B292-D292,"")</f>
        <v>140927.756555838</v>
      </c>
    </row>
    <row r="293" customFormat="false" ht="15" hidden="false" customHeight="true" outlineLevel="0" collapsed="false">
      <c r="A293" s="37" t="n">
        <f aca="false">A292+1</f>
        <v>288</v>
      </c>
      <c r="B293" s="38" t="n">
        <f aca="false">F292</f>
        <v>140927.756555838</v>
      </c>
      <c r="C293" s="38" t="n">
        <f aca="false">IF($A293&lt;=Deal!$B$12*12,Deal!$H$20,"")</f>
        <v>2359.27557626688</v>
      </c>
      <c r="D293" s="38" t="n">
        <f aca="false">IF($A293&lt;=Deal!$B$12*12,-PPMT(Deal!$B$11/12,$A293,Deal!$B$12*12,Deal!$H$7),"")</f>
        <v>1566.55694564029</v>
      </c>
      <c r="E293" s="38" t="n">
        <f aca="false">IF($A293&lt;=Deal!$B$12*12,-IPMT(Deal!$B$11/12,$A293,Deal!$B$12*12,Deal!$H$7),"")</f>
        <v>792.718630626593</v>
      </c>
      <c r="F293" s="38" t="n">
        <f aca="false">IF($A293&lt;=Deal!$B$12*12,B293-D293,"")</f>
        <v>139361.199610198</v>
      </c>
    </row>
    <row r="294" customFormat="false" ht="15" hidden="false" customHeight="true" outlineLevel="0" collapsed="false">
      <c r="A294" s="35" t="n">
        <f aca="false">A293+1</f>
        <v>289</v>
      </c>
      <c r="B294" s="36" t="n">
        <f aca="false">F293</f>
        <v>139361.199610198</v>
      </c>
      <c r="C294" s="36" t="n">
        <f aca="false">IF($A294&lt;=Deal!$B$12*12,Deal!$H$20,"")</f>
        <v>2359.27557626688</v>
      </c>
      <c r="D294" s="36" t="n">
        <f aca="false">IF($A294&lt;=Deal!$B$12*12,-PPMT(Deal!$B$11/12,$A294,Deal!$B$12*12,Deal!$H$7),"")</f>
        <v>1575.36882845952</v>
      </c>
      <c r="E294" s="36" t="n">
        <f aca="false">IF($A294&lt;=Deal!$B$12*12,-IPMT(Deal!$B$11/12,$A294,Deal!$B$12*12,Deal!$H$7),"")</f>
        <v>783.906747807366</v>
      </c>
      <c r="F294" s="36" t="n">
        <f aca="false">IF($A294&lt;=Deal!$B$12*12,B294-D294,"")</f>
        <v>137785.830781738</v>
      </c>
    </row>
    <row r="295" customFormat="false" ht="15" hidden="false" customHeight="true" outlineLevel="0" collapsed="false">
      <c r="A295" s="35" t="n">
        <f aca="false">A294+1</f>
        <v>290</v>
      </c>
      <c r="B295" s="36" t="n">
        <f aca="false">F294</f>
        <v>137785.830781738</v>
      </c>
      <c r="C295" s="36" t="n">
        <f aca="false">IF($A295&lt;=Deal!$B$12*12,Deal!$H$20,"")</f>
        <v>2359.27557626688</v>
      </c>
      <c r="D295" s="36" t="n">
        <f aca="false">IF($A295&lt;=Deal!$B$12*12,-PPMT(Deal!$B$11/12,$A295,Deal!$B$12*12,Deal!$H$7),"")</f>
        <v>1584.2302781196</v>
      </c>
      <c r="E295" s="36" t="n">
        <f aca="false">IF($A295&lt;=Deal!$B$12*12,-IPMT(Deal!$B$11/12,$A295,Deal!$B$12*12,Deal!$H$7),"")</f>
        <v>775.04529814728</v>
      </c>
      <c r="F295" s="36" t="n">
        <f aca="false">IF($A295&lt;=Deal!$B$12*12,B295-D295,"")</f>
        <v>136201.600503619</v>
      </c>
    </row>
    <row r="296" customFormat="false" ht="15" hidden="false" customHeight="true" outlineLevel="0" collapsed="false">
      <c r="A296" s="35" t="n">
        <f aca="false">A295+1</f>
        <v>291</v>
      </c>
      <c r="B296" s="36" t="n">
        <f aca="false">F295</f>
        <v>136201.600503619</v>
      </c>
      <c r="C296" s="36" t="n">
        <f aca="false">IF($A296&lt;=Deal!$B$12*12,Deal!$H$20,"")</f>
        <v>2359.27557626688</v>
      </c>
      <c r="D296" s="36" t="n">
        <f aca="false">IF($A296&lt;=Deal!$B$12*12,-PPMT(Deal!$B$11/12,$A296,Deal!$B$12*12,Deal!$H$7),"")</f>
        <v>1593.14157343403</v>
      </c>
      <c r="E296" s="36" t="n">
        <f aca="false">IF($A296&lt;=Deal!$B$12*12,-IPMT(Deal!$B$11/12,$A296,Deal!$B$12*12,Deal!$H$7),"")</f>
        <v>766.134002832857</v>
      </c>
      <c r="F296" s="36" t="n">
        <f aca="false">IF($A296&lt;=Deal!$B$12*12,B296-D296,"")</f>
        <v>134608.458930185</v>
      </c>
    </row>
    <row r="297" customFormat="false" ht="15" hidden="false" customHeight="true" outlineLevel="0" collapsed="false">
      <c r="A297" s="35" t="n">
        <f aca="false">A296+1</f>
        <v>292</v>
      </c>
      <c r="B297" s="36" t="n">
        <f aca="false">F296</f>
        <v>134608.458930185</v>
      </c>
      <c r="C297" s="36" t="n">
        <f aca="false">IF($A297&lt;=Deal!$B$12*12,Deal!$H$20,"")</f>
        <v>2359.27557626688</v>
      </c>
      <c r="D297" s="36" t="n">
        <f aca="false">IF($A297&lt;=Deal!$B$12*12,-PPMT(Deal!$B$11/12,$A297,Deal!$B$12*12,Deal!$H$7),"")</f>
        <v>1602.10299478459</v>
      </c>
      <c r="E297" s="36" t="n">
        <f aca="false">IF($A297&lt;=Deal!$B$12*12,-IPMT(Deal!$B$11/12,$A297,Deal!$B$12*12,Deal!$H$7),"")</f>
        <v>757.17258148229</v>
      </c>
      <c r="F297" s="36" t="n">
        <f aca="false">IF($A297&lt;=Deal!$B$12*12,B297-D297,"")</f>
        <v>133006.3559354</v>
      </c>
    </row>
    <row r="298" customFormat="false" ht="15" hidden="false" customHeight="true" outlineLevel="0" collapsed="false">
      <c r="A298" s="35" t="n">
        <f aca="false">A297+1</f>
        <v>293</v>
      </c>
      <c r="B298" s="36" t="n">
        <f aca="false">F297</f>
        <v>133006.3559354</v>
      </c>
      <c r="C298" s="36" t="n">
        <f aca="false">IF($A298&lt;=Deal!$B$12*12,Deal!$H$20,"")</f>
        <v>2359.27557626688</v>
      </c>
      <c r="D298" s="36" t="n">
        <f aca="false">IF($A298&lt;=Deal!$B$12*12,-PPMT(Deal!$B$11/12,$A298,Deal!$B$12*12,Deal!$H$7),"")</f>
        <v>1611.11482413025</v>
      </c>
      <c r="E298" s="36" t="n">
        <f aca="false">IF($A298&lt;=Deal!$B$12*12,-IPMT(Deal!$B$11/12,$A298,Deal!$B$12*12,Deal!$H$7),"")</f>
        <v>748.160752136629</v>
      </c>
      <c r="F298" s="36" t="n">
        <f aca="false">IF($A298&lt;=Deal!$B$12*12,B298-D298,"")</f>
        <v>131395.24111127</v>
      </c>
    </row>
    <row r="299" customFormat="false" ht="15" hidden="false" customHeight="true" outlineLevel="0" collapsed="false">
      <c r="A299" s="35" t="n">
        <f aca="false">A298+1</f>
        <v>294</v>
      </c>
      <c r="B299" s="36" t="n">
        <f aca="false">F298</f>
        <v>131395.24111127</v>
      </c>
      <c r="C299" s="36" t="n">
        <f aca="false">IF($A299&lt;=Deal!$B$12*12,Deal!$H$20,"")</f>
        <v>2359.27557626688</v>
      </c>
      <c r="D299" s="36" t="n">
        <f aca="false">IF($A299&lt;=Deal!$B$12*12,-PPMT(Deal!$B$11/12,$A299,Deal!$B$12*12,Deal!$H$7),"")</f>
        <v>1620.17734501599</v>
      </c>
      <c r="E299" s="36" t="n">
        <f aca="false">IF($A299&lt;=Deal!$B$12*12,-IPMT(Deal!$B$11/12,$A299,Deal!$B$12*12,Deal!$H$7),"")</f>
        <v>739.098231250896</v>
      </c>
      <c r="F299" s="36" t="n">
        <f aca="false">IF($A299&lt;=Deal!$B$12*12,B299-D299,"")</f>
        <v>129775.063766254</v>
      </c>
    </row>
    <row r="300" customFormat="false" ht="15" hidden="false" customHeight="true" outlineLevel="0" collapsed="false">
      <c r="A300" s="35" t="n">
        <f aca="false">A299+1</f>
        <v>295</v>
      </c>
      <c r="B300" s="36" t="n">
        <f aca="false">F299</f>
        <v>129775.063766254</v>
      </c>
      <c r="C300" s="36" t="n">
        <f aca="false">IF($A300&lt;=Deal!$B$12*12,Deal!$H$20,"")</f>
        <v>2359.27557626688</v>
      </c>
      <c r="D300" s="36" t="n">
        <f aca="false">IF($A300&lt;=Deal!$B$12*12,-PPMT(Deal!$B$11/12,$A300,Deal!$B$12*12,Deal!$H$7),"")</f>
        <v>1629.2908425817</v>
      </c>
      <c r="E300" s="36" t="n">
        <f aca="false">IF($A300&lt;=Deal!$B$12*12,-IPMT(Deal!$B$11/12,$A300,Deal!$B$12*12,Deal!$H$7),"")</f>
        <v>729.984733685181</v>
      </c>
      <c r="F300" s="36" t="n">
        <f aca="false">IF($A300&lt;=Deal!$B$12*12,B300-D300,"")</f>
        <v>128145.772923672</v>
      </c>
    </row>
    <row r="301" customFormat="false" ht="15" hidden="false" customHeight="true" outlineLevel="0" collapsed="false">
      <c r="A301" s="35" t="n">
        <f aca="false">A300+1</f>
        <v>296</v>
      </c>
      <c r="B301" s="36" t="n">
        <f aca="false">F300</f>
        <v>128145.772923672</v>
      </c>
      <c r="C301" s="36" t="n">
        <f aca="false">IF($A301&lt;=Deal!$B$12*12,Deal!$H$20,"")</f>
        <v>2359.27557626688</v>
      </c>
      <c r="D301" s="36" t="n">
        <f aca="false">IF($A301&lt;=Deal!$B$12*12,-PPMT(Deal!$B$11/12,$A301,Deal!$B$12*12,Deal!$H$7),"")</f>
        <v>1638.45560357123</v>
      </c>
      <c r="E301" s="36" t="n">
        <f aca="false">IF($A301&lt;=Deal!$B$12*12,-IPMT(Deal!$B$11/12,$A301,Deal!$B$12*12,Deal!$H$7),"")</f>
        <v>720.819972695658</v>
      </c>
      <c r="F301" s="36" t="n">
        <f aca="false">IF($A301&lt;=Deal!$B$12*12,B301-D301,"")</f>
        <v>126507.317320101</v>
      </c>
    </row>
    <row r="302" customFormat="false" ht="15" hidden="false" customHeight="true" outlineLevel="0" collapsed="false">
      <c r="A302" s="35" t="n">
        <f aca="false">A301+1</f>
        <v>297</v>
      </c>
      <c r="B302" s="36" t="n">
        <f aca="false">F301</f>
        <v>126507.317320101</v>
      </c>
      <c r="C302" s="36" t="n">
        <f aca="false">IF($A302&lt;=Deal!$B$12*12,Deal!$H$20,"")</f>
        <v>2359.27557626688</v>
      </c>
      <c r="D302" s="36" t="n">
        <f aca="false">IF($A302&lt;=Deal!$B$12*12,-PPMT(Deal!$B$11/12,$A302,Deal!$B$12*12,Deal!$H$7),"")</f>
        <v>1647.67191634131</v>
      </c>
      <c r="E302" s="36" t="n">
        <f aca="false">IF($A302&lt;=Deal!$B$12*12,-IPMT(Deal!$B$11/12,$A302,Deal!$B$12*12,Deal!$H$7),"")</f>
        <v>711.603659925569</v>
      </c>
      <c r="F302" s="36" t="n">
        <f aca="false">IF($A302&lt;=Deal!$B$12*12,B302-D302,"")</f>
        <v>124859.64540376</v>
      </c>
    </row>
    <row r="303" customFormat="false" ht="15" hidden="false" customHeight="true" outlineLevel="0" collapsed="false">
      <c r="A303" s="35" t="n">
        <f aca="false">A302+1</f>
        <v>298</v>
      </c>
      <c r="B303" s="36" t="n">
        <f aca="false">F302</f>
        <v>124859.64540376</v>
      </c>
      <c r="C303" s="36" t="n">
        <f aca="false">IF($A303&lt;=Deal!$B$12*12,Deal!$H$20,"")</f>
        <v>2359.27557626688</v>
      </c>
      <c r="D303" s="36" t="n">
        <f aca="false">IF($A303&lt;=Deal!$B$12*12,-PPMT(Deal!$B$11/12,$A303,Deal!$B$12*12,Deal!$H$7),"")</f>
        <v>1656.94007087073</v>
      </c>
      <c r="E303" s="36" t="n">
        <f aca="false">IF($A303&lt;=Deal!$B$12*12,-IPMT(Deal!$B$11/12,$A303,Deal!$B$12*12,Deal!$H$7),"")</f>
        <v>702.33550539615</v>
      </c>
      <c r="F303" s="36" t="n">
        <f aca="false">IF($A303&lt;=Deal!$B$12*12,B303-D303,"")</f>
        <v>123202.705332889</v>
      </c>
    </row>
    <row r="304" customFormat="false" ht="15" hidden="false" customHeight="true" outlineLevel="0" collapsed="false">
      <c r="A304" s="35" t="n">
        <f aca="false">A303+1</f>
        <v>299</v>
      </c>
      <c r="B304" s="36" t="n">
        <f aca="false">F303</f>
        <v>123202.705332889</v>
      </c>
      <c r="C304" s="36" t="n">
        <f aca="false">IF($A304&lt;=Deal!$B$12*12,Deal!$H$20,"")</f>
        <v>2359.27557626688</v>
      </c>
      <c r="D304" s="36" t="n">
        <f aca="false">IF($A304&lt;=Deal!$B$12*12,-PPMT(Deal!$B$11/12,$A304,Deal!$B$12*12,Deal!$H$7),"")</f>
        <v>1666.26035876938</v>
      </c>
      <c r="E304" s="36" t="n">
        <f aca="false">IF($A304&lt;=Deal!$B$12*12,-IPMT(Deal!$B$11/12,$A304,Deal!$B$12*12,Deal!$H$7),"")</f>
        <v>693.015217497503</v>
      </c>
      <c r="F304" s="36" t="n">
        <f aca="false">IF($A304&lt;=Deal!$B$12*12,B304-D304,"")</f>
        <v>121536.444974119</v>
      </c>
    </row>
    <row r="305" customFormat="false" ht="15" hidden="false" customHeight="true" outlineLevel="0" collapsed="false">
      <c r="A305" s="37" t="n">
        <f aca="false">A304+1</f>
        <v>300</v>
      </c>
      <c r="B305" s="38" t="n">
        <f aca="false">F304</f>
        <v>121536.444974119</v>
      </c>
      <c r="C305" s="38" t="n">
        <f aca="false">IF($A305&lt;=Deal!$B$12*12,Deal!$H$20,"")</f>
        <v>2359.27557626688</v>
      </c>
      <c r="D305" s="38" t="n">
        <f aca="false">IF($A305&lt;=Deal!$B$12*12,-PPMT(Deal!$B$11/12,$A305,Deal!$B$12*12,Deal!$H$7),"")</f>
        <v>1675.63307328746</v>
      </c>
      <c r="E305" s="38" t="n">
        <f aca="false">IF($A305&lt;=Deal!$B$12*12,-IPMT(Deal!$B$11/12,$A305,Deal!$B$12*12,Deal!$H$7),"")</f>
        <v>683.642502979424</v>
      </c>
      <c r="F305" s="38" t="n">
        <f aca="false">IF($A305&lt;=Deal!$B$12*12,B305-D305,"")</f>
        <v>119860.811900832</v>
      </c>
    </row>
    <row r="306" customFormat="false" ht="15" hidden="false" customHeight="true" outlineLevel="0" collapsed="false">
      <c r="A306" s="35" t="n">
        <f aca="false">A305+1</f>
        <v>301</v>
      </c>
      <c r="B306" s="36" t="n">
        <f aca="false">F305</f>
        <v>119860.811900832</v>
      </c>
      <c r="C306" s="36" t="n">
        <f aca="false">IF($A306&lt;=Deal!$B$12*12,Deal!$H$20,"")</f>
        <v>2359.27557626688</v>
      </c>
      <c r="D306" s="36" t="n">
        <f aca="false">IF($A306&lt;=Deal!$B$12*12,-PPMT(Deal!$B$11/12,$A306,Deal!$B$12*12,Deal!$H$7),"")</f>
        <v>1685.0585093247</v>
      </c>
      <c r="E306" s="36" t="n">
        <f aca="false">IF($A306&lt;=Deal!$B$12*12,-IPMT(Deal!$B$11/12,$A306,Deal!$B$12*12,Deal!$H$7),"")</f>
        <v>674.217066942181</v>
      </c>
      <c r="F306" s="36" t="n">
        <f aca="false">IF($A306&lt;=Deal!$B$12*12,B306-D306,"")</f>
        <v>118175.753391507</v>
      </c>
    </row>
    <row r="307" customFormat="false" ht="15" hidden="false" customHeight="true" outlineLevel="0" collapsed="false">
      <c r="A307" s="35" t="n">
        <f aca="false">A306+1</f>
        <v>302</v>
      </c>
      <c r="B307" s="36" t="n">
        <f aca="false">F306</f>
        <v>118175.753391507</v>
      </c>
      <c r="C307" s="36" t="n">
        <f aca="false">IF($A307&lt;=Deal!$B$12*12,Deal!$H$20,"")</f>
        <v>2359.27557626688</v>
      </c>
      <c r="D307" s="36" t="n">
        <f aca="false">IF($A307&lt;=Deal!$B$12*12,-PPMT(Deal!$B$11/12,$A307,Deal!$B$12*12,Deal!$H$7),"")</f>
        <v>1694.53696343965</v>
      </c>
      <c r="E307" s="36" t="n">
        <f aca="false">IF($A307&lt;=Deal!$B$12*12,-IPMT(Deal!$B$11/12,$A307,Deal!$B$12*12,Deal!$H$7),"")</f>
        <v>664.738612827231</v>
      </c>
      <c r="F307" s="36" t="n">
        <f aca="false">IF($A307&lt;=Deal!$B$12*12,B307-D307,"")</f>
        <v>116481.216428068</v>
      </c>
    </row>
    <row r="308" customFormat="false" ht="15" hidden="false" customHeight="true" outlineLevel="0" collapsed="false">
      <c r="A308" s="35" t="n">
        <f aca="false">A307+1</f>
        <v>303</v>
      </c>
      <c r="B308" s="36" t="n">
        <f aca="false">F307</f>
        <v>116481.216428068</v>
      </c>
      <c r="C308" s="36" t="n">
        <f aca="false">IF($A308&lt;=Deal!$B$12*12,Deal!$H$20,"")</f>
        <v>2359.27557626688</v>
      </c>
      <c r="D308" s="36" t="n">
        <f aca="false">IF($A308&lt;=Deal!$B$12*12,-PPMT(Deal!$B$11/12,$A308,Deal!$B$12*12,Deal!$H$7),"")</f>
        <v>1704.068733859</v>
      </c>
      <c r="E308" s="36" t="n">
        <f aca="false">IF($A308&lt;=Deal!$B$12*12,-IPMT(Deal!$B$11/12,$A308,Deal!$B$12*12,Deal!$H$7),"")</f>
        <v>655.206842407883</v>
      </c>
      <c r="F308" s="36" t="n">
        <f aca="false">IF($A308&lt;=Deal!$B$12*12,B308-D308,"")</f>
        <v>114777.147694209</v>
      </c>
    </row>
    <row r="309" customFormat="false" ht="15" hidden="false" customHeight="true" outlineLevel="0" collapsed="false">
      <c r="A309" s="35" t="n">
        <f aca="false">A308+1</f>
        <v>304</v>
      </c>
      <c r="B309" s="36" t="n">
        <f aca="false">F308</f>
        <v>114777.147694209</v>
      </c>
      <c r="C309" s="36" t="n">
        <f aca="false">IF($A309&lt;=Deal!$B$12*12,Deal!$H$20,"")</f>
        <v>2359.27557626688</v>
      </c>
      <c r="D309" s="36" t="n">
        <f aca="false">IF($A309&lt;=Deal!$B$12*12,-PPMT(Deal!$B$11/12,$A309,Deal!$B$12*12,Deal!$H$7),"")</f>
        <v>1713.65412048696</v>
      </c>
      <c r="E309" s="36" t="n">
        <f aca="false">IF($A309&lt;=Deal!$B$12*12,-IPMT(Deal!$B$11/12,$A309,Deal!$B$12*12,Deal!$H$7),"")</f>
        <v>645.621455779926</v>
      </c>
      <c r="F309" s="36" t="n">
        <f aca="false">IF($A309&lt;=Deal!$B$12*12,B309-D309,"")</f>
        <v>113063.493573722</v>
      </c>
    </row>
    <row r="310" customFormat="false" ht="15" hidden="false" customHeight="true" outlineLevel="0" collapsed="false">
      <c r="A310" s="35" t="n">
        <f aca="false">A309+1</f>
        <v>305</v>
      </c>
      <c r="B310" s="36" t="n">
        <f aca="false">F309</f>
        <v>113063.493573722</v>
      </c>
      <c r="C310" s="36" t="n">
        <f aca="false">IF($A310&lt;=Deal!$B$12*12,Deal!$H$20,"")</f>
        <v>2359.27557626688</v>
      </c>
      <c r="D310" s="36" t="n">
        <f aca="false">IF($A310&lt;=Deal!$B$12*12,-PPMT(Deal!$B$11/12,$A310,Deal!$B$12*12,Deal!$H$7),"")</f>
        <v>1723.2934249147</v>
      </c>
      <c r="E310" s="36" t="n">
        <f aca="false">IF($A310&lt;=Deal!$B$12*12,-IPMT(Deal!$B$11/12,$A310,Deal!$B$12*12,Deal!$H$7),"")</f>
        <v>635.982151352187</v>
      </c>
      <c r="F310" s="36" t="n">
        <f aca="false">IF($A310&lt;=Deal!$B$12*12,B310-D310,"")</f>
        <v>111340.200148807</v>
      </c>
    </row>
    <row r="311" customFormat="false" ht="15" hidden="false" customHeight="true" outlineLevel="0" collapsed="false">
      <c r="A311" s="35" t="n">
        <f aca="false">A310+1</f>
        <v>306</v>
      </c>
      <c r="B311" s="36" t="n">
        <f aca="false">F310</f>
        <v>111340.200148807</v>
      </c>
      <c r="C311" s="36" t="n">
        <f aca="false">IF($A311&lt;=Deal!$B$12*12,Deal!$H$20,"")</f>
        <v>2359.27557626688</v>
      </c>
      <c r="D311" s="36" t="n">
        <f aca="false">IF($A311&lt;=Deal!$B$12*12,-PPMT(Deal!$B$11/12,$A311,Deal!$B$12*12,Deal!$H$7),"")</f>
        <v>1732.98695042984</v>
      </c>
      <c r="E311" s="36" t="n">
        <f aca="false">IF($A311&lt;=Deal!$B$12*12,-IPMT(Deal!$B$11/12,$A311,Deal!$B$12*12,Deal!$H$7),"")</f>
        <v>626.288625837042</v>
      </c>
      <c r="F311" s="36" t="n">
        <f aca="false">IF($A311&lt;=Deal!$B$12*12,B311-D311,"")</f>
        <v>109607.213198377</v>
      </c>
    </row>
    <row r="312" customFormat="false" ht="15" hidden="false" customHeight="true" outlineLevel="0" collapsed="false">
      <c r="A312" s="35" t="n">
        <f aca="false">A311+1</f>
        <v>307</v>
      </c>
      <c r="B312" s="36" t="n">
        <f aca="false">F311</f>
        <v>109607.213198377</v>
      </c>
      <c r="C312" s="36" t="n">
        <f aca="false">IF($A312&lt;=Deal!$B$12*12,Deal!$H$20,"")</f>
        <v>2359.27557626688</v>
      </c>
      <c r="D312" s="36" t="n">
        <f aca="false">IF($A312&lt;=Deal!$B$12*12,-PPMT(Deal!$B$11/12,$A312,Deal!$B$12*12,Deal!$H$7),"")</f>
        <v>1742.73500202601</v>
      </c>
      <c r="E312" s="36" t="n">
        <f aca="false">IF($A312&lt;=Deal!$B$12*12,-IPMT(Deal!$B$11/12,$A312,Deal!$B$12*12,Deal!$H$7),"")</f>
        <v>616.540574240873</v>
      </c>
      <c r="F312" s="36" t="n">
        <f aca="false">IF($A312&lt;=Deal!$B$12*12,B312-D312,"")</f>
        <v>107864.478196351</v>
      </c>
    </row>
    <row r="313" customFormat="false" ht="15" hidden="false" customHeight="true" outlineLevel="0" collapsed="false">
      <c r="A313" s="35" t="n">
        <f aca="false">A312+1</f>
        <v>308</v>
      </c>
      <c r="B313" s="36" t="n">
        <f aca="false">F312</f>
        <v>107864.478196351</v>
      </c>
      <c r="C313" s="36" t="n">
        <f aca="false">IF($A313&lt;=Deal!$B$12*12,Deal!$H$20,"")</f>
        <v>2359.27557626688</v>
      </c>
      <c r="D313" s="36" t="n">
        <f aca="false">IF($A313&lt;=Deal!$B$12*12,-PPMT(Deal!$B$11/12,$A313,Deal!$B$12*12,Deal!$H$7),"")</f>
        <v>1752.5378864124</v>
      </c>
      <c r="E313" s="36" t="n">
        <f aca="false">IF($A313&lt;=Deal!$B$12*12,-IPMT(Deal!$B$11/12,$A313,Deal!$B$12*12,Deal!$H$7),"")</f>
        <v>606.737689854479</v>
      </c>
      <c r="F313" s="36" t="n">
        <f aca="false">IF($A313&lt;=Deal!$B$12*12,B313-D313,"")</f>
        <v>106111.940309939</v>
      </c>
    </row>
    <row r="314" customFormat="false" ht="15" hidden="false" customHeight="true" outlineLevel="0" collapsed="false">
      <c r="A314" s="35" t="n">
        <f aca="false">A313+1</f>
        <v>309</v>
      </c>
      <c r="B314" s="36" t="n">
        <f aca="false">F313</f>
        <v>106111.940309939</v>
      </c>
      <c r="C314" s="36" t="n">
        <f aca="false">IF($A314&lt;=Deal!$B$12*12,Deal!$H$20,"")</f>
        <v>2359.27557626688</v>
      </c>
      <c r="D314" s="36" t="n">
        <f aca="false">IF($A314&lt;=Deal!$B$12*12,-PPMT(Deal!$B$11/12,$A314,Deal!$B$12*12,Deal!$H$7),"")</f>
        <v>1762.39591202348</v>
      </c>
      <c r="E314" s="36" t="n">
        <f aca="false">IF($A314&lt;=Deal!$B$12*12,-IPMT(Deal!$B$11/12,$A314,Deal!$B$12*12,Deal!$H$7),"")</f>
        <v>596.879664243407</v>
      </c>
      <c r="F314" s="36" t="n">
        <f aca="false">IF($A314&lt;=Deal!$B$12*12,B314-D314,"")</f>
        <v>104349.544397915</v>
      </c>
    </row>
    <row r="315" customFormat="false" ht="15" hidden="false" customHeight="true" outlineLevel="0" collapsed="false">
      <c r="A315" s="35" t="n">
        <f aca="false">A314+1</f>
        <v>310</v>
      </c>
      <c r="B315" s="36" t="n">
        <f aca="false">F314</f>
        <v>104349.544397915</v>
      </c>
      <c r="C315" s="36" t="n">
        <f aca="false">IF($A315&lt;=Deal!$B$12*12,Deal!$H$20,"")</f>
        <v>2359.27557626688</v>
      </c>
      <c r="D315" s="36" t="n">
        <f aca="false">IF($A315&lt;=Deal!$B$12*12,-PPMT(Deal!$B$11/12,$A315,Deal!$B$12*12,Deal!$H$7),"")</f>
        <v>1772.30938902861</v>
      </c>
      <c r="E315" s="36" t="n">
        <f aca="false">IF($A315&lt;=Deal!$B$12*12,-IPMT(Deal!$B$11/12,$A315,Deal!$B$12*12,Deal!$H$7),"")</f>
        <v>586.966187238276</v>
      </c>
      <c r="F315" s="36" t="n">
        <f aca="false">IF($A315&lt;=Deal!$B$12*12,B315-D315,"")</f>
        <v>102577.235008887</v>
      </c>
    </row>
    <row r="316" customFormat="false" ht="15" hidden="false" customHeight="true" outlineLevel="0" collapsed="false">
      <c r="A316" s="35" t="n">
        <f aca="false">A315+1</f>
        <v>311</v>
      </c>
      <c r="B316" s="36" t="n">
        <f aca="false">F315</f>
        <v>102577.235008887</v>
      </c>
      <c r="C316" s="36" t="n">
        <f aca="false">IF($A316&lt;=Deal!$B$12*12,Deal!$H$20,"")</f>
        <v>2359.27557626688</v>
      </c>
      <c r="D316" s="36" t="n">
        <f aca="false">IF($A316&lt;=Deal!$B$12*12,-PPMT(Deal!$B$11/12,$A316,Deal!$B$12*12,Deal!$H$7),"")</f>
        <v>1782.27862934189</v>
      </c>
      <c r="E316" s="36" t="n">
        <f aca="false">IF($A316&lt;=Deal!$B$12*12,-IPMT(Deal!$B$11/12,$A316,Deal!$B$12*12,Deal!$H$7),"")</f>
        <v>576.99694692499</v>
      </c>
      <c r="F316" s="36" t="n">
        <f aca="false">IF($A316&lt;=Deal!$B$12*12,B316-D316,"")</f>
        <v>100794.956379545</v>
      </c>
    </row>
    <row r="317" customFormat="false" ht="15" hidden="false" customHeight="true" outlineLevel="0" collapsed="false">
      <c r="A317" s="37" t="n">
        <f aca="false">A316+1</f>
        <v>312</v>
      </c>
      <c r="B317" s="38" t="n">
        <f aca="false">F316</f>
        <v>100794.956379545</v>
      </c>
      <c r="C317" s="38" t="n">
        <f aca="false">IF($A317&lt;=Deal!$B$12*12,Deal!$H$20,"")</f>
        <v>2359.27557626688</v>
      </c>
      <c r="D317" s="38" t="n">
        <f aca="false">IF($A317&lt;=Deal!$B$12*12,-PPMT(Deal!$B$11/12,$A317,Deal!$B$12*12,Deal!$H$7),"")</f>
        <v>1792.30394663194</v>
      </c>
      <c r="E317" s="38" t="n">
        <f aca="false">IF($A317&lt;=Deal!$B$12*12,-IPMT(Deal!$B$11/12,$A317,Deal!$B$12*12,Deal!$H$7),"")</f>
        <v>566.971629634942</v>
      </c>
      <c r="F317" s="38" t="n">
        <f aca="false">IF($A317&lt;=Deal!$B$12*12,B317-D317,"")</f>
        <v>99002.6524329128</v>
      </c>
    </row>
    <row r="318" customFormat="false" ht="15" hidden="false" customHeight="true" outlineLevel="0" collapsed="false">
      <c r="A318" s="35" t="n">
        <f aca="false">A317+1</f>
        <v>313</v>
      </c>
      <c r="B318" s="36" t="n">
        <f aca="false">F317</f>
        <v>99002.6524329128</v>
      </c>
      <c r="C318" s="36" t="n">
        <f aca="false">IF($A318&lt;=Deal!$B$12*12,Deal!$H$20,"")</f>
        <v>2359.27557626688</v>
      </c>
      <c r="D318" s="36" t="n">
        <f aca="false">IF($A318&lt;=Deal!$B$12*12,-PPMT(Deal!$B$11/12,$A318,Deal!$B$12*12,Deal!$H$7),"")</f>
        <v>1802.38565633175</v>
      </c>
      <c r="E318" s="36" t="n">
        <f aca="false">IF($A318&lt;=Deal!$B$12*12,-IPMT(Deal!$B$11/12,$A318,Deal!$B$12*12,Deal!$H$7),"")</f>
        <v>556.889919935138</v>
      </c>
      <c r="F318" s="36" t="n">
        <f aca="false">IF($A318&lt;=Deal!$B$12*12,B318-D318,"")</f>
        <v>97200.2667765811</v>
      </c>
    </row>
    <row r="319" customFormat="false" ht="15" hidden="false" customHeight="true" outlineLevel="0" collapsed="false">
      <c r="A319" s="35" t="n">
        <f aca="false">A318+1</f>
        <v>314</v>
      </c>
      <c r="B319" s="36" t="n">
        <f aca="false">F318</f>
        <v>97200.2667765811</v>
      </c>
      <c r="C319" s="36" t="n">
        <f aca="false">IF($A319&lt;=Deal!$B$12*12,Deal!$H$20,"")</f>
        <v>2359.27557626688</v>
      </c>
      <c r="D319" s="36" t="n">
        <f aca="false">IF($A319&lt;=Deal!$B$12*12,-PPMT(Deal!$B$11/12,$A319,Deal!$B$12*12,Deal!$H$7),"")</f>
        <v>1812.52407564861</v>
      </c>
      <c r="E319" s="36" t="n">
        <f aca="false">IF($A319&lt;=Deal!$B$12*12,-IPMT(Deal!$B$11/12,$A319,Deal!$B$12*12,Deal!$H$7),"")</f>
        <v>546.751500618271</v>
      </c>
      <c r="F319" s="36" t="n">
        <f aca="false">IF($A319&lt;=Deal!$B$12*12,B319-D319,"")</f>
        <v>95387.7427009325</v>
      </c>
    </row>
    <row r="320" customFormat="false" ht="15" hidden="false" customHeight="true" outlineLevel="0" collapsed="false">
      <c r="A320" s="35" t="n">
        <f aca="false">A319+1</f>
        <v>315</v>
      </c>
      <c r="B320" s="36" t="n">
        <f aca="false">F319</f>
        <v>95387.7427009325</v>
      </c>
      <c r="C320" s="36" t="n">
        <f aca="false">IF($A320&lt;=Deal!$B$12*12,Deal!$H$20,"")</f>
        <v>2359.27557626688</v>
      </c>
      <c r="D320" s="36" t="n">
        <f aca="false">IF($A320&lt;=Deal!$B$12*12,-PPMT(Deal!$B$11/12,$A320,Deal!$B$12*12,Deal!$H$7),"")</f>
        <v>1822.71952357413</v>
      </c>
      <c r="E320" s="36" t="n">
        <f aca="false">IF($A320&lt;=Deal!$B$12*12,-IPMT(Deal!$B$11/12,$A320,Deal!$B$12*12,Deal!$H$7),"")</f>
        <v>536.556052692749</v>
      </c>
      <c r="F320" s="36" t="n">
        <f aca="false">IF($A320&lt;=Deal!$B$12*12,B320-D320,"")</f>
        <v>93565.0231773583</v>
      </c>
    </row>
    <row r="321" customFormat="false" ht="15" hidden="false" customHeight="true" outlineLevel="0" collapsed="false">
      <c r="A321" s="35" t="n">
        <f aca="false">A320+1</f>
        <v>316</v>
      </c>
      <c r="B321" s="36" t="n">
        <f aca="false">F320</f>
        <v>93565.0231773583</v>
      </c>
      <c r="C321" s="36" t="n">
        <f aca="false">IF($A321&lt;=Deal!$B$12*12,Deal!$H$20,"")</f>
        <v>2359.27557626688</v>
      </c>
      <c r="D321" s="36" t="n">
        <f aca="false">IF($A321&lt;=Deal!$B$12*12,-PPMT(Deal!$B$11/12,$A321,Deal!$B$12*12,Deal!$H$7),"")</f>
        <v>1832.97232089424</v>
      </c>
      <c r="E321" s="36" t="n">
        <f aca="false">IF($A321&lt;=Deal!$B$12*12,-IPMT(Deal!$B$11/12,$A321,Deal!$B$12*12,Deal!$H$7),"")</f>
        <v>526.303255372643</v>
      </c>
      <c r="F321" s="36" t="n">
        <f aca="false">IF($A321&lt;=Deal!$B$12*12,B321-D321,"")</f>
        <v>91732.0508564641</v>
      </c>
    </row>
    <row r="322" customFormat="false" ht="15" hidden="false" customHeight="true" outlineLevel="0" collapsed="false">
      <c r="A322" s="35" t="n">
        <f aca="false">A321+1</f>
        <v>317</v>
      </c>
      <c r="B322" s="36" t="n">
        <f aca="false">F321</f>
        <v>91732.0508564641</v>
      </c>
      <c r="C322" s="36" t="n">
        <f aca="false">IF($A322&lt;=Deal!$B$12*12,Deal!$H$20,"")</f>
        <v>2359.27557626688</v>
      </c>
      <c r="D322" s="36" t="n">
        <f aca="false">IF($A322&lt;=Deal!$B$12*12,-PPMT(Deal!$B$11/12,$A322,Deal!$B$12*12,Deal!$H$7),"")</f>
        <v>1843.28279019927</v>
      </c>
      <c r="E322" s="36" t="n">
        <f aca="false">IF($A322&lt;=Deal!$B$12*12,-IPMT(Deal!$B$11/12,$A322,Deal!$B$12*12,Deal!$H$7),"")</f>
        <v>515.992786067613</v>
      </c>
      <c r="F322" s="36" t="n">
        <f aca="false">IF($A322&lt;=Deal!$B$12*12,B322-D322,"")</f>
        <v>89888.7680662648</v>
      </c>
    </row>
    <row r="323" customFormat="false" ht="15" hidden="false" customHeight="true" outlineLevel="0" collapsed="false">
      <c r="A323" s="35" t="n">
        <f aca="false">A322+1</f>
        <v>318</v>
      </c>
      <c r="B323" s="36" t="n">
        <f aca="false">F322</f>
        <v>89888.7680662648</v>
      </c>
      <c r="C323" s="36" t="n">
        <f aca="false">IF($A323&lt;=Deal!$B$12*12,Deal!$H$20,"")</f>
        <v>2359.27557626688</v>
      </c>
      <c r="D323" s="36" t="n">
        <f aca="false">IF($A323&lt;=Deal!$B$12*12,-PPMT(Deal!$B$11/12,$A323,Deal!$B$12*12,Deal!$H$7),"")</f>
        <v>1853.65125589414</v>
      </c>
      <c r="E323" s="36" t="n">
        <f aca="false">IF($A323&lt;=Deal!$B$12*12,-IPMT(Deal!$B$11/12,$A323,Deal!$B$12*12,Deal!$H$7),"")</f>
        <v>505.624320372743</v>
      </c>
      <c r="F323" s="36" t="n">
        <f aca="false">IF($A323&lt;=Deal!$B$12*12,B323-D323,"")</f>
        <v>88035.1168103707</v>
      </c>
    </row>
    <row r="324" customFormat="false" ht="15" hidden="false" customHeight="true" outlineLevel="0" collapsed="false">
      <c r="A324" s="35" t="n">
        <f aca="false">A323+1</f>
        <v>319</v>
      </c>
      <c r="B324" s="36" t="n">
        <f aca="false">F323</f>
        <v>88035.1168103707</v>
      </c>
      <c r="C324" s="36" t="n">
        <f aca="false">IF($A324&lt;=Deal!$B$12*12,Deal!$H$20,"")</f>
        <v>2359.27557626688</v>
      </c>
      <c r="D324" s="36" t="n">
        <f aca="false">IF($A324&lt;=Deal!$B$12*12,-PPMT(Deal!$B$11/12,$A324,Deal!$B$12*12,Deal!$H$7),"")</f>
        <v>1864.07804420854</v>
      </c>
      <c r="E324" s="36" t="n">
        <f aca="false">IF($A324&lt;=Deal!$B$12*12,-IPMT(Deal!$B$11/12,$A324,Deal!$B$12*12,Deal!$H$7),"")</f>
        <v>495.197532058338</v>
      </c>
      <c r="F324" s="36" t="n">
        <f aca="false">IF($A324&lt;=Deal!$B$12*12,B324-D324,"")</f>
        <v>86171.0387661621</v>
      </c>
    </row>
    <row r="325" customFormat="false" ht="15" hidden="false" customHeight="true" outlineLevel="0" collapsed="false">
      <c r="A325" s="35" t="n">
        <f aca="false">A324+1</f>
        <v>320</v>
      </c>
      <c r="B325" s="36" t="n">
        <f aca="false">F324</f>
        <v>86171.0387661621</v>
      </c>
      <c r="C325" s="36" t="n">
        <f aca="false">IF($A325&lt;=Deal!$B$12*12,Deal!$H$20,"")</f>
        <v>2359.27557626688</v>
      </c>
      <c r="D325" s="36" t="n">
        <f aca="false">IF($A325&lt;=Deal!$B$12*12,-PPMT(Deal!$B$11/12,$A325,Deal!$B$12*12,Deal!$H$7),"")</f>
        <v>1874.56348320722</v>
      </c>
      <c r="E325" s="36" t="n">
        <f aca="false">IF($A325&lt;=Deal!$B$12*12,-IPMT(Deal!$B$11/12,$A325,Deal!$B$12*12,Deal!$H$7),"")</f>
        <v>484.712093059664</v>
      </c>
      <c r="F325" s="36" t="n">
        <f aca="false">IF($A325&lt;=Deal!$B$12*12,B325-D325,"")</f>
        <v>84296.4752829549</v>
      </c>
    </row>
    <row r="326" customFormat="false" ht="15" hidden="false" customHeight="true" outlineLevel="0" collapsed="false">
      <c r="A326" s="35" t="n">
        <f aca="false">A325+1</f>
        <v>321</v>
      </c>
      <c r="B326" s="36" t="n">
        <f aca="false">F325</f>
        <v>84296.4752829549</v>
      </c>
      <c r="C326" s="36" t="n">
        <f aca="false">IF($A326&lt;=Deal!$B$12*12,Deal!$H$20,"")</f>
        <v>2359.27557626688</v>
      </c>
      <c r="D326" s="36" t="n">
        <f aca="false">IF($A326&lt;=Deal!$B$12*12,-PPMT(Deal!$B$11/12,$A326,Deal!$B$12*12,Deal!$H$7),"")</f>
        <v>1885.10790280026</v>
      </c>
      <c r="E326" s="36" t="n">
        <f aca="false">IF($A326&lt;=Deal!$B$12*12,-IPMT(Deal!$B$11/12,$A326,Deal!$B$12*12,Deal!$H$7),"")</f>
        <v>474.167673466623</v>
      </c>
      <c r="F326" s="36" t="n">
        <f aca="false">IF($A326&lt;=Deal!$B$12*12,B326-D326,"")</f>
        <v>82411.3673801547</v>
      </c>
    </row>
    <row r="327" customFormat="false" ht="15" hidden="false" customHeight="true" outlineLevel="0" collapsed="false">
      <c r="A327" s="35" t="n">
        <f aca="false">A326+1</f>
        <v>322</v>
      </c>
      <c r="B327" s="36" t="n">
        <f aca="false">F326</f>
        <v>82411.3673801547</v>
      </c>
      <c r="C327" s="36" t="n">
        <f aca="false">IF($A327&lt;=Deal!$B$12*12,Deal!$H$20,"")</f>
        <v>2359.27557626688</v>
      </c>
      <c r="D327" s="36" t="n">
        <f aca="false">IF($A327&lt;=Deal!$B$12*12,-PPMT(Deal!$B$11/12,$A327,Deal!$B$12*12,Deal!$H$7),"")</f>
        <v>1895.71163475351</v>
      </c>
      <c r="E327" s="36" t="n">
        <f aca="false">IF($A327&lt;=Deal!$B$12*12,-IPMT(Deal!$B$11/12,$A327,Deal!$B$12*12,Deal!$H$7),"")</f>
        <v>463.563941513371</v>
      </c>
      <c r="F327" s="36" t="n">
        <f aca="false">IF($A327&lt;=Deal!$B$12*12,B327-D327,"")</f>
        <v>80515.6557454012</v>
      </c>
    </row>
    <row r="328" customFormat="false" ht="15" hidden="false" customHeight="true" outlineLevel="0" collapsed="false">
      <c r="A328" s="35" t="n">
        <f aca="false">A327+1</f>
        <v>323</v>
      </c>
      <c r="B328" s="36" t="n">
        <f aca="false">F327</f>
        <v>80515.6557454012</v>
      </c>
      <c r="C328" s="36" t="n">
        <f aca="false">IF($A328&lt;=Deal!$B$12*12,Deal!$H$20,"")</f>
        <v>2359.27557626688</v>
      </c>
      <c r="D328" s="36" t="n">
        <f aca="false">IF($A328&lt;=Deal!$B$12*12,-PPMT(Deal!$B$11/12,$A328,Deal!$B$12*12,Deal!$H$7),"")</f>
        <v>1906.375012699</v>
      </c>
      <c r="E328" s="36" t="n">
        <f aca="false">IF($A328&lt;=Deal!$B$12*12,-IPMT(Deal!$B$11/12,$A328,Deal!$B$12*12,Deal!$H$7),"")</f>
        <v>452.900563567886</v>
      </c>
      <c r="F328" s="36" t="n">
        <f aca="false">IF($A328&lt;=Deal!$B$12*12,B328-D328,"")</f>
        <v>78609.2807327022</v>
      </c>
    </row>
    <row r="329" customFormat="false" ht="15" hidden="false" customHeight="true" outlineLevel="0" collapsed="false">
      <c r="A329" s="37" t="n">
        <f aca="false">A328+1</f>
        <v>324</v>
      </c>
      <c r="B329" s="38" t="n">
        <f aca="false">F328</f>
        <v>78609.2807327022</v>
      </c>
      <c r="C329" s="38" t="n">
        <f aca="false">IF($A329&lt;=Deal!$B$12*12,Deal!$H$20,"")</f>
        <v>2359.27557626688</v>
      </c>
      <c r="D329" s="38" t="n">
        <f aca="false">IF($A329&lt;=Deal!$B$12*12,-PPMT(Deal!$B$11/12,$A329,Deal!$B$12*12,Deal!$H$7),"")</f>
        <v>1917.09837214543</v>
      </c>
      <c r="E329" s="38" t="n">
        <f aca="false">IF($A329&lt;=Deal!$B$12*12,-IPMT(Deal!$B$11/12,$A329,Deal!$B$12*12,Deal!$H$7),"")</f>
        <v>442.177204121452</v>
      </c>
      <c r="F329" s="38" t="n">
        <f aca="false">IF($A329&lt;=Deal!$B$12*12,B329-D329,"")</f>
        <v>76692.1823605567</v>
      </c>
    </row>
    <row r="330" customFormat="false" ht="15" hidden="false" customHeight="true" outlineLevel="0" collapsed="false">
      <c r="A330" s="35" t="n">
        <f aca="false">A329+1</f>
        <v>325</v>
      </c>
      <c r="B330" s="36" t="n">
        <f aca="false">F329</f>
        <v>76692.1823605567</v>
      </c>
      <c r="C330" s="36" t="n">
        <f aca="false">IF($A330&lt;=Deal!$B$12*12,Deal!$H$20,"")</f>
        <v>2359.27557626688</v>
      </c>
      <c r="D330" s="36" t="n">
        <f aca="false">IF($A330&lt;=Deal!$B$12*12,-PPMT(Deal!$B$11/12,$A330,Deal!$B$12*12,Deal!$H$7),"")</f>
        <v>1927.88205048875</v>
      </c>
      <c r="E330" s="36" t="n">
        <f aca="false">IF($A330&lt;=Deal!$B$12*12,-IPMT(Deal!$B$11/12,$A330,Deal!$B$12*12,Deal!$H$7),"")</f>
        <v>431.393525778133</v>
      </c>
      <c r="F330" s="36" t="n">
        <f aca="false">IF($A330&lt;=Deal!$B$12*12,B330-D330,"")</f>
        <v>74764.300310068</v>
      </c>
    </row>
    <row r="331" customFormat="false" ht="15" hidden="false" customHeight="true" outlineLevel="0" collapsed="false">
      <c r="A331" s="35" t="n">
        <f aca="false">A330+1</f>
        <v>326</v>
      </c>
      <c r="B331" s="36" t="n">
        <f aca="false">F330</f>
        <v>74764.300310068</v>
      </c>
      <c r="C331" s="36" t="n">
        <f aca="false">IF($A331&lt;=Deal!$B$12*12,Deal!$H$20,"")</f>
        <v>2359.27557626688</v>
      </c>
      <c r="D331" s="36" t="n">
        <f aca="false">IF($A331&lt;=Deal!$B$12*12,-PPMT(Deal!$B$11/12,$A331,Deal!$B$12*12,Deal!$H$7),"")</f>
        <v>1938.72638702275</v>
      </c>
      <c r="E331" s="36" t="n">
        <f aca="false">IF($A331&lt;=Deal!$B$12*12,-IPMT(Deal!$B$11/12,$A331,Deal!$B$12*12,Deal!$H$7),"")</f>
        <v>420.549189244135</v>
      </c>
      <c r="F331" s="36" t="n">
        <f aca="false">IF($A331&lt;=Deal!$B$12*12,B331-D331,"")</f>
        <v>72825.5739230452</v>
      </c>
    </row>
    <row r="332" customFormat="false" ht="15" hidden="false" customHeight="true" outlineLevel="0" collapsed="false">
      <c r="A332" s="35" t="n">
        <f aca="false">A331+1</f>
        <v>327</v>
      </c>
      <c r="B332" s="36" t="n">
        <f aca="false">F331</f>
        <v>72825.5739230452</v>
      </c>
      <c r="C332" s="36" t="n">
        <f aca="false">IF($A332&lt;=Deal!$B$12*12,Deal!$H$20,"")</f>
        <v>2359.27557626688</v>
      </c>
      <c r="D332" s="36" t="n">
        <f aca="false">IF($A332&lt;=Deal!$B$12*12,-PPMT(Deal!$B$11/12,$A332,Deal!$B$12*12,Deal!$H$7),"")</f>
        <v>1949.63172294975</v>
      </c>
      <c r="E332" s="36" t="n">
        <f aca="false">IF($A332&lt;=Deal!$B$12*12,-IPMT(Deal!$B$11/12,$A332,Deal!$B$12*12,Deal!$H$7),"")</f>
        <v>409.64385331713</v>
      </c>
      <c r="F332" s="36" t="n">
        <f aca="false">IF($A332&lt;=Deal!$B$12*12,B332-D332,"")</f>
        <v>70875.9422000955</v>
      </c>
    </row>
    <row r="333" customFormat="false" ht="15" hidden="false" customHeight="true" outlineLevel="0" collapsed="false">
      <c r="A333" s="35" t="n">
        <f aca="false">A332+1</f>
        <v>328</v>
      </c>
      <c r="B333" s="36" t="n">
        <f aca="false">F332</f>
        <v>70875.9422000955</v>
      </c>
      <c r="C333" s="36" t="n">
        <f aca="false">IF($A333&lt;=Deal!$B$12*12,Deal!$H$20,"")</f>
        <v>2359.27557626688</v>
      </c>
      <c r="D333" s="36" t="n">
        <f aca="false">IF($A333&lt;=Deal!$B$12*12,-PPMT(Deal!$B$11/12,$A333,Deal!$B$12*12,Deal!$H$7),"")</f>
        <v>1960.59840139134</v>
      </c>
      <c r="E333" s="36" t="n">
        <f aca="false">IF($A333&lt;=Deal!$B$12*12,-IPMT(Deal!$B$11/12,$A333,Deal!$B$12*12,Deal!$H$7),"")</f>
        <v>398.677174875541</v>
      </c>
      <c r="F333" s="36" t="n">
        <f aca="false">IF($A333&lt;=Deal!$B$12*12,B333-D333,"")</f>
        <v>68915.3437987041</v>
      </c>
    </row>
    <row r="334" customFormat="false" ht="15" hidden="false" customHeight="true" outlineLevel="0" collapsed="false">
      <c r="A334" s="35" t="n">
        <f aca="false">A333+1</f>
        <v>329</v>
      </c>
      <c r="B334" s="36" t="n">
        <f aca="false">F333</f>
        <v>68915.3437987041</v>
      </c>
      <c r="C334" s="36" t="n">
        <f aca="false">IF($A334&lt;=Deal!$B$12*12,Deal!$H$20,"")</f>
        <v>2359.27557626688</v>
      </c>
      <c r="D334" s="36" t="n">
        <f aca="false">IF($A334&lt;=Deal!$B$12*12,-PPMT(Deal!$B$11/12,$A334,Deal!$B$12*12,Deal!$H$7),"")</f>
        <v>1971.62676739917</v>
      </c>
      <c r="E334" s="36" t="n">
        <f aca="false">IF($A334&lt;=Deal!$B$12*12,-IPMT(Deal!$B$11/12,$A334,Deal!$B$12*12,Deal!$H$7),"")</f>
        <v>387.648808867714</v>
      </c>
      <c r="F334" s="36" t="n">
        <f aca="false">IF($A334&lt;=Deal!$B$12*12,B334-D334,"")</f>
        <v>66943.717031305</v>
      </c>
    </row>
    <row r="335" customFormat="false" ht="15" hidden="false" customHeight="true" outlineLevel="0" collapsed="false">
      <c r="A335" s="35" t="n">
        <f aca="false">A334+1</f>
        <v>330</v>
      </c>
      <c r="B335" s="36" t="n">
        <f aca="false">F334</f>
        <v>66943.717031305</v>
      </c>
      <c r="C335" s="36" t="n">
        <f aca="false">IF($A335&lt;=Deal!$B$12*12,Deal!$H$20,"")</f>
        <v>2359.27557626688</v>
      </c>
      <c r="D335" s="36" t="n">
        <f aca="false">IF($A335&lt;=Deal!$B$12*12,-PPMT(Deal!$B$11/12,$A335,Deal!$B$12*12,Deal!$H$7),"")</f>
        <v>1982.71716796579</v>
      </c>
      <c r="E335" s="36" t="n">
        <f aca="false">IF($A335&lt;=Deal!$B$12*12,-IPMT(Deal!$B$11/12,$A335,Deal!$B$12*12,Deal!$H$7),"")</f>
        <v>376.558408301093</v>
      </c>
      <c r="F335" s="36" t="n">
        <f aca="false">IF($A335&lt;=Deal!$B$12*12,B335-D335,"")</f>
        <v>64960.9998633392</v>
      </c>
    </row>
    <row r="336" customFormat="false" ht="15" hidden="false" customHeight="true" outlineLevel="0" collapsed="false">
      <c r="A336" s="35" t="n">
        <f aca="false">A335+1</f>
        <v>331</v>
      </c>
      <c r="B336" s="36" t="n">
        <f aca="false">F335</f>
        <v>64960.9998633392</v>
      </c>
      <c r="C336" s="36" t="n">
        <f aca="false">IF($A336&lt;=Deal!$B$12*12,Deal!$H$20,"")</f>
        <v>2359.27557626688</v>
      </c>
      <c r="D336" s="36" t="n">
        <f aca="false">IF($A336&lt;=Deal!$B$12*12,-PPMT(Deal!$B$11/12,$A336,Deal!$B$12*12,Deal!$H$7),"")</f>
        <v>1993.8699520356</v>
      </c>
      <c r="E336" s="36" t="n">
        <f aca="false">IF($A336&lt;=Deal!$B$12*12,-IPMT(Deal!$B$11/12,$A336,Deal!$B$12*12,Deal!$H$7),"")</f>
        <v>365.405624231286</v>
      </c>
      <c r="F336" s="36" t="n">
        <f aca="false">IF($A336&lt;=Deal!$B$12*12,B336-D336,"")</f>
        <v>62967.1299113036</v>
      </c>
    </row>
    <row r="337" customFormat="false" ht="15" hidden="false" customHeight="true" outlineLevel="0" collapsed="false">
      <c r="A337" s="35" t="n">
        <f aca="false">A336+1</f>
        <v>332</v>
      </c>
      <c r="B337" s="36" t="n">
        <f aca="false">F336</f>
        <v>62967.1299113036</v>
      </c>
      <c r="C337" s="36" t="n">
        <f aca="false">IF($A337&lt;=Deal!$B$12*12,Deal!$H$20,"")</f>
        <v>2359.27557626688</v>
      </c>
      <c r="D337" s="36" t="n">
        <f aca="false">IF($A337&lt;=Deal!$B$12*12,-PPMT(Deal!$B$11/12,$A337,Deal!$B$12*12,Deal!$H$7),"")</f>
        <v>2005.0854705158</v>
      </c>
      <c r="E337" s="36" t="n">
        <f aca="false">IF($A337&lt;=Deal!$B$12*12,-IPMT(Deal!$B$11/12,$A337,Deal!$B$12*12,Deal!$H$7),"")</f>
        <v>354.190105751086</v>
      </c>
      <c r="F337" s="36" t="n">
        <f aca="false">IF($A337&lt;=Deal!$B$12*12,B337-D337,"")</f>
        <v>60962.0444407878</v>
      </c>
    </row>
    <row r="338" customFormat="false" ht="15" hidden="false" customHeight="true" outlineLevel="0" collapsed="false">
      <c r="A338" s="35" t="n">
        <f aca="false">A337+1</f>
        <v>333</v>
      </c>
      <c r="B338" s="36" t="n">
        <f aca="false">F337</f>
        <v>60962.0444407878</v>
      </c>
      <c r="C338" s="36" t="n">
        <f aca="false">IF($A338&lt;=Deal!$B$12*12,Deal!$H$20,"")</f>
        <v>2359.27557626688</v>
      </c>
      <c r="D338" s="36" t="n">
        <f aca="false">IF($A338&lt;=Deal!$B$12*12,-PPMT(Deal!$B$11/12,$A338,Deal!$B$12*12,Deal!$H$7),"")</f>
        <v>2016.36407628745</v>
      </c>
      <c r="E338" s="36" t="n">
        <f aca="false">IF($A338&lt;=Deal!$B$12*12,-IPMT(Deal!$B$11/12,$A338,Deal!$B$12*12,Deal!$H$7),"")</f>
        <v>342.911499979434</v>
      </c>
      <c r="F338" s="36" t="n">
        <f aca="false">IF($A338&lt;=Deal!$B$12*12,B338-D338,"")</f>
        <v>58945.6803645003</v>
      </c>
    </row>
    <row r="339" customFormat="false" ht="15" hidden="false" customHeight="true" outlineLevel="0" collapsed="false">
      <c r="A339" s="35" t="n">
        <f aca="false">A338+1</f>
        <v>334</v>
      </c>
      <c r="B339" s="36" t="n">
        <f aca="false">F338</f>
        <v>58945.6803645003</v>
      </c>
      <c r="C339" s="36" t="n">
        <f aca="false">IF($A339&lt;=Deal!$B$12*12,Deal!$H$20,"")</f>
        <v>2359.27557626688</v>
      </c>
      <c r="D339" s="36" t="n">
        <f aca="false">IF($A339&lt;=Deal!$B$12*12,-PPMT(Deal!$B$11/12,$A339,Deal!$B$12*12,Deal!$H$7),"")</f>
        <v>2027.70612421656</v>
      </c>
      <c r="E339" s="36" t="n">
        <f aca="false">IF($A339&lt;=Deal!$B$12*12,-IPMT(Deal!$B$11/12,$A339,Deal!$B$12*12,Deal!$H$7),"")</f>
        <v>331.569452050318</v>
      </c>
      <c r="F339" s="36" t="n">
        <f aca="false">IF($A339&lt;=Deal!$B$12*12,B339-D339,"")</f>
        <v>56917.9742402838</v>
      </c>
    </row>
    <row r="340" customFormat="false" ht="15" hidden="false" customHeight="true" outlineLevel="0" collapsed="false">
      <c r="A340" s="35" t="n">
        <f aca="false">A339+1</f>
        <v>335</v>
      </c>
      <c r="B340" s="36" t="n">
        <f aca="false">F339</f>
        <v>56917.9742402838</v>
      </c>
      <c r="C340" s="36" t="n">
        <f aca="false">IF($A340&lt;=Deal!$B$12*12,Deal!$H$20,"")</f>
        <v>2359.27557626688</v>
      </c>
      <c r="D340" s="36" t="n">
        <f aca="false">IF($A340&lt;=Deal!$B$12*12,-PPMT(Deal!$B$11/12,$A340,Deal!$B$12*12,Deal!$H$7),"")</f>
        <v>2039.11197116528</v>
      </c>
      <c r="E340" s="36" t="n">
        <f aca="false">IF($A340&lt;=Deal!$B$12*12,-IPMT(Deal!$B$11/12,$A340,Deal!$B$12*12,Deal!$H$7),"")</f>
        <v>320.1636051016</v>
      </c>
      <c r="F340" s="36" t="n">
        <f aca="false">IF($A340&lt;=Deal!$B$12*12,B340-D340,"")</f>
        <v>54878.8622691185</v>
      </c>
    </row>
    <row r="341" customFormat="false" ht="15" hidden="false" customHeight="true" outlineLevel="0" collapsed="false">
      <c r="A341" s="37" t="n">
        <f aca="false">A340+1</f>
        <v>336</v>
      </c>
      <c r="B341" s="38" t="n">
        <f aca="false">F340</f>
        <v>54878.8622691185</v>
      </c>
      <c r="C341" s="38" t="n">
        <f aca="false">IF($A341&lt;=Deal!$B$12*12,Deal!$H$20,"")</f>
        <v>2359.27557626688</v>
      </c>
      <c r="D341" s="38" t="n">
        <f aca="false">IF($A341&lt;=Deal!$B$12*12,-PPMT(Deal!$B$11/12,$A341,Deal!$B$12*12,Deal!$H$7),"")</f>
        <v>2050.58197600309</v>
      </c>
      <c r="E341" s="38" t="n">
        <f aca="false">IF($A341&lt;=Deal!$B$12*12,-IPMT(Deal!$B$11/12,$A341,Deal!$B$12*12,Deal!$H$7),"")</f>
        <v>308.693600263794</v>
      </c>
      <c r="F341" s="38" t="n">
        <f aca="false">IF($A341&lt;=Deal!$B$12*12,B341-D341,"")</f>
        <v>52828.2802931154</v>
      </c>
    </row>
    <row r="342" customFormat="false" ht="15" hidden="false" customHeight="true" outlineLevel="0" collapsed="false">
      <c r="A342" s="35" t="n">
        <f aca="false">A341+1</f>
        <v>337</v>
      </c>
      <c r="B342" s="36" t="n">
        <f aca="false">F341</f>
        <v>52828.2802931154</v>
      </c>
      <c r="C342" s="36" t="n">
        <f aca="false">IF($A342&lt;=Deal!$B$12*12,Deal!$H$20,"")</f>
        <v>2359.27557626688</v>
      </c>
      <c r="D342" s="36" t="n">
        <f aca="false">IF($A342&lt;=Deal!$B$12*12,-PPMT(Deal!$B$11/12,$A342,Deal!$B$12*12,Deal!$H$7),"")</f>
        <v>2062.11649961811</v>
      </c>
      <c r="E342" s="36" t="n">
        <f aca="false">IF($A342&lt;=Deal!$B$12*12,-IPMT(Deal!$B$11/12,$A342,Deal!$B$12*12,Deal!$H$7),"")</f>
        <v>297.159076648778</v>
      </c>
      <c r="F342" s="36" t="n">
        <f aca="false">IF($A342&lt;=Deal!$B$12*12,B342-D342,"")</f>
        <v>50766.1637934973</v>
      </c>
    </row>
    <row r="343" customFormat="false" ht="15" hidden="false" customHeight="true" outlineLevel="0" collapsed="false">
      <c r="A343" s="35" t="n">
        <f aca="false">A342+1</f>
        <v>338</v>
      </c>
      <c r="B343" s="36" t="n">
        <f aca="false">F342</f>
        <v>50766.1637934973</v>
      </c>
      <c r="C343" s="36" t="n">
        <f aca="false">IF($A343&lt;=Deal!$B$12*12,Deal!$H$20,"")</f>
        <v>2359.27557626688</v>
      </c>
      <c r="D343" s="36" t="n">
        <f aca="false">IF($A343&lt;=Deal!$B$12*12,-PPMT(Deal!$B$11/12,$A343,Deal!$B$12*12,Deal!$H$7),"")</f>
        <v>2073.71590492846</v>
      </c>
      <c r="E343" s="36" t="n">
        <f aca="false">IF($A343&lt;=Deal!$B$12*12,-IPMT(Deal!$B$11/12,$A343,Deal!$B$12*12,Deal!$H$7),"")</f>
        <v>285.559671338425</v>
      </c>
      <c r="F343" s="36" t="n">
        <f aca="false">IF($A343&lt;=Deal!$B$12*12,B343-D343,"")</f>
        <v>48692.4478885688</v>
      </c>
    </row>
    <row r="344" customFormat="false" ht="15" hidden="false" customHeight="true" outlineLevel="0" collapsed="false">
      <c r="A344" s="35" t="n">
        <f aca="false">A343+1</f>
        <v>339</v>
      </c>
      <c r="B344" s="36" t="n">
        <f aca="false">F343</f>
        <v>48692.4478885688</v>
      </c>
      <c r="C344" s="36" t="n">
        <f aca="false">IF($A344&lt;=Deal!$B$12*12,Deal!$H$20,"")</f>
        <v>2359.27557626688</v>
      </c>
      <c r="D344" s="36" t="n">
        <f aca="false">IF($A344&lt;=Deal!$B$12*12,-PPMT(Deal!$B$11/12,$A344,Deal!$B$12*12,Deal!$H$7),"")</f>
        <v>2085.38055689368</v>
      </c>
      <c r="E344" s="36" t="n">
        <f aca="false">IF($A344&lt;=Deal!$B$12*12,-IPMT(Deal!$B$11/12,$A344,Deal!$B$12*12,Deal!$H$7),"")</f>
        <v>273.895019373202</v>
      </c>
      <c r="F344" s="36" t="n">
        <f aca="false">IF($A344&lt;=Deal!$B$12*12,B344-D344,"")</f>
        <v>46607.0673316752</v>
      </c>
    </row>
    <row r="345" customFormat="false" ht="15" hidden="false" customHeight="true" outlineLevel="0" collapsed="false">
      <c r="A345" s="35" t="n">
        <f aca="false">A344+1</f>
        <v>340</v>
      </c>
      <c r="B345" s="36" t="n">
        <f aca="false">F344</f>
        <v>46607.0673316752</v>
      </c>
      <c r="C345" s="36" t="n">
        <f aca="false">IF($A345&lt;=Deal!$B$12*12,Deal!$H$20,"")</f>
        <v>2359.27557626688</v>
      </c>
      <c r="D345" s="36" t="n">
        <f aca="false">IF($A345&lt;=Deal!$B$12*12,-PPMT(Deal!$B$11/12,$A345,Deal!$B$12*12,Deal!$H$7),"")</f>
        <v>2097.11082252621</v>
      </c>
      <c r="E345" s="36" t="n">
        <f aca="false">IF($A345&lt;=Deal!$B$12*12,-IPMT(Deal!$B$11/12,$A345,Deal!$B$12*12,Deal!$H$7),"")</f>
        <v>262.164753740675</v>
      </c>
      <c r="F345" s="36" t="n">
        <f aca="false">IF($A345&lt;=Deal!$B$12*12,B345-D345,"")</f>
        <v>44509.956509149</v>
      </c>
    </row>
    <row r="346" customFormat="false" ht="15" hidden="false" customHeight="true" outlineLevel="0" collapsed="false">
      <c r="A346" s="35" t="n">
        <f aca="false">A345+1</f>
        <v>341</v>
      </c>
      <c r="B346" s="36" t="n">
        <f aca="false">F345</f>
        <v>44509.956509149</v>
      </c>
      <c r="C346" s="36" t="n">
        <f aca="false">IF($A346&lt;=Deal!$B$12*12,Deal!$H$20,"")</f>
        <v>2359.27557626688</v>
      </c>
      <c r="D346" s="36" t="n">
        <f aca="false">IF($A346&lt;=Deal!$B$12*12,-PPMT(Deal!$B$11/12,$A346,Deal!$B$12*12,Deal!$H$7),"")</f>
        <v>2108.90707090292</v>
      </c>
      <c r="E346" s="36" t="n">
        <f aca="false">IF($A346&lt;=Deal!$B$12*12,-IPMT(Deal!$B$11/12,$A346,Deal!$B$12*12,Deal!$H$7),"")</f>
        <v>250.368505363966</v>
      </c>
      <c r="F346" s="36" t="n">
        <f aca="false">IF($A346&lt;=Deal!$B$12*12,B346-D346,"")</f>
        <v>42401.049438246</v>
      </c>
    </row>
    <row r="347" customFormat="false" ht="15" hidden="false" customHeight="true" outlineLevel="0" collapsed="false">
      <c r="A347" s="35" t="n">
        <f aca="false">A346+1</f>
        <v>342</v>
      </c>
      <c r="B347" s="36" t="n">
        <f aca="false">F346</f>
        <v>42401.049438246</v>
      </c>
      <c r="C347" s="36" t="n">
        <f aca="false">IF($A347&lt;=Deal!$B$12*12,Deal!$H$20,"")</f>
        <v>2359.27557626688</v>
      </c>
      <c r="D347" s="36" t="n">
        <f aca="false">IF($A347&lt;=Deal!$B$12*12,-PPMT(Deal!$B$11/12,$A347,Deal!$B$12*12,Deal!$H$7),"")</f>
        <v>2120.76967317675</v>
      </c>
      <c r="E347" s="36" t="n">
        <f aca="false">IF($A347&lt;=Deal!$B$12*12,-IPMT(Deal!$B$11/12,$A347,Deal!$B$12*12,Deal!$H$7),"")</f>
        <v>238.505903090137</v>
      </c>
      <c r="F347" s="36" t="n">
        <f aca="false">IF($A347&lt;=Deal!$B$12*12,B347-D347,"")</f>
        <v>40280.2797650693</v>
      </c>
    </row>
    <row r="348" customFormat="false" ht="15" hidden="false" customHeight="true" outlineLevel="0" collapsed="false">
      <c r="A348" s="35" t="n">
        <f aca="false">A347+1</f>
        <v>343</v>
      </c>
      <c r="B348" s="36" t="n">
        <f aca="false">F347</f>
        <v>40280.2797650693</v>
      </c>
      <c r="C348" s="36" t="n">
        <f aca="false">IF($A348&lt;=Deal!$B$12*12,Deal!$H$20,"")</f>
        <v>2359.27557626688</v>
      </c>
      <c r="D348" s="36" t="n">
        <f aca="false">IF($A348&lt;=Deal!$B$12*12,-PPMT(Deal!$B$11/12,$A348,Deal!$B$12*12,Deal!$H$7),"")</f>
        <v>2132.69900258836</v>
      </c>
      <c r="E348" s="36" t="n">
        <f aca="false">IF($A348&lt;=Deal!$B$12*12,-IPMT(Deal!$B$11/12,$A348,Deal!$B$12*12,Deal!$H$7),"")</f>
        <v>226.57657367852</v>
      </c>
      <c r="F348" s="36" t="n">
        <f aca="false">IF($A348&lt;=Deal!$B$12*12,B348-D348,"")</f>
        <v>38147.5807624809</v>
      </c>
    </row>
    <row r="349" customFormat="false" ht="15" hidden="false" customHeight="true" outlineLevel="0" collapsed="false">
      <c r="A349" s="35" t="n">
        <f aca="false">A348+1</f>
        <v>344</v>
      </c>
      <c r="B349" s="36" t="n">
        <f aca="false">F348</f>
        <v>38147.5807624809</v>
      </c>
      <c r="C349" s="36" t="n">
        <f aca="false">IF($A349&lt;=Deal!$B$12*12,Deal!$H$20,"")</f>
        <v>2359.27557626688</v>
      </c>
      <c r="D349" s="36" t="n">
        <f aca="false">IF($A349&lt;=Deal!$B$12*12,-PPMT(Deal!$B$11/12,$A349,Deal!$B$12*12,Deal!$H$7),"")</f>
        <v>2144.69543447793</v>
      </c>
      <c r="E349" s="36" t="n">
        <f aca="false">IF($A349&lt;=Deal!$B$12*12,-IPMT(Deal!$B$11/12,$A349,Deal!$B$12*12,Deal!$H$7),"")</f>
        <v>214.580141788957</v>
      </c>
      <c r="F349" s="36" t="n">
        <f aca="false">IF($A349&lt;=Deal!$B$12*12,B349-D349,"")</f>
        <v>36002.885328003</v>
      </c>
    </row>
    <row r="350" customFormat="false" ht="15" hidden="false" customHeight="true" outlineLevel="0" collapsed="false">
      <c r="A350" s="35" t="n">
        <f aca="false">A349+1</f>
        <v>345</v>
      </c>
      <c r="B350" s="36" t="n">
        <f aca="false">F349</f>
        <v>36002.885328003</v>
      </c>
      <c r="C350" s="36" t="n">
        <f aca="false">IF($A350&lt;=Deal!$B$12*12,Deal!$H$20,"")</f>
        <v>2359.27557626688</v>
      </c>
      <c r="D350" s="36" t="n">
        <f aca="false">IF($A350&lt;=Deal!$B$12*12,-PPMT(Deal!$B$11/12,$A350,Deal!$B$12*12,Deal!$H$7),"")</f>
        <v>2156.75934629686</v>
      </c>
      <c r="E350" s="36" t="n">
        <f aca="false">IF($A350&lt;=Deal!$B$12*12,-IPMT(Deal!$B$11/12,$A350,Deal!$B$12*12,Deal!$H$7),"")</f>
        <v>202.516229970018</v>
      </c>
      <c r="F350" s="36" t="n">
        <f aca="false">IF($A350&lt;=Deal!$B$12*12,B350-D350,"")</f>
        <v>33846.1259817061</v>
      </c>
    </row>
    <row r="351" customFormat="false" ht="15" hidden="false" customHeight="true" outlineLevel="0" collapsed="false">
      <c r="A351" s="35" t="n">
        <f aca="false">A350+1</f>
        <v>346</v>
      </c>
      <c r="B351" s="36" t="n">
        <f aca="false">F350</f>
        <v>33846.1259817061</v>
      </c>
      <c r="C351" s="36" t="n">
        <f aca="false">IF($A351&lt;=Deal!$B$12*12,Deal!$H$20,"")</f>
        <v>2359.27557626688</v>
      </c>
      <c r="D351" s="36" t="n">
        <f aca="false">IF($A351&lt;=Deal!$B$12*12,-PPMT(Deal!$B$11/12,$A351,Deal!$B$12*12,Deal!$H$7),"")</f>
        <v>2168.89111761978</v>
      </c>
      <c r="E351" s="36" t="n">
        <f aca="false">IF($A351&lt;=Deal!$B$12*12,-IPMT(Deal!$B$11/12,$A351,Deal!$B$12*12,Deal!$H$7),"")</f>
        <v>190.384458647099</v>
      </c>
      <c r="F351" s="36" t="n">
        <f aca="false">IF($A351&lt;=Deal!$B$12*12,B351-D351,"")</f>
        <v>31677.2348640864</v>
      </c>
    </row>
    <row r="352" customFormat="false" ht="15" hidden="false" customHeight="true" outlineLevel="0" collapsed="false">
      <c r="A352" s="35" t="n">
        <f aca="false">A351+1</f>
        <v>347</v>
      </c>
      <c r="B352" s="36" t="n">
        <f aca="false">F351</f>
        <v>31677.2348640864</v>
      </c>
      <c r="C352" s="36" t="n">
        <f aca="false">IF($A352&lt;=Deal!$B$12*12,Deal!$H$20,"")</f>
        <v>2359.27557626688</v>
      </c>
      <c r="D352" s="36" t="n">
        <f aca="false">IF($A352&lt;=Deal!$B$12*12,-PPMT(Deal!$B$11/12,$A352,Deal!$B$12*12,Deal!$H$7),"")</f>
        <v>2181.09113015639</v>
      </c>
      <c r="E352" s="36" t="n">
        <f aca="false">IF($A352&lt;=Deal!$B$12*12,-IPMT(Deal!$B$11/12,$A352,Deal!$B$12*12,Deal!$H$7),"")</f>
        <v>178.18444611049</v>
      </c>
      <c r="F352" s="36" t="n">
        <f aca="false">IF($A352&lt;=Deal!$B$12*12,B352-D352,"")</f>
        <v>29496.14373393</v>
      </c>
    </row>
    <row r="353" customFormat="false" ht="15" hidden="false" customHeight="true" outlineLevel="0" collapsed="false">
      <c r="A353" s="37" t="n">
        <f aca="false">A352+1</f>
        <v>348</v>
      </c>
      <c r="B353" s="38" t="n">
        <f aca="false">F352</f>
        <v>29496.14373393</v>
      </c>
      <c r="C353" s="38" t="n">
        <f aca="false">IF($A353&lt;=Deal!$B$12*12,Deal!$H$20,"")</f>
        <v>2359.27557626688</v>
      </c>
      <c r="D353" s="38" t="n">
        <f aca="false">IF($A353&lt;=Deal!$B$12*12,-PPMT(Deal!$B$11/12,$A353,Deal!$B$12*12,Deal!$H$7),"")</f>
        <v>2193.35976776353</v>
      </c>
      <c r="E353" s="38" t="n">
        <f aca="false">IF($A353&lt;=Deal!$B$12*12,-IPMT(Deal!$B$11/12,$A353,Deal!$B$12*12,Deal!$H$7),"")</f>
        <v>165.915808503358</v>
      </c>
      <c r="F353" s="38" t="n">
        <f aca="false">IF($A353&lt;=Deal!$B$12*12,B353-D353,"")</f>
        <v>27302.7839661664</v>
      </c>
    </row>
    <row r="354" customFormat="false" ht="15" hidden="false" customHeight="true" outlineLevel="0" collapsed="false">
      <c r="A354" s="35" t="n">
        <f aca="false">A353+1</f>
        <v>349</v>
      </c>
      <c r="B354" s="36" t="n">
        <f aca="false">F353</f>
        <v>27302.7839661664</v>
      </c>
      <c r="C354" s="36" t="n">
        <f aca="false">IF($A354&lt;=Deal!$B$12*12,Deal!$H$20,"")</f>
        <v>2359.27557626688</v>
      </c>
      <c r="D354" s="36" t="n">
        <f aca="false">IF($A354&lt;=Deal!$B$12*12,-PPMT(Deal!$B$11/12,$A354,Deal!$B$12*12,Deal!$H$7),"")</f>
        <v>2205.69741645719</v>
      </c>
      <c r="E354" s="36" t="n">
        <f aca="false">IF($A354&lt;=Deal!$B$12*12,-IPMT(Deal!$B$11/12,$A354,Deal!$B$12*12,Deal!$H$7),"")</f>
        <v>153.578159809691</v>
      </c>
      <c r="F354" s="36" t="n">
        <f aca="false">IF($A354&lt;=Deal!$B$12*12,B354-D354,"")</f>
        <v>25097.0865497092</v>
      </c>
    </row>
    <row r="355" customFormat="false" ht="15" hidden="false" customHeight="true" outlineLevel="0" collapsed="false">
      <c r="A355" s="35" t="n">
        <f aca="false">A354+1</f>
        <v>350</v>
      </c>
      <c r="B355" s="36" t="n">
        <f aca="false">F354</f>
        <v>25097.0865497092</v>
      </c>
      <c r="C355" s="36" t="n">
        <f aca="false">IF($A355&lt;=Deal!$B$12*12,Deal!$H$20,"")</f>
        <v>2359.27557626688</v>
      </c>
      <c r="D355" s="36" t="n">
        <f aca="false">IF($A355&lt;=Deal!$B$12*12,-PPMT(Deal!$B$11/12,$A355,Deal!$B$12*12,Deal!$H$7),"")</f>
        <v>2218.10446442476</v>
      </c>
      <c r="E355" s="36" t="n">
        <f aca="false">IF($A355&lt;=Deal!$B$12*12,-IPMT(Deal!$B$11/12,$A355,Deal!$B$12*12,Deal!$H$7),"")</f>
        <v>141.171111842119</v>
      </c>
      <c r="F355" s="36" t="n">
        <f aca="false">IF($A355&lt;=Deal!$B$12*12,B355-D355,"")</f>
        <v>22878.9820852845</v>
      </c>
    </row>
    <row r="356" customFormat="false" ht="15" hidden="false" customHeight="true" outlineLevel="0" collapsed="false">
      <c r="A356" s="35" t="n">
        <f aca="false">A355+1</f>
        <v>351</v>
      </c>
      <c r="B356" s="36" t="n">
        <f aca="false">F355</f>
        <v>22878.9820852845</v>
      </c>
      <c r="C356" s="36" t="n">
        <f aca="false">IF($A356&lt;=Deal!$B$12*12,Deal!$H$20,"")</f>
        <v>2359.27557626688</v>
      </c>
      <c r="D356" s="36" t="n">
        <f aca="false">IF($A356&lt;=Deal!$B$12*12,-PPMT(Deal!$B$11/12,$A356,Deal!$B$12*12,Deal!$H$7),"")</f>
        <v>2230.58130203715</v>
      </c>
      <c r="E356" s="36" t="n">
        <f aca="false">IF($A356&lt;=Deal!$B$12*12,-IPMT(Deal!$B$11/12,$A356,Deal!$B$12*12,Deal!$H$7),"")</f>
        <v>128.694274229729</v>
      </c>
      <c r="F356" s="36" t="n">
        <f aca="false">IF($A356&lt;=Deal!$B$12*12,B356-D356,"")</f>
        <v>20648.4007832473</v>
      </c>
    </row>
    <row r="357" customFormat="false" ht="15" hidden="false" customHeight="true" outlineLevel="0" collapsed="false">
      <c r="A357" s="35" t="n">
        <f aca="false">A356+1</f>
        <v>352</v>
      </c>
      <c r="B357" s="36" t="n">
        <f aca="false">F356</f>
        <v>20648.4007832473</v>
      </c>
      <c r="C357" s="36" t="n">
        <f aca="false">IF($A357&lt;=Deal!$B$12*12,Deal!$H$20,"")</f>
        <v>2359.27557626688</v>
      </c>
      <c r="D357" s="36" t="n">
        <f aca="false">IF($A357&lt;=Deal!$B$12*12,-PPMT(Deal!$B$11/12,$A357,Deal!$B$12*12,Deal!$H$7),"")</f>
        <v>2243.12832186111</v>
      </c>
      <c r="E357" s="36" t="n">
        <f aca="false">IF($A357&lt;=Deal!$B$12*12,-IPMT(Deal!$B$11/12,$A357,Deal!$B$12*12,Deal!$H$7),"")</f>
        <v>116.14725440577</v>
      </c>
      <c r="F357" s="36" t="n">
        <f aca="false">IF($A357&lt;=Deal!$B$12*12,B357-D357,"")</f>
        <v>18405.2724613862</v>
      </c>
    </row>
    <row r="358" customFormat="false" ht="15" hidden="false" customHeight="true" outlineLevel="0" collapsed="false">
      <c r="A358" s="35" t="n">
        <f aca="false">A357+1</f>
        <v>353</v>
      </c>
      <c r="B358" s="36" t="n">
        <f aca="false">F357</f>
        <v>18405.2724613862</v>
      </c>
      <c r="C358" s="36" t="n">
        <f aca="false">IF($A358&lt;=Deal!$B$12*12,Deal!$H$20,"")</f>
        <v>2359.27557626688</v>
      </c>
      <c r="D358" s="36" t="n">
        <f aca="false">IF($A358&lt;=Deal!$B$12*12,-PPMT(Deal!$B$11/12,$A358,Deal!$B$12*12,Deal!$H$7),"")</f>
        <v>2255.74591867158</v>
      </c>
      <c r="E358" s="36" t="n">
        <f aca="false">IF($A358&lt;=Deal!$B$12*12,-IPMT(Deal!$B$11/12,$A358,Deal!$B$12*12,Deal!$H$7),"")</f>
        <v>103.5296575953</v>
      </c>
      <c r="F358" s="36" t="n">
        <f aca="false">IF($A358&lt;=Deal!$B$12*12,B358-D358,"")</f>
        <v>16149.5265427146</v>
      </c>
    </row>
    <row r="359" customFormat="false" ht="15" hidden="false" customHeight="true" outlineLevel="0" collapsed="false">
      <c r="A359" s="35" t="n">
        <f aca="false">A358+1</f>
        <v>354</v>
      </c>
      <c r="B359" s="36" t="n">
        <f aca="false">F358</f>
        <v>16149.5265427146</v>
      </c>
      <c r="C359" s="36" t="n">
        <f aca="false">IF($A359&lt;=Deal!$B$12*12,Deal!$H$20,"")</f>
        <v>2359.27557626688</v>
      </c>
      <c r="D359" s="36" t="n">
        <f aca="false">IF($A359&lt;=Deal!$B$12*12,-PPMT(Deal!$B$11/12,$A359,Deal!$B$12*12,Deal!$H$7),"")</f>
        <v>2268.43448946411</v>
      </c>
      <c r="E359" s="36" t="n">
        <f aca="false">IF($A359&lt;=Deal!$B$12*12,-IPMT(Deal!$B$11/12,$A359,Deal!$B$12*12,Deal!$H$7),"")</f>
        <v>90.8410868027726</v>
      </c>
      <c r="F359" s="36" t="n">
        <f aca="false">IF($A359&lt;=Deal!$B$12*12,B359-D359,"")</f>
        <v>13881.0920532505</v>
      </c>
    </row>
    <row r="360" customFormat="false" ht="15" hidden="false" customHeight="true" outlineLevel="0" collapsed="false">
      <c r="A360" s="35" t="n">
        <f aca="false">A359+1</f>
        <v>355</v>
      </c>
      <c r="B360" s="36" t="n">
        <f aca="false">F359</f>
        <v>13881.0920532505</v>
      </c>
      <c r="C360" s="36" t="n">
        <f aca="false">IF($A360&lt;=Deal!$B$12*12,Deal!$H$20,"")</f>
        <v>2359.27557626688</v>
      </c>
      <c r="D360" s="36" t="n">
        <f aca="false">IF($A360&lt;=Deal!$B$12*12,-PPMT(Deal!$B$11/12,$A360,Deal!$B$12*12,Deal!$H$7),"")</f>
        <v>2281.19443346735</v>
      </c>
      <c r="E360" s="36" t="n">
        <f aca="false">IF($A360&lt;=Deal!$B$12*12,-IPMT(Deal!$B$11/12,$A360,Deal!$B$12*12,Deal!$H$7),"")</f>
        <v>78.0811427995379</v>
      </c>
      <c r="F360" s="36" t="n">
        <f aca="false">IF($A360&lt;=Deal!$B$12*12,B360-D360,"")</f>
        <v>11599.8976197832</v>
      </c>
    </row>
    <row r="361" customFormat="false" ht="15" hidden="false" customHeight="true" outlineLevel="0" collapsed="false">
      <c r="A361" s="35" t="n">
        <f aca="false">A360+1</f>
        <v>356</v>
      </c>
      <c r="B361" s="36" t="n">
        <f aca="false">F360</f>
        <v>11599.8976197832</v>
      </c>
      <c r="C361" s="36" t="n">
        <f aca="false">IF($A361&lt;=Deal!$B$12*12,Deal!$H$20,"")</f>
        <v>2359.27557626688</v>
      </c>
      <c r="D361" s="36" t="n">
        <f aca="false">IF($A361&lt;=Deal!$B$12*12,-PPMT(Deal!$B$11/12,$A361,Deal!$B$12*12,Deal!$H$7),"")</f>
        <v>2294.0261521556</v>
      </c>
      <c r="E361" s="36" t="n">
        <f aca="false">IF($A361&lt;=Deal!$B$12*12,-IPMT(Deal!$B$11/12,$A361,Deal!$B$12*12,Deal!$H$7),"")</f>
        <v>65.2494241112832</v>
      </c>
      <c r="F361" s="36" t="n">
        <f aca="false">IF($A361&lt;=Deal!$B$12*12,B361-D361,"")</f>
        <v>9305.87146762757</v>
      </c>
    </row>
    <row r="362" customFormat="false" ht="15" hidden="false" customHeight="true" outlineLevel="0" collapsed="false">
      <c r="A362" s="35" t="n">
        <f aca="false">A361+1</f>
        <v>357</v>
      </c>
      <c r="B362" s="36" t="n">
        <f aca="false">F361</f>
        <v>9305.87146762757</v>
      </c>
      <c r="C362" s="36" t="n">
        <f aca="false">IF($A362&lt;=Deal!$B$12*12,Deal!$H$20,"")</f>
        <v>2359.27557626688</v>
      </c>
      <c r="D362" s="36" t="n">
        <f aca="false">IF($A362&lt;=Deal!$B$12*12,-PPMT(Deal!$B$11/12,$A362,Deal!$B$12*12,Deal!$H$7),"")</f>
        <v>2306.93004926147</v>
      </c>
      <c r="E362" s="36" t="n">
        <f aca="false">IF($A362&lt;=Deal!$B$12*12,-IPMT(Deal!$B$11/12,$A362,Deal!$B$12*12,Deal!$H$7),"")</f>
        <v>52.3455270054105</v>
      </c>
      <c r="F362" s="36" t="n">
        <f aca="false">IF($A362&lt;=Deal!$B$12*12,B362-D362,"")</f>
        <v>6998.9414183661</v>
      </c>
    </row>
    <row r="363" customFormat="false" ht="15" hidden="false" customHeight="true" outlineLevel="0" collapsed="false">
      <c r="A363" s="35" t="n">
        <f aca="false">A362+1</f>
        <v>358</v>
      </c>
      <c r="B363" s="36" t="n">
        <f aca="false">F362</f>
        <v>6998.9414183661</v>
      </c>
      <c r="C363" s="36" t="n">
        <f aca="false">IF($A363&lt;=Deal!$B$12*12,Deal!$H$20,"")</f>
        <v>2359.27557626688</v>
      </c>
      <c r="D363" s="36" t="n">
        <f aca="false">IF($A363&lt;=Deal!$B$12*12,-PPMT(Deal!$B$11/12,$A363,Deal!$B$12*12,Deal!$H$7),"")</f>
        <v>2319.90653078857</v>
      </c>
      <c r="E363" s="36" t="n">
        <f aca="false">IF($A363&lt;=Deal!$B$12*12,-IPMT(Deal!$B$11/12,$A363,Deal!$B$12*12,Deal!$H$7),"")</f>
        <v>39.3690454783111</v>
      </c>
      <c r="F363" s="36" t="n">
        <f aca="false">IF($A363&lt;=Deal!$B$12*12,B363-D363,"")</f>
        <v>4679.03488757753</v>
      </c>
    </row>
    <row r="364" customFormat="false" ht="15" hidden="false" customHeight="true" outlineLevel="0" collapsed="false">
      <c r="A364" s="35" t="n">
        <f aca="false">A363+1</f>
        <v>359</v>
      </c>
      <c r="B364" s="36" t="n">
        <f aca="false">F363</f>
        <v>4679.03488757753</v>
      </c>
      <c r="C364" s="36" t="n">
        <f aca="false">IF($A364&lt;=Deal!$B$12*12,Deal!$H$20,"")</f>
        <v>2359.27557626688</v>
      </c>
      <c r="D364" s="36" t="n">
        <f aca="false">IF($A364&lt;=Deal!$B$12*12,-PPMT(Deal!$B$11/12,$A364,Deal!$B$12*12,Deal!$H$7),"")</f>
        <v>2332.95600502425</v>
      </c>
      <c r="E364" s="36" t="n">
        <f aca="false">IF($A364&lt;=Deal!$B$12*12,-IPMT(Deal!$B$11/12,$A364,Deal!$B$12*12,Deal!$H$7),"")</f>
        <v>26.3195712426288</v>
      </c>
      <c r="F364" s="36" t="n">
        <f aca="false">IF($A364&lt;=Deal!$B$12*12,B364-D364,"")</f>
        <v>2346.07888255327</v>
      </c>
    </row>
    <row r="365" customFormat="false" ht="15" hidden="false" customHeight="true" outlineLevel="0" collapsed="false">
      <c r="A365" s="37" t="n">
        <f aca="false">A364+1</f>
        <v>360</v>
      </c>
      <c r="B365" s="38" t="n">
        <f aca="false">F364</f>
        <v>2346.07888255327</v>
      </c>
      <c r="C365" s="38" t="n">
        <f aca="false">IF($A365&lt;=Deal!$B$12*12,Deal!$H$20,"")</f>
        <v>2359.27557626688</v>
      </c>
      <c r="D365" s="38" t="n">
        <f aca="false">IF($A365&lt;=Deal!$B$12*12,-PPMT(Deal!$B$11/12,$A365,Deal!$B$12*12,Deal!$H$7),"")</f>
        <v>2346.07888255252</v>
      </c>
      <c r="E365" s="38" t="n">
        <f aca="false">IF($A365&lt;=Deal!$B$12*12,-IPMT(Deal!$B$11/12,$A365,Deal!$B$12*12,Deal!$H$7),"")</f>
        <v>13.1966937143671</v>
      </c>
      <c r="F365" s="38" t="n">
        <f aca="false">IF($A365&lt;=Deal!$B$12*12,B365-D365,"")</f>
        <v>7.56699591875076E-010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6"/>
  </cols>
  <sheetData>
    <row r="1" customFormat="false" ht="25.5" hidden="false" customHeight="true" outlineLevel="0" collapsed="false">
      <c r="A1" s="2" t="s">
        <v>121</v>
      </c>
      <c r="B1" s="2"/>
      <c r="C1" s="2"/>
      <c r="D1" s="2"/>
      <c r="E1" s="2"/>
    </row>
    <row r="2" customFormat="false" ht="15" hidden="false" customHeight="true" outlineLevel="0" collapsed="false">
      <c r="A2" s="3" t="s">
        <v>122</v>
      </c>
      <c r="B2" s="3"/>
      <c r="C2" s="3"/>
      <c r="D2" s="3"/>
      <c r="E2" s="3"/>
    </row>
    <row r="3" customFormat="false" ht="15" hidden="false" customHeight="true" outlineLevel="0" collapsed="false">
      <c r="A3" s="14" t="s">
        <v>123</v>
      </c>
      <c r="B3" s="14"/>
      <c r="C3" s="14"/>
      <c r="D3" s="14"/>
      <c r="E3" s="14"/>
    </row>
    <row r="5" customFormat="false" ht="15.75" hidden="false" customHeight="true" outlineLevel="0" collapsed="false">
      <c r="A5" s="30" t="s">
        <v>124</v>
      </c>
      <c r="B5" s="39" t="s">
        <v>125</v>
      </c>
      <c r="C5" s="39" t="s">
        <v>126</v>
      </c>
      <c r="D5" s="39" t="s">
        <v>127</v>
      </c>
      <c r="E5" s="39" t="s">
        <v>128</v>
      </c>
    </row>
    <row r="6" customFormat="false" ht="15.75" hidden="false" customHeight="true" outlineLevel="0" collapsed="false">
      <c r="A6" s="15" t="s">
        <v>129</v>
      </c>
      <c r="B6" s="15"/>
      <c r="C6" s="15"/>
      <c r="D6" s="15"/>
      <c r="E6" s="15"/>
    </row>
    <row r="7" customFormat="false" ht="15" hidden="false" customHeight="true" outlineLevel="0" collapsed="false">
      <c r="A7" s="16" t="s">
        <v>32</v>
      </c>
      <c r="B7" s="17" t="n">
        <v>485000</v>
      </c>
      <c r="C7" s="17" t="n">
        <v>350000</v>
      </c>
      <c r="D7" s="17" t="n">
        <v>620000</v>
      </c>
      <c r="E7" s="17" t="n">
        <v>275000</v>
      </c>
    </row>
    <row r="8" customFormat="false" ht="15" hidden="false" customHeight="true" outlineLevel="0" collapsed="false">
      <c r="A8" s="16" t="s">
        <v>44</v>
      </c>
      <c r="B8" s="19" t="n">
        <v>0.25</v>
      </c>
      <c r="C8" s="19" t="n">
        <v>0.2</v>
      </c>
      <c r="D8" s="19" t="n">
        <v>0.25</v>
      </c>
      <c r="E8" s="19" t="n">
        <v>0.2</v>
      </c>
    </row>
    <row r="9" customFormat="false" ht="15" hidden="false" customHeight="true" outlineLevel="0" collapsed="false">
      <c r="A9" s="16" t="s">
        <v>130</v>
      </c>
      <c r="B9" s="21" t="n">
        <v>0.0675</v>
      </c>
      <c r="C9" s="21" t="n">
        <v>0.065</v>
      </c>
      <c r="D9" s="21" t="n">
        <v>0.069</v>
      </c>
      <c r="E9" s="21" t="n">
        <v>0.066</v>
      </c>
    </row>
    <row r="10" customFormat="false" ht="15" hidden="false" customHeight="true" outlineLevel="0" collapsed="false">
      <c r="A10" s="16" t="s">
        <v>50</v>
      </c>
      <c r="B10" s="22" t="n">
        <v>30</v>
      </c>
      <c r="C10" s="22" t="n">
        <v>30</v>
      </c>
      <c r="D10" s="22" t="n">
        <v>30</v>
      </c>
      <c r="E10" s="22" t="n">
        <v>30</v>
      </c>
    </row>
    <row r="11" customFormat="false" ht="15" hidden="false" customHeight="true" outlineLevel="0" collapsed="false">
      <c r="A11" s="16" t="s">
        <v>131</v>
      </c>
      <c r="B11" s="17" t="n">
        <v>3900</v>
      </c>
      <c r="C11" s="17" t="n">
        <v>2600</v>
      </c>
      <c r="D11" s="17" t="n">
        <v>5100</v>
      </c>
      <c r="E11" s="17" t="n">
        <v>2100</v>
      </c>
    </row>
    <row r="12" customFormat="false" ht="15" hidden="false" customHeight="true" outlineLevel="0" collapsed="false">
      <c r="A12" s="16" t="s">
        <v>59</v>
      </c>
      <c r="B12" s="17" t="n">
        <v>0</v>
      </c>
      <c r="C12" s="17" t="n">
        <v>0</v>
      </c>
      <c r="D12" s="17" t="n">
        <v>100</v>
      </c>
      <c r="E12" s="17" t="n">
        <v>0</v>
      </c>
    </row>
    <row r="13" customFormat="false" ht="15" hidden="false" customHeight="true" outlineLevel="0" collapsed="false">
      <c r="A13" s="16" t="s">
        <v>64</v>
      </c>
      <c r="B13" s="19" t="n">
        <v>0.05</v>
      </c>
      <c r="C13" s="19" t="n">
        <v>0.05</v>
      </c>
      <c r="D13" s="19" t="n">
        <v>0.06</v>
      </c>
      <c r="E13" s="19" t="n">
        <v>0.05</v>
      </c>
    </row>
    <row r="14" customFormat="false" ht="15" hidden="false" customHeight="true" outlineLevel="0" collapsed="false">
      <c r="A14" s="16" t="s">
        <v>67</v>
      </c>
      <c r="B14" s="19" t="n">
        <v>0.08</v>
      </c>
      <c r="C14" s="19" t="n">
        <v>0.08</v>
      </c>
      <c r="D14" s="19" t="n">
        <v>0.08</v>
      </c>
      <c r="E14" s="19" t="n">
        <v>0.08</v>
      </c>
    </row>
    <row r="15" customFormat="false" ht="15" hidden="false" customHeight="true" outlineLevel="0" collapsed="false">
      <c r="A15" s="16" t="s">
        <v>70</v>
      </c>
      <c r="B15" s="19" t="n">
        <v>0.05</v>
      </c>
      <c r="C15" s="19" t="n">
        <v>0.05</v>
      </c>
      <c r="D15" s="19" t="n">
        <v>0.06</v>
      </c>
      <c r="E15" s="19" t="n">
        <v>0.04</v>
      </c>
    </row>
    <row r="16" customFormat="false" ht="15" hidden="false" customHeight="true" outlineLevel="0" collapsed="false">
      <c r="A16" s="16" t="s">
        <v>73</v>
      </c>
      <c r="B16" s="19" t="n">
        <v>0.05</v>
      </c>
      <c r="C16" s="19" t="n">
        <v>0.05</v>
      </c>
      <c r="D16" s="19" t="n">
        <v>0.05</v>
      </c>
      <c r="E16" s="19" t="n">
        <v>0.04</v>
      </c>
    </row>
    <row r="17" customFormat="false" ht="15" hidden="false" customHeight="true" outlineLevel="0" collapsed="false">
      <c r="A17" s="16" t="s">
        <v>33</v>
      </c>
      <c r="B17" s="17" t="n">
        <v>4200</v>
      </c>
      <c r="C17" s="17" t="n">
        <v>3200</v>
      </c>
      <c r="D17" s="17" t="n">
        <v>5400</v>
      </c>
      <c r="E17" s="17" t="n">
        <v>2600</v>
      </c>
    </row>
    <row r="18" customFormat="false" ht="15" hidden="false" customHeight="true" outlineLevel="0" collapsed="false">
      <c r="A18" s="16" t="s">
        <v>36</v>
      </c>
      <c r="B18" s="17" t="n">
        <v>1800</v>
      </c>
      <c r="C18" s="17" t="n">
        <v>1400</v>
      </c>
      <c r="D18" s="17" t="n">
        <v>2400</v>
      </c>
      <c r="E18" s="17" t="n">
        <v>1100</v>
      </c>
    </row>
    <row r="19" customFormat="false" ht="15" hidden="false" customHeight="true" outlineLevel="0" collapsed="false">
      <c r="A19" s="16" t="s">
        <v>39</v>
      </c>
      <c r="B19" s="17" t="n">
        <v>0</v>
      </c>
      <c r="C19" s="17" t="n">
        <v>0</v>
      </c>
      <c r="D19" s="17" t="n">
        <v>0</v>
      </c>
      <c r="E19" s="17" t="n">
        <v>250</v>
      </c>
    </row>
    <row r="20" customFormat="false" ht="15" hidden="false" customHeight="true" outlineLevel="0" collapsed="false">
      <c r="A20" s="16" t="s">
        <v>66</v>
      </c>
      <c r="B20" s="17" t="n">
        <v>150</v>
      </c>
      <c r="C20" s="17" t="n">
        <v>0</v>
      </c>
      <c r="D20" s="17" t="n">
        <v>200</v>
      </c>
      <c r="E20" s="17" t="n">
        <v>0</v>
      </c>
    </row>
    <row r="21" customFormat="false" ht="15.75" hidden="false" customHeight="true" outlineLevel="0" collapsed="false">
      <c r="A21" s="15" t="s">
        <v>132</v>
      </c>
      <c r="B21" s="15"/>
      <c r="C21" s="15"/>
      <c r="D21" s="15"/>
      <c r="E21" s="15"/>
    </row>
    <row r="22" customFormat="false" ht="15" hidden="false" customHeight="true" outlineLevel="0" collapsed="false">
      <c r="A22" s="16" t="s">
        <v>37</v>
      </c>
      <c r="B22" s="18" t="n">
        <f aca="false">B7*(1-B8)</f>
        <v>363750</v>
      </c>
      <c r="C22" s="18" t="n">
        <f aca="false">C7*(1-C8)</f>
        <v>280000</v>
      </c>
      <c r="D22" s="18" t="n">
        <f aca="false">D7*(1-D8)</f>
        <v>465000</v>
      </c>
      <c r="E22" s="18" t="n">
        <f aca="false">E7*(1-E8)</f>
        <v>220000</v>
      </c>
    </row>
    <row r="23" customFormat="false" ht="15" hidden="false" customHeight="true" outlineLevel="0" collapsed="false">
      <c r="A23" s="16" t="s">
        <v>133</v>
      </c>
      <c r="B23" s="18" t="n">
        <f aca="false">B7*B8</f>
        <v>121250</v>
      </c>
      <c r="C23" s="18" t="n">
        <f aca="false">C7*C8</f>
        <v>70000</v>
      </c>
      <c r="D23" s="18" t="n">
        <f aca="false">D7*D8</f>
        <v>155000</v>
      </c>
      <c r="E23" s="18" t="n">
        <f aca="false">E7*E8</f>
        <v>55000</v>
      </c>
    </row>
    <row r="24" customFormat="false" ht="15" hidden="false" customHeight="true" outlineLevel="0" collapsed="false">
      <c r="A24" s="16" t="s">
        <v>134</v>
      </c>
      <c r="B24" s="18" t="n">
        <f aca="false">-PMT(B9/12,B10*12,B22)</f>
        <v>2359.27557626688</v>
      </c>
      <c r="C24" s="18" t="n">
        <f aca="false">-PMT(C9/12,C10*12,C22)</f>
        <v>1769.7904657803</v>
      </c>
      <c r="D24" s="18" t="n">
        <f aca="false">-PMT(D9/12,D10*12,D22)</f>
        <v>3062.49061653248</v>
      </c>
      <c r="E24" s="18" t="n">
        <f aca="false">-PMT(E9/12,E10*12,E22)</f>
        <v>1405.04939965424</v>
      </c>
    </row>
    <row r="25" customFormat="false" ht="15" hidden="false" customHeight="true" outlineLevel="0" collapsed="false">
      <c r="A25" s="16" t="s">
        <v>135</v>
      </c>
      <c r="B25" s="18" t="n">
        <f aca="false">B11*(1-B13)+B12</f>
        <v>3705</v>
      </c>
      <c r="C25" s="18" t="n">
        <f aca="false">C11*(1-C13)+C12</f>
        <v>2470</v>
      </c>
      <c r="D25" s="18" t="n">
        <f aca="false">D11*(1-D13)+D12</f>
        <v>4894</v>
      </c>
      <c r="E25" s="18" t="n">
        <f aca="false">E11*(1-E13)+E12</f>
        <v>1995</v>
      </c>
    </row>
    <row r="26" customFormat="false" ht="15" hidden="false" customHeight="true" outlineLevel="0" collapsed="false">
      <c r="A26" s="16" t="s">
        <v>136</v>
      </c>
      <c r="B26" s="18" t="n">
        <f aca="false">B14*B25+B15*B11+B16*B11+B17/12+B18/12+B19+B20</f>
        <v>1336.4</v>
      </c>
      <c r="C26" s="18" t="n">
        <f aca="false">C14*C25+C15*C11+C16*C11+C17/12+C18/12+C19+C20</f>
        <v>840.933333333333</v>
      </c>
      <c r="D26" s="18" t="n">
        <f aca="false">D14*D25+D15*D11+D16*D11+D17/12+D18/12+D19+D20</f>
        <v>1802.52</v>
      </c>
      <c r="E26" s="18" t="n">
        <f aca="false">E14*E25+E15*E11+E16*E11+E17/12+E18/12+E19+E20</f>
        <v>885.933333333333</v>
      </c>
    </row>
    <row r="27" customFormat="false" ht="15" hidden="false" customHeight="true" outlineLevel="0" collapsed="false">
      <c r="A27" s="16" t="s">
        <v>72</v>
      </c>
      <c r="B27" s="18" t="n">
        <f aca="false">B25-B26</f>
        <v>2368.6</v>
      </c>
      <c r="C27" s="18" t="n">
        <f aca="false">C25-C26</f>
        <v>1629.06666666667</v>
      </c>
      <c r="D27" s="18" t="n">
        <f aca="false">D25-D26</f>
        <v>3091.48</v>
      </c>
      <c r="E27" s="18" t="n">
        <f aca="false">E25-E26</f>
        <v>1109.06666666667</v>
      </c>
    </row>
    <row r="28" customFormat="false" ht="15" hidden="false" customHeight="true" outlineLevel="0" collapsed="false">
      <c r="A28" s="24" t="s">
        <v>77</v>
      </c>
      <c r="B28" s="20" t="n">
        <f aca="false">B27-B24</f>
        <v>9.32442373311687</v>
      </c>
      <c r="C28" s="20" t="n">
        <f aca="false">C27-C24</f>
        <v>-140.723799113632</v>
      </c>
      <c r="D28" s="20" t="n">
        <f aca="false">D27-D24</f>
        <v>28.9893834675208</v>
      </c>
      <c r="E28" s="20" t="n">
        <f aca="false">E27-E24</f>
        <v>-295.982732987571</v>
      </c>
    </row>
    <row r="29" customFormat="false" ht="15" hidden="false" customHeight="true" outlineLevel="0" collapsed="false">
      <c r="A29" s="24" t="s">
        <v>137</v>
      </c>
      <c r="B29" s="40" t="n">
        <f aca="false">(B27*12)/B7</f>
        <v>0.0586045360824742</v>
      </c>
      <c r="C29" s="40" t="n">
        <f aca="false">(C27*12)/C7</f>
        <v>0.0558537142857143</v>
      </c>
      <c r="D29" s="40" t="n">
        <f aca="false">(D27*12)/D7</f>
        <v>0.0598350967741936</v>
      </c>
      <c r="E29" s="40" t="n">
        <f aca="false">(E27*12)/E7</f>
        <v>0.0483956363636364</v>
      </c>
    </row>
    <row r="30" customFormat="false" ht="15" hidden="false" customHeight="true" outlineLevel="0" collapsed="false">
      <c r="A30" s="24" t="s">
        <v>81</v>
      </c>
      <c r="B30" s="40" t="n">
        <f aca="false">(B28*12)/B23</f>
        <v>0.000922829565339402</v>
      </c>
      <c r="C30" s="40" t="n">
        <f aca="false">(C28*12)/C23</f>
        <v>-0.0241240798480512</v>
      </c>
      <c r="D30" s="40" t="n">
        <f aca="false">(D28*12)/D23</f>
        <v>0.00224433936522742</v>
      </c>
      <c r="E30" s="40" t="n">
        <f aca="false">(E28*12)/E23</f>
        <v>-0.0645780508336519</v>
      </c>
    </row>
    <row r="31" customFormat="false" ht="15" hidden="false" customHeight="true" outlineLevel="0" collapsed="false">
      <c r="A31" s="24" t="s">
        <v>82</v>
      </c>
      <c r="B31" s="41" t="n">
        <f aca="false">B27/B24</f>
        <v>1.00395224018208</v>
      </c>
      <c r="C31" s="41" t="n">
        <f aca="false">C27/C24</f>
        <v>0.920485615763792</v>
      </c>
      <c r="D31" s="41" t="n">
        <f aca="false">D27/D24</f>
        <v>1.00946595013582</v>
      </c>
      <c r="E31" s="41" t="n">
        <f aca="false">E27/E24</f>
        <v>0.789343539764219</v>
      </c>
    </row>
  </sheetData>
  <mergeCells count="5">
    <mergeCell ref="A1:E1"/>
    <mergeCell ref="A2:E2"/>
    <mergeCell ref="A3:E3"/>
    <mergeCell ref="A6:E6"/>
    <mergeCell ref="A21:E21"/>
  </mergeCells>
  <conditionalFormatting sqref="B28:E28">
    <cfRule type="expression" priority="2" aboveAverage="0" equalAverage="0" bottom="0" percent="0" rank="0" text="" dxfId="3">
      <formula>B28=MAX($B$28:$E$28)</formula>
    </cfRule>
  </conditionalFormatting>
  <conditionalFormatting sqref="B29:E29">
    <cfRule type="expression" priority="3" aboveAverage="0" equalAverage="0" bottom="0" percent="0" rank="0" text="" dxfId="3">
      <formula>B29=MAX($B$29:$E$29)</formula>
    </cfRule>
  </conditionalFormatting>
  <conditionalFormatting sqref="B30:E30">
    <cfRule type="expression" priority="4" aboveAverage="0" equalAverage="0" bottom="0" percent="0" rank="0" text="" dxfId="3">
      <formula>B30=MAX($B$30:$E$30)</formula>
    </cfRule>
  </conditionalFormatting>
  <conditionalFormatting sqref="B31:E31">
    <cfRule type="expression" priority="5" aboveAverage="0" equalAverage="0" bottom="0" percent="0" rank="0" text="" dxfId="3">
      <formula>B31=MAX($B$31:$E$31)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1" width="14"/>
  </cols>
  <sheetData>
    <row r="1" customFormat="false" ht="25.5" hidden="false" customHeight="true" outlineLevel="0" collapsed="false">
      <c r="A1" s="2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139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.75" hidden="false" customHeight="true" outlineLevel="0" collapsed="false">
      <c r="A4" s="15" t="s">
        <v>140</v>
      </c>
      <c r="B4" s="15"/>
      <c r="C4" s="15"/>
      <c r="D4" s="15"/>
      <c r="E4" s="15"/>
      <c r="F4" s="15"/>
    </row>
    <row r="24" customFormat="false" ht="15.75" hidden="false" customHeight="true" outlineLevel="0" collapsed="false">
      <c r="A24" s="15" t="s">
        <v>141</v>
      </c>
      <c r="B24" s="15"/>
      <c r="C24" s="15"/>
      <c r="D24" s="15"/>
      <c r="E24" s="15"/>
      <c r="F24" s="15"/>
    </row>
  </sheetData>
  <mergeCells count="4">
    <mergeCell ref="A1:L1"/>
    <mergeCell ref="A2:L2"/>
    <mergeCell ref="A4:F4"/>
    <mergeCell ref="A24:F24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2026-09-17T08:45:56Z</dcterms:created>
  <dc:creator>openpyxl</dc:creator>
  <dc:description/>
  <dc:language>en-US</dc:language>
  <cp:lastModifiedBy/>
  <dcterms:modified xsi:type="dcterms:W3CDTF">2026-09-18T13:07:42Z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